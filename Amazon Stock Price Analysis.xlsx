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ona\Downloads\"/>
    </mc:Choice>
  </mc:AlternateContent>
  <xr:revisionPtr revIDLastSave="0" documentId="8_{C7FC8A80-8A50-4821-99AC-B187E952997C}" xr6:coauthVersionLast="47" xr6:coauthVersionMax="47" xr10:uidLastSave="{00000000-0000-0000-0000-000000000000}"/>
  <bookViews>
    <workbookView xWindow="4065" yWindow="4080" windowWidth="21585" windowHeight="11370" activeTab="2" xr2:uid="{1DFE6981-7487-4237-AC2C-92D39A1CB707}"/>
  </bookViews>
  <sheets>
    <sheet name="NAsource" sheetId="1" r:id="rId1"/>
    <sheet name="Table" sheetId="2" r:id="rId2"/>
    <sheet name="Amazon Stock Price 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C9" i="3"/>
  <c r="H134" i="3"/>
  <c r="H131" i="3"/>
  <c r="F131" i="3"/>
  <c r="F130" i="3"/>
  <c r="J131" i="3" s="1"/>
  <c r="F128" i="3"/>
  <c r="H128" i="3"/>
  <c r="F127" i="3"/>
  <c r="J128" i="3" s="1"/>
  <c r="H125" i="3"/>
  <c r="F125" i="3"/>
  <c r="I125" i="3" s="1"/>
  <c r="F124" i="3"/>
  <c r="I121" i="3"/>
  <c r="F121" i="3"/>
  <c r="F120" i="3"/>
  <c r="F114" i="3"/>
  <c r="H121" i="3"/>
  <c r="H118" i="3"/>
  <c r="H116" i="3"/>
  <c r="H117" i="3"/>
  <c r="F117" i="3"/>
  <c r="F115" i="3"/>
  <c r="F116" i="3"/>
  <c r="G116" i="3" s="1"/>
  <c r="M106" i="3"/>
  <c r="G90" i="3"/>
  <c r="H90" i="3" s="1"/>
  <c r="G101" i="3"/>
  <c r="H101" i="3" s="1"/>
  <c r="G89" i="3"/>
  <c r="H89" i="3" s="1"/>
  <c r="I89" i="3" s="1"/>
  <c r="H106" i="3"/>
  <c r="J106" i="3" s="1"/>
  <c r="G105" i="3"/>
  <c r="M105" i="3" s="1"/>
  <c r="G106" i="3"/>
  <c r="G107" i="3"/>
  <c r="M107" i="3" s="1"/>
  <c r="G108" i="3"/>
  <c r="M108" i="3" s="1"/>
  <c r="G109" i="3"/>
  <c r="M109" i="3" s="1"/>
  <c r="G102" i="3"/>
  <c r="M102" i="3" s="1"/>
  <c r="G103" i="3"/>
  <c r="M103" i="3" s="1"/>
  <c r="G104" i="3"/>
  <c r="M104" i="3" s="1"/>
  <c r="G100" i="3"/>
  <c r="M100" i="3" s="1"/>
  <c r="H98" i="3"/>
  <c r="J98" i="3" s="1"/>
  <c r="G99" i="3"/>
  <c r="H99" i="3" s="1"/>
  <c r="H93" i="3"/>
  <c r="J93" i="3" s="1"/>
  <c r="H97" i="3"/>
  <c r="J97" i="3" s="1"/>
  <c r="G91" i="3"/>
  <c r="H91" i="3" s="1"/>
  <c r="J91" i="3" s="1"/>
  <c r="G92" i="3"/>
  <c r="H92" i="3" s="1"/>
  <c r="J92" i="3" s="1"/>
  <c r="G93" i="3"/>
  <c r="G94" i="3"/>
  <c r="H94" i="3" s="1"/>
  <c r="J94" i="3" s="1"/>
  <c r="G95" i="3"/>
  <c r="H95" i="3" s="1"/>
  <c r="J95" i="3" s="1"/>
  <c r="G96" i="3"/>
  <c r="H96" i="3" s="1"/>
  <c r="J96" i="3" s="1"/>
  <c r="G97" i="3"/>
  <c r="G98" i="3"/>
  <c r="P56" i="3"/>
  <c r="Q56" i="3" s="1"/>
  <c r="R56" i="3" s="1"/>
  <c r="O56" i="3"/>
  <c r="L83" i="3"/>
  <c r="L84" i="3"/>
  <c r="J80" i="3"/>
  <c r="K81" i="3"/>
  <c r="L81" i="3" s="1"/>
  <c r="K82" i="3"/>
  <c r="L82" i="3" s="1"/>
  <c r="K83" i="3"/>
  <c r="K84" i="3"/>
  <c r="K80" i="3"/>
  <c r="L80" i="3" s="1"/>
  <c r="I83" i="3"/>
  <c r="J83" i="3" s="1"/>
  <c r="I81" i="3"/>
  <c r="J81" i="3" s="1"/>
  <c r="H84" i="3"/>
  <c r="H81" i="3"/>
  <c r="G81" i="3"/>
  <c r="G82" i="3"/>
  <c r="I82" i="3" s="1"/>
  <c r="J82" i="3" s="1"/>
  <c r="G83" i="3"/>
  <c r="H83" i="3" s="1"/>
  <c r="G84" i="3"/>
  <c r="I84" i="3" s="1"/>
  <c r="J84" i="3" s="1"/>
  <c r="G80" i="3"/>
  <c r="H80" i="3" s="1"/>
  <c r="G77" i="3"/>
  <c r="I76" i="3"/>
  <c r="A39" i="3"/>
  <c r="J69" i="3"/>
  <c r="K69" i="3"/>
  <c r="I69" i="3"/>
  <c r="H68" i="3"/>
  <c r="I68" i="3" s="1"/>
  <c r="K68" i="3" s="1"/>
  <c r="J68" i="3" s="1"/>
  <c r="K61" i="3"/>
  <c r="J61" i="3"/>
  <c r="I61" i="3"/>
  <c r="J54" i="3"/>
  <c r="I54" i="3"/>
  <c r="H56" i="3"/>
  <c r="I56" i="3" s="1"/>
  <c r="H57" i="3"/>
  <c r="H67" i="3" s="1"/>
  <c r="I67" i="3" s="1"/>
  <c r="K67" i="3" s="1"/>
  <c r="J67" i="3" s="1"/>
  <c r="H58" i="3"/>
  <c r="I58" i="3" s="1"/>
  <c r="H55" i="3"/>
  <c r="H65" i="3" s="1"/>
  <c r="I65" i="3" s="1"/>
  <c r="K65" i="3" s="1"/>
  <c r="J65" i="3" s="1"/>
  <c r="J46" i="3"/>
  <c r="B59" i="3"/>
  <c r="B53" i="3"/>
  <c r="B51" i="3"/>
  <c r="B50" i="3"/>
  <c r="B48" i="3"/>
  <c r="B47" i="3"/>
  <c r="B45" i="3"/>
  <c r="O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H42" i="3"/>
  <c r="H41" i="3"/>
  <c r="H40" i="3"/>
  <c r="H39" i="3"/>
  <c r="H38" i="3"/>
  <c r="I22" i="3"/>
  <c r="J22" i="3" s="1"/>
  <c r="L2" i="2"/>
  <c r="I33" i="3"/>
  <c r="I32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2" i="2"/>
  <c r="H31" i="3"/>
  <c r="H30" i="3"/>
  <c r="H29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I20" i="3"/>
  <c r="J20" i="3" s="1"/>
  <c r="I19" i="3"/>
  <c r="I18" i="3"/>
  <c r="J18" i="3" s="1"/>
  <c r="K3" i="2"/>
  <c r="K4" i="2"/>
  <c r="K5" i="2"/>
  <c r="K6" i="2"/>
  <c r="K7" i="2"/>
  <c r="K8" i="2"/>
  <c r="K9" i="2"/>
  <c r="K10" i="2"/>
  <c r="K11" i="2"/>
  <c r="K12" i="2"/>
  <c r="K13" i="2"/>
  <c r="I12" i="3" s="1"/>
  <c r="I13" i="3" s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I10" i="3" s="1"/>
  <c r="I11" i="3" s="1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2" i="2"/>
  <c r="I2" i="2"/>
  <c r="J2" i="2"/>
  <c r="H2" i="2"/>
  <c r="G12" i="3"/>
  <c r="G13" i="3" s="1"/>
  <c r="H12" i="3"/>
  <c r="H13" i="3" s="1"/>
  <c r="F13" i="3"/>
  <c r="H10" i="3"/>
  <c r="H11" i="3" s="1"/>
  <c r="G10" i="3"/>
  <c r="G11" i="3" s="1"/>
  <c r="F10" i="3"/>
  <c r="F11" i="3" s="1"/>
  <c r="D9" i="3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G6" i="3"/>
  <c r="F6" i="3"/>
  <c r="H6" i="3" s="1"/>
  <c r="C6" i="3"/>
  <c r="B6" i="3"/>
  <c r="B5" i="3"/>
  <c r="F5" i="3"/>
  <c r="F4" i="3"/>
  <c r="F16" i="3"/>
  <c r="F17" i="3" s="1"/>
  <c r="F18" i="3" s="1"/>
  <c r="F19" i="3" s="1"/>
  <c r="F20" i="3" s="1"/>
  <c r="C5" i="3"/>
  <c r="C4" i="3"/>
  <c r="B4" i="3"/>
  <c r="B19" i="3"/>
  <c r="E33" i="3"/>
  <c r="C34" i="3"/>
  <c r="C35" i="3"/>
  <c r="C36" i="3"/>
  <c r="C33" i="3"/>
  <c r="B34" i="3"/>
  <c r="B35" i="3"/>
  <c r="B36" i="3"/>
  <c r="B33" i="3"/>
  <c r="C15" i="3"/>
  <c r="C28" i="3"/>
  <c r="A30" i="3"/>
  <c r="A29" i="3"/>
  <c r="B23" i="3" a="1"/>
  <c r="B23" i="3" s="1"/>
  <c r="C19" i="3"/>
  <c r="B15" i="3"/>
  <c r="J129" i="3" l="1"/>
  <c r="M110" i="3"/>
  <c r="H104" i="3"/>
  <c r="J104" i="3" s="1"/>
  <c r="H105" i="3"/>
  <c r="J105" i="3" s="1"/>
  <c r="J58" i="3"/>
  <c r="H82" i="3"/>
  <c r="H103" i="3"/>
  <c r="J103" i="3" s="1"/>
  <c r="J57" i="3"/>
  <c r="I80" i="3"/>
  <c r="H102" i="3"/>
  <c r="J102" i="3" s="1"/>
  <c r="H100" i="3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6" i="3"/>
  <c r="J117" i="3" s="1"/>
  <c r="D6" i="3"/>
  <c r="J56" i="3"/>
  <c r="J55" i="3"/>
  <c r="M101" i="3"/>
  <c r="E5" i="3"/>
  <c r="D4" i="3"/>
  <c r="I55" i="3"/>
  <c r="H109" i="3"/>
  <c r="J109" i="3" s="1"/>
  <c r="I57" i="3"/>
  <c r="H66" i="3"/>
  <c r="I66" i="3" s="1"/>
  <c r="K66" i="3" s="1"/>
  <c r="J66" i="3" s="1"/>
  <c r="H108" i="3"/>
  <c r="J108" i="3" s="1"/>
  <c r="H107" i="3"/>
  <c r="J107" i="3" s="1"/>
  <c r="J118" i="3"/>
  <c r="G115" i="3"/>
  <c r="J90" i="3"/>
  <c r="I90" i="3"/>
  <c r="I91" i="3" s="1"/>
  <c r="I92" i="3" s="1"/>
  <c r="I93" i="3" s="1"/>
  <c r="I94" i="3" s="1"/>
  <c r="I95" i="3" s="1"/>
  <c r="I96" i="3" s="1"/>
  <c r="I97" i="3" s="1"/>
  <c r="I98" i="3" s="1"/>
  <c r="J101" i="3"/>
  <c r="J19" i="3"/>
  <c r="J21" i="3" s="1"/>
  <c r="E6" i="3"/>
  <c r="E4" i="3"/>
  <c r="D5" i="3"/>
  <c r="J100" i="3" l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J89" i="3"/>
  <c r="K89" i="3" s="1"/>
  <c r="K90" i="3" s="1"/>
  <c r="K91" i="3" s="1"/>
  <c r="K92" i="3" s="1"/>
  <c r="K93" i="3" s="1"/>
  <c r="K94" i="3" s="1"/>
  <c r="K95" i="3" s="1"/>
  <c r="K96" i="3" s="1"/>
  <c r="K97" i="3" s="1"/>
  <c r="K9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<sst xmlns="http://schemas.openxmlformats.org/spreadsheetml/2006/main" count="173" uniqueCount="124">
  <si>
    <t>Amazon (AMZN) stock prices May 1997 - November 2017.</t>
  </si>
  <si>
    <t>Downloaded from finance.yahoo.com.</t>
  </si>
  <si>
    <t>Date</t>
  </si>
  <si>
    <t>Open</t>
  </si>
  <si>
    <t>High</t>
  </si>
  <si>
    <t>Low</t>
  </si>
  <si>
    <t>Close</t>
  </si>
  <si>
    <t>Volume</t>
  </si>
  <si>
    <t>Adj Close</t>
  </si>
  <si>
    <t>Part 1:</t>
  </si>
  <si>
    <t xml:space="preserve">Daily Range </t>
  </si>
  <si>
    <t>Present Value, P</t>
  </si>
  <si>
    <t>Future Value, f(t)</t>
  </si>
  <si>
    <t>time (years), t</t>
  </si>
  <si>
    <t>CAGR, r</t>
  </si>
  <si>
    <t>Average Growth Rate</t>
  </si>
  <si>
    <t>Find the Close and Adj. Close on 12/22/14</t>
  </si>
  <si>
    <t>Adj.Close</t>
  </si>
  <si>
    <t>Xlookup</t>
  </si>
  <si>
    <t>Find all data for the given date.</t>
  </si>
  <si>
    <t>Percent Change</t>
  </si>
  <si>
    <t>(New-Old)/Old</t>
  </si>
  <si>
    <t>Daily Range</t>
  </si>
  <si>
    <t>4/23/</t>
  </si>
  <si>
    <t>Number</t>
  </si>
  <si>
    <t>Whole</t>
  </si>
  <si>
    <t>Nereast cent</t>
  </si>
  <si>
    <t>Round, Rounddown, and Roundup</t>
  </si>
  <si>
    <t>Int</t>
  </si>
  <si>
    <t>Daily Range %</t>
  </si>
  <si>
    <t>Adj Close previous day</t>
  </si>
  <si>
    <t>Daily Change</t>
  </si>
  <si>
    <t>Daily Change %</t>
  </si>
  <si>
    <t>Daily C</t>
  </si>
  <si>
    <t>#5</t>
  </si>
  <si>
    <t>#4a.</t>
  </si>
  <si>
    <t>#3a.</t>
  </si>
  <si>
    <t>Largest</t>
  </si>
  <si>
    <t>Smallest</t>
  </si>
  <si>
    <t>Criteria</t>
  </si>
  <si>
    <t>&gt;0</t>
  </si>
  <si>
    <t>&lt;0</t>
  </si>
  <si>
    <t># of days</t>
  </si>
  <si>
    <t>%</t>
  </si>
  <si>
    <t>&gt;2.00%</t>
  </si>
  <si>
    <t>#6, #7, #8,#9</t>
  </si>
  <si>
    <t>&lt; 8000000</t>
  </si>
  <si>
    <t>Adjustment ratio</t>
  </si>
  <si>
    <t>Part 3</t>
  </si>
  <si>
    <t>Adjusted High Price</t>
  </si>
  <si>
    <t>Adjusted Low price</t>
  </si>
  <si>
    <t>#1-#4</t>
  </si>
  <si>
    <t>Adj High</t>
  </si>
  <si>
    <t>Adj. Low</t>
  </si>
  <si>
    <t>&gt;=2.00%</t>
  </si>
  <si>
    <t>Homework #2</t>
  </si>
  <si>
    <t>&gt;4.58%</t>
  </si>
  <si>
    <t>&lt;3.368</t>
  </si>
  <si>
    <t>Adj. Close Change since first day</t>
  </si>
  <si>
    <t>Adj. Close change percentage since first day</t>
  </si>
  <si>
    <t>Homework #3</t>
  </si>
  <si>
    <t>date</t>
  </si>
  <si>
    <t>#1</t>
  </si>
  <si>
    <t>#2</t>
  </si>
  <si>
    <t>#3</t>
  </si>
  <si>
    <t>#4</t>
  </si>
  <si>
    <t>Close Price</t>
  </si>
  <si>
    <t>Part 6</t>
  </si>
  <si>
    <t>% change in adj.close</t>
  </si>
  <si>
    <t xml:space="preserve"> close</t>
  </si>
  <si>
    <t>1st Trading Day</t>
  </si>
  <si>
    <t>Last Trading Day</t>
  </si>
  <si>
    <t>Part 5</t>
  </si>
  <si>
    <t>Adjusted Close</t>
  </si>
  <si>
    <t>$ Change from 1st trading day</t>
  </si>
  <si>
    <t>%Change=(new-old)/old</t>
  </si>
  <si>
    <t>Amount Available</t>
  </si>
  <si>
    <t>Buy Date</t>
  </si>
  <si>
    <t>Shares Bought</t>
  </si>
  <si>
    <t>Amount Spent</t>
  </si>
  <si>
    <t>Unspent</t>
  </si>
  <si>
    <t>Adjusted Close on Buy date</t>
  </si>
  <si>
    <t>Purchase Date</t>
  </si>
  <si>
    <t>Sell Date</t>
  </si>
  <si>
    <t>Adjusted Close %</t>
  </si>
  <si>
    <t>Net gain/loss</t>
  </si>
  <si>
    <t>Value of Investment</t>
  </si>
  <si>
    <t>Value of Investment=Amount Spent*(1+Adj Close % on Sell Date)</t>
  </si>
  <si>
    <t>Adj.Close %=(new-old)/old</t>
  </si>
  <si>
    <t>"Tuition costs were 24.97% higher in 2020 compared to 2015. In 2020 the tuition cost was $10,502. What was the tuition cost in 2015?"</t>
  </si>
  <si>
    <t>&lt;-Answer</t>
  </si>
  <si>
    <t>First Trading Day</t>
  </si>
  <si>
    <t>Funds Available</t>
  </si>
  <si>
    <t>Date Purchased</t>
  </si>
  <si>
    <t>shares purchased</t>
  </si>
  <si>
    <t>Total Spent</t>
  </si>
  <si>
    <t>Difference in adj.close</t>
  </si>
  <si>
    <t>% Change</t>
  </si>
  <si>
    <t>Current Value Including Initial Funds</t>
  </si>
  <si>
    <t>Value of Investment on that date</t>
  </si>
  <si>
    <t>Value =Original Purchase* (1+adj.close%)</t>
  </si>
  <si>
    <t>or</t>
  </si>
  <si>
    <t>Close on date</t>
  </si>
  <si>
    <t>value= # of shares* close on date</t>
  </si>
  <si>
    <t xml:space="preserve">Amount Available </t>
  </si>
  <si>
    <t>Part 7:</t>
  </si>
  <si>
    <t>As of:</t>
  </si>
  <si>
    <t># new shares just purchased</t>
  </si>
  <si>
    <t>Total number of shares owned</t>
  </si>
  <si>
    <t>Money put in</t>
  </si>
  <si>
    <t>1a.</t>
  </si>
  <si>
    <t>2a.</t>
  </si>
  <si>
    <t>Total spent on shares</t>
  </si>
  <si>
    <t>Amount spent on shares at date</t>
  </si>
  <si>
    <t>Part 8:</t>
  </si>
  <si>
    <t>Adj.Close percentage change</t>
  </si>
  <si>
    <t>t(time difference)</t>
  </si>
  <si>
    <t>Compound Annual Growth Rate (CAGR) "r"</t>
  </si>
  <si>
    <t>#3 and #4</t>
  </si>
  <si>
    <t>Predicting selected years Adj.Close based  on previous CAGR</t>
  </si>
  <si>
    <t>CAGR=(Adj.new/Adj.Old)^(1/t) -1</t>
  </si>
  <si>
    <t>t=(new date-old date)/365.25</t>
  </si>
  <si>
    <t>#6 and 7</t>
  </si>
  <si>
    <t>Homework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</si>
</sst>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000"/>
  </numFmts>
  <fonts count="5">
    <font>
      <sz val="12"/>
      <color theme="1"/>
      <name val="TimesNewRomanPSMT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NewRomanPSMT"/>
    </font>
    <font>
      <sz val="12"/>
      <color theme="1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1" applyFont="1"/>
    <xf numFmtId="14" fontId="2" fillId="0" borderId="0" xfId="1" applyNumberFormat="1" applyFont="1"/>
    <xf numFmtId="0" fontId="3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3" fillId="0" borderId="0" xfId="0" applyFont="1" applyAlignment="1">
      <alignment wrapText="1"/>
    </xf>
    <xf numFmtId="164" fontId="0" fillId="0" borderId="0" xfId="0" applyNumberFormat="1"/>
    <xf numFmtId="0" fontId="2" fillId="0" borderId="0" xfId="1" applyFont="1" applyAlignment="1">
      <alignment wrapText="1"/>
    </xf>
    <xf numFmtId="10" fontId="2" fillId="0" borderId="0" xfId="2" applyNumberFormat="1" applyFont="1"/>
    <xf numFmtId="1" fontId="0" fillId="0" borderId="0" xfId="0" applyNumberFormat="1"/>
    <xf numFmtId="2" fontId="0" fillId="0" borderId="0" xfId="0" applyNumberFormat="1"/>
    <xf numFmtId="8" fontId="0" fillId="0" borderId="0" xfId="0" applyNumberFormat="1"/>
    <xf numFmtId="10" fontId="0" fillId="0" borderId="0" xfId="0" applyNumberFormat="1"/>
    <xf numFmtId="6" fontId="0" fillId="0" borderId="0" xfId="0" applyNumberFormat="1"/>
    <xf numFmtId="10" fontId="0" fillId="0" borderId="0" xfId="2" applyNumberFormat="1" applyFont="1"/>
    <xf numFmtId="4" fontId="0" fillId="0" borderId="0" xfId="0" applyNumberFormat="1"/>
    <xf numFmtId="3" fontId="0" fillId="0" borderId="0" xfId="0" applyNumberForma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ColWidth="8.77734375" defaultRowHeight="15.75"/>
  <cols>
    <col min="1" max="1" width="8.77734375" style="1" customWidth="1"/>
    <col min="2" max="16384" width="8.77734375" style="1"/>
  </cols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63"/>
  <sheetViews>
    <sheetView topLeftCell="A3" workbookViewId="0"/>
  </sheetViews>
  <sheetFormatPr defaultColWidth="8.77734375" defaultRowHeight="15.75"/>
  <cols>
    <col min="1" max="1" width="10.77734375" style="1" bestFit="1" customWidth="1"/>
    <col min="2" max="5" width="9" style="1" bestFit="1" customWidth="1"/>
    <col min="6" max="6" width="10.109375" style="1" bestFit="1" customWidth="1"/>
    <col min="7" max="7" width="9" style="1" bestFit="1" customWidth="1"/>
    <col min="8" max="8" width="8.77734375" style="1" customWidth="1"/>
    <col min="9" max="16384" width="8.77734375" style="1"/>
  </cols>
  <sheetData>
    <row r="1" spans="1:16" ht="78.7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22</v>
      </c>
      <c r="I1" s="8" t="s">
        <v>29</v>
      </c>
      <c r="J1" s="8" t="s">
        <v>31</v>
      </c>
      <c r="K1" s="8" t="s">
        <v>32</v>
      </c>
      <c r="L1" s="8" t="s">
        <v>47</v>
      </c>
      <c r="M1" s="8" t="s">
        <v>49</v>
      </c>
      <c r="N1" s="8" t="s">
        <v>50</v>
      </c>
      <c r="O1" s="8" t="s">
        <v>58</v>
      </c>
      <c r="P1" s="8" t="s">
        <v>59</v>
      </c>
    </row>
    <row r="2" spans="1:16">
      <c r="A2" s="2">
        <v>43054</v>
      </c>
      <c r="B2" s="1">
        <v>1127.01</v>
      </c>
      <c r="C2" s="1">
        <v>1131.75</v>
      </c>
      <c r="D2" s="1">
        <v>1121.6300000000001</v>
      </c>
      <c r="E2" s="1">
        <v>1126.69</v>
      </c>
      <c r="F2" s="1">
        <v>3905400</v>
      </c>
      <c r="G2" s="1">
        <v>1126.69</v>
      </c>
      <c r="H2" s="1">
        <f>C2-D2</f>
        <v>10.119999999999891</v>
      </c>
      <c r="I2" s="9">
        <f>(C2-D2)/D2</f>
        <v>9.0225832048000595E-3</v>
      </c>
      <c r="J2" s="1">
        <f>G2-G3</f>
        <v>-10.149999999999864</v>
      </c>
      <c r="K2" s="9">
        <f>(G2-G3)/G3</f>
        <v>-8.9282572745503896E-3</v>
      </c>
      <c r="L2" s="1">
        <f>G2/E2</f>
        <v>1</v>
      </c>
      <c r="M2" s="1">
        <f>L2*C2</f>
        <v>1131.75</v>
      </c>
      <c r="N2" s="1">
        <f>L2*D2</f>
        <v>1121.6300000000001</v>
      </c>
      <c r="O2" s="1">
        <f>G2-$G$5163</f>
        <v>1124.73</v>
      </c>
      <c r="P2" s="1">
        <f>(G2-$G$5163)/$G$5163</f>
        <v>573.84183673469386</v>
      </c>
    </row>
    <row r="3" spans="1:16">
      <c r="A3" s="2">
        <v>43053</v>
      </c>
      <c r="B3" s="1">
        <v>1130.1099999999999</v>
      </c>
      <c r="C3" s="1">
        <v>1138</v>
      </c>
      <c r="D3" s="1">
        <v>1123.8900000000001</v>
      </c>
      <c r="E3" s="1">
        <v>1136.8399999999999</v>
      </c>
      <c r="F3" s="1">
        <v>3138400</v>
      </c>
      <c r="G3" s="1">
        <v>1136.8399999999999</v>
      </c>
      <c r="H3" s="1">
        <f t="shared" ref="H3:H66" si="0">C3-D3</f>
        <v>14.1099999999999</v>
      </c>
      <c r="I3" s="9">
        <f>(C3-D3)/D3</f>
        <v>1.2554609436866508E-2</v>
      </c>
      <c r="J3" s="1">
        <f>G3-G4</f>
        <v>7.6699999999998454</v>
      </c>
      <c r="K3" s="9">
        <f t="shared" ref="K3:K66" si="1">(G3-G4)/G4</f>
        <v>6.7925998742437762E-3</v>
      </c>
      <c r="L3" s="1">
        <f t="shared" ref="L3:L66" si="2">G3/E3</f>
        <v>1</v>
      </c>
      <c r="M3" s="1">
        <f t="shared" ref="M3:M66" si="3">L3*C3</f>
        <v>1138</v>
      </c>
      <c r="N3" s="1">
        <f t="shared" ref="N3:N66" si="4">L3*D3</f>
        <v>1123.8900000000001</v>
      </c>
      <c r="O3" s="1">
        <f t="shared" ref="O3:O66" si="5">G3-$G$5163</f>
        <v>1134.8799999999999</v>
      </c>
      <c r="P3" s="1">
        <f t="shared" ref="P3:P66" si="6">(G3-$G$5163)/$G$5163</f>
        <v>579.0204081632653</v>
      </c>
    </row>
    <row r="4" spans="1:16">
      <c r="A4" s="2">
        <v>43052</v>
      </c>
      <c r="B4" s="1">
        <v>1123</v>
      </c>
      <c r="C4" s="1">
        <v>1139.9000000000001</v>
      </c>
      <c r="D4" s="1">
        <v>1122.3399999999999</v>
      </c>
      <c r="E4" s="1">
        <v>1129.17</v>
      </c>
      <c r="F4" s="1">
        <v>2918400</v>
      </c>
      <c r="G4" s="1">
        <v>1129.17</v>
      </c>
      <c r="H4" s="1">
        <f t="shared" si="0"/>
        <v>17.560000000000173</v>
      </c>
      <c r="I4" s="9">
        <f t="shared" ref="I4:I67" si="7">(C4-D4)/D4</f>
        <v>1.564588270933957E-2</v>
      </c>
      <c r="J4" s="1">
        <f t="shared" ref="J4:J67" si="8">G4-G5</f>
        <v>3.8200000000001637</v>
      </c>
      <c r="K4" s="9">
        <f t="shared" si="1"/>
        <v>3.3944994890479975E-3</v>
      </c>
      <c r="L4" s="1">
        <f t="shared" si="2"/>
        <v>1</v>
      </c>
      <c r="M4" s="1">
        <f t="shared" si="3"/>
        <v>1139.9000000000001</v>
      </c>
      <c r="N4" s="1">
        <f t="shared" si="4"/>
        <v>1122.3399999999999</v>
      </c>
      <c r="O4" s="1">
        <f t="shared" si="5"/>
        <v>1127.21</v>
      </c>
      <c r="P4" s="1">
        <f t="shared" si="6"/>
        <v>575.10714285714289</v>
      </c>
    </row>
    <row r="5" spans="1:16">
      <c r="A5" s="2">
        <v>43049</v>
      </c>
      <c r="B5" s="1">
        <v>1126.0999999999999</v>
      </c>
      <c r="C5" s="1">
        <v>1131.75</v>
      </c>
      <c r="D5" s="1">
        <v>1124.06</v>
      </c>
      <c r="E5" s="1">
        <v>1125.3499999999999</v>
      </c>
      <c r="F5" s="1">
        <v>2179900</v>
      </c>
      <c r="G5" s="1">
        <v>1125.3499999999999</v>
      </c>
      <c r="H5" s="1">
        <f t="shared" si="0"/>
        <v>7.6900000000000546</v>
      </c>
      <c r="I5" s="9">
        <f t="shared" si="7"/>
        <v>6.8412718182303926E-3</v>
      </c>
      <c r="J5" s="1">
        <f t="shared" si="8"/>
        <v>-3.7800000000002001</v>
      </c>
      <c r="K5" s="9">
        <f t="shared" si="1"/>
        <v>-3.3477101839471095E-3</v>
      </c>
      <c r="L5" s="1">
        <f t="shared" si="2"/>
        <v>1</v>
      </c>
      <c r="M5" s="1">
        <f t="shared" si="3"/>
        <v>1131.75</v>
      </c>
      <c r="N5" s="1">
        <f t="shared" si="4"/>
        <v>1124.06</v>
      </c>
      <c r="O5" s="1">
        <f t="shared" si="5"/>
        <v>1123.3899999999999</v>
      </c>
      <c r="P5" s="1">
        <f t="shared" si="6"/>
        <v>573.15816326530603</v>
      </c>
    </row>
    <row r="6" spans="1:16">
      <c r="A6" s="2">
        <v>43048</v>
      </c>
      <c r="B6" s="1">
        <v>1125.96</v>
      </c>
      <c r="C6" s="1">
        <v>1129.6199999999999</v>
      </c>
      <c r="D6" s="1">
        <v>1115.77</v>
      </c>
      <c r="E6" s="1">
        <v>1129.1300000000001</v>
      </c>
      <c r="F6" s="1">
        <v>3732700</v>
      </c>
      <c r="G6" s="1">
        <v>1129.1300000000001</v>
      </c>
      <c r="H6" s="1">
        <f t="shared" si="0"/>
        <v>13.849999999999909</v>
      </c>
      <c r="I6" s="9">
        <f t="shared" si="7"/>
        <v>1.2412952490208474E-2</v>
      </c>
      <c r="J6" s="1">
        <f t="shared" si="8"/>
        <v>-3.75</v>
      </c>
      <c r="K6" s="9">
        <f t="shared" si="1"/>
        <v>-3.3101475884471433E-3</v>
      </c>
      <c r="L6" s="1">
        <f t="shared" si="2"/>
        <v>1</v>
      </c>
      <c r="M6" s="1">
        <f t="shared" si="3"/>
        <v>1129.6199999999999</v>
      </c>
      <c r="N6" s="1">
        <f t="shared" si="4"/>
        <v>1115.77</v>
      </c>
      <c r="O6" s="1">
        <f t="shared" si="5"/>
        <v>1127.17</v>
      </c>
      <c r="P6" s="1">
        <f t="shared" si="6"/>
        <v>575.08673469387759</v>
      </c>
    </row>
    <row r="7" spans="1:16">
      <c r="A7" s="2">
        <v>43047</v>
      </c>
      <c r="B7" s="1">
        <v>1122.82</v>
      </c>
      <c r="C7" s="1">
        <v>1135.54</v>
      </c>
      <c r="D7" s="1">
        <v>1119.1099999999999</v>
      </c>
      <c r="E7" s="1">
        <v>1132.8800000000001</v>
      </c>
      <c r="F7" s="1">
        <v>2581500</v>
      </c>
      <c r="G7" s="1">
        <v>1132.8800000000001</v>
      </c>
      <c r="H7" s="1">
        <f t="shared" si="0"/>
        <v>16.430000000000064</v>
      </c>
      <c r="I7" s="9">
        <f t="shared" si="7"/>
        <v>1.4681309254675649E-2</v>
      </c>
      <c r="J7" s="1">
        <f t="shared" si="8"/>
        <v>9.7100000000000364</v>
      </c>
      <c r="K7" s="9">
        <f t="shared" si="1"/>
        <v>8.6451739273663251E-3</v>
      </c>
      <c r="L7" s="1">
        <f t="shared" si="2"/>
        <v>1</v>
      </c>
      <c r="M7" s="1">
        <f t="shared" si="3"/>
        <v>1135.54</v>
      </c>
      <c r="N7" s="1">
        <f t="shared" si="4"/>
        <v>1119.1099999999999</v>
      </c>
      <c r="O7" s="1">
        <f t="shared" si="5"/>
        <v>1130.92</v>
      </c>
      <c r="P7" s="1">
        <f t="shared" si="6"/>
        <v>577</v>
      </c>
    </row>
    <row r="8" spans="1:16">
      <c r="A8" s="2">
        <v>43046</v>
      </c>
      <c r="B8" s="1">
        <v>1124.74</v>
      </c>
      <c r="C8" s="1">
        <v>1130.5999999999999</v>
      </c>
      <c r="D8" s="1">
        <v>1117.5</v>
      </c>
      <c r="E8" s="1">
        <v>1123.17</v>
      </c>
      <c r="F8" s="1">
        <v>2689000</v>
      </c>
      <c r="G8" s="1">
        <v>1123.17</v>
      </c>
      <c r="H8" s="1">
        <f t="shared" si="0"/>
        <v>13.099999999999909</v>
      </c>
      <c r="I8" s="9">
        <f t="shared" si="7"/>
        <v>1.1722595078299695E-2</v>
      </c>
      <c r="J8" s="1">
        <f t="shared" si="8"/>
        <v>2.5099999999999909</v>
      </c>
      <c r="K8" s="9">
        <f t="shared" si="1"/>
        <v>2.2397515749647445E-3</v>
      </c>
      <c r="L8" s="1">
        <f t="shared" si="2"/>
        <v>1</v>
      </c>
      <c r="M8" s="1">
        <f t="shared" si="3"/>
        <v>1130.5999999999999</v>
      </c>
      <c r="N8" s="1">
        <f t="shared" si="4"/>
        <v>1117.5</v>
      </c>
      <c r="O8" s="1">
        <f t="shared" si="5"/>
        <v>1121.21</v>
      </c>
      <c r="P8" s="1">
        <f t="shared" si="6"/>
        <v>572.04591836734699</v>
      </c>
    </row>
    <row r="9" spans="1:16">
      <c r="A9" s="2">
        <v>43045</v>
      </c>
      <c r="B9" s="1">
        <v>1109.1500000000001</v>
      </c>
      <c r="C9" s="1">
        <v>1125.4100000000001</v>
      </c>
      <c r="D9" s="1">
        <v>1108.77</v>
      </c>
      <c r="E9" s="1">
        <v>1120.6600000000001</v>
      </c>
      <c r="F9" s="1">
        <v>3381100</v>
      </c>
      <c r="G9" s="1">
        <v>1120.6600000000001</v>
      </c>
      <c r="H9" s="1">
        <f t="shared" si="0"/>
        <v>16.6400000000001</v>
      </c>
      <c r="I9" s="9">
        <f t="shared" si="7"/>
        <v>1.5007621057568386E-2</v>
      </c>
      <c r="J9" s="1">
        <f t="shared" si="8"/>
        <v>9.0600000000001728</v>
      </c>
      <c r="K9" s="9">
        <f t="shared" si="1"/>
        <v>8.1504138179202719E-3</v>
      </c>
      <c r="L9" s="1">
        <f t="shared" si="2"/>
        <v>1</v>
      </c>
      <c r="M9" s="1">
        <f t="shared" si="3"/>
        <v>1125.4100000000001</v>
      </c>
      <c r="N9" s="1">
        <f t="shared" si="4"/>
        <v>1108.77</v>
      </c>
      <c r="O9" s="1">
        <f t="shared" si="5"/>
        <v>1118.7</v>
      </c>
      <c r="P9" s="1">
        <f t="shared" si="6"/>
        <v>570.76530612244903</v>
      </c>
    </row>
    <row r="10" spans="1:16">
      <c r="A10" s="2">
        <v>43042</v>
      </c>
      <c r="B10" s="1">
        <v>1091.1500000000001</v>
      </c>
      <c r="C10" s="1">
        <v>1112.68</v>
      </c>
      <c r="D10" s="1">
        <v>1088.52</v>
      </c>
      <c r="E10" s="1">
        <v>1111.5999999999999</v>
      </c>
      <c r="F10" s="1">
        <v>3751500</v>
      </c>
      <c r="G10" s="1">
        <v>1111.5999999999999</v>
      </c>
      <c r="H10" s="1">
        <f t="shared" si="0"/>
        <v>24.160000000000082</v>
      </c>
      <c r="I10" s="9">
        <f t="shared" si="7"/>
        <v>2.2195274317421895E-2</v>
      </c>
      <c r="J10" s="1">
        <f t="shared" si="8"/>
        <v>17.379999999999882</v>
      </c>
      <c r="K10" s="9">
        <f t="shared" si="1"/>
        <v>1.5883460364460422E-2</v>
      </c>
      <c r="L10" s="1">
        <f t="shared" si="2"/>
        <v>1</v>
      </c>
      <c r="M10" s="1">
        <f t="shared" si="3"/>
        <v>1112.68</v>
      </c>
      <c r="N10" s="1">
        <f t="shared" si="4"/>
        <v>1088.52</v>
      </c>
      <c r="O10" s="1">
        <f t="shared" si="5"/>
        <v>1109.6399999999999</v>
      </c>
      <c r="P10" s="1">
        <f t="shared" si="6"/>
        <v>566.14285714285711</v>
      </c>
    </row>
    <row r="11" spans="1:16">
      <c r="A11" s="2">
        <v>43041</v>
      </c>
      <c r="B11" s="1">
        <v>1097.81</v>
      </c>
      <c r="C11" s="1">
        <v>1101.94</v>
      </c>
      <c r="D11" s="1">
        <v>1086.8699999999999</v>
      </c>
      <c r="E11" s="1">
        <v>1094.22</v>
      </c>
      <c r="F11" s="1">
        <v>3684900</v>
      </c>
      <c r="G11" s="1">
        <v>1094.22</v>
      </c>
      <c r="H11" s="1">
        <f t="shared" si="0"/>
        <v>15.070000000000164</v>
      </c>
      <c r="I11" s="9">
        <f t="shared" si="7"/>
        <v>1.3865503694094202E-2</v>
      </c>
      <c r="J11" s="1">
        <f t="shared" si="8"/>
        <v>-9.4600000000000364</v>
      </c>
      <c r="K11" s="9">
        <f t="shared" si="1"/>
        <v>-8.571325021745466E-3</v>
      </c>
      <c r="L11" s="1">
        <f t="shared" si="2"/>
        <v>1</v>
      </c>
      <c r="M11" s="1">
        <f t="shared" si="3"/>
        <v>1101.94</v>
      </c>
      <c r="N11" s="1">
        <f t="shared" si="4"/>
        <v>1086.8699999999999</v>
      </c>
      <c r="O11" s="1">
        <f t="shared" si="5"/>
        <v>1092.26</v>
      </c>
      <c r="P11" s="1">
        <f t="shared" si="6"/>
        <v>557.27551020408168</v>
      </c>
    </row>
    <row r="12" spans="1:16">
      <c r="A12" s="2">
        <v>43040</v>
      </c>
      <c r="B12" s="1">
        <v>1105.4000000000001</v>
      </c>
      <c r="C12" s="1">
        <v>1108.97</v>
      </c>
      <c r="D12" s="1">
        <v>1096.74</v>
      </c>
      <c r="E12" s="1">
        <v>1103.68</v>
      </c>
      <c r="F12" s="1">
        <v>3755500</v>
      </c>
      <c r="G12" s="1">
        <v>1103.68</v>
      </c>
      <c r="H12" s="1">
        <f t="shared" si="0"/>
        <v>12.230000000000018</v>
      </c>
      <c r="I12" s="9">
        <f t="shared" si="7"/>
        <v>1.115123000893559E-2</v>
      </c>
      <c r="J12" s="1">
        <f t="shared" si="8"/>
        <v>-1.5999999999999091</v>
      </c>
      <c r="K12" s="9">
        <f t="shared" si="1"/>
        <v>-1.4475969889981807E-3</v>
      </c>
      <c r="L12" s="1">
        <f t="shared" si="2"/>
        <v>1</v>
      </c>
      <c r="M12" s="1">
        <f t="shared" si="3"/>
        <v>1108.97</v>
      </c>
      <c r="N12" s="1">
        <f t="shared" si="4"/>
        <v>1096.74</v>
      </c>
      <c r="O12" s="1">
        <f t="shared" si="5"/>
        <v>1101.72</v>
      </c>
      <c r="P12" s="1">
        <f t="shared" si="6"/>
        <v>562.10204081632651</v>
      </c>
    </row>
    <row r="13" spans="1:16">
      <c r="A13" s="2">
        <v>43039</v>
      </c>
      <c r="B13" s="1">
        <v>1109</v>
      </c>
      <c r="C13" s="1">
        <v>1110.54</v>
      </c>
      <c r="D13" s="1">
        <v>1101.1199999999999</v>
      </c>
      <c r="E13" s="1">
        <v>1105.28</v>
      </c>
      <c r="F13" s="1">
        <v>3477000</v>
      </c>
      <c r="G13" s="1">
        <v>1105.28</v>
      </c>
      <c r="H13" s="1">
        <f t="shared" si="0"/>
        <v>9.4200000000000728</v>
      </c>
      <c r="I13" s="9">
        <f t="shared" si="7"/>
        <v>8.5549258936356374E-3</v>
      </c>
      <c r="J13" s="1">
        <f t="shared" si="8"/>
        <v>-5.5699999999999363</v>
      </c>
      <c r="K13" s="9">
        <f t="shared" si="1"/>
        <v>-5.0141783319079414E-3</v>
      </c>
      <c r="L13" s="1">
        <f t="shared" si="2"/>
        <v>1</v>
      </c>
      <c r="M13" s="1">
        <f t="shared" si="3"/>
        <v>1110.54</v>
      </c>
      <c r="N13" s="1">
        <f t="shared" si="4"/>
        <v>1101.1199999999999</v>
      </c>
      <c r="O13" s="1">
        <f t="shared" si="5"/>
        <v>1103.32</v>
      </c>
      <c r="P13" s="1">
        <f t="shared" si="6"/>
        <v>562.91836734693879</v>
      </c>
    </row>
    <row r="14" spans="1:16">
      <c r="A14" s="2">
        <v>43038</v>
      </c>
      <c r="B14" s="1">
        <v>1095.01</v>
      </c>
      <c r="C14" s="1">
        <v>1122.79</v>
      </c>
      <c r="D14" s="1">
        <v>1093.56</v>
      </c>
      <c r="E14" s="1">
        <v>1110.8499999999999</v>
      </c>
      <c r="F14" s="1">
        <v>6613100</v>
      </c>
      <c r="G14" s="1">
        <v>1110.8499999999999</v>
      </c>
      <c r="H14" s="1">
        <f t="shared" si="0"/>
        <v>29.230000000000018</v>
      </c>
      <c r="I14" s="9">
        <f t="shared" si="7"/>
        <v>2.672921467500642E-2</v>
      </c>
      <c r="J14" s="1">
        <f t="shared" si="8"/>
        <v>9.8999999999998636</v>
      </c>
      <c r="K14" s="9">
        <f t="shared" si="1"/>
        <v>8.9922339797446418E-3</v>
      </c>
      <c r="L14" s="1">
        <f t="shared" si="2"/>
        <v>1</v>
      </c>
      <c r="M14" s="1">
        <f t="shared" si="3"/>
        <v>1122.79</v>
      </c>
      <c r="N14" s="1">
        <f t="shared" si="4"/>
        <v>1093.56</v>
      </c>
      <c r="O14" s="1">
        <f t="shared" si="5"/>
        <v>1108.8899999999999</v>
      </c>
      <c r="P14" s="1">
        <f t="shared" si="6"/>
        <v>565.76020408163265</v>
      </c>
    </row>
    <row r="15" spans="1:16">
      <c r="A15" s="2">
        <v>43035</v>
      </c>
      <c r="B15" s="1">
        <v>1058.1400000000001</v>
      </c>
      <c r="C15" s="1">
        <v>1105.58</v>
      </c>
      <c r="D15" s="1">
        <v>1050.55</v>
      </c>
      <c r="E15" s="1">
        <v>1100.95</v>
      </c>
      <c r="F15" s="1">
        <v>16565000</v>
      </c>
      <c r="G15" s="1">
        <v>1100.95</v>
      </c>
      <c r="H15" s="1">
        <f t="shared" si="0"/>
        <v>55.029999999999973</v>
      </c>
      <c r="I15" s="9">
        <f t="shared" si="7"/>
        <v>5.2382085574223004E-2</v>
      </c>
      <c r="J15" s="1">
        <f t="shared" si="8"/>
        <v>128.5200000000001</v>
      </c>
      <c r="K15" s="9">
        <f t="shared" si="1"/>
        <v>0.13216375471756334</v>
      </c>
      <c r="L15" s="1">
        <f t="shared" si="2"/>
        <v>1</v>
      </c>
      <c r="M15" s="1">
        <f t="shared" si="3"/>
        <v>1105.58</v>
      </c>
      <c r="N15" s="1">
        <f t="shared" si="4"/>
        <v>1050.55</v>
      </c>
      <c r="O15" s="1">
        <f t="shared" si="5"/>
        <v>1098.99</v>
      </c>
      <c r="P15" s="1">
        <f t="shared" si="6"/>
        <v>560.7091836734694</v>
      </c>
    </row>
    <row r="16" spans="1:16">
      <c r="A16" s="2">
        <v>43034</v>
      </c>
      <c r="B16" s="1">
        <v>980.33</v>
      </c>
      <c r="C16" s="1">
        <v>982.9</v>
      </c>
      <c r="D16" s="1">
        <v>968.55</v>
      </c>
      <c r="E16" s="1">
        <v>972.43</v>
      </c>
      <c r="F16" s="1">
        <v>5618700</v>
      </c>
      <c r="G16" s="1">
        <v>972.43</v>
      </c>
      <c r="H16" s="1">
        <f t="shared" si="0"/>
        <v>14.350000000000023</v>
      </c>
      <c r="I16" s="9">
        <f t="shared" si="7"/>
        <v>1.4815962005059134E-2</v>
      </c>
      <c r="J16" s="1">
        <f t="shared" si="8"/>
        <v>-0.48000000000001819</v>
      </c>
      <c r="K16" s="9">
        <f t="shared" si="1"/>
        <v>-4.9336526502967199E-4</v>
      </c>
      <c r="L16" s="1">
        <f t="shared" si="2"/>
        <v>1</v>
      </c>
      <c r="M16" s="1">
        <f t="shared" si="3"/>
        <v>982.9</v>
      </c>
      <c r="N16" s="1">
        <f t="shared" si="4"/>
        <v>968.55</v>
      </c>
      <c r="O16" s="1">
        <f t="shared" si="5"/>
        <v>970.46999999999991</v>
      </c>
      <c r="P16" s="1">
        <f t="shared" si="6"/>
        <v>495.13775510204079</v>
      </c>
    </row>
    <row r="17" spans="1:16">
      <c r="A17" s="2">
        <v>43033</v>
      </c>
      <c r="B17" s="1">
        <v>978</v>
      </c>
      <c r="C17" s="1">
        <v>984.44</v>
      </c>
      <c r="D17" s="1">
        <v>966.24</v>
      </c>
      <c r="E17" s="1">
        <v>972.91</v>
      </c>
      <c r="F17" s="1">
        <v>3033100</v>
      </c>
      <c r="G17" s="1">
        <v>972.91</v>
      </c>
      <c r="H17" s="1">
        <f t="shared" si="0"/>
        <v>18.200000000000045</v>
      </c>
      <c r="I17" s="9">
        <f t="shared" si="7"/>
        <v>1.8835899983441012E-2</v>
      </c>
      <c r="J17" s="1">
        <f t="shared" si="8"/>
        <v>-2.9900000000000091</v>
      </c>
      <c r="K17" s="9">
        <f t="shared" si="1"/>
        <v>-3.0638385080438662E-3</v>
      </c>
      <c r="L17" s="1">
        <f t="shared" si="2"/>
        <v>1</v>
      </c>
      <c r="M17" s="1">
        <f t="shared" si="3"/>
        <v>984.44</v>
      </c>
      <c r="N17" s="1">
        <f t="shared" si="4"/>
        <v>966.24</v>
      </c>
      <c r="O17" s="1">
        <f t="shared" si="5"/>
        <v>970.94999999999993</v>
      </c>
      <c r="P17" s="1">
        <f t="shared" si="6"/>
        <v>495.38265306122446</v>
      </c>
    </row>
    <row r="18" spans="1:16">
      <c r="A18" s="2">
        <v>43032</v>
      </c>
      <c r="B18" s="1">
        <v>969</v>
      </c>
      <c r="C18" s="1">
        <v>979.85</v>
      </c>
      <c r="D18" s="1">
        <v>965</v>
      </c>
      <c r="E18" s="1">
        <v>975.9</v>
      </c>
      <c r="F18" s="1">
        <v>2723900</v>
      </c>
      <c r="G18" s="1">
        <v>975.9</v>
      </c>
      <c r="H18" s="1">
        <f t="shared" si="0"/>
        <v>14.850000000000023</v>
      </c>
      <c r="I18" s="9">
        <f t="shared" si="7"/>
        <v>1.5388601036269454E-2</v>
      </c>
      <c r="J18" s="1">
        <f t="shared" si="8"/>
        <v>9.6000000000000227</v>
      </c>
      <c r="K18" s="9">
        <f t="shared" si="1"/>
        <v>9.9348028562558453E-3</v>
      </c>
      <c r="L18" s="1">
        <f t="shared" si="2"/>
        <v>1</v>
      </c>
      <c r="M18" s="1">
        <f t="shared" si="3"/>
        <v>979.85</v>
      </c>
      <c r="N18" s="1">
        <f t="shared" si="4"/>
        <v>965</v>
      </c>
      <c r="O18" s="1">
        <f t="shared" si="5"/>
        <v>973.93999999999994</v>
      </c>
      <c r="P18" s="1">
        <f t="shared" si="6"/>
        <v>496.90816326530609</v>
      </c>
    </row>
    <row r="19" spans="1:16">
      <c r="A19" s="2">
        <v>43031</v>
      </c>
      <c r="B19" s="1">
        <v>986.73</v>
      </c>
      <c r="C19" s="1">
        <v>986.78</v>
      </c>
      <c r="D19" s="1">
        <v>962.5</v>
      </c>
      <c r="E19" s="1">
        <v>966.3</v>
      </c>
      <c r="F19" s="1">
        <v>3494100</v>
      </c>
      <c r="G19" s="1">
        <v>966.3</v>
      </c>
      <c r="H19" s="1">
        <f t="shared" si="0"/>
        <v>24.279999999999973</v>
      </c>
      <c r="I19" s="9">
        <f t="shared" si="7"/>
        <v>2.5225974025973999E-2</v>
      </c>
      <c r="J19" s="1">
        <f t="shared" si="8"/>
        <v>-16.610000000000014</v>
      </c>
      <c r="K19" s="9">
        <f t="shared" si="1"/>
        <v>-1.6898800500554489E-2</v>
      </c>
      <c r="L19" s="1">
        <f t="shared" si="2"/>
        <v>1</v>
      </c>
      <c r="M19" s="1">
        <f t="shared" si="3"/>
        <v>986.78</v>
      </c>
      <c r="N19" s="1">
        <f t="shared" si="4"/>
        <v>962.5</v>
      </c>
      <c r="O19" s="1">
        <f t="shared" si="5"/>
        <v>964.33999999999992</v>
      </c>
      <c r="P19" s="1">
        <f t="shared" si="6"/>
        <v>492.01020408163259</v>
      </c>
    </row>
    <row r="20" spans="1:16">
      <c r="A20" s="2">
        <v>43028</v>
      </c>
      <c r="B20" s="1">
        <v>993.53</v>
      </c>
      <c r="C20" s="1">
        <v>994.62</v>
      </c>
      <c r="D20" s="1">
        <v>982</v>
      </c>
      <c r="E20" s="1">
        <v>982.91</v>
      </c>
      <c r="F20" s="1">
        <v>2365100</v>
      </c>
      <c r="G20" s="1">
        <v>982.91</v>
      </c>
      <c r="H20" s="1">
        <f t="shared" si="0"/>
        <v>12.620000000000005</v>
      </c>
      <c r="I20" s="9">
        <f t="shared" si="7"/>
        <v>1.2851323828920574E-2</v>
      </c>
      <c r="J20" s="1">
        <f t="shared" si="8"/>
        <v>-3.7000000000000455</v>
      </c>
      <c r="K20" s="9">
        <f t="shared" si="1"/>
        <v>-3.7502153839916942E-3</v>
      </c>
      <c r="L20" s="1">
        <f t="shared" si="2"/>
        <v>1</v>
      </c>
      <c r="M20" s="1">
        <f t="shared" si="3"/>
        <v>994.62</v>
      </c>
      <c r="N20" s="1">
        <f t="shared" si="4"/>
        <v>982</v>
      </c>
      <c r="O20" s="1">
        <f t="shared" si="5"/>
        <v>980.94999999999993</v>
      </c>
      <c r="P20" s="1">
        <f t="shared" si="6"/>
        <v>500.48469387755097</v>
      </c>
    </row>
    <row r="21" spans="1:16">
      <c r="A21" s="2">
        <v>43027</v>
      </c>
      <c r="B21" s="1">
        <v>990</v>
      </c>
      <c r="C21" s="1">
        <v>991.05</v>
      </c>
      <c r="D21" s="1">
        <v>980.24</v>
      </c>
      <c r="E21" s="1">
        <v>986.61</v>
      </c>
      <c r="F21" s="1">
        <v>3108200</v>
      </c>
      <c r="G21" s="1">
        <v>986.61</v>
      </c>
      <c r="H21" s="1">
        <f t="shared" si="0"/>
        <v>10.809999999999945</v>
      </c>
      <c r="I21" s="9">
        <f t="shared" si="7"/>
        <v>1.102791153186969E-2</v>
      </c>
      <c r="J21" s="1">
        <f t="shared" si="8"/>
        <v>-10.389999999999986</v>
      </c>
      <c r="K21" s="9">
        <f t="shared" si="1"/>
        <v>-1.0421263791374109E-2</v>
      </c>
      <c r="L21" s="1">
        <f t="shared" si="2"/>
        <v>1</v>
      </c>
      <c r="M21" s="1">
        <f t="shared" si="3"/>
        <v>991.05</v>
      </c>
      <c r="N21" s="1">
        <f t="shared" si="4"/>
        <v>980.24</v>
      </c>
      <c r="O21" s="1">
        <f t="shared" si="5"/>
        <v>984.65</v>
      </c>
      <c r="P21" s="1">
        <f t="shared" si="6"/>
        <v>502.37244897959181</v>
      </c>
    </row>
    <row r="22" spans="1:16">
      <c r="A22" s="2">
        <v>43026</v>
      </c>
      <c r="B22" s="1">
        <v>1009.27</v>
      </c>
      <c r="C22" s="1">
        <v>1022.31</v>
      </c>
      <c r="D22" s="1">
        <v>996.55</v>
      </c>
      <c r="E22" s="1">
        <v>997</v>
      </c>
      <c r="F22" s="1">
        <v>2499700</v>
      </c>
      <c r="G22" s="1">
        <v>997</v>
      </c>
      <c r="H22" s="1">
        <f t="shared" si="0"/>
        <v>25.759999999999991</v>
      </c>
      <c r="I22" s="9">
        <f t="shared" si="7"/>
        <v>2.5849179669861014E-2</v>
      </c>
      <c r="J22" s="1">
        <f t="shared" si="8"/>
        <v>-12.129999999999995</v>
      </c>
      <c r="K22" s="9">
        <f t="shared" si="1"/>
        <v>-1.2020255071199941E-2</v>
      </c>
      <c r="L22" s="1">
        <f t="shared" si="2"/>
        <v>1</v>
      </c>
      <c r="M22" s="1">
        <f t="shared" si="3"/>
        <v>1022.31</v>
      </c>
      <c r="N22" s="1">
        <f t="shared" si="4"/>
        <v>996.55</v>
      </c>
      <c r="O22" s="1">
        <f t="shared" si="5"/>
        <v>995.04</v>
      </c>
      <c r="P22" s="1">
        <f t="shared" si="6"/>
        <v>507.67346938775512</v>
      </c>
    </row>
    <row r="23" spans="1:16">
      <c r="A23" s="2">
        <v>43025</v>
      </c>
      <c r="B23" s="1">
        <v>1005.59</v>
      </c>
      <c r="C23" s="1">
        <v>1011.47</v>
      </c>
      <c r="D23" s="1">
        <v>1004.38</v>
      </c>
      <c r="E23" s="1">
        <v>1009.13</v>
      </c>
      <c r="F23" s="1">
        <v>2319700</v>
      </c>
      <c r="G23" s="1">
        <v>1009.13</v>
      </c>
      <c r="H23" s="1">
        <f t="shared" si="0"/>
        <v>7.0900000000000318</v>
      </c>
      <c r="I23" s="9">
        <f t="shared" si="7"/>
        <v>7.0590812242378696E-3</v>
      </c>
      <c r="J23" s="1">
        <f t="shared" si="8"/>
        <v>2.7899999999999636</v>
      </c>
      <c r="K23" s="9">
        <f t="shared" si="1"/>
        <v>2.7724228391994392E-3</v>
      </c>
      <c r="L23" s="1">
        <f t="shared" si="2"/>
        <v>1</v>
      </c>
      <c r="M23" s="1">
        <f t="shared" si="3"/>
        <v>1011.47</v>
      </c>
      <c r="N23" s="1">
        <f t="shared" si="4"/>
        <v>1004.38</v>
      </c>
      <c r="O23" s="1">
        <f t="shared" si="5"/>
        <v>1007.17</v>
      </c>
      <c r="P23" s="1">
        <f t="shared" si="6"/>
        <v>513.86224489795916</v>
      </c>
    </row>
    <row r="24" spans="1:16">
      <c r="A24" s="2">
        <v>43024</v>
      </c>
      <c r="B24" s="1">
        <v>1008.44</v>
      </c>
      <c r="C24" s="1">
        <v>1009.57</v>
      </c>
      <c r="D24" s="1">
        <v>1001.04</v>
      </c>
      <c r="E24" s="1">
        <v>1006.34</v>
      </c>
      <c r="F24" s="1">
        <v>2008900</v>
      </c>
      <c r="G24" s="1">
        <v>1006.34</v>
      </c>
      <c r="H24" s="1">
        <f t="shared" si="0"/>
        <v>8.5300000000000864</v>
      </c>
      <c r="I24" s="9">
        <f t="shared" si="7"/>
        <v>8.5211380164629657E-3</v>
      </c>
      <c r="J24" s="1">
        <f t="shared" si="8"/>
        <v>3.3999999999999773</v>
      </c>
      <c r="K24" s="9">
        <f t="shared" si="1"/>
        <v>3.390033302091827E-3</v>
      </c>
      <c r="L24" s="1">
        <f t="shared" si="2"/>
        <v>1</v>
      </c>
      <c r="M24" s="1">
        <f t="shared" si="3"/>
        <v>1009.57</v>
      </c>
      <c r="N24" s="1">
        <f t="shared" si="4"/>
        <v>1001.04</v>
      </c>
      <c r="O24" s="1">
        <f t="shared" si="5"/>
        <v>1004.38</v>
      </c>
      <c r="P24" s="1">
        <f t="shared" si="6"/>
        <v>512.4387755102041</v>
      </c>
    </row>
    <row r="25" spans="1:16">
      <c r="A25" s="2">
        <v>43021</v>
      </c>
      <c r="B25" s="1">
        <v>1007</v>
      </c>
      <c r="C25" s="1">
        <v>1007.77</v>
      </c>
      <c r="D25" s="1">
        <v>1001.03</v>
      </c>
      <c r="E25" s="1">
        <v>1002.94</v>
      </c>
      <c r="F25" s="1">
        <v>2431500</v>
      </c>
      <c r="G25" s="1">
        <v>1002.94</v>
      </c>
      <c r="H25" s="1">
        <f t="shared" si="0"/>
        <v>6.7400000000000091</v>
      </c>
      <c r="I25" s="9">
        <f t="shared" si="7"/>
        <v>6.7330649431086072E-3</v>
      </c>
      <c r="J25" s="1">
        <f t="shared" si="8"/>
        <v>2.0100000000001046</v>
      </c>
      <c r="K25" s="9">
        <f t="shared" si="1"/>
        <v>2.0081324368338492E-3</v>
      </c>
      <c r="L25" s="1">
        <f t="shared" si="2"/>
        <v>1</v>
      </c>
      <c r="M25" s="1">
        <f t="shared" si="3"/>
        <v>1007.77</v>
      </c>
      <c r="N25" s="1">
        <f t="shared" si="4"/>
        <v>1001.03</v>
      </c>
      <c r="O25" s="1">
        <f t="shared" si="5"/>
        <v>1000.98</v>
      </c>
      <c r="P25" s="1">
        <f t="shared" si="6"/>
        <v>510.70408163265307</v>
      </c>
    </row>
    <row r="26" spans="1:16">
      <c r="A26" s="2">
        <v>43020</v>
      </c>
      <c r="B26" s="1">
        <v>996.81</v>
      </c>
      <c r="C26" s="1">
        <v>1008.44</v>
      </c>
      <c r="D26" s="1">
        <v>992.4</v>
      </c>
      <c r="E26" s="1">
        <v>1000.93</v>
      </c>
      <c r="F26" s="1">
        <v>4067300</v>
      </c>
      <c r="G26" s="1">
        <v>1000.93</v>
      </c>
      <c r="H26" s="1">
        <f t="shared" si="0"/>
        <v>16.040000000000077</v>
      </c>
      <c r="I26" s="9">
        <f t="shared" si="7"/>
        <v>1.616283756549786E-2</v>
      </c>
      <c r="J26" s="1">
        <f t="shared" si="8"/>
        <v>5.92999999999995</v>
      </c>
      <c r="K26" s="9">
        <f t="shared" si="1"/>
        <v>5.9597989949748244E-3</v>
      </c>
      <c r="L26" s="1">
        <f t="shared" si="2"/>
        <v>1</v>
      </c>
      <c r="M26" s="1">
        <f t="shared" si="3"/>
        <v>1008.44</v>
      </c>
      <c r="N26" s="1">
        <f t="shared" si="4"/>
        <v>992.4</v>
      </c>
      <c r="O26" s="1">
        <f t="shared" si="5"/>
        <v>998.96999999999991</v>
      </c>
      <c r="P26" s="1">
        <f t="shared" si="6"/>
        <v>509.67857142857139</v>
      </c>
    </row>
    <row r="27" spans="1:16">
      <c r="A27" s="2">
        <v>43019</v>
      </c>
      <c r="B27" s="1">
        <v>991.27</v>
      </c>
      <c r="C27" s="1">
        <v>995.5</v>
      </c>
      <c r="D27" s="1">
        <v>986.7</v>
      </c>
      <c r="E27" s="1">
        <v>995</v>
      </c>
      <c r="F27" s="1">
        <v>2337100</v>
      </c>
      <c r="G27" s="1">
        <v>995</v>
      </c>
      <c r="H27" s="1">
        <f t="shared" si="0"/>
        <v>8.7999999999999545</v>
      </c>
      <c r="I27" s="9">
        <f t="shared" si="7"/>
        <v>8.9186176142697412E-3</v>
      </c>
      <c r="J27" s="1">
        <f t="shared" si="8"/>
        <v>7.7999999999999545</v>
      </c>
      <c r="K27" s="9">
        <f t="shared" si="1"/>
        <v>7.901134521880019E-3</v>
      </c>
      <c r="L27" s="1">
        <f t="shared" si="2"/>
        <v>1</v>
      </c>
      <c r="M27" s="1">
        <f t="shared" si="3"/>
        <v>995.5</v>
      </c>
      <c r="N27" s="1">
        <f t="shared" si="4"/>
        <v>986.7</v>
      </c>
      <c r="O27" s="1">
        <f t="shared" si="5"/>
        <v>993.04</v>
      </c>
      <c r="P27" s="1">
        <f t="shared" si="6"/>
        <v>506.65306122448976</v>
      </c>
    </row>
    <row r="28" spans="1:16">
      <c r="A28" s="2">
        <v>43018</v>
      </c>
      <c r="B28" s="1">
        <v>996.67</v>
      </c>
      <c r="C28" s="1">
        <v>997.95</v>
      </c>
      <c r="D28" s="1">
        <v>980.1</v>
      </c>
      <c r="E28" s="1">
        <v>987.2</v>
      </c>
      <c r="F28" s="1">
        <v>3084900</v>
      </c>
      <c r="G28" s="1">
        <v>987.2</v>
      </c>
      <c r="H28" s="1">
        <f t="shared" si="0"/>
        <v>17.850000000000023</v>
      </c>
      <c r="I28" s="9">
        <f t="shared" si="7"/>
        <v>1.8212427303336418E-2</v>
      </c>
      <c r="J28" s="1">
        <f t="shared" si="8"/>
        <v>-3.7899999999999636</v>
      </c>
      <c r="K28" s="9">
        <f t="shared" si="1"/>
        <v>-3.8244583699128787E-3</v>
      </c>
      <c r="L28" s="1">
        <f t="shared" si="2"/>
        <v>1</v>
      </c>
      <c r="M28" s="1">
        <f t="shared" si="3"/>
        <v>997.95</v>
      </c>
      <c r="N28" s="1">
        <f t="shared" si="4"/>
        <v>980.1</v>
      </c>
      <c r="O28" s="1">
        <f t="shared" si="5"/>
        <v>985.24</v>
      </c>
      <c r="P28" s="1">
        <f t="shared" si="6"/>
        <v>502.67346938775512</v>
      </c>
    </row>
    <row r="29" spans="1:16">
      <c r="A29" s="2">
        <v>43017</v>
      </c>
      <c r="B29" s="1">
        <v>993.24</v>
      </c>
      <c r="C29" s="1">
        <v>998.5</v>
      </c>
      <c r="D29" s="1">
        <v>987.5</v>
      </c>
      <c r="E29" s="1">
        <v>990.99</v>
      </c>
      <c r="F29" s="1">
        <v>2938600</v>
      </c>
      <c r="G29" s="1">
        <v>990.99</v>
      </c>
      <c r="H29" s="1">
        <f t="shared" si="0"/>
        <v>11</v>
      </c>
      <c r="I29" s="9">
        <f t="shared" si="7"/>
        <v>1.1139240506329114E-2</v>
      </c>
      <c r="J29" s="1">
        <f t="shared" si="8"/>
        <v>1.4099999999999682</v>
      </c>
      <c r="K29" s="9">
        <f t="shared" si="1"/>
        <v>1.4248469047474365E-3</v>
      </c>
      <c r="L29" s="1">
        <f t="shared" si="2"/>
        <v>1</v>
      </c>
      <c r="M29" s="1">
        <f t="shared" si="3"/>
        <v>998.5</v>
      </c>
      <c r="N29" s="1">
        <f t="shared" si="4"/>
        <v>987.5</v>
      </c>
      <c r="O29" s="1">
        <f t="shared" si="5"/>
        <v>989.03</v>
      </c>
      <c r="P29" s="1">
        <f t="shared" si="6"/>
        <v>504.60714285714283</v>
      </c>
    </row>
    <row r="30" spans="1:16">
      <c r="A30" s="2">
        <v>43014</v>
      </c>
      <c r="B30" s="1">
        <v>975.64</v>
      </c>
      <c r="C30" s="1">
        <v>995.75</v>
      </c>
      <c r="D30" s="1">
        <v>975.64</v>
      </c>
      <c r="E30" s="1">
        <v>989.58</v>
      </c>
      <c r="F30" s="1">
        <v>3782100</v>
      </c>
      <c r="G30" s="1">
        <v>989.58</v>
      </c>
      <c r="H30" s="1">
        <f t="shared" si="0"/>
        <v>20.110000000000014</v>
      </c>
      <c r="I30" s="9">
        <f t="shared" si="7"/>
        <v>2.0612111024558254E-2</v>
      </c>
      <c r="J30" s="1">
        <f t="shared" si="8"/>
        <v>8.7300000000000182</v>
      </c>
      <c r="K30" s="9">
        <f t="shared" si="1"/>
        <v>8.9004434928888401E-3</v>
      </c>
      <c r="L30" s="1">
        <f t="shared" si="2"/>
        <v>1</v>
      </c>
      <c r="M30" s="1">
        <f t="shared" si="3"/>
        <v>995.75</v>
      </c>
      <c r="N30" s="1">
        <f t="shared" si="4"/>
        <v>975.64</v>
      </c>
      <c r="O30" s="1">
        <f t="shared" si="5"/>
        <v>987.62</v>
      </c>
      <c r="P30" s="1">
        <f t="shared" si="6"/>
        <v>503.88775510204084</v>
      </c>
    </row>
    <row r="31" spans="1:16">
      <c r="A31" s="2">
        <v>43013</v>
      </c>
      <c r="B31" s="1">
        <v>970</v>
      </c>
      <c r="C31" s="1">
        <v>981.51</v>
      </c>
      <c r="D31" s="1">
        <v>969.64</v>
      </c>
      <c r="E31" s="1">
        <v>980.85</v>
      </c>
      <c r="F31" s="1">
        <v>3229200</v>
      </c>
      <c r="G31" s="1">
        <v>980.85</v>
      </c>
      <c r="H31" s="1">
        <f t="shared" si="0"/>
        <v>11.870000000000005</v>
      </c>
      <c r="I31" s="9">
        <f t="shared" si="7"/>
        <v>1.2241656697330973E-2</v>
      </c>
      <c r="J31" s="1">
        <f t="shared" si="8"/>
        <v>15.399999999999977</v>
      </c>
      <c r="K31" s="9">
        <f t="shared" si="1"/>
        <v>1.5951110880936328E-2</v>
      </c>
      <c r="L31" s="1">
        <f t="shared" si="2"/>
        <v>1</v>
      </c>
      <c r="M31" s="1">
        <f t="shared" si="3"/>
        <v>981.51</v>
      </c>
      <c r="N31" s="1">
        <f t="shared" si="4"/>
        <v>969.64</v>
      </c>
      <c r="O31" s="1">
        <f t="shared" si="5"/>
        <v>978.89</v>
      </c>
      <c r="P31" s="1">
        <f t="shared" si="6"/>
        <v>499.43367346938777</v>
      </c>
    </row>
    <row r="32" spans="1:16">
      <c r="A32" s="2">
        <v>43012</v>
      </c>
      <c r="B32" s="1">
        <v>954.21</v>
      </c>
      <c r="C32" s="1">
        <v>967.79</v>
      </c>
      <c r="D32" s="1">
        <v>954.05</v>
      </c>
      <c r="E32" s="1">
        <v>965.45</v>
      </c>
      <c r="F32" s="1">
        <v>2527400</v>
      </c>
      <c r="G32" s="1">
        <v>965.45</v>
      </c>
      <c r="H32" s="1">
        <f t="shared" si="0"/>
        <v>13.740000000000009</v>
      </c>
      <c r="I32" s="9">
        <f t="shared" si="7"/>
        <v>1.4401760913998229E-2</v>
      </c>
      <c r="J32" s="1">
        <f t="shared" si="8"/>
        <v>8.3500000000000227</v>
      </c>
      <c r="K32" s="9">
        <f t="shared" si="1"/>
        <v>8.7242712360255173E-3</v>
      </c>
      <c r="L32" s="1">
        <f t="shared" si="2"/>
        <v>1</v>
      </c>
      <c r="M32" s="1">
        <f t="shared" si="3"/>
        <v>967.79</v>
      </c>
      <c r="N32" s="1">
        <f t="shared" si="4"/>
        <v>954.05</v>
      </c>
      <c r="O32" s="1">
        <f t="shared" si="5"/>
        <v>963.49</v>
      </c>
      <c r="P32" s="1">
        <f t="shared" si="6"/>
        <v>491.57653061224494</v>
      </c>
    </row>
    <row r="33" spans="1:16">
      <c r="A33" s="2">
        <v>43011</v>
      </c>
      <c r="B33" s="1">
        <v>958</v>
      </c>
      <c r="C33" s="1">
        <v>963.69</v>
      </c>
      <c r="D33" s="1">
        <v>950.37</v>
      </c>
      <c r="E33" s="1">
        <v>957.1</v>
      </c>
      <c r="F33" s="1">
        <v>2666600</v>
      </c>
      <c r="G33" s="1">
        <v>957.1</v>
      </c>
      <c r="H33" s="1">
        <f t="shared" si="0"/>
        <v>13.32000000000005</v>
      </c>
      <c r="I33" s="9">
        <f t="shared" si="7"/>
        <v>1.4015593926576017E-2</v>
      </c>
      <c r="J33" s="1">
        <f t="shared" si="8"/>
        <v>-2.0900000000000318</v>
      </c>
      <c r="K33" s="9">
        <f t="shared" si="1"/>
        <v>-2.1789217986009357E-3</v>
      </c>
      <c r="L33" s="1">
        <f t="shared" si="2"/>
        <v>1</v>
      </c>
      <c r="M33" s="1">
        <f t="shared" si="3"/>
        <v>963.69</v>
      </c>
      <c r="N33" s="1">
        <f t="shared" si="4"/>
        <v>950.37</v>
      </c>
      <c r="O33" s="1">
        <f t="shared" si="5"/>
        <v>955.14</v>
      </c>
      <c r="P33" s="1">
        <f t="shared" si="6"/>
        <v>487.31632653061223</v>
      </c>
    </row>
    <row r="34" spans="1:16">
      <c r="A34" s="2">
        <v>43010</v>
      </c>
      <c r="B34" s="1">
        <v>964</v>
      </c>
      <c r="C34" s="1">
        <v>967.31</v>
      </c>
      <c r="D34" s="1">
        <v>952.12</v>
      </c>
      <c r="E34" s="1">
        <v>959.19</v>
      </c>
      <c r="F34" s="1">
        <v>2442900</v>
      </c>
      <c r="G34" s="1">
        <v>959.19</v>
      </c>
      <c r="H34" s="1">
        <f t="shared" si="0"/>
        <v>15.189999999999941</v>
      </c>
      <c r="I34" s="9">
        <f t="shared" si="7"/>
        <v>1.5953871360752783E-2</v>
      </c>
      <c r="J34" s="1">
        <f t="shared" si="8"/>
        <v>-2.1599999999999682</v>
      </c>
      <c r="K34" s="9">
        <f t="shared" si="1"/>
        <v>-2.246840380714587E-3</v>
      </c>
      <c r="L34" s="1">
        <f t="shared" si="2"/>
        <v>1</v>
      </c>
      <c r="M34" s="1">
        <f t="shared" si="3"/>
        <v>967.31</v>
      </c>
      <c r="N34" s="1">
        <f t="shared" si="4"/>
        <v>952.12</v>
      </c>
      <c r="O34" s="1">
        <f t="shared" si="5"/>
        <v>957.23</v>
      </c>
      <c r="P34" s="1">
        <f t="shared" si="6"/>
        <v>488.38265306122452</v>
      </c>
    </row>
    <row r="35" spans="1:16">
      <c r="A35" s="2">
        <v>43007</v>
      </c>
      <c r="B35" s="1">
        <v>960.11</v>
      </c>
      <c r="C35" s="1">
        <v>964.83</v>
      </c>
      <c r="D35" s="1">
        <v>958.38</v>
      </c>
      <c r="E35" s="1">
        <v>961.35</v>
      </c>
      <c r="F35" s="1">
        <v>2543800</v>
      </c>
      <c r="G35" s="1">
        <v>961.35</v>
      </c>
      <c r="H35" s="1">
        <f t="shared" si="0"/>
        <v>6.4500000000000455</v>
      </c>
      <c r="I35" s="9">
        <f t="shared" si="7"/>
        <v>6.7301070556564681E-3</v>
      </c>
      <c r="J35" s="1">
        <f t="shared" si="8"/>
        <v>4.9500000000000455</v>
      </c>
      <c r="K35" s="9">
        <f t="shared" si="1"/>
        <v>5.1756587202008006E-3</v>
      </c>
      <c r="L35" s="1">
        <f t="shared" si="2"/>
        <v>1</v>
      </c>
      <c r="M35" s="1">
        <f t="shared" si="3"/>
        <v>964.83</v>
      </c>
      <c r="N35" s="1">
        <f t="shared" si="4"/>
        <v>958.38</v>
      </c>
      <c r="O35" s="1">
        <f t="shared" si="5"/>
        <v>959.39</v>
      </c>
      <c r="P35" s="1">
        <f t="shared" si="6"/>
        <v>489.48469387755102</v>
      </c>
    </row>
    <row r="36" spans="1:16">
      <c r="A36" s="2">
        <v>43006</v>
      </c>
      <c r="B36" s="1">
        <v>951.86</v>
      </c>
      <c r="C36" s="1">
        <v>959.7</v>
      </c>
      <c r="D36" s="1">
        <v>950.1</v>
      </c>
      <c r="E36" s="1">
        <v>956.4</v>
      </c>
      <c r="F36" s="1">
        <v>2522600</v>
      </c>
      <c r="G36" s="1">
        <v>956.4</v>
      </c>
      <c r="H36" s="1">
        <f t="shared" si="0"/>
        <v>9.6000000000000227</v>
      </c>
      <c r="I36" s="9">
        <f t="shared" si="7"/>
        <v>1.0104199557941293E-2</v>
      </c>
      <c r="J36" s="1">
        <f t="shared" si="8"/>
        <v>5.5299999999999727</v>
      </c>
      <c r="K36" s="9">
        <f t="shared" si="1"/>
        <v>5.8157266503307209E-3</v>
      </c>
      <c r="L36" s="1">
        <f t="shared" si="2"/>
        <v>1</v>
      </c>
      <c r="M36" s="1">
        <f t="shared" si="3"/>
        <v>959.7</v>
      </c>
      <c r="N36" s="1">
        <f t="shared" si="4"/>
        <v>950.1</v>
      </c>
      <c r="O36" s="1">
        <f t="shared" si="5"/>
        <v>954.43999999999994</v>
      </c>
      <c r="P36" s="1">
        <f t="shared" si="6"/>
        <v>486.95918367346934</v>
      </c>
    </row>
    <row r="37" spans="1:16">
      <c r="A37" s="2">
        <v>43005</v>
      </c>
      <c r="B37" s="1">
        <v>948</v>
      </c>
      <c r="C37" s="1">
        <v>955.3</v>
      </c>
      <c r="D37" s="1">
        <v>943.3</v>
      </c>
      <c r="E37" s="1">
        <v>950.87</v>
      </c>
      <c r="F37" s="1">
        <v>3148900</v>
      </c>
      <c r="G37" s="1">
        <v>950.87</v>
      </c>
      <c r="H37" s="1">
        <f t="shared" si="0"/>
        <v>12</v>
      </c>
      <c r="I37" s="9">
        <f t="shared" si="7"/>
        <v>1.272129757235238E-2</v>
      </c>
      <c r="J37" s="1">
        <f t="shared" si="8"/>
        <v>12.269999999999982</v>
      </c>
      <c r="K37" s="9">
        <f t="shared" si="1"/>
        <v>1.307266141061153E-2</v>
      </c>
      <c r="L37" s="1">
        <f t="shared" si="2"/>
        <v>1</v>
      </c>
      <c r="M37" s="1">
        <f t="shared" si="3"/>
        <v>955.3</v>
      </c>
      <c r="N37" s="1">
        <f t="shared" si="4"/>
        <v>943.3</v>
      </c>
      <c r="O37" s="1">
        <f t="shared" si="5"/>
        <v>948.91</v>
      </c>
      <c r="P37" s="1">
        <f t="shared" si="6"/>
        <v>484.13775510204079</v>
      </c>
    </row>
    <row r="38" spans="1:16">
      <c r="A38" s="2">
        <v>43004</v>
      </c>
      <c r="B38" s="1">
        <v>945.49</v>
      </c>
      <c r="C38" s="1">
        <v>948.63</v>
      </c>
      <c r="D38" s="1">
        <v>931.75</v>
      </c>
      <c r="E38" s="1">
        <v>938.6</v>
      </c>
      <c r="F38" s="1">
        <v>3564800</v>
      </c>
      <c r="G38" s="1">
        <v>938.6</v>
      </c>
      <c r="H38" s="1">
        <f t="shared" si="0"/>
        <v>16.879999999999995</v>
      </c>
      <c r="I38" s="9">
        <f t="shared" si="7"/>
        <v>1.8116447544942307E-2</v>
      </c>
      <c r="J38" s="1">
        <f t="shared" si="8"/>
        <v>-1.1899999999999409</v>
      </c>
      <c r="K38" s="9">
        <f t="shared" si="1"/>
        <v>-1.2662403302864905E-3</v>
      </c>
      <c r="L38" s="1">
        <f t="shared" si="2"/>
        <v>1</v>
      </c>
      <c r="M38" s="1">
        <f t="shared" si="3"/>
        <v>948.63</v>
      </c>
      <c r="N38" s="1">
        <f t="shared" si="4"/>
        <v>931.75</v>
      </c>
      <c r="O38" s="1">
        <f t="shared" si="5"/>
        <v>936.64</v>
      </c>
      <c r="P38" s="1">
        <f t="shared" si="6"/>
        <v>477.87755102040819</v>
      </c>
    </row>
    <row r="39" spans="1:16">
      <c r="A39" s="2">
        <v>43003</v>
      </c>
      <c r="B39" s="1">
        <v>949.31</v>
      </c>
      <c r="C39" s="1">
        <v>949.42</v>
      </c>
      <c r="D39" s="1">
        <v>932.89</v>
      </c>
      <c r="E39" s="1">
        <v>939.79</v>
      </c>
      <c r="F39" s="1">
        <v>5124000</v>
      </c>
      <c r="G39" s="1">
        <v>939.79</v>
      </c>
      <c r="H39" s="1">
        <f t="shared" si="0"/>
        <v>16.529999999999973</v>
      </c>
      <c r="I39" s="9">
        <f t="shared" si="7"/>
        <v>1.7719130872878873E-2</v>
      </c>
      <c r="J39" s="1">
        <f t="shared" si="8"/>
        <v>-15.310000000000059</v>
      </c>
      <c r="K39" s="9">
        <f t="shared" si="1"/>
        <v>-1.6029735106271654E-2</v>
      </c>
      <c r="L39" s="1">
        <f t="shared" si="2"/>
        <v>1</v>
      </c>
      <c r="M39" s="1">
        <f t="shared" si="3"/>
        <v>949.42</v>
      </c>
      <c r="N39" s="1">
        <f t="shared" si="4"/>
        <v>932.89</v>
      </c>
      <c r="O39" s="1">
        <f t="shared" si="5"/>
        <v>937.82999999999993</v>
      </c>
      <c r="P39" s="1">
        <f t="shared" si="6"/>
        <v>478.48469387755097</v>
      </c>
    </row>
    <row r="40" spans="1:16">
      <c r="A40" s="2">
        <v>43000</v>
      </c>
      <c r="B40" s="1">
        <v>961.01</v>
      </c>
      <c r="C40" s="1">
        <v>965.61</v>
      </c>
      <c r="D40" s="1">
        <v>954.42</v>
      </c>
      <c r="E40" s="1">
        <v>955.1</v>
      </c>
      <c r="F40" s="1">
        <v>2641800</v>
      </c>
      <c r="G40" s="1">
        <v>955.1</v>
      </c>
      <c r="H40" s="1">
        <f t="shared" si="0"/>
        <v>11.190000000000055</v>
      </c>
      <c r="I40" s="9">
        <f t="shared" si="7"/>
        <v>1.1724398063745579E-2</v>
      </c>
      <c r="J40" s="1">
        <f t="shared" si="8"/>
        <v>-9.5499999999999545</v>
      </c>
      <c r="K40" s="9">
        <f t="shared" si="1"/>
        <v>-9.8999637174104135E-3</v>
      </c>
      <c r="L40" s="1">
        <f t="shared" si="2"/>
        <v>1</v>
      </c>
      <c r="M40" s="1">
        <f t="shared" si="3"/>
        <v>965.61</v>
      </c>
      <c r="N40" s="1">
        <f t="shared" si="4"/>
        <v>954.42</v>
      </c>
      <c r="O40" s="1">
        <f t="shared" si="5"/>
        <v>953.14</v>
      </c>
      <c r="P40" s="1">
        <f t="shared" si="6"/>
        <v>486.29591836734693</v>
      </c>
    </row>
    <row r="41" spans="1:16">
      <c r="A41" s="2">
        <v>42999</v>
      </c>
      <c r="B41" s="1">
        <v>971.31</v>
      </c>
      <c r="C41" s="1">
        <v>971.7</v>
      </c>
      <c r="D41" s="1">
        <v>962.02</v>
      </c>
      <c r="E41" s="1">
        <v>964.65</v>
      </c>
      <c r="F41" s="1">
        <v>2337600</v>
      </c>
      <c r="G41" s="1">
        <v>964.65</v>
      </c>
      <c r="H41" s="1">
        <f t="shared" si="0"/>
        <v>9.6800000000000637</v>
      </c>
      <c r="I41" s="9">
        <f t="shared" si="7"/>
        <v>1.0062160869836452E-2</v>
      </c>
      <c r="J41" s="1">
        <f t="shared" si="8"/>
        <v>-8.5600000000000591</v>
      </c>
      <c r="K41" s="9">
        <f t="shared" si="1"/>
        <v>-8.7956350633471292E-3</v>
      </c>
      <c r="L41" s="1">
        <f t="shared" si="2"/>
        <v>1</v>
      </c>
      <c r="M41" s="1">
        <f t="shared" si="3"/>
        <v>971.7</v>
      </c>
      <c r="N41" s="1">
        <f t="shared" si="4"/>
        <v>962.02</v>
      </c>
      <c r="O41" s="1">
        <f t="shared" si="5"/>
        <v>962.68999999999994</v>
      </c>
      <c r="P41" s="1">
        <f t="shared" si="6"/>
        <v>491.16836734693874</v>
      </c>
    </row>
    <row r="42" spans="1:16">
      <c r="A42" s="2">
        <v>42998</v>
      </c>
      <c r="B42" s="1">
        <v>971.79</v>
      </c>
      <c r="C42" s="1">
        <v>974.81</v>
      </c>
      <c r="D42" s="1">
        <v>962.16</v>
      </c>
      <c r="E42" s="1">
        <v>973.21</v>
      </c>
      <c r="F42" s="1">
        <v>2888800</v>
      </c>
      <c r="G42" s="1">
        <v>973.21</v>
      </c>
      <c r="H42" s="1">
        <f t="shared" si="0"/>
        <v>12.649999999999977</v>
      </c>
      <c r="I42" s="9">
        <f t="shared" si="7"/>
        <v>1.3147501455059427E-2</v>
      </c>
      <c r="J42" s="1">
        <f t="shared" si="8"/>
        <v>3.3500000000000227</v>
      </c>
      <c r="K42" s="9">
        <f t="shared" si="1"/>
        <v>3.454106778297922E-3</v>
      </c>
      <c r="L42" s="1">
        <f t="shared" si="2"/>
        <v>1</v>
      </c>
      <c r="M42" s="1">
        <f t="shared" si="3"/>
        <v>974.81</v>
      </c>
      <c r="N42" s="1">
        <f t="shared" si="4"/>
        <v>962.16</v>
      </c>
      <c r="O42" s="1">
        <f t="shared" si="5"/>
        <v>971.25</v>
      </c>
      <c r="P42" s="1">
        <f t="shared" si="6"/>
        <v>495.53571428571428</v>
      </c>
    </row>
    <row r="43" spans="1:16">
      <c r="A43" s="2">
        <v>42997</v>
      </c>
      <c r="B43" s="1">
        <v>977.25</v>
      </c>
      <c r="C43" s="1">
        <v>978.24</v>
      </c>
      <c r="D43" s="1">
        <v>967.46</v>
      </c>
      <c r="E43" s="1">
        <v>969.86</v>
      </c>
      <c r="F43" s="1">
        <v>2671100</v>
      </c>
      <c r="G43" s="1">
        <v>969.86</v>
      </c>
      <c r="H43" s="1">
        <f t="shared" si="0"/>
        <v>10.779999999999973</v>
      </c>
      <c r="I43" s="9">
        <f t="shared" si="7"/>
        <v>1.1142579538172092E-2</v>
      </c>
      <c r="J43" s="1">
        <f t="shared" si="8"/>
        <v>-4.3300000000000409</v>
      </c>
      <c r="K43" s="9">
        <f t="shared" si="1"/>
        <v>-4.4447181761258486E-3</v>
      </c>
      <c r="L43" s="1">
        <f t="shared" si="2"/>
        <v>1</v>
      </c>
      <c r="M43" s="1">
        <f t="shared" si="3"/>
        <v>978.24</v>
      </c>
      <c r="N43" s="1">
        <f t="shared" si="4"/>
        <v>967.46</v>
      </c>
      <c r="O43" s="1">
        <f t="shared" si="5"/>
        <v>967.9</v>
      </c>
      <c r="P43" s="1">
        <f t="shared" si="6"/>
        <v>493.82653061224488</v>
      </c>
    </row>
    <row r="44" spans="1:16">
      <c r="A44" s="2">
        <v>42996</v>
      </c>
      <c r="B44" s="1">
        <v>990.4</v>
      </c>
      <c r="C44" s="1">
        <v>992.79</v>
      </c>
      <c r="D44" s="1">
        <v>968.17</v>
      </c>
      <c r="E44" s="1">
        <v>974.19</v>
      </c>
      <c r="F44" s="1">
        <v>3411300</v>
      </c>
      <c r="G44" s="1">
        <v>974.19</v>
      </c>
      <c r="H44" s="1">
        <f t="shared" si="0"/>
        <v>24.620000000000005</v>
      </c>
      <c r="I44" s="9">
        <f t="shared" si="7"/>
        <v>2.5429418387266704E-2</v>
      </c>
      <c r="J44" s="1">
        <f t="shared" si="8"/>
        <v>-12.599999999999909</v>
      </c>
      <c r="K44" s="9">
        <f t="shared" si="1"/>
        <v>-1.2768674185996929E-2</v>
      </c>
      <c r="L44" s="1">
        <f t="shared" si="2"/>
        <v>1</v>
      </c>
      <c r="M44" s="1">
        <f t="shared" si="3"/>
        <v>992.79</v>
      </c>
      <c r="N44" s="1">
        <f t="shared" si="4"/>
        <v>968.17</v>
      </c>
      <c r="O44" s="1">
        <f t="shared" si="5"/>
        <v>972.23</v>
      </c>
      <c r="P44" s="1">
        <f t="shared" si="6"/>
        <v>496.03571428571428</v>
      </c>
    </row>
    <row r="45" spans="1:16">
      <c r="A45" s="2">
        <v>42993</v>
      </c>
      <c r="B45" s="1">
        <v>993.01</v>
      </c>
      <c r="C45" s="1">
        <v>996.25</v>
      </c>
      <c r="D45" s="1">
        <v>984.03</v>
      </c>
      <c r="E45" s="1">
        <v>986.79</v>
      </c>
      <c r="F45" s="1">
        <v>3760200</v>
      </c>
      <c r="G45" s="1">
        <v>986.79</v>
      </c>
      <c r="H45" s="1">
        <f t="shared" si="0"/>
        <v>12.220000000000027</v>
      </c>
      <c r="I45" s="9">
        <f t="shared" si="7"/>
        <v>1.2418320579657152E-2</v>
      </c>
      <c r="J45" s="1">
        <f t="shared" si="8"/>
        <v>-5.4200000000000728</v>
      </c>
      <c r="K45" s="9">
        <f t="shared" si="1"/>
        <v>-5.4625532901301866E-3</v>
      </c>
      <c r="L45" s="1">
        <f t="shared" si="2"/>
        <v>1</v>
      </c>
      <c r="M45" s="1">
        <f t="shared" si="3"/>
        <v>996.25</v>
      </c>
      <c r="N45" s="1">
        <f t="shared" si="4"/>
        <v>984.03</v>
      </c>
      <c r="O45" s="1">
        <f t="shared" si="5"/>
        <v>984.82999999999993</v>
      </c>
      <c r="P45" s="1">
        <f t="shared" si="6"/>
        <v>502.46428571428567</v>
      </c>
    </row>
    <row r="46" spans="1:16">
      <c r="A46" s="2">
        <v>42992</v>
      </c>
      <c r="B46" s="1">
        <v>996.8</v>
      </c>
      <c r="C46" s="1">
        <v>998.56</v>
      </c>
      <c r="D46" s="1">
        <v>987.74</v>
      </c>
      <c r="E46" s="1">
        <v>992.21</v>
      </c>
      <c r="F46" s="1">
        <v>3913300</v>
      </c>
      <c r="G46" s="1">
        <v>992.21</v>
      </c>
      <c r="H46" s="1">
        <f t="shared" si="0"/>
        <v>10.819999999999936</v>
      </c>
      <c r="I46" s="9">
        <f t="shared" si="7"/>
        <v>1.0954299714499703E-2</v>
      </c>
      <c r="J46" s="1">
        <f t="shared" si="8"/>
        <v>-7.3899999999999864</v>
      </c>
      <c r="K46" s="9">
        <f t="shared" si="1"/>
        <v>-7.3929571828731354E-3</v>
      </c>
      <c r="L46" s="1">
        <f t="shared" si="2"/>
        <v>1</v>
      </c>
      <c r="M46" s="1">
        <f t="shared" si="3"/>
        <v>998.56</v>
      </c>
      <c r="N46" s="1">
        <f t="shared" si="4"/>
        <v>987.74</v>
      </c>
      <c r="O46" s="1">
        <f t="shared" si="5"/>
        <v>990.25</v>
      </c>
      <c r="P46" s="1">
        <f t="shared" si="6"/>
        <v>505.2295918367347</v>
      </c>
    </row>
    <row r="47" spans="1:16">
      <c r="A47" s="2">
        <v>42991</v>
      </c>
      <c r="B47" s="1">
        <v>983.97</v>
      </c>
      <c r="C47" s="1">
        <v>1000</v>
      </c>
      <c r="D47" s="1">
        <v>979.42</v>
      </c>
      <c r="E47" s="1">
        <v>999.6</v>
      </c>
      <c r="F47" s="1">
        <v>3374700</v>
      </c>
      <c r="G47" s="1">
        <v>999.6</v>
      </c>
      <c r="H47" s="1">
        <f t="shared" si="0"/>
        <v>20.580000000000041</v>
      </c>
      <c r="I47" s="9">
        <f t="shared" si="7"/>
        <v>2.1012435931469689E-2</v>
      </c>
      <c r="J47" s="1">
        <f t="shared" si="8"/>
        <v>17.019999999999982</v>
      </c>
      <c r="K47" s="9">
        <f t="shared" si="1"/>
        <v>1.7321744794316984E-2</v>
      </c>
      <c r="L47" s="1">
        <f t="shared" si="2"/>
        <v>1</v>
      </c>
      <c r="M47" s="1">
        <f t="shared" si="3"/>
        <v>1000</v>
      </c>
      <c r="N47" s="1">
        <f t="shared" si="4"/>
        <v>979.42</v>
      </c>
      <c r="O47" s="1">
        <f t="shared" si="5"/>
        <v>997.64</v>
      </c>
      <c r="P47" s="1">
        <f t="shared" si="6"/>
        <v>509</v>
      </c>
    </row>
    <row r="48" spans="1:16">
      <c r="A48" s="2">
        <v>42990</v>
      </c>
      <c r="B48" s="1">
        <v>983.27</v>
      </c>
      <c r="C48" s="1">
        <v>984.67</v>
      </c>
      <c r="D48" s="1">
        <v>975.52</v>
      </c>
      <c r="E48" s="1">
        <v>982.58</v>
      </c>
      <c r="F48" s="1">
        <v>2481100</v>
      </c>
      <c r="G48" s="1">
        <v>982.58</v>
      </c>
      <c r="H48" s="1">
        <f t="shared" si="0"/>
        <v>9.1499999999999773</v>
      </c>
      <c r="I48" s="9">
        <f t="shared" si="7"/>
        <v>9.3796129243890209E-3</v>
      </c>
      <c r="J48" s="1">
        <f t="shared" si="8"/>
        <v>4.6200000000000045</v>
      </c>
      <c r="K48" s="9">
        <f t="shared" si="1"/>
        <v>4.7241195958934975E-3</v>
      </c>
      <c r="L48" s="1">
        <f t="shared" si="2"/>
        <v>1</v>
      </c>
      <c r="M48" s="1">
        <f t="shared" si="3"/>
        <v>984.67</v>
      </c>
      <c r="N48" s="1">
        <f t="shared" si="4"/>
        <v>975.52</v>
      </c>
      <c r="O48" s="1">
        <f t="shared" si="5"/>
        <v>980.62</v>
      </c>
      <c r="P48" s="1">
        <f t="shared" si="6"/>
        <v>500.31632653061223</v>
      </c>
    </row>
    <row r="49" spans="1:16">
      <c r="A49" s="2">
        <v>42989</v>
      </c>
      <c r="B49" s="1">
        <v>974.46</v>
      </c>
      <c r="C49" s="1">
        <v>981.94</v>
      </c>
      <c r="D49" s="1">
        <v>974.22</v>
      </c>
      <c r="E49" s="1">
        <v>977.96</v>
      </c>
      <c r="F49" s="1">
        <v>2186700</v>
      </c>
      <c r="G49" s="1">
        <v>977.96</v>
      </c>
      <c r="H49" s="1">
        <f t="shared" si="0"/>
        <v>7.7200000000000273</v>
      </c>
      <c r="I49" s="9">
        <f t="shared" si="7"/>
        <v>7.9242881484675193E-3</v>
      </c>
      <c r="J49" s="1">
        <f t="shared" si="8"/>
        <v>12.060000000000059</v>
      </c>
      <c r="K49" s="9">
        <f t="shared" si="1"/>
        <v>1.2485764571901915E-2</v>
      </c>
      <c r="L49" s="1">
        <f t="shared" si="2"/>
        <v>1</v>
      </c>
      <c r="M49" s="1">
        <f t="shared" si="3"/>
        <v>981.94</v>
      </c>
      <c r="N49" s="1">
        <f t="shared" si="4"/>
        <v>974.22</v>
      </c>
      <c r="O49" s="1">
        <f t="shared" si="5"/>
        <v>976</v>
      </c>
      <c r="P49" s="1">
        <f t="shared" si="6"/>
        <v>497.9591836734694</v>
      </c>
    </row>
    <row r="50" spans="1:16">
      <c r="A50" s="2">
        <v>42986</v>
      </c>
      <c r="B50" s="1">
        <v>979.1</v>
      </c>
      <c r="C50" s="1">
        <v>979.88</v>
      </c>
      <c r="D50" s="1">
        <v>963.47</v>
      </c>
      <c r="E50" s="1">
        <v>965.9</v>
      </c>
      <c r="F50" s="1">
        <v>2605300</v>
      </c>
      <c r="G50" s="1">
        <v>965.9</v>
      </c>
      <c r="H50" s="1">
        <f t="shared" si="0"/>
        <v>16.409999999999968</v>
      </c>
      <c r="I50" s="9">
        <f t="shared" si="7"/>
        <v>1.7032185745274857E-2</v>
      </c>
      <c r="J50" s="1">
        <f t="shared" si="8"/>
        <v>-13.57000000000005</v>
      </c>
      <c r="K50" s="9">
        <f t="shared" si="1"/>
        <v>-1.3854431478248492E-2</v>
      </c>
      <c r="L50" s="1">
        <f t="shared" si="2"/>
        <v>1</v>
      </c>
      <c r="M50" s="1">
        <f t="shared" si="3"/>
        <v>979.88</v>
      </c>
      <c r="N50" s="1">
        <f t="shared" si="4"/>
        <v>963.47</v>
      </c>
      <c r="O50" s="1">
        <f t="shared" si="5"/>
        <v>963.93999999999994</v>
      </c>
      <c r="P50" s="1">
        <f t="shared" si="6"/>
        <v>491.80612244897958</v>
      </c>
    </row>
    <row r="51" spans="1:16">
      <c r="A51" s="2">
        <v>42985</v>
      </c>
      <c r="B51" s="1">
        <v>974</v>
      </c>
      <c r="C51" s="1">
        <v>980.59</v>
      </c>
      <c r="D51" s="1">
        <v>972.55</v>
      </c>
      <c r="E51" s="1">
        <v>979.47</v>
      </c>
      <c r="F51" s="1">
        <v>2566800</v>
      </c>
      <c r="G51" s="1">
        <v>979.47</v>
      </c>
      <c r="H51" s="1">
        <f t="shared" si="0"/>
        <v>8.0400000000000773</v>
      </c>
      <c r="I51" s="9">
        <f t="shared" si="7"/>
        <v>8.2669271502751294E-3</v>
      </c>
      <c r="J51" s="1">
        <f t="shared" si="8"/>
        <v>11.670000000000073</v>
      </c>
      <c r="K51" s="9">
        <f t="shared" si="1"/>
        <v>1.2058276503409871E-2</v>
      </c>
      <c r="L51" s="1">
        <f t="shared" si="2"/>
        <v>1</v>
      </c>
      <c r="M51" s="1">
        <f t="shared" si="3"/>
        <v>980.59</v>
      </c>
      <c r="N51" s="1">
        <f t="shared" si="4"/>
        <v>972.55</v>
      </c>
      <c r="O51" s="1">
        <f t="shared" si="5"/>
        <v>977.51</v>
      </c>
      <c r="P51" s="1">
        <f t="shared" si="6"/>
        <v>498.7295918367347</v>
      </c>
    </row>
    <row r="52" spans="1:16">
      <c r="A52" s="2">
        <v>42984</v>
      </c>
      <c r="B52" s="1">
        <v>968.32</v>
      </c>
      <c r="C52" s="1">
        <v>971.84</v>
      </c>
      <c r="D52" s="1">
        <v>960.6</v>
      </c>
      <c r="E52" s="1">
        <v>967.8</v>
      </c>
      <c r="F52" s="1">
        <v>2129900</v>
      </c>
      <c r="G52" s="1">
        <v>967.8</v>
      </c>
      <c r="H52" s="1">
        <f t="shared" si="0"/>
        <v>11.240000000000009</v>
      </c>
      <c r="I52" s="9">
        <f t="shared" si="7"/>
        <v>1.1701020195711023E-2</v>
      </c>
      <c r="J52" s="1">
        <f t="shared" si="8"/>
        <v>2.5299999999999727</v>
      </c>
      <c r="K52" s="9">
        <f t="shared" si="1"/>
        <v>2.621028313321633E-3</v>
      </c>
      <c r="L52" s="1">
        <f t="shared" si="2"/>
        <v>1</v>
      </c>
      <c r="M52" s="1">
        <f t="shared" si="3"/>
        <v>971.84</v>
      </c>
      <c r="N52" s="1">
        <f t="shared" si="4"/>
        <v>960.6</v>
      </c>
      <c r="O52" s="1">
        <f t="shared" si="5"/>
        <v>965.83999999999992</v>
      </c>
      <c r="P52" s="1">
        <f t="shared" si="6"/>
        <v>492.77551020408163</v>
      </c>
    </row>
    <row r="53" spans="1:16">
      <c r="A53" s="2">
        <v>42983</v>
      </c>
      <c r="B53" s="1">
        <v>975.4</v>
      </c>
      <c r="C53" s="1">
        <v>976.77</v>
      </c>
      <c r="D53" s="1">
        <v>960.37</v>
      </c>
      <c r="E53" s="1">
        <v>965.27</v>
      </c>
      <c r="F53" s="1">
        <v>2883200</v>
      </c>
      <c r="G53" s="1">
        <v>965.27</v>
      </c>
      <c r="H53" s="1">
        <f t="shared" si="0"/>
        <v>16.399999999999977</v>
      </c>
      <c r="I53" s="9">
        <f t="shared" si="7"/>
        <v>1.7076751668627693E-2</v>
      </c>
      <c r="J53" s="1">
        <f t="shared" si="8"/>
        <v>-12.980000000000018</v>
      </c>
      <c r="K53" s="9">
        <f t="shared" si="1"/>
        <v>-1.3268591873243054E-2</v>
      </c>
      <c r="L53" s="1">
        <f t="shared" si="2"/>
        <v>1</v>
      </c>
      <c r="M53" s="1">
        <f t="shared" si="3"/>
        <v>976.77</v>
      </c>
      <c r="N53" s="1">
        <f t="shared" si="4"/>
        <v>960.37</v>
      </c>
      <c r="O53" s="1">
        <f t="shared" si="5"/>
        <v>963.31</v>
      </c>
      <c r="P53" s="1">
        <f t="shared" si="6"/>
        <v>491.48469387755102</v>
      </c>
    </row>
    <row r="54" spans="1:16">
      <c r="A54" s="2">
        <v>42979</v>
      </c>
      <c r="B54" s="1">
        <v>984.2</v>
      </c>
      <c r="C54" s="1">
        <v>984.5</v>
      </c>
      <c r="D54" s="1">
        <v>976.88</v>
      </c>
      <c r="E54" s="1">
        <v>978.25</v>
      </c>
      <c r="F54" s="1">
        <v>2535900</v>
      </c>
      <c r="G54" s="1">
        <v>978.25</v>
      </c>
      <c r="H54" s="1">
        <f t="shared" si="0"/>
        <v>7.6200000000000045</v>
      </c>
      <c r="I54" s="9">
        <f t="shared" si="7"/>
        <v>7.8003439521742738E-3</v>
      </c>
      <c r="J54" s="1">
        <f t="shared" si="8"/>
        <v>-2.3500000000000227</v>
      </c>
      <c r="K54" s="9">
        <f t="shared" si="1"/>
        <v>-2.396491943707957E-3</v>
      </c>
      <c r="L54" s="1">
        <f t="shared" si="2"/>
        <v>1</v>
      </c>
      <c r="M54" s="1">
        <f t="shared" si="3"/>
        <v>984.5</v>
      </c>
      <c r="N54" s="1">
        <f t="shared" si="4"/>
        <v>976.88</v>
      </c>
      <c r="O54" s="1">
        <f t="shared" si="5"/>
        <v>976.29</v>
      </c>
      <c r="P54" s="1">
        <f t="shared" si="6"/>
        <v>498.10714285714283</v>
      </c>
    </row>
    <row r="55" spans="1:16">
      <c r="A55" s="2">
        <v>42978</v>
      </c>
      <c r="B55" s="1">
        <v>974.7</v>
      </c>
      <c r="C55" s="1">
        <v>981</v>
      </c>
      <c r="D55" s="1">
        <v>972.76</v>
      </c>
      <c r="E55" s="1">
        <v>980.6</v>
      </c>
      <c r="F55" s="1">
        <v>3331500</v>
      </c>
      <c r="G55" s="1">
        <v>980.6</v>
      </c>
      <c r="H55" s="1">
        <f t="shared" si="0"/>
        <v>8.2400000000000091</v>
      </c>
      <c r="I55" s="9">
        <f t="shared" si="7"/>
        <v>8.470743040421079E-3</v>
      </c>
      <c r="J55" s="1">
        <f t="shared" si="8"/>
        <v>13.009999999999991</v>
      </c>
      <c r="K55" s="9">
        <f t="shared" si="1"/>
        <v>1.3445777653758297E-2</v>
      </c>
      <c r="L55" s="1">
        <f t="shared" si="2"/>
        <v>1</v>
      </c>
      <c r="M55" s="1">
        <f t="shared" si="3"/>
        <v>981</v>
      </c>
      <c r="N55" s="1">
        <f t="shared" si="4"/>
        <v>972.76</v>
      </c>
      <c r="O55" s="1">
        <f t="shared" si="5"/>
        <v>978.64</v>
      </c>
      <c r="P55" s="1">
        <f t="shared" si="6"/>
        <v>499.30612244897958</v>
      </c>
    </row>
    <row r="56" spans="1:16">
      <c r="A56" s="2">
        <v>42977</v>
      </c>
      <c r="B56" s="1">
        <v>958.44</v>
      </c>
      <c r="C56" s="1">
        <v>969.41</v>
      </c>
      <c r="D56" s="1">
        <v>956.91</v>
      </c>
      <c r="E56" s="1">
        <v>967.59</v>
      </c>
      <c r="F56" s="1">
        <v>2904600</v>
      </c>
      <c r="G56" s="1">
        <v>967.59</v>
      </c>
      <c r="H56" s="1">
        <f t="shared" si="0"/>
        <v>12.5</v>
      </c>
      <c r="I56" s="9">
        <f t="shared" si="7"/>
        <v>1.3062879476648796E-2</v>
      </c>
      <c r="J56" s="1">
        <f t="shared" si="8"/>
        <v>13.530000000000086</v>
      </c>
      <c r="K56" s="9">
        <f t="shared" si="1"/>
        <v>1.4181498018992607E-2</v>
      </c>
      <c r="L56" s="1">
        <f t="shared" si="2"/>
        <v>1</v>
      </c>
      <c r="M56" s="1">
        <f t="shared" si="3"/>
        <v>969.41</v>
      </c>
      <c r="N56" s="1">
        <f t="shared" si="4"/>
        <v>956.91</v>
      </c>
      <c r="O56" s="1">
        <f t="shared" si="5"/>
        <v>965.63</v>
      </c>
      <c r="P56" s="1">
        <f t="shared" si="6"/>
        <v>492.66836734693879</v>
      </c>
    </row>
    <row r="57" spans="1:16">
      <c r="A57" s="2">
        <v>42976</v>
      </c>
      <c r="B57" s="1">
        <v>940</v>
      </c>
      <c r="C57" s="1">
        <v>956</v>
      </c>
      <c r="D57" s="1">
        <v>936.33</v>
      </c>
      <c r="E57" s="1">
        <v>954.06</v>
      </c>
      <c r="F57" s="1">
        <v>2874300</v>
      </c>
      <c r="G57" s="1">
        <v>954.06</v>
      </c>
      <c r="H57" s="1">
        <f t="shared" si="0"/>
        <v>19.669999999999959</v>
      </c>
      <c r="I57" s="9">
        <f t="shared" si="7"/>
        <v>2.1007550756677623E-2</v>
      </c>
      <c r="J57" s="1">
        <f t="shared" si="8"/>
        <v>8.0399999999999636</v>
      </c>
      <c r="K57" s="9">
        <f t="shared" si="1"/>
        <v>8.4987632396777701E-3</v>
      </c>
      <c r="L57" s="1">
        <f t="shared" si="2"/>
        <v>1</v>
      </c>
      <c r="M57" s="1">
        <f t="shared" si="3"/>
        <v>956</v>
      </c>
      <c r="N57" s="1">
        <f t="shared" si="4"/>
        <v>936.33</v>
      </c>
      <c r="O57" s="1">
        <f t="shared" si="5"/>
        <v>952.09999999999991</v>
      </c>
      <c r="P57" s="1">
        <f t="shared" si="6"/>
        <v>485.76530612244892</v>
      </c>
    </row>
    <row r="58" spans="1:16">
      <c r="A58" s="2">
        <v>42975</v>
      </c>
      <c r="B58" s="1">
        <v>946.54</v>
      </c>
      <c r="C58" s="1">
        <v>953</v>
      </c>
      <c r="D58" s="1">
        <v>942.25</v>
      </c>
      <c r="E58" s="1">
        <v>946.02</v>
      </c>
      <c r="F58" s="1">
        <v>2596700</v>
      </c>
      <c r="G58" s="1">
        <v>946.02</v>
      </c>
      <c r="H58" s="1">
        <f t="shared" si="0"/>
        <v>10.75</v>
      </c>
      <c r="I58" s="9">
        <f t="shared" si="7"/>
        <v>1.1408861767046962E-2</v>
      </c>
      <c r="J58" s="1">
        <f t="shared" si="8"/>
        <v>0.75999999999999091</v>
      </c>
      <c r="K58" s="9">
        <f t="shared" si="1"/>
        <v>8.0401159469351382E-4</v>
      </c>
      <c r="L58" s="1">
        <f t="shared" si="2"/>
        <v>1</v>
      </c>
      <c r="M58" s="1">
        <f t="shared" si="3"/>
        <v>953</v>
      </c>
      <c r="N58" s="1">
        <f t="shared" si="4"/>
        <v>942.25</v>
      </c>
      <c r="O58" s="1">
        <f t="shared" si="5"/>
        <v>944.06</v>
      </c>
      <c r="P58" s="1">
        <f t="shared" si="6"/>
        <v>481.66326530612241</v>
      </c>
    </row>
    <row r="59" spans="1:16">
      <c r="A59" s="2">
        <v>42972</v>
      </c>
      <c r="B59" s="1">
        <v>956</v>
      </c>
      <c r="C59" s="1">
        <v>957.62</v>
      </c>
      <c r="D59" s="1">
        <v>944.1</v>
      </c>
      <c r="E59" s="1">
        <v>945.26</v>
      </c>
      <c r="F59" s="1">
        <v>3324800</v>
      </c>
      <c r="G59" s="1">
        <v>945.26</v>
      </c>
      <c r="H59" s="1">
        <f t="shared" si="0"/>
        <v>13.519999999999982</v>
      </c>
      <c r="I59" s="9">
        <f t="shared" si="7"/>
        <v>1.432051689439676E-2</v>
      </c>
      <c r="J59" s="1">
        <f t="shared" si="8"/>
        <v>-7.1900000000000546</v>
      </c>
      <c r="K59" s="9">
        <f t="shared" si="1"/>
        <v>-7.5489527009292394E-3</v>
      </c>
      <c r="L59" s="1">
        <f t="shared" si="2"/>
        <v>1</v>
      </c>
      <c r="M59" s="1">
        <f t="shared" si="3"/>
        <v>957.62</v>
      </c>
      <c r="N59" s="1">
        <f t="shared" si="4"/>
        <v>944.1</v>
      </c>
      <c r="O59" s="1">
        <f t="shared" si="5"/>
        <v>943.3</v>
      </c>
      <c r="P59" s="1">
        <f t="shared" si="6"/>
        <v>481.27551020408163</v>
      </c>
    </row>
    <row r="60" spans="1:16">
      <c r="A60" s="2">
        <v>42971</v>
      </c>
      <c r="B60" s="1">
        <v>957.42</v>
      </c>
      <c r="C60" s="1">
        <v>959</v>
      </c>
      <c r="D60" s="1">
        <v>941.14</v>
      </c>
      <c r="E60" s="1">
        <v>952.45</v>
      </c>
      <c r="F60" s="1">
        <v>5195700</v>
      </c>
      <c r="G60" s="1">
        <v>952.45</v>
      </c>
      <c r="H60" s="1">
        <f t="shared" si="0"/>
        <v>17.860000000000014</v>
      </c>
      <c r="I60" s="9">
        <f t="shared" si="7"/>
        <v>1.8976985358182645E-2</v>
      </c>
      <c r="J60" s="1">
        <f t="shared" si="8"/>
        <v>-5.5499999999999545</v>
      </c>
      <c r="K60" s="9">
        <f t="shared" si="1"/>
        <v>-5.7933194154488046E-3</v>
      </c>
      <c r="L60" s="1">
        <f t="shared" si="2"/>
        <v>1</v>
      </c>
      <c r="M60" s="1">
        <f t="shared" si="3"/>
        <v>959</v>
      </c>
      <c r="N60" s="1">
        <f t="shared" si="4"/>
        <v>941.14</v>
      </c>
      <c r="O60" s="1">
        <f t="shared" si="5"/>
        <v>950.49</v>
      </c>
      <c r="P60" s="1">
        <f t="shared" si="6"/>
        <v>484.94387755102042</v>
      </c>
    </row>
    <row r="61" spans="1:16">
      <c r="A61" s="2">
        <v>42970</v>
      </c>
      <c r="B61" s="1">
        <v>959.38</v>
      </c>
      <c r="C61" s="1">
        <v>962</v>
      </c>
      <c r="D61" s="1">
        <v>954.2</v>
      </c>
      <c r="E61" s="1">
        <v>958</v>
      </c>
      <c r="F61" s="1">
        <v>2668300</v>
      </c>
      <c r="G61" s="1">
        <v>958</v>
      </c>
      <c r="H61" s="1">
        <f t="shared" si="0"/>
        <v>7.7999999999999545</v>
      </c>
      <c r="I61" s="9">
        <f t="shared" si="7"/>
        <v>8.1743869209808789E-3</v>
      </c>
      <c r="J61" s="1">
        <f t="shared" si="8"/>
        <v>-8.8999999999999773</v>
      </c>
      <c r="K61" s="9">
        <f t="shared" si="1"/>
        <v>-9.2046747336849491E-3</v>
      </c>
      <c r="L61" s="1">
        <f t="shared" si="2"/>
        <v>1</v>
      </c>
      <c r="M61" s="1">
        <f t="shared" si="3"/>
        <v>962</v>
      </c>
      <c r="N61" s="1">
        <f t="shared" si="4"/>
        <v>954.2</v>
      </c>
      <c r="O61" s="1">
        <f t="shared" si="5"/>
        <v>956.04</v>
      </c>
      <c r="P61" s="1">
        <f t="shared" si="6"/>
        <v>487.77551020408163</v>
      </c>
    </row>
    <row r="62" spans="1:16">
      <c r="A62" s="2">
        <v>42969</v>
      </c>
      <c r="B62" s="1">
        <v>955.52</v>
      </c>
      <c r="C62" s="1">
        <v>967.93</v>
      </c>
      <c r="D62" s="1">
        <v>955.5</v>
      </c>
      <c r="E62" s="1">
        <v>966.9</v>
      </c>
      <c r="F62" s="1">
        <v>2750000</v>
      </c>
      <c r="G62" s="1">
        <v>966.9</v>
      </c>
      <c r="H62" s="1">
        <f t="shared" si="0"/>
        <v>12.42999999999995</v>
      </c>
      <c r="I62" s="9">
        <f t="shared" si="7"/>
        <v>1.3008895866038671E-2</v>
      </c>
      <c r="J62" s="1">
        <f t="shared" si="8"/>
        <v>13.610000000000014</v>
      </c>
      <c r="K62" s="9">
        <f t="shared" si="1"/>
        <v>1.4276872724984018E-2</v>
      </c>
      <c r="L62" s="1">
        <f t="shared" si="2"/>
        <v>1</v>
      </c>
      <c r="M62" s="1">
        <f t="shared" si="3"/>
        <v>967.93</v>
      </c>
      <c r="N62" s="1">
        <f t="shared" si="4"/>
        <v>955.5</v>
      </c>
      <c r="O62" s="1">
        <f t="shared" si="5"/>
        <v>964.93999999999994</v>
      </c>
      <c r="P62" s="1">
        <f t="shared" si="6"/>
        <v>492.31632653061223</v>
      </c>
    </row>
    <row r="63" spans="1:16">
      <c r="A63" s="2">
        <v>42968</v>
      </c>
      <c r="B63" s="1">
        <v>957.57</v>
      </c>
      <c r="C63" s="1">
        <v>961.2</v>
      </c>
      <c r="D63" s="1">
        <v>945.46</v>
      </c>
      <c r="E63" s="1">
        <v>953.29</v>
      </c>
      <c r="F63" s="1">
        <v>3164500</v>
      </c>
      <c r="G63" s="1">
        <v>953.29</v>
      </c>
      <c r="H63" s="1">
        <f t="shared" si="0"/>
        <v>15.740000000000009</v>
      </c>
      <c r="I63" s="9">
        <f t="shared" si="7"/>
        <v>1.6647980877033411E-2</v>
      </c>
      <c r="J63" s="1">
        <f t="shared" si="8"/>
        <v>-5.1800000000000637</v>
      </c>
      <c r="K63" s="9">
        <f t="shared" si="1"/>
        <v>-5.4044466702140529E-3</v>
      </c>
      <c r="L63" s="1">
        <f t="shared" si="2"/>
        <v>1</v>
      </c>
      <c r="M63" s="1">
        <f t="shared" si="3"/>
        <v>961.2</v>
      </c>
      <c r="N63" s="1">
        <f t="shared" si="4"/>
        <v>945.46</v>
      </c>
      <c r="O63" s="1">
        <f t="shared" si="5"/>
        <v>951.32999999999993</v>
      </c>
      <c r="P63" s="1">
        <f t="shared" si="6"/>
        <v>485.37244897959181</v>
      </c>
    </row>
    <row r="64" spans="1:16">
      <c r="A64" s="2">
        <v>42965</v>
      </c>
      <c r="B64" s="1">
        <v>961.4</v>
      </c>
      <c r="C64" s="1">
        <v>965.43</v>
      </c>
      <c r="D64" s="1">
        <v>954.65</v>
      </c>
      <c r="E64" s="1">
        <v>958.47</v>
      </c>
      <c r="F64" s="1">
        <v>3284800</v>
      </c>
      <c r="G64" s="1">
        <v>958.47</v>
      </c>
      <c r="H64" s="1">
        <f t="shared" si="0"/>
        <v>10.779999999999973</v>
      </c>
      <c r="I64" s="9">
        <f t="shared" si="7"/>
        <v>1.1292096579898363E-2</v>
      </c>
      <c r="J64" s="1">
        <f t="shared" si="8"/>
        <v>-2.1000000000000227</v>
      </c>
      <c r="K64" s="9">
        <f t="shared" si="1"/>
        <v>-2.1862019425966067E-3</v>
      </c>
      <c r="L64" s="1">
        <f t="shared" si="2"/>
        <v>1</v>
      </c>
      <c r="M64" s="1">
        <f t="shared" si="3"/>
        <v>965.43</v>
      </c>
      <c r="N64" s="1">
        <f t="shared" si="4"/>
        <v>954.65</v>
      </c>
      <c r="O64" s="1">
        <f t="shared" si="5"/>
        <v>956.51</v>
      </c>
      <c r="P64" s="1">
        <f t="shared" si="6"/>
        <v>488.01530612244898</v>
      </c>
    </row>
    <row r="65" spans="1:16">
      <c r="A65" s="2">
        <v>42964</v>
      </c>
      <c r="B65" s="1">
        <v>977.84</v>
      </c>
      <c r="C65" s="1">
        <v>977.84</v>
      </c>
      <c r="D65" s="1">
        <v>960.32</v>
      </c>
      <c r="E65" s="1">
        <v>960.57</v>
      </c>
      <c r="F65" s="1">
        <v>3512400</v>
      </c>
      <c r="G65" s="1">
        <v>960.57</v>
      </c>
      <c r="H65" s="1">
        <f t="shared" si="0"/>
        <v>17.519999999999982</v>
      </c>
      <c r="I65" s="9">
        <f t="shared" si="7"/>
        <v>1.8243918693768724E-2</v>
      </c>
      <c r="J65" s="1">
        <f t="shared" si="8"/>
        <v>-17.6099999999999</v>
      </c>
      <c r="K65" s="9">
        <f t="shared" si="1"/>
        <v>-1.8002821566582738E-2</v>
      </c>
      <c r="L65" s="1">
        <f t="shared" si="2"/>
        <v>1</v>
      </c>
      <c r="M65" s="1">
        <f t="shared" si="3"/>
        <v>977.84</v>
      </c>
      <c r="N65" s="1">
        <f t="shared" si="4"/>
        <v>960.32</v>
      </c>
      <c r="O65" s="1">
        <f t="shared" si="5"/>
        <v>958.61</v>
      </c>
      <c r="P65" s="1">
        <f t="shared" si="6"/>
        <v>489.08673469387759</v>
      </c>
    </row>
    <row r="66" spans="1:16">
      <c r="A66" s="2">
        <v>42963</v>
      </c>
      <c r="B66" s="1">
        <v>981.65</v>
      </c>
      <c r="C66" s="1">
        <v>986.46</v>
      </c>
      <c r="D66" s="1">
        <v>973.22</v>
      </c>
      <c r="E66" s="1">
        <v>978.18</v>
      </c>
      <c r="F66" s="1">
        <v>3132100</v>
      </c>
      <c r="G66" s="1">
        <v>978.18</v>
      </c>
      <c r="H66" s="1">
        <f t="shared" si="0"/>
        <v>13.240000000000009</v>
      </c>
      <c r="I66" s="9">
        <f t="shared" si="7"/>
        <v>1.3604323791126373E-2</v>
      </c>
      <c r="J66" s="1">
        <f t="shared" si="8"/>
        <v>-4.5600000000000591</v>
      </c>
      <c r="K66" s="9">
        <f t="shared" si="1"/>
        <v>-4.6400879174553385E-3</v>
      </c>
      <c r="L66" s="1">
        <f t="shared" si="2"/>
        <v>1</v>
      </c>
      <c r="M66" s="1">
        <f t="shared" si="3"/>
        <v>986.46</v>
      </c>
      <c r="N66" s="1">
        <f t="shared" si="4"/>
        <v>973.22</v>
      </c>
      <c r="O66" s="1">
        <f t="shared" si="5"/>
        <v>976.21999999999991</v>
      </c>
      <c r="P66" s="1">
        <f t="shared" si="6"/>
        <v>498.07142857142856</v>
      </c>
    </row>
    <row r="67" spans="1:16">
      <c r="A67" s="2">
        <v>42962</v>
      </c>
      <c r="B67" s="1">
        <v>988.9</v>
      </c>
      <c r="C67" s="1">
        <v>991.74</v>
      </c>
      <c r="D67" s="1">
        <v>982</v>
      </c>
      <c r="E67" s="1">
        <v>982.74</v>
      </c>
      <c r="F67" s="1">
        <v>2549300</v>
      </c>
      <c r="G67" s="1">
        <v>982.74</v>
      </c>
      <c r="H67" s="1">
        <f t="shared" ref="H67:H130" si="9">C67-D67</f>
        <v>9.7400000000000091</v>
      </c>
      <c r="I67" s="9">
        <f t="shared" si="7"/>
        <v>9.9185336048879923E-3</v>
      </c>
      <c r="J67" s="1">
        <f t="shared" si="8"/>
        <v>-0.55999999999994543</v>
      </c>
      <c r="K67" s="9">
        <f t="shared" ref="K67:K130" si="10">(G67-G68)/G68</f>
        <v>-5.6951083087556742E-4</v>
      </c>
      <c r="L67" s="1">
        <f t="shared" ref="L67:L130" si="11">G67/E67</f>
        <v>1</v>
      </c>
      <c r="M67" s="1">
        <f t="shared" ref="M67:M130" si="12">L67*C67</f>
        <v>991.74</v>
      </c>
      <c r="N67" s="1">
        <f t="shared" ref="N67:N130" si="13">L67*D67</f>
        <v>982</v>
      </c>
      <c r="O67" s="1">
        <f t="shared" ref="O67:O130" si="14">G67-$G$5163</f>
        <v>980.78</v>
      </c>
      <c r="P67" s="1">
        <f t="shared" ref="P67:P130" si="15">(G67-$G$5163)/$G$5163</f>
        <v>500.39795918367349</v>
      </c>
    </row>
    <row r="68" spans="1:16">
      <c r="A68" s="2">
        <v>42961</v>
      </c>
      <c r="B68" s="1">
        <v>978.41</v>
      </c>
      <c r="C68" s="1">
        <v>985.5</v>
      </c>
      <c r="D68" s="1">
        <v>976.19</v>
      </c>
      <c r="E68" s="1">
        <v>983.3</v>
      </c>
      <c r="F68" s="1">
        <v>3042800</v>
      </c>
      <c r="G68" s="1">
        <v>983.3</v>
      </c>
      <c r="H68" s="1">
        <f t="shared" si="9"/>
        <v>9.3099999999999454</v>
      </c>
      <c r="I68" s="9">
        <f t="shared" ref="I68:I131" si="16">(C68-D68)/D68</f>
        <v>9.537077822964736E-3</v>
      </c>
      <c r="J68" s="1">
        <f t="shared" ref="J68:J131" si="17">G68-G69</f>
        <v>15.309999999999945</v>
      </c>
      <c r="K68" s="9">
        <f t="shared" si="10"/>
        <v>1.5816279093792233E-2</v>
      </c>
      <c r="L68" s="1">
        <f t="shared" si="11"/>
        <v>1</v>
      </c>
      <c r="M68" s="1">
        <f t="shared" si="12"/>
        <v>985.5</v>
      </c>
      <c r="N68" s="1">
        <f t="shared" si="13"/>
        <v>976.19</v>
      </c>
      <c r="O68" s="1">
        <f t="shared" si="14"/>
        <v>981.33999999999992</v>
      </c>
      <c r="P68" s="1">
        <f t="shared" si="15"/>
        <v>500.68367346938771</v>
      </c>
    </row>
    <row r="69" spans="1:16">
      <c r="A69" s="2">
        <v>42958</v>
      </c>
      <c r="B69" s="1">
        <v>960</v>
      </c>
      <c r="C69" s="1">
        <v>970.39</v>
      </c>
      <c r="D69" s="1">
        <v>951.38</v>
      </c>
      <c r="E69" s="1">
        <v>967.99</v>
      </c>
      <c r="F69" s="1">
        <v>3468000</v>
      </c>
      <c r="G69" s="1">
        <v>967.99</v>
      </c>
      <c r="H69" s="1">
        <f t="shared" si="9"/>
        <v>19.009999999999991</v>
      </c>
      <c r="I69" s="9">
        <f t="shared" si="16"/>
        <v>1.9981500557085488E-2</v>
      </c>
      <c r="J69" s="1">
        <f t="shared" si="17"/>
        <v>11.07000000000005</v>
      </c>
      <c r="K69" s="9">
        <f t="shared" si="10"/>
        <v>1.1568365171592244E-2</v>
      </c>
      <c r="L69" s="1">
        <f t="shared" si="11"/>
        <v>1</v>
      </c>
      <c r="M69" s="1">
        <f t="shared" si="12"/>
        <v>970.39</v>
      </c>
      <c r="N69" s="1">
        <f t="shared" si="13"/>
        <v>951.38</v>
      </c>
      <c r="O69" s="1">
        <f t="shared" si="14"/>
        <v>966.03</v>
      </c>
      <c r="P69" s="1">
        <f t="shared" si="15"/>
        <v>492.87244897959181</v>
      </c>
    </row>
    <row r="70" spans="1:16">
      <c r="A70" s="2">
        <v>42957</v>
      </c>
      <c r="B70" s="1">
        <v>976.3</v>
      </c>
      <c r="C70" s="1">
        <v>979.86</v>
      </c>
      <c r="D70" s="1">
        <v>954.68</v>
      </c>
      <c r="E70" s="1">
        <v>956.92</v>
      </c>
      <c r="F70" s="1">
        <v>5684100</v>
      </c>
      <c r="G70" s="1">
        <v>956.92</v>
      </c>
      <c r="H70" s="1">
        <f t="shared" si="9"/>
        <v>25.180000000000064</v>
      </c>
      <c r="I70" s="9">
        <f t="shared" si="16"/>
        <v>2.6375329953492337E-2</v>
      </c>
      <c r="J70" s="1">
        <f t="shared" si="17"/>
        <v>-25.090000000000032</v>
      </c>
      <c r="K70" s="9">
        <f t="shared" si="10"/>
        <v>-2.5549637987393237E-2</v>
      </c>
      <c r="L70" s="1">
        <f t="shared" si="11"/>
        <v>1</v>
      </c>
      <c r="M70" s="1">
        <f t="shared" si="12"/>
        <v>979.86</v>
      </c>
      <c r="N70" s="1">
        <f t="shared" si="13"/>
        <v>954.68</v>
      </c>
      <c r="O70" s="1">
        <f t="shared" si="14"/>
        <v>954.95999999999992</v>
      </c>
      <c r="P70" s="1">
        <f t="shared" si="15"/>
        <v>487.22448979591832</v>
      </c>
    </row>
    <row r="71" spans="1:16">
      <c r="A71" s="2">
        <v>42956</v>
      </c>
      <c r="B71" s="1">
        <v>982.6</v>
      </c>
      <c r="C71" s="1">
        <v>988</v>
      </c>
      <c r="D71" s="1">
        <v>975.27</v>
      </c>
      <c r="E71" s="1">
        <v>982.01</v>
      </c>
      <c r="F71" s="1">
        <v>3569700</v>
      </c>
      <c r="G71" s="1">
        <v>982.01</v>
      </c>
      <c r="H71" s="1">
        <f t="shared" si="9"/>
        <v>12.730000000000018</v>
      </c>
      <c r="I71" s="9">
        <f t="shared" si="16"/>
        <v>1.3052795636080285E-2</v>
      </c>
      <c r="J71" s="1">
        <f t="shared" si="17"/>
        <v>-7.8300000000000409</v>
      </c>
      <c r="K71" s="9">
        <f t="shared" si="10"/>
        <v>-7.9103693526226867E-3</v>
      </c>
      <c r="L71" s="1">
        <f t="shared" si="11"/>
        <v>1</v>
      </c>
      <c r="M71" s="1">
        <f t="shared" si="12"/>
        <v>988</v>
      </c>
      <c r="N71" s="1">
        <f t="shared" si="13"/>
        <v>975.27</v>
      </c>
      <c r="O71" s="1">
        <f t="shared" si="14"/>
        <v>980.05</v>
      </c>
      <c r="P71" s="1">
        <f t="shared" si="15"/>
        <v>500.02551020408163</v>
      </c>
    </row>
    <row r="72" spans="1:16">
      <c r="A72" s="2">
        <v>42955</v>
      </c>
      <c r="B72" s="1">
        <v>994.35</v>
      </c>
      <c r="C72" s="1">
        <v>996.28</v>
      </c>
      <c r="D72" s="1">
        <v>985.79</v>
      </c>
      <c r="E72" s="1">
        <v>989.84</v>
      </c>
      <c r="F72" s="1">
        <v>2902800</v>
      </c>
      <c r="G72" s="1">
        <v>989.84</v>
      </c>
      <c r="H72" s="1">
        <f t="shared" si="9"/>
        <v>10.490000000000009</v>
      </c>
      <c r="I72" s="9">
        <f t="shared" si="16"/>
        <v>1.0641211617078698E-2</v>
      </c>
      <c r="J72" s="1">
        <f t="shared" si="17"/>
        <v>-2.42999999999995</v>
      </c>
      <c r="K72" s="9">
        <f t="shared" si="10"/>
        <v>-2.4489302306831308E-3</v>
      </c>
      <c r="L72" s="1">
        <f t="shared" si="11"/>
        <v>1</v>
      </c>
      <c r="M72" s="1">
        <f t="shared" si="12"/>
        <v>996.28</v>
      </c>
      <c r="N72" s="1">
        <f t="shared" si="13"/>
        <v>985.79</v>
      </c>
      <c r="O72" s="1">
        <f t="shared" si="14"/>
        <v>987.88</v>
      </c>
      <c r="P72" s="1">
        <f t="shared" si="15"/>
        <v>504.0204081632653</v>
      </c>
    </row>
    <row r="73" spans="1:16">
      <c r="A73" s="2">
        <v>42954</v>
      </c>
      <c r="B73" s="1">
        <v>990.65</v>
      </c>
      <c r="C73" s="1">
        <v>995</v>
      </c>
      <c r="D73" s="1">
        <v>987.14</v>
      </c>
      <c r="E73" s="1">
        <v>992.27</v>
      </c>
      <c r="F73" s="1">
        <v>2676600</v>
      </c>
      <c r="G73" s="1">
        <v>992.27</v>
      </c>
      <c r="H73" s="1">
        <f t="shared" si="9"/>
        <v>7.8600000000000136</v>
      </c>
      <c r="I73" s="9">
        <f t="shared" si="16"/>
        <v>7.962396417934654E-3</v>
      </c>
      <c r="J73" s="1">
        <f t="shared" si="17"/>
        <v>4.6899999999999409</v>
      </c>
      <c r="K73" s="9">
        <f t="shared" si="10"/>
        <v>4.7489823609225996E-3</v>
      </c>
      <c r="L73" s="1">
        <f t="shared" si="11"/>
        <v>1</v>
      </c>
      <c r="M73" s="1">
        <f t="shared" si="12"/>
        <v>995</v>
      </c>
      <c r="N73" s="1">
        <f t="shared" si="13"/>
        <v>987.14</v>
      </c>
      <c r="O73" s="1">
        <f t="shared" si="14"/>
        <v>990.31</v>
      </c>
      <c r="P73" s="1">
        <f t="shared" si="15"/>
        <v>505.26020408163265</v>
      </c>
    </row>
    <row r="74" spans="1:16">
      <c r="A74" s="2">
        <v>42951</v>
      </c>
      <c r="B74" s="1">
        <v>989.68</v>
      </c>
      <c r="C74" s="1">
        <v>991.67</v>
      </c>
      <c r="D74" s="1">
        <v>982</v>
      </c>
      <c r="E74" s="1">
        <v>987.58</v>
      </c>
      <c r="F74" s="1">
        <v>2730300</v>
      </c>
      <c r="G74" s="1">
        <v>987.58</v>
      </c>
      <c r="H74" s="1">
        <f t="shared" si="9"/>
        <v>9.6699999999999591</v>
      </c>
      <c r="I74" s="9">
        <f t="shared" si="16"/>
        <v>9.8472505091649273E-3</v>
      </c>
      <c r="J74" s="1">
        <f t="shared" si="17"/>
        <v>0.66000000000008185</v>
      </c>
      <c r="K74" s="9">
        <f t="shared" si="10"/>
        <v>6.6874721355335981E-4</v>
      </c>
      <c r="L74" s="1">
        <f t="shared" si="11"/>
        <v>1</v>
      </c>
      <c r="M74" s="1">
        <f t="shared" si="12"/>
        <v>991.67</v>
      </c>
      <c r="N74" s="1">
        <f t="shared" si="13"/>
        <v>982</v>
      </c>
      <c r="O74" s="1">
        <f t="shared" si="14"/>
        <v>985.62</v>
      </c>
      <c r="P74" s="1">
        <f t="shared" si="15"/>
        <v>502.86734693877554</v>
      </c>
    </row>
    <row r="75" spans="1:16">
      <c r="A75" s="2">
        <v>42950</v>
      </c>
      <c r="B75" s="1">
        <v>999.47</v>
      </c>
      <c r="C75" s="1">
        <v>999.5</v>
      </c>
      <c r="D75" s="1">
        <v>984.59</v>
      </c>
      <c r="E75" s="1">
        <v>986.92</v>
      </c>
      <c r="F75" s="1">
        <v>3255800</v>
      </c>
      <c r="G75" s="1">
        <v>986.92</v>
      </c>
      <c r="H75" s="1">
        <f t="shared" si="9"/>
        <v>14.909999999999968</v>
      </c>
      <c r="I75" s="9">
        <f t="shared" si="16"/>
        <v>1.5143359164728433E-2</v>
      </c>
      <c r="J75" s="1">
        <f t="shared" si="17"/>
        <v>-8.9700000000000273</v>
      </c>
      <c r="K75" s="9">
        <f t="shared" si="10"/>
        <v>-9.0070188474631E-3</v>
      </c>
      <c r="L75" s="1">
        <f t="shared" si="11"/>
        <v>1</v>
      </c>
      <c r="M75" s="1">
        <f t="shared" si="12"/>
        <v>999.5</v>
      </c>
      <c r="N75" s="1">
        <f t="shared" si="13"/>
        <v>984.59</v>
      </c>
      <c r="O75" s="1">
        <f t="shared" si="14"/>
        <v>984.95999999999992</v>
      </c>
      <c r="P75" s="1">
        <f t="shared" si="15"/>
        <v>502.53061224489795</v>
      </c>
    </row>
    <row r="76" spans="1:16">
      <c r="A76" s="2">
        <v>42949</v>
      </c>
      <c r="B76" s="1">
        <v>1001.77</v>
      </c>
      <c r="C76" s="1">
        <v>1003.21</v>
      </c>
      <c r="D76" s="1">
        <v>981.73</v>
      </c>
      <c r="E76" s="1">
        <v>995.89</v>
      </c>
      <c r="F76" s="1">
        <v>4070000</v>
      </c>
      <c r="G76" s="1">
        <v>995.89</v>
      </c>
      <c r="H76" s="1">
        <f t="shared" si="9"/>
        <v>21.480000000000018</v>
      </c>
      <c r="I76" s="9">
        <f t="shared" si="16"/>
        <v>2.1879742902834811E-2</v>
      </c>
      <c r="J76" s="1">
        <f t="shared" si="17"/>
        <v>-0.30000000000006821</v>
      </c>
      <c r="K76" s="9">
        <f t="shared" si="10"/>
        <v>-3.0114737148542769E-4</v>
      </c>
      <c r="L76" s="1">
        <f t="shared" si="11"/>
        <v>1</v>
      </c>
      <c r="M76" s="1">
        <f t="shared" si="12"/>
        <v>1003.21</v>
      </c>
      <c r="N76" s="1">
        <f t="shared" si="13"/>
        <v>981.73</v>
      </c>
      <c r="O76" s="1">
        <f t="shared" si="14"/>
        <v>993.93</v>
      </c>
      <c r="P76" s="1">
        <f t="shared" si="15"/>
        <v>507.10714285714283</v>
      </c>
    </row>
    <row r="77" spans="1:16">
      <c r="A77" s="2">
        <v>42948</v>
      </c>
      <c r="B77" s="1">
        <v>996.11</v>
      </c>
      <c r="C77" s="1">
        <v>1006.4</v>
      </c>
      <c r="D77" s="1">
        <v>991.58</v>
      </c>
      <c r="E77" s="1">
        <v>996.19</v>
      </c>
      <c r="F77" s="1">
        <v>4572600</v>
      </c>
      <c r="G77" s="1">
        <v>996.19</v>
      </c>
      <c r="H77" s="1">
        <f t="shared" si="9"/>
        <v>14.819999999999936</v>
      </c>
      <c r="I77" s="9">
        <f t="shared" si="16"/>
        <v>1.494584400653496E-2</v>
      </c>
      <c r="J77" s="1">
        <f t="shared" si="17"/>
        <v>8.4100000000000819</v>
      </c>
      <c r="K77" s="9">
        <f t="shared" si="10"/>
        <v>8.514041588207984E-3</v>
      </c>
      <c r="L77" s="1">
        <f t="shared" si="11"/>
        <v>1</v>
      </c>
      <c r="M77" s="1">
        <f t="shared" si="12"/>
        <v>1006.4</v>
      </c>
      <c r="N77" s="1">
        <f t="shared" si="13"/>
        <v>991.58</v>
      </c>
      <c r="O77" s="1">
        <f t="shared" si="14"/>
        <v>994.23</v>
      </c>
      <c r="P77" s="1">
        <f t="shared" si="15"/>
        <v>507.26020408163265</v>
      </c>
    </row>
    <row r="78" spans="1:16">
      <c r="A78" s="2">
        <v>42947</v>
      </c>
      <c r="B78" s="1">
        <v>1019.05</v>
      </c>
      <c r="C78" s="1">
        <v>1019.05</v>
      </c>
      <c r="D78" s="1">
        <v>987.02</v>
      </c>
      <c r="E78" s="1">
        <v>987.78</v>
      </c>
      <c r="F78" s="1">
        <v>7352100</v>
      </c>
      <c r="G78" s="1">
        <v>987.78</v>
      </c>
      <c r="H78" s="1">
        <f t="shared" si="9"/>
        <v>32.029999999999973</v>
      </c>
      <c r="I78" s="9">
        <f t="shared" si="16"/>
        <v>3.245121679398591E-2</v>
      </c>
      <c r="J78" s="1">
        <f t="shared" si="17"/>
        <v>-32.259999999999991</v>
      </c>
      <c r="K78" s="9">
        <f t="shared" si="10"/>
        <v>-3.1626210736833839E-2</v>
      </c>
      <c r="L78" s="1">
        <f t="shared" si="11"/>
        <v>1</v>
      </c>
      <c r="M78" s="1">
        <f t="shared" si="12"/>
        <v>1019.05</v>
      </c>
      <c r="N78" s="1">
        <f t="shared" si="13"/>
        <v>987.02</v>
      </c>
      <c r="O78" s="1">
        <f t="shared" si="14"/>
        <v>985.81999999999994</v>
      </c>
      <c r="P78" s="1">
        <f t="shared" si="15"/>
        <v>502.96938775510199</v>
      </c>
    </row>
    <row r="79" spans="1:16">
      <c r="A79" s="2">
        <v>42944</v>
      </c>
      <c r="B79" s="1">
        <v>1012.14</v>
      </c>
      <c r="C79" s="1">
        <v>1032.8499999999999</v>
      </c>
      <c r="D79" s="1">
        <v>1001</v>
      </c>
      <c r="E79" s="1">
        <v>1020.04</v>
      </c>
      <c r="F79" s="1">
        <v>7709400</v>
      </c>
      <c r="G79" s="1">
        <v>1020.04</v>
      </c>
      <c r="H79" s="1">
        <f t="shared" si="9"/>
        <v>31.849999999999909</v>
      </c>
      <c r="I79" s="9">
        <f t="shared" si="16"/>
        <v>3.1818181818181725E-2</v>
      </c>
      <c r="J79" s="1">
        <f t="shared" si="17"/>
        <v>-25.960000000000036</v>
      </c>
      <c r="K79" s="9">
        <f t="shared" si="10"/>
        <v>-2.4818355640535406E-2</v>
      </c>
      <c r="L79" s="1">
        <f t="shared" si="11"/>
        <v>1</v>
      </c>
      <c r="M79" s="1">
        <f t="shared" si="12"/>
        <v>1032.8499999999999</v>
      </c>
      <c r="N79" s="1">
        <f t="shared" si="13"/>
        <v>1001</v>
      </c>
      <c r="O79" s="1">
        <f t="shared" si="14"/>
        <v>1018.0799999999999</v>
      </c>
      <c r="P79" s="1">
        <f t="shared" si="15"/>
        <v>519.42857142857144</v>
      </c>
    </row>
    <row r="80" spans="1:16">
      <c r="A80" s="2">
        <v>42943</v>
      </c>
      <c r="B80" s="1">
        <v>1069.55</v>
      </c>
      <c r="C80" s="1">
        <v>1083.31</v>
      </c>
      <c r="D80" s="1">
        <v>1040.18</v>
      </c>
      <c r="E80" s="1">
        <v>1046</v>
      </c>
      <c r="F80" s="1">
        <v>10991700</v>
      </c>
      <c r="G80" s="1">
        <v>1046</v>
      </c>
      <c r="H80" s="1">
        <f t="shared" si="9"/>
        <v>43.129999999999882</v>
      </c>
      <c r="I80" s="9">
        <f t="shared" si="16"/>
        <v>4.1463977388528792E-2</v>
      </c>
      <c r="J80" s="1">
        <f t="shared" si="17"/>
        <v>-6.7999999999999545</v>
      </c>
      <c r="K80" s="9">
        <f t="shared" si="10"/>
        <v>-6.4589665653495007E-3</v>
      </c>
      <c r="L80" s="1">
        <f t="shared" si="11"/>
        <v>1</v>
      </c>
      <c r="M80" s="1">
        <f t="shared" si="12"/>
        <v>1083.31</v>
      </c>
      <c r="N80" s="1">
        <f t="shared" si="13"/>
        <v>1040.18</v>
      </c>
      <c r="O80" s="1">
        <f t="shared" si="14"/>
        <v>1044.04</v>
      </c>
      <c r="P80" s="1">
        <f t="shared" si="15"/>
        <v>532.67346938775506</v>
      </c>
    </row>
    <row r="81" spans="1:16">
      <c r="A81" s="2">
        <v>42942</v>
      </c>
      <c r="B81" s="1">
        <v>1043.2</v>
      </c>
      <c r="C81" s="1">
        <v>1053.2</v>
      </c>
      <c r="D81" s="1">
        <v>1043.2</v>
      </c>
      <c r="E81" s="1">
        <v>1052.8</v>
      </c>
      <c r="F81" s="1">
        <v>2921300</v>
      </c>
      <c r="G81" s="1">
        <v>1052.8</v>
      </c>
      <c r="H81" s="1">
        <f t="shared" si="9"/>
        <v>10</v>
      </c>
      <c r="I81" s="9">
        <f t="shared" si="16"/>
        <v>9.5858895705521474E-3</v>
      </c>
      <c r="J81" s="1">
        <f t="shared" si="17"/>
        <v>12.930000000000064</v>
      </c>
      <c r="K81" s="9">
        <f t="shared" si="10"/>
        <v>1.2434246588515935E-2</v>
      </c>
      <c r="L81" s="1">
        <f t="shared" si="11"/>
        <v>1</v>
      </c>
      <c r="M81" s="1">
        <f t="shared" si="12"/>
        <v>1053.2</v>
      </c>
      <c r="N81" s="1">
        <f t="shared" si="13"/>
        <v>1043.2</v>
      </c>
      <c r="O81" s="1">
        <f t="shared" si="14"/>
        <v>1050.8399999999999</v>
      </c>
      <c r="P81" s="1">
        <f t="shared" si="15"/>
        <v>536.14285714285711</v>
      </c>
    </row>
    <row r="82" spans="1:16">
      <c r="A82" s="2">
        <v>42941</v>
      </c>
      <c r="B82" s="1">
        <v>1038.05</v>
      </c>
      <c r="C82" s="1">
        <v>1043.33</v>
      </c>
      <c r="D82" s="1">
        <v>1032.48</v>
      </c>
      <c r="E82" s="1">
        <v>1039.8699999999999</v>
      </c>
      <c r="F82" s="1">
        <v>2447600</v>
      </c>
      <c r="G82" s="1">
        <v>1039.8699999999999</v>
      </c>
      <c r="H82" s="1">
        <f t="shared" si="9"/>
        <v>10.849999999999909</v>
      </c>
      <c r="I82" s="9">
        <f t="shared" si="16"/>
        <v>1.0508678134201059E-2</v>
      </c>
      <c r="J82" s="1">
        <f t="shared" si="17"/>
        <v>0.91999999999984539</v>
      </c>
      <c r="K82" s="9">
        <f t="shared" si="10"/>
        <v>8.8550940853731686E-4</v>
      </c>
      <c r="L82" s="1">
        <f t="shared" si="11"/>
        <v>1</v>
      </c>
      <c r="M82" s="1">
        <f t="shared" si="12"/>
        <v>1043.33</v>
      </c>
      <c r="N82" s="1">
        <f t="shared" si="13"/>
        <v>1032.48</v>
      </c>
      <c r="O82" s="1">
        <f t="shared" si="14"/>
        <v>1037.9099999999999</v>
      </c>
      <c r="P82" s="1">
        <f t="shared" si="15"/>
        <v>529.54591836734687</v>
      </c>
    </row>
    <row r="83" spans="1:16">
      <c r="A83" s="2">
        <v>42940</v>
      </c>
      <c r="B83" s="1">
        <v>1028.3399999999999</v>
      </c>
      <c r="C83" s="1">
        <v>1043.01</v>
      </c>
      <c r="D83" s="1">
        <v>1027.43</v>
      </c>
      <c r="E83" s="1">
        <v>1038.95</v>
      </c>
      <c r="F83" s="1">
        <v>3288000</v>
      </c>
      <c r="G83" s="1">
        <v>1038.95</v>
      </c>
      <c r="H83" s="1">
        <f t="shared" si="9"/>
        <v>15.579999999999927</v>
      </c>
      <c r="I83" s="9">
        <f t="shared" si="16"/>
        <v>1.5164050105603229E-2</v>
      </c>
      <c r="J83" s="1">
        <f t="shared" si="17"/>
        <v>13.279999999999973</v>
      </c>
      <c r="K83" s="9">
        <f t="shared" si="10"/>
        <v>1.2947634229332993E-2</v>
      </c>
      <c r="L83" s="1">
        <f t="shared" si="11"/>
        <v>1</v>
      </c>
      <c r="M83" s="1">
        <f t="shared" si="12"/>
        <v>1043.01</v>
      </c>
      <c r="N83" s="1">
        <f t="shared" si="13"/>
        <v>1027.43</v>
      </c>
      <c r="O83" s="1">
        <f t="shared" si="14"/>
        <v>1036.99</v>
      </c>
      <c r="P83" s="1">
        <f t="shared" si="15"/>
        <v>529.07653061224494</v>
      </c>
    </row>
    <row r="84" spans="1:16">
      <c r="A84" s="2">
        <v>42937</v>
      </c>
      <c r="B84" s="1">
        <v>1021.28</v>
      </c>
      <c r="C84" s="1">
        <v>1026.0999999999999</v>
      </c>
      <c r="D84" s="1">
        <v>1011</v>
      </c>
      <c r="E84" s="1">
        <v>1025.67</v>
      </c>
      <c r="F84" s="1">
        <v>2734600</v>
      </c>
      <c r="G84" s="1">
        <v>1025.67</v>
      </c>
      <c r="H84" s="1">
        <f t="shared" si="9"/>
        <v>15.099999999999909</v>
      </c>
      <c r="I84" s="9">
        <f t="shared" si="16"/>
        <v>1.4935707220573599E-2</v>
      </c>
      <c r="J84" s="1">
        <f t="shared" si="17"/>
        <v>-3.0299999999999727</v>
      </c>
      <c r="K84" s="9">
        <f t="shared" si="10"/>
        <v>-2.9454651501895331E-3</v>
      </c>
      <c r="L84" s="1">
        <f t="shared" si="11"/>
        <v>1</v>
      </c>
      <c r="M84" s="1">
        <f t="shared" si="12"/>
        <v>1026.0999999999999</v>
      </c>
      <c r="N84" s="1">
        <f t="shared" si="13"/>
        <v>1011</v>
      </c>
      <c r="O84" s="1">
        <f t="shared" si="14"/>
        <v>1023.71</v>
      </c>
      <c r="P84" s="1">
        <f t="shared" si="15"/>
        <v>522.30102040816325</v>
      </c>
    </row>
    <row r="85" spans="1:16">
      <c r="A85" s="2">
        <v>42936</v>
      </c>
      <c r="B85" s="1">
        <v>1031.5899999999999</v>
      </c>
      <c r="C85" s="1">
        <v>1034.97</v>
      </c>
      <c r="D85" s="1">
        <v>1022.52</v>
      </c>
      <c r="E85" s="1">
        <v>1028.7</v>
      </c>
      <c r="F85" s="1">
        <v>3097500</v>
      </c>
      <c r="G85" s="1">
        <v>1028.7</v>
      </c>
      <c r="H85" s="1">
        <f t="shared" si="9"/>
        <v>12.450000000000045</v>
      </c>
      <c r="I85" s="9">
        <f t="shared" si="16"/>
        <v>1.217580096232841E-2</v>
      </c>
      <c r="J85" s="1">
        <f t="shared" si="17"/>
        <v>1.8300000000001546</v>
      </c>
      <c r="K85" s="9">
        <f t="shared" si="10"/>
        <v>1.7821145812032242E-3</v>
      </c>
      <c r="L85" s="1">
        <f t="shared" si="11"/>
        <v>1</v>
      </c>
      <c r="M85" s="1">
        <f t="shared" si="12"/>
        <v>1034.97</v>
      </c>
      <c r="N85" s="1">
        <f t="shared" si="13"/>
        <v>1022.52</v>
      </c>
      <c r="O85" s="1">
        <f t="shared" si="14"/>
        <v>1026.74</v>
      </c>
      <c r="P85" s="1">
        <f t="shared" si="15"/>
        <v>523.84693877551024</v>
      </c>
    </row>
    <row r="86" spans="1:16">
      <c r="A86" s="2">
        <v>42935</v>
      </c>
      <c r="B86" s="1">
        <v>1025</v>
      </c>
      <c r="C86" s="1">
        <v>1031.5899999999999</v>
      </c>
      <c r="D86" s="1">
        <v>1022.5</v>
      </c>
      <c r="E86" s="1">
        <v>1026.8699999999999</v>
      </c>
      <c r="F86" s="1">
        <v>2964000</v>
      </c>
      <c r="G86" s="1">
        <v>1026.8699999999999</v>
      </c>
      <c r="H86" s="1">
        <f t="shared" si="9"/>
        <v>9.0899999999999181</v>
      </c>
      <c r="I86" s="9">
        <f t="shared" si="16"/>
        <v>8.8899755501221697E-3</v>
      </c>
      <c r="J86" s="1">
        <f t="shared" si="17"/>
        <v>2.4199999999998454</v>
      </c>
      <c r="K86" s="9">
        <f t="shared" si="10"/>
        <v>2.3622431548634341E-3</v>
      </c>
      <c r="L86" s="1">
        <f t="shared" si="11"/>
        <v>1</v>
      </c>
      <c r="M86" s="1">
        <f t="shared" si="12"/>
        <v>1031.5899999999999</v>
      </c>
      <c r="N86" s="1">
        <f t="shared" si="13"/>
        <v>1022.5</v>
      </c>
      <c r="O86" s="1">
        <f t="shared" si="14"/>
        <v>1024.9099999999999</v>
      </c>
      <c r="P86" s="1">
        <f t="shared" si="15"/>
        <v>522.91326530612241</v>
      </c>
    </row>
    <row r="87" spans="1:16">
      <c r="A87" s="2">
        <v>42934</v>
      </c>
      <c r="B87" s="1">
        <v>1006</v>
      </c>
      <c r="C87" s="1">
        <v>1026.03</v>
      </c>
      <c r="D87" s="1">
        <v>1004</v>
      </c>
      <c r="E87" s="1">
        <v>1024.45</v>
      </c>
      <c r="F87" s="1">
        <v>4007600</v>
      </c>
      <c r="G87" s="1">
        <v>1024.45</v>
      </c>
      <c r="H87" s="1">
        <f t="shared" si="9"/>
        <v>22.029999999999973</v>
      </c>
      <c r="I87" s="9">
        <f t="shared" si="16"/>
        <v>2.1942231075697184E-2</v>
      </c>
      <c r="J87" s="1">
        <f t="shared" si="17"/>
        <v>14.410000000000082</v>
      </c>
      <c r="K87" s="9">
        <f t="shared" si="10"/>
        <v>1.4266761712407511E-2</v>
      </c>
      <c r="L87" s="1">
        <f t="shared" si="11"/>
        <v>1</v>
      </c>
      <c r="M87" s="1">
        <f t="shared" si="12"/>
        <v>1026.03</v>
      </c>
      <c r="N87" s="1">
        <f t="shared" si="13"/>
        <v>1004</v>
      </c>
      <c r="O87" s="1">
        <f t="shared" si="14"/>
        <v>1022.49</v>
      </c>
      <c r="P87" s="1">
        <f t="shared" si="15"/>
        <v>521.67857142857144</v>
      </c>
    </row>
    <row r="88" spans="1:16">
      <c r="A88" s="2">
        <v>42933</v>
      </c>
      <c r="B88" s="1">
        <v>1004.69</v>
      </c>
      <c r="C88" s="1">
        <v>1014.75</v>
      </c>
      <c r="D88" s="1">
        <v>1003.81</v>
      </c>
      <c r="E88" s="1">
        <v>1010.04</v>
      </c>
      <c r="F88" s="1">
        <v>3712600</v>
      </c>
      <c r="G88" s="1">
        <v>1010.04</v>
      </c>
      <c r="H88" s="1">
        <f t="shared" si="9"/>
        <v>10.940000000000055</v>
      </c>
      <c r="I88" s="9">
        <f t="shared" si="16"/>
        <v>1.089847680337918E-2</v>
      </c>
      <c r="J88" s="1">
        <f t="shared" si="17"/>
        <v>8.2300000000000182</v>
      </c>
      <c r="K88" s="9">
        <f t="shared" si="10"/>
        <v>8.2151306135894216E-3</v>
      </c>
      <c r="L88" s="1">
        <f t="shared" si="11"/>
        <v>1</v>
      </c>
      <c r="M88" s="1">
        <f t="shared" si="12"/>
        <v>1014.75</v>
      </c>
      <c r="N88" s="1">
        <f t="shared" si="13"/>
        <v>1003.81</v>
      </c>
      <c r="O88" s="1">
        <f t="shared" si="14"/>
        <v>1008.0799999999999</v>
      </c>
      <c r="P88" s="1">
        <f t="shared" si="15"/>
        <v>514.32653061224482</v>
      </c>
    </row>
    <row r="89" spans="1:16">
      <c r="A89" s="2">
        <v>42930</v>
      </c>
      <c r="B89" s="1">
        <v>1002.4</v>
      </c>
      <c r="C89" s="1">
        <v>1004.45</v>
      </c>
      <c r="D89" s="1">
        <v>996.89</v>
      </c>
      <c r="E89" s="1">
        <v>1001.81</v>
      </c>
      <c r="F89" s="1">
        <v>2102500</v>
      </c>
      <c r="G89" s="1">
        <v>1001.81</v>
      </c>
      <c r="H89" s="1">
        <f t="shared" si="9"/>
        <v>7.5600000000000591</v>
      </c>
      <c r="I89" s="9">
        <f t="shared" si="16"/>
        <v>7.5835849491920461E-3</v>
      </c>
      <c r="J89" s="1">
        <f t="shared" si="17"/>
        <v>1.17999999999995</v>
      </c>
      <c r="K89" s="9">
        <f t="shared" si="10"/>
        <v>1.1792570680470803E-3</v>
      </c>
      <c r="L89" s="1">
        <f t="shared" si="11"/>
        <v>1</v>
      </c>
      <c r="M89" s="1">
        <f t="shared" si="12"/>
        <v>1004.45</v>
      </c>
      <c r="N89" s="1">
        <f t="shared" si="13"/>
        <v>996.89</v>
      </c>
      <c r="O89" s="1">
        <f t="shared" si="14"/>
        <v>999.84999999999991</v>
      </c>
      <c r="P89" s="1">
        <f t="shared" si="15"/>
        <v>510.12755102040813</v>
      </c>
    </row>
    <row r="90" spans="1:16">
      <c r="A90" s="2">
        <v>42929</v>
      </c>
      <c r="B90" s="1">
        <v>1004.62</v>
      </c>
      <c r="C90" s="1">
        <v>1006.88</v>
      </c>
      <c r="D90" s="1">
        <v>995.9</v>
      </c>
      <c r="E90" s="1">
        <v>1000.63</v>
      </c>
      <c r="F90" s="1">
        <v>2880800</v>
      </c>
      <c r="G90" s="1">
        <v>1000.63</v>
      </c>
      <c r="H90" s="1">
        <f t="shared" si="9"/>
        <v>10.980000000000018</v>
      </c>
      <c r="I90" s="9">
        <f t="shared" si="16"/>
        <v>1.1025203333668058E-2</v>
      </c>
      <c r="J90" s="1">
        <f t="shared" si="17"/>
        <v>-5.8799999999999955</v>
      </c>
      <c r="K90" s="9">
        <f t="shared" si="10"/>
        <v>-5.8419687832212252E-3</v>
      </c>
      <c r="L90" s="1">
        <f t="shared" si="11"/>
        <v>1</v>
      </c>
      <c r="M90" s="1">
        <f t="shared" si="12"/>
        <v>1006.88</v>
      </c>
      <c r="N90" s="1">
        <f t="shared" si="13"/>
        <v>995.9</v>
      </c>
      <c r="O90" s="1">
        <f t="shared" si="14"/>
        <v>998.67</v>
      </c>
      <c r="P90" s="1">
        <f t="shared" si="15"/>
        <v>509.52551020408163</v>
      </c>
    </row>
    <row r="91" spans="1:16">
      <c r="A91" s="2">
        <v>42928</v>
      </c>
      <c r="B91" s="1">
        <v>1000.65</v>
      </c>
      <c r="C91" s="1">
        <v>1008.55</v>
      </c>
      <c r="D91" s="1">
        <v>998.1</v>
      </c>
      <c r="E91" s="1">
        <v>1006.51</v>
      </c>
      <c r="F91" s="1">
        <v>3608600</v>
      </c>
      <c r="G91" s="1">
        <v>1006.51</v>
      </c>
      <c r="H91" s="1">
        <f t="shared" si="9"/>
        <v>10.449999999999932</v>
      </c>
      <c r="I91" s="9">
        <f t="shared" si="16"/>
        <v>1.0469892796312927E-2</v>
      </c>
      <c r="J91" s="1">
        <f t="shared" si="17"/>
        <v>12.379999999999995</v>
      </c>
      <c r="K91" s="9">
        <f t="shared" si="10"/>
        <v>1.2453099695210884E-2</v>
      </c>
      <c r="L91" s="1">
        <f t="shared" si="11"/>
        <v>1</v>
      </c>
      <c r="M91" s="1">
        <f t="shared" si="12"/>
        <v>1008.55</v>
      </c>
      <c r="N91" s="1">
        <f t="shared" si="13"/>
        <v>998.1</v>
      </c>
      <c r="O91" s="1">
        <f t="shared" si="14"/>
        <v>1004.55</v>
      </c>
      <c r="P91" s="1">
        <f t="shared" si="15"/>
        <v>512.52551020408157</v>
      </c>
    </row>
    <row r="92" spans="1:16">
      <c r="A92" s="2">
        <v>42927</v>
      </c>
      <c r="B92" s="1">
        <v>993</v>
      </c>
      <c r="C92" s="1">
        <v>995.99</v>
      </c>
      <c r="D92" s="1">
        <v>983.72</v>
      </c>
      <c r="E92" s="1">
        <v>994.13</v>
      </c>
      <c r="F92" s="1">
        <v>2982700</v>
      </c>
      <c r="G92" s="1">
        <v>994.13</v>
      </c>
      <c r="H92" s="1">
        <f t="shared" si="9"/>
        <v>12.269999999999982</v>
      </c>
      <c r="I92" s="9">
        <f t="shared" si="16"/>
        <v>1.2473061440247206E-2</v>
      </c>
      <c r="J92" s="1">
        <f t="shared" si="17"/>
        <v>-2.3400000000000318</v>
      </c>
      <c r="K92" s="9">
        <f t="shared" si="10"/>
        <v>-2.3482894618001866E-3</v>
      </c>
      <c r="L92" s="1">
        <f t="shared" si="11"/>
        <v>1</v>
      </c>
      <c r="M92" s="1">
        <f t="shared" si="12"/>
        <v>995.99</v>
      </c>
      <c r="N92" s="1">
        <f t="shared" si="13"/>
        <v>983.72</v>
      </c>
      <c r="O92" s="1">
        <f t="shared" si="14"/>
        <v>992.17</v>
      </c>
      <c r="P92" s="1">
        <f t="shared" si="15"/>
        <v>506.2091836734694</v>
      </c>
    </row>
    <row r="93" spans="1:16">
      <c r="A93" s="2">
        <v>42926</v>
      </c>
      <c r="B93" s="1">
        <v>985</v>
      </c>
      <c r="C93" s="1">
        <v>999.44</v>
      </c>
      <c r="D93" s="1">
        <v>983.5</v>
      </c>
      <c r="E93" s="1">
        <v>996.47</v>
      </c>
      <c r="F93" s="1">
        <v>3546300</v>
      </c>
      <c r="G93" s="1">
        <v>996.47</v>
      </c>
      <c r="H93" s="1">
        <f t="shared" si="9"/>
        <v>15.940000000000055</v>
      </c>
      <c r="I93" s="9">
        <f t="shared" si="16"/>
        <v>1.6207422470767723E-2</v>
      </c>
      <c r="J93" s="1">
        <f t="shared" si="17"/>
        <v>17.710000000000036</v>
      </c>
      <c r="K93" s="9">
        <f t="shared" si="10"/>
        <v>1.809432342964571E-2</v>
      </c>
      <c r="L93" s="1">
        <f t="shared" si="11"/>
        <v>1</v>
      </c>
      <c r="M93" s="1">
        <f t="shared" si="12"/>
        <v>999.44</v>
      </c>
      <c r="N93" s="1">
        <f t="shared" si="13"/>
        <v>983.5</v>
      </c>
      <c r="O93" s="1">
        <f t="shared" si="14"/>
        <v>994.51</v>
      </c>
      <c r="P93" s="1">
        <f t="shared" si="15"/>
        <v>507.40306122448982</v>
      </c>
    </row>
    <row r="94" spans="1:16">
      <c r="A94" s="2">
        <v>42923</v>
      </c>
      <c r="B94" s="1">
        <v>969.55</v>
      </c>
      <c r="C94" s="1">
        <v>980.11</v>
      </c>
      <c r="D94" s="1">
        <v>969.14</v>
      </c>
      <c r="E94" s="1">
        <v>978.76</v>
      </c>
      <c r="F94" s="1">
        <v>2643400</v>
      </c>
      <c r="G94" s="1">
        <v>978.76</v>
      </c>
      <c r="H94" s="1">
        <f t="shared" si="9"/>
        <v>10.970000000000027</v>
      </c>
      <c r="I94" s="9">
        <f t="shared" si="16"/>
        <v>1.1319314030996582E-2</v>
      </c>
      <c r="J94" s="1">
        <f t="shared" si="17"/>
        <v>13.620000000000005</v>
      </c>
      <c r="K94" s="9">
        <f t="shared" si="10"/>
        <v>1.4111942308887834E-2</v>
      </c>
      <c r="L94" s="1">
        <f t="shared" si="11"/>
        <v>1</v>
      </c>
      <c r="M94" s="1">
        <f t="shared" si="12"/>
        <v>980.11</v>
      </c>
      <c r="N94" s="1">
        <f t="shared" si="13"/>
        <v>969.14</v>
      </c>
      <c r="O94" s="1">
        <f t="shared" si="14"/>
        <v>976.8</v>
      </c>
      <c r="P94" s="1">
        <f t="shared" si="15"/>
        <v>498.36734693877548</v>
      </c>
    </row>
    <row r="95" spans="1:16">
      <c r="A95" s="2">
        <v>42922</v>
      </c>
      <c r="B95" s="1">
        <v>964.66</v>
      </c>
      <c r="C95" s="1">
        <v>974.4</v>
      </c>
      <c r="D95" s="1">
        <v>959.02</v>
      </c>
      <c r="E95" s="1">
        <v>965.14</v>
      </c>
      <c r="F95" s="1">
        <v>3259600</v>
      </c>
      <c r="G95" s="1">
        <v>965.14</v>
      </c>
      <c r="H95" s="1">
        <f t="shared" si="9"/>
        <v>15.379999999999995</v>
      </c>
      <c r="I95" s="9">
        <f t="shared" si="16"/>
        <v>1.6037204646409873E-2</v>
      </c>
      <c r="J95" s="1">
        <f t="shared" si="17"/>
        <v>-6.2599999999999909</v>
      </c>
      <c r="K95" s="9">
        <f t="shared" si="10"/>
        <v>-6.4443071855054468E-3</v>
      </c>
      <c r="L95" s="1">
        <f t="shared" si="11"/>
        <v>1</v>
      </c>
      <c r="M95" s="1">
        <f t="shared" si="12"/>
        <v>974.4</v>
      </c>
      <c r="N95" s="1">
        <f t="shared" si="13"/>
        <v>959.02</v>
      </c>
      <c r="O95" s="1">
        <f t="shared" si="14"/>
        <v>963.18</v>
      </c>
      <c r="P95" s="1">
        <f t="shared" si="15"/>
        <v>491.41836734693874</v>
      </c>
    </row>
    <row r="96" spans="1:16">
      <c r="A96" s="2">
        <v>42921</v>
      </c>
      <c r="B96" s="1">
        <v>961.53</v>
      </c>
      <c r="C96" s="1">
        <v>975</v>
      </c>
      <c r="D96" s="1">
        <v>955.25</v>
      </c>
      <c r="E96" s="1">
        <v>971.4</v>
      </c>
      <c r="F96" s="1">
        <v>3653000</v>
      </c>
      <c r="G96" s="1">
        <v>971.4</v>
      </c>
      <c r="H96" s="1">
        <f t="shared" si="9"/>
        <v>19.75</v>
      </c>
      <c r="I96" s="9">
        <f t="shared" si="16"/>
        <v>2.0675215912064903E-2</v>
      </c>
      <c r="J96" s="1">
        <f t="shared" si="17"/>
        <v>17.740000000000009</v>
      </c>
      <c r="K96" s="9">
        <f t="shared" si="10"/>
        <v>1.8602017490510256E-2</v>
      </c>
      <c r="L96" s="1">
        <f t="shared" si="11"/>
        <v>1</v>
      </c>
      <c r="M96" s="1">
        <f t="shared" si="12"/>
        <v>975</v>
      </c>
      <c r="N96" s="1">
        <f t="shared" si="13"/>
        <v>955.25</v>
      </c>
      <c r="O96" s="1">
        <f t="shared" si="14"/>
        <v>969.43999999999994</v>
      </c>
      <c r="P96" s="1">
        <f t="shared" si="15"/>
        <v>494.61224489795916</v>
      </c>
    </row>
    <row r="97" spans="1:16">
      <c r="A97" s="2">
        <v>42919</v>
      </c>
      <c r="B97" s="1">
        <v>972.79</v>
      </c>
      <c r="C97" s="1">
        <v>974.49</v>
      </c>
      <c r="D97" s="1">
        <v>951</v>
      </c>
      <c r="E97" s="1">
        <v>953.66</v>
      </c>
      <c r="F97" s="1">
        <v>2909100</v>
      </c>
      <c r="G97" s="1">
        <v>953.66</v>
      </c>
      <c r="H97" s="1">
        <f t="shared" si="9"/>
        <v>23.490000000000009</v>
      </c>
      <c r="I97" s="9">
        <f t="shared" si="16"/>
        <v>2.4700315457413257E-2</v>
      </c>
      <c r="J97" s="1">
        <f t="shared" si="17"/>
        <v>-14.340000000000032</v>
      </c>
      <c r="K97" s="9">
        <f t="shared" si="10"/>
        <v>-1.4814049586776892E-2</v>
      </c>
      <c r="L97" s="1">
        <f t="shared" si="11"/>
        <v>1</v>
      </c>
      <c r="M97" s="1">
        <f t="shared" si="12"/>
        <v>974.49</v>
      </c>
      <c r="N97" s="1">
        <f t="shared" si="13"/>
        <v>951</v>
      </c>
      <c r="O97" s="1">
        <f t="shared" si="14"/>
        <v>951.69999999999993</v>
      </c>
      <c r="P97" s="1">
        <f t="shared" si="15"/>
        <v>485.5612244897959</v>
      </c>
    </row>
    <row r="98" spans="1:16">
      <c r="A98" s="2">
        <v>42916</v>
      </c>
      <c r="B98" s="1">
        <v>980.12</v>
      </c>
      <c r="C98" s="1">
        <v>983.47</v>
      </c>
      <c r="D98" s="1">
        <v>967.61</v>
      </c>
      <c r="E98" s="1">
        <v>968</v>
      </c>
      <c r="F98" s="1">
        <v>3390300</v>
      </c>
      <c r="G98" s="1">
        <v>968</v>
      </c>
      <c r="H98" s="1">
        <f t="shared" si="9"/>
        <v>15.860000000000014</v>
      </c>
      <c r="I98" s="9">
        <f t="shared" si="16"/>
        <v>1.6390901292876275E-2</v>
      </c>
      <c r="J98" s="1">
        <f t="shared" si="17"/>
        <v>-7.92999999999995</v>
      </c>
      <c r="K98" s="9">
        <f t="shared" si="10"/>
        <v>-8.1255827774532503E-3</v>
      </c>
      <c r="L98" s="1">
        <f t="shared" si="11"/>
        <v>1</v>
      </c>
      <c r="M98" s="1">
        <f t="shared" si="12"/>
        <v>983.47</v>
      </c>
      <c r="N98" s="1">
        <f t="shared" si="13"/>
        <v>967.61</v>
      </c>
      <c r="O98" s="1">
        <f t="shared" si="14"/>
        <v>966.04</v>
      </c>
      <c r="P98" s="1">
        <f t="shared" si="15"/>
        <v>492.87755102040813</v>
      </c>
    </row>
    <row r="99" spans="1:16">
      <c r="A99" s="2">
        <v>42915</v>
      </c>
      <c r="B99" s="1">
        <v>979</v>
      </c>
      <c r="C99" s="1">
        <v>987.56</v>
      </c>
      <c r="D99" s="1">
        <v>965.25</v>
      </c>
      <c r="E99" s="1">
        <v>975.93</v>
      </c>
      <c r="F99" s="1">
        <v>4303000</v>
      </c>
      <c r="G99" s="1">
        <v>975.93</v>
      </c>
      <c r="H99" s="1">
        <f t="shared" si="9"/>
        <v>22.309999999999945</v>
      </c>
      <c r="I99" s="9">
        <f t="shared" si="16"/>
        <v>2.3113183113183056E-2</v>
      </c>
      <c r="J99" s="1">
        <f t="shared" si="17"/>
        <v>-14.400000000000091</v>
      </c>
      <c r="K99" s="9">
        <f t="shared" si="10"/>
        <v>-1.4540607676229228E-2</v>
      </c>
      <c r="L99" s="1">
        <f t="shared" si="11"/>
        <v>1</v>
      </c>
      <c r="M99" s="1">
        <f t="shared" si="12"/>
        <v>987.56</v>
      </c>
      <c r="N99" s="1">
        <f t="shared" si="13"/>
        <v>965.25</v>
      </c>
      <c r="O99" s="1">
        <f t="shared" si="14"/>
        <v>973.96999999999991</v>
      </c>
      <c r="P99" s="1">
        <f t="shared" si="15"/>
        <v>496.92346938775506</v>
      </c>
    </row>
    <row r="100" spans="1:16">
      <c r="A100" s="2">
        <v>42914</v>
      </c>
      <c r="B100" s="1">
        <v>978.55</v>
      </c>
      <c r="C100" s="1">
        <v>990.68</v>
      </c>
      <c r="D100" s="1">
        <v>969.21</v>
      </c>
      <c r="E100" s="1">
        <v>990.33</v>
      </c>
      <c r="F100" s="1">
        <v>3737600</v>
      </c>
      <c r="G100" s="1">
        <v>990.33</v>
      </c>
      <c r="H100" s="1">
        <f t="shared" si="9"/>
        <v>21.469999999999914</v>
      </c>
      <c r="I100" s="9">
        <f t="shared" si="16"/>
        <v>2.2152061988629825E-2</v>
      </c>
      <c r="J100" s="1">
        <f t="shared" si="17"/>
        <v>13.550000000000068</v>
      </c>
      <c r="K100" s="9">
        <f t="shared" si="10"/>
        <v>1.3872110403570987E-2</v>
      </c>
      <c r="L100" s="1">
        <f t="shared" si="11"/>
        <v>1</v>
      </c>
      <c r="M100" s="1">
        <f t="shared" si="12"/>
        <v>990.68</v>
      </c>
      <c r="N100" s="1">
        <f t="shared" si="13"/>
        <v>969.21</v>
      </c>
      <c r="O100" s="1">
        <f t="shared" si="14"/>
        <v>988.37</v>
      </c>
      <c r="P100" s="1">
        <f t="shared" si="15"/>
        <v>504.2704081632653</v>
      </c>
    </row>
    <row r="101" spans="1:16">
      <c r="A101" s="2">
        <v>42913</v>
      </c>
      <c r="B101" s="1">
        <v>990.69</v>
      </c>
      <c r="C101" s="1">
        <v>998.8</v>
      </c>
      <c r="D101" s="1">
        <v>976</v>
      </c>
      <c r="E101" s="1">
        <v>976.78</v>
      </c>
      <c r="F101" s="1">
        <v>3782400</v>
      </c>
      <c r="G101" s="1">
        <v>976.78</v>
      </c>
      <c r="H101" s="1">
        <f t="shared" si="9"/>
        <v>22.799999999999955</v>
      </c>
      <c r="I101" s="9">
        <f t="shared" si="16"/>
        <v>2.336065573770487E-2</v>
      </c>
      <c r="J101" s="1">
        <f t="shared" si="17"/>
        <v>-17.200000000000045</v>
      </c>
      <c r="K101" s="9">
        <f t="shared" si="10"/>
        <v>-1.7304171110082742E-2</v>
      </c>
      <c r="L101" s="1">
        <f t="shared" si="11"/>
        <v>1</v>
      </c>
      <c r="M101" s="1">
        <f t="shared" si="12"/>
        <v>998.8</v>
      </c>
      <c r="N101" s="1">
        <f t="shared" si="13"/>
        <v>976</v>
      </c>
      <c r="O101" s="1">
        <f t="shared" si="14"/>
        <v>974.81999999999994</v>
      </c>
      <c r="P101" s="1">
        <f t="shared" si="15"/>
        <v>497.35714285714283</v>
      </c>
    </row>
    <row r="102" spans="1:16">
      <c r="A102" s="2">
        <v>42912</v>
      </c>
      <c r="B102" s="1">
        <v>1008.5</v>
      </c>
      <c r="C102" s="1">
        <v>1009.8</v>
      </c>
      <c r="D102" s="1">
        <v>992</v>
      </c>
      <c r="E102" s="1">
        <v>993.98</v>
      </c>
      <c r="F102" s="1">
        <v>3386200</v>
      </c>
      <c r="G102" s="1">
        <v>993.98</v>
      </c>
      <c r="H102" s="1">
        <f t="shared" si="9"/>
        <v>17.799999999999955</v>
      </c>
      <c r="I102" s="9">
        <f t="shared" si="16"/>
        <v>1.794354838709673E-2</v>
      </c>
      <c r="J102" s="1">
        <f t="shared" si="17"/>
        <v>-9.7599999999999909</v>
      </c>
      <c r="K102" s="9">
        <f t="shared" si="10"/>
        <v>-9.7236336102974781E-3</v>
      </c>
      <c r="L102" s="1">
        <f t="shared" si="11"/>
        <v>1</v>
      </c>
      <c r="M102" s="1">
        <f t="shared" si="12"/>
        <v>1009.8</v>
      </c>
      <c r="N102" s="1">
        <f t="shared" si="13"/>
        <v>992</v>
      </c>
      <c r="O102" s="1">
        <f t="shared" si="14"/>
        <v>992.02</v>
      </c>
      <c r="P102" s="1">
        <f t="shared" si="15"/>
        <v>506.13265306122452</v>
      </c>
    </row>
    <row r="103" spans="1:16">
      <c r="A103" s="2">
        <v>42909</v>
      </c>
      <c r="B103" s="1">
        <v>1002.54</v>
      </c>
      <c r="C103" s="1">
        <v>1004.62</v>
      </c>
      <c r="D103" s="1">
        <v>998.02</v>
      </c>
      <c r="E103" s="1">
        <v>1003.74</v>
      </c>
      <c r="F103" s="1">
        <v>2879100</v>
      </c>
      <c r="G103" s="1">
        <v>1003.74</v>
      </c>
      <c r="H103" s="1">
        <f t="shared" si="9"/>
        <v>6.6000000000000227</v>
      </c>
      <c r="I103" s="9">
        <f t="shared" si="16"/>
        <v>6.6130939259734503E-3</v>
      </c>
      <c r="J103" s="1">
        <f t="shared" si="17"/>
        <v>2.4400000000000546</v>
      </c>
      <c r="K103" s="9">
        <f t="shared" si="10"/>
        <v>2.4368321182463345E-3</v>
      </c>
      <c r="L103" s="1">
        <f t="shared" si="11"/>
        <v>1</v>
      </c>
      <c r="M103" s="1">
        <f t="shared" si="12"/>
        <v>1004.62</v>
      </c>
      <c r="N103" s="1">
        <f t="shared" si="13"/>
        <v>998.02</v>
      </c>
      <c r="O103" s="1">
        <f t="shared" si="14"/>
        <v>1001.78</v>
      </c>
      <c r="P103" s="1">
        <f t="shared" si="15"/>
        <v>511.11224489795916</v>
      </c>
    </row>
    <row r="104" spans="1:16">
      <c r="A104" s="2">
        <v>42908</v>
      </c>
      <c r="B104" s="1">
        <v>1002.23</v>
      </c>
      <c r="C104" s="1">
        <v>1006.96</v>
      </c>
      <c r="D104" s="1">
        <v>997.2</v>
      </c>
      <c r="E104" s="1">
        <v>1001.3</v>
      </c>
      <c r="F104" s="1">
        <v>2253400</v>
      </c>
      <c r="G104" s="1">
        <v>1001.3</v>
      </c>
      <c r="H104" s="1">
        <f t="shared" si="9"/>
        <v>9.7599999999999909</v>
      </c>
      <c r="I104" s="9">
        <f t="shared" si="16"/>
        <v>9.7874047332530984E-3</v>
      </c>
      <c r="J104" s="1">
        <f t="shared" si="17"/>
        <v>-0.93000000000006366</v>
      </c>
      <c r="K104" s="9">
        <f t="shared" si="10"/>
        <v>-9.2793071450671366E-4</v>
      </c>
      <c r="L104" s="1">
        <f t="shared" si="11"/>
        <v>1</v>
      </c>
      <c r="M104" s="1">
        <f t="shared" si="12"/>
        <v>1006.96</v>
      </c>
      <c r="N104" s="1">
        <f t="shared" si="13"/>
        <v>997.2</v>
      </c>
      <c r="O104" s="1">
        <f t="shared" si="14"/>
        <v>999.33999999999992</v>
      </c>
      <c r="P104" s="1">
        <f t="shared" si="15"/>
        <v>509.86734693877548</v>
      </c>
    </row>
    <row r="105" spans="1:16">
      <c r="A105" s="2">
        <v>42907</v>
      </c>
      <c r="B105" s="1">
        <v>998.7</v>
      </c>
      <c r="C105" s="1">
        <v>1002.72</v>
      </c>
      <c r="D105" s="1">
        <v>992.65</v>
      </c>
      <c r="E105" s="1">
        <v>1002.23</v>
      </c>
      <c r="F105" s="1">
        <v>2922500</v>
      </c>
      <c r="G105" s="1">
        <v>1002.23</v>
      </c>
      <c r="H105" s="1">
        <f t="shared" si="9"/>
        <v>10.07000000000005</v>
      </c>
      <c r="I105" s="9">
        <f t="shared" si="16"/>
        <v>1.0144562534629578E-2</v>
      </c>
      <c r="J105" s="1">
        <f t="shared" si="17"/>
        <v>9.6399999999999864</v>
      </c>
      <c r="K105" s="9">
        <f t="shared" si="10"/>
        <v>9.7119656655819484E-3</v>
      </c>
      <c r="L105" s="1">
        <f t="shared" si="11"/>
        <v>1</v>
      </c>
      <c r="M105" s="1">
        <f t="shared" si="12"/>
        <v>1002.72</v>
      </c>
      <c r="N105" s="1">
        <f t="shared" si="13"/>
        <v>992.65</v>
      </c>
      <c r="O105" s="1">
        <f t="shared" si="14"/>
        <v>1000.27</v>
      </c>
      <c r="P105" s="1">
        <f t="shared" si="15"/>
        <v>510.34183673469386</v>
      </c>
    </row>
    <row r="106" spans="1:16">
      <c r="A106" s="2">
        <v>42906</v>
      </c>
      <c r="B106" s="1">
        <v>998</v>
      </c>
      <c r="C106" s="1">
        <v>1004.88</v>
      </c>
      <c r="D106" s="1">
        <v>992.02</v>
      </c>
      <c r="E106" s="1">
        <v>992.59</v>
      </c>
      <c r="F106" s="1">
        <v>4076800</v>
      </c>
      <c r="G106" s="1">
        <v>992.59</v>
      </c>
      <c r="H106" s="1">
        <f t="shared" si="9"/>
        <v>12.860000000000014</v>
      </c>
      <c r="I106" s="9">
        <f t="shared" si="16"/>
        <v>1.2963448317574256E-2</v>
      </c>
      <c r="J106" s="1">
        <f t="shared" si="17"/>
        <v>-2.5799999999999272</v>
      </c>
      <c r="K106" s="9">
        <f t="shared" si="10"/>
        <v>-2.5925218806836293E-3</v>
      </c>
      <c r="L106" s="1">
        <f t="shared" si="11"/>
        <v>1</v>
      </c>
      <c r="M106" s="1">
        <f t="shared" si="12"/>
        <v>1004.88</v>
      </c>
      <c r="N106" s="1">
        <f t="shared" si="13"/>
        <v>992.02</v>
      </c>
      <c r="O106" s="1">
        <f t="shared" si="14"/>
        <v>990.63</v>
      </c>
      <c r="P106" s="1">
        <f t="shared" si="15"/>
        <v>505.42346938775512</v>
      </c>
    </row>
    <row r="107" spans="1:16">
      <c r="A107" s="2">
        <v>42905</v>
      </c>
      <c r="B107" s="1">
        <v>1017</v>
      </c>
      <c r="C107" s="1">
        <v>1017</v>
      </c>
      <c r="D107" s="1">
        <v>989.9</v>
      </c>
      <c r="E107" s="1">
        <v>995.17</v>
      </c>
      <c r="F107" s="1">
        <v>5043400</v>
      </c>
      <c r="G107" s="1">
        <v>995.17</v>
      </c>
      <c r="H107" s="1">
        <f t="shared" si="9"/>
        <v>27.100000000000023</v>
      </c>
      <c r="I107" s="9">
        <f t="shared" si="16"/>
        <v>2.7376502677038107E-2</v>
      </c>
      <c r="J107" s="1">
        <f t="shared" si="17"/>
        <v>7.4599999999999227</v>
      </c>
      <c r="K107" s="9">
        <f t="shared" si="10"/>
        <v>7.5528242095351085E-3</v>
      </c>
      <c r="L107" s="1">
        <f t="shared" si="11"/>
        <v>1</v>
      </c>
      <c r="M107" s="1">
        <f t="shared" si="12"/>
        <v>1017</v>
      </c>
      <c r="N107" s="1">
        <f t="shared" si="13"/>
        <v>989.9</v>
      </c>
      <c r="O107" s="1">
        <f t="shared" si="14"/>
        <v>993.20999999999992</v>
      </c>
      <c r="P107" s="1">
        <f t="shared" si="15"/>
        <v>506.73979591836729</v>
      </c>
    </row>
    <row r="108" spans="1:16">
      <c r="A108" s="2">
        <v>42902</v>
      </c>
      <c r="B108" s="1">
        <v>996</v>
      </c>
      <c r="C108" s="1">
        <v>999.75</v>
      </c>
      <c r="D108" s="1">
        <v>982</v>
      </c>
      <c r="E108" s="1">
        <v>987.71</v>
      </c>
      <c r="F108" s="1">
        <v>11472700</v>
      </c>
      <c r="G108" s="1">
        <v>987.71</v>
      </c>
      <c r="H108" s="1">
        <f t="shared" si="9"/>
        <v>17.75</v>
      </c>
      <c r="I108" s="9">
        <f t="shared" si="16"/>
        <v>1.8075356415478614E-2</v>
      </c>
      <c r="J108" s="1">
        <f t="shared" si="17"/>
        <v>23.540000000000077</v>
      </c>
      <c r="K108" s="9">
        <f t="shared" si="10"/>
        <v>2.441478162564701E-2</v>
      </c>
      <c r="L108" s="1">
        <f t="shared" si="11"/>
        <v>1</v>
      </c>
      <c r="M108" s="1">
        <f t="shared" si="12"/>
        <v>999.75</v>
      </c>
      <c r="N108" s="1">
        <f t="shared" si="13"/>
        <v>982</v>
      </c>
      <c r="O108" s="1">
        <f t="shared" si="14"/>
        <v>985.75</v>
      </c>
      <c r="P108" s="1">
        <f t="shared" si="15"/>
        <v>502.93367346938777</v>
      </c>
    </row>
    <row r="109" spans="1:16">
      <c r="A109" s="2">
        <v>42901</v>
      </c>
      <c r="B109" s="1">
        <v>958.7</v>
      </c>
      <c r="C109" s="1">
        <v>965.73</v>
      </c>
      <c r="D109" s="1">
        <v>950.86</v>
      </c>
      <c r="E109" s="1">
        <v>964.17</v>
      </c>
      <c r="F109" s="1">
        <v>5373900</v>
      </c>
      <c r="G109" s="1">
        <v>964.17</v>
      </c>
      <c r="H109" s="1">
        <f t="shared" si="9"/>
        <v>14.870000000000005</v>
      </c>
      <c r="I109" s="9">
        <f t="shared" si="16"/>
        <v>1.5638474644006483E-2</v>
      </c>
      <c r="J109" s="1">
        <f t="shared" si="17"/>
        <v>-12.300000000000068</v>
      </c>
      <c r="K109" s="9">
        <f t="shared" si="10"/>
        <v>-1.2596393130357377E-2</v>
      </c>
      <c r="L109" s="1">
        <f t="shared" si="11"/>
        <v>1</v>
      </c>
      <c r="M109" s="1">
        <f t="shared" si="12"/>
        <v>965.73</v>
      </c>
      <c r="N109" s="1">
        <f t="shared" si="13"/>
        <v>950.86</v>
      </c>
      <c r="O109" s="1">
        <f t="shared" si="14"/>
        <v>962.20999999999992</v>
      </c>
      <c r="P109" s="1">
        <f t="shared" si="15"/>
        <v>490.92346938775506</v>
      </c>
    </row>
    <row r="110" spans="1:16">
      <c r="A110" s="2">
        <v>42900</v>
      </c>
      <c r="B110" s="1">
        <v>988.59</v>
      </c>
      <c r="C110" s="1">
        <v>990.34</v>
      </c>
      <c r="D110" s="1">
        <v>966.71</v>
      </c>
      <c r="E110" s="1">
        <v>976.47</v>
      </c>
      <c r="F110" s="1">
        <v>3974900</v>
      </c>
      <c r="G110" s="1">
        <v>976.47</v>
      </c>
      <c r="H110" s="1">
        <f t="shared" si="9"/>
        <v>23.629999999999995</v>
      </c>
      <c r="I110" s="9">
        <f t="shared" si="16"/>
        <v>2.4443731832710942E-2</v>
      </c>
      <c r="J110" s="1">
        <f t="shared" si="17"/>
        <v>-4.3199999999999363</v>
      </c>
      <c r="K110" s="9">
        <f t="shared" si="10"/>
        <v>-4.4046126082035262E-3</v>
      </c>
      <c r="L110" s="1">
        <f t="shared" si="11"/>
        <v>1</v>
      </c>
      <c r="M110" s="1">
        <f t="shared" si="12"/>
        <v>990.34</v>
      </c>
      <c r="N110" s="1">
        <f t="shared" si="13"/>
        <v>966.71</v>
      </c>
      <c r="O110" s="1">
        <f t="shared" si="14"/>
        <v>974.51</v>
      </c>
      <c r="P110" s="1">
        <f t="shared" si="15"/>
        <v>497.19897959183675</v>
      </c>
    </row>
    <row r="111" spans="1:16">
      <c r="A111" s="2">
        <v>42899</v>
      </c>
      <c r="B111" s="1">
        <v>977.99</v>
      </c>
      <c r="C111" s="1">
        <v>984.5</v>
      </c>
      <c r="D111" s="1">
        <v>966.1</v>
      </c>
      <c r="E111" s="1">
        <v>980.79</v>
      </c>
      <c r="F111" s="1">
        <v>4580000</v>
      </c>
      <c r="G111" s="1">
        <v>980.79</v>
      </c>
      <c r="H111" s="1">
        <f t="shared" si="9"/>
        <v>18.399999999999977</v>
      </c>
      <c r="I111" s="9">
        <f t="shared" si="16"/>
        <v>1.9045647448504271E-2</v>
      </c>
      <c r="J111" s="1">
        <f t="shared" si="17"/>
        <v>15.879999999999995</v>
      </c>
      <c r="K111" s="9">
        <f t="shared" si="10"/>
        <v>1.6457493444984501E-2</v>
      </c>
      <c r="L111" s="1">
        <f t="shared" si="11"/>
        <v>1</v>
      </c>
      <c r="M111" s="1">
        <f t="shared" si="12"/>
        <v>984.5</v>
      </c>
      <c r="N111" s="1">
        <f t="shared" si="13"/>
        <v>966.1</v>
      </c>
      <c r="O111" s="1">
        <f t="shared" si="14"/>
        <v>978.82999999999993</v>
      </c>
      <c r="P111" s="1">
        <f t="shared" si="15"/>
        <v>499.40306122448976</v>
      </c>
    </row>
    <row r="112" spans="1:16">
      <c r="A112" s="2">
        <v>42898</v>
      </c>
      <c r="B112" s="1">
        <v>967</v>
      </c>
      <c r="C112" s="1">
        <v>975.95</v>
      </c>
      <c r="D112" s="1">
        <v>945</v>
      </c>
      <c r="E112" s="1">
        <v>964.91</v>
      </c>
      <c r="F112" s="1">
        <v>9447200</v>
      </c>
      <c r="G112" s="1">
        <v>964.91</v>
      </c>
      <c r="H112" s="1">
        <f t="shared" si="9"/>
        <v>30.950000000000045</v>
      </c>
      <c r="I112" s="9">
        <f t="shared" si="16"/>
        <v>3.2751322751322802E-2</v>
      </c>
      <c r="J112" s="1">
        <f t="shared" si="17"/>
        <v>-13.399999999999977</v>
      </c>
      <c r="K112" s="9">
        <f t="shared" si="10"/>
        <v>-1.369708987948603E-2</v>
      </c>
      <c r="L112" s="1">
        <f t="shared" si="11"/>
        <v>1</v>
      </c>
      <c r="M112" s="1">
        <f t="shared" si="12"/>
        <v>975.95</v>
      </c>
      <c r="N112" s="1">
        <f t="shared" si="13"/>
        <v>945</v>
      </c>
      <c r="O112" s="1">
        <f t="shared" si="14"/>
        <v>962.94999999999993</v>
      </c>
      <c r="P112" s="1">
        <f t="shared" si="15"/>
        <v>491.30102040816325</v>
      </c>
    </row>
    <row r="113" spans="1:16">
      <c r="A113" s="2">
        <v>42895</v>
      </c>
      <c r="B113" s="1">
        <v>1012.5</v>
      </c>
      <c r="C113" s="1">
        <v>1012.99</v>
      </c>
      <c r="D113" s="1">
        <v>927</v>
      </c>
      <c r="E113" s="1">
        <v>978.31</v>
      </c>
      <c r="F113" s="1">
        <v>7647700</v>
      </c>
      <c r="G113" s="1">
        <v>978.31</v>
      </c>
      <c r="H113" s="1">
        <f t="shared" si="9"/>
        <v>85.990000000000009</v>
      </c>
      <c r="I113" s="9">
        <f t="shared" si="16"/>
        <v>9.2761596548004324E-2</v>
      </c>
      <c r="J113" s="1">
        <f t="shared" si="17"/>
        <v>-31.960000000000036</v>
      </c>
      <c r="K113" s="9">
        <f t="shared" si="10"/>
        <v>-3.163510744652423E-2</v>
      </c>
      <c r="L113" s="1">
        <f t="shared" si="11"/>
        <v>1</v>
      </c>
      <c r="M113" s="1">
        <f t="shared" si="12"/>
        <v>1012.99</v>
      </c>
      <c r="N113" s="1">
        <f t="shared" si="13"/>
        <v>927</v>
      </c>
      <c r="O113" s="1">
        <f t="shared" si="14"/>
        <v>976.34999999999991</v>
      </c>
      <c r="P113" s="1">
        <f t="shared" si="15"/>
        <v>498.13775510204079</v>
      </c>
    </row>
    <row r="114" spans="1:16">
      <c r="A114" s="2">
        <v>42894</v>
      </c>
      <c r="B114" s="1">
        <v>1012.06</v>
      </c>
      <c r="C114" s="1">
        <v>1013.61</v>
      </c>
      <c r="D114" s="1">
        <v>1006.11</v>
      </c>
      <c r="E114" s="1">
        <v>1010.27</v>
      </c>
      <c r="F114" s="1">
        <v>2753300</v>
      </c>
      <c r="G114" s="1">
        <v>1010.27</v>
      </c>
      <c r="H114" s="1">
        <f t="shared" si="9"/>
        <v>7.5</v>
      </c>
      <c r="I114" s="9">
        <f t="shared" si="16"/>
        <v>7.4544532903956821E-3</v>
      </c>
      <c r="J114" s="1">
        <f t="shared" si="17"/>
        <v>0.19999999999993179</v>
      </c>
      <c r="K114" s="9">
        <f t="shared" si="10"/>
        <v>1.980060787865512E-4</v>
      </c>
      <c r="L114" s="1">
        <f t="shared" si="11"/>
        <v>1</v>
      </c>
      <c r="M114" s="1">
        <f t="shared" si="12"/>
        <v>1013.61</v>
      </c>
      <c r="N114" s="1">
        <f t="shared" si="13"/>
        <v>1006.11</v>
      </c>
      <c r="O114" s="1">
        <f t="shared" si="14"/>
        <v>1008.31</v>
      </c>
      <c r="P114" s="1">
        <f t="shared" si="15"/>
        <v>514.44387755102036</v>
      </c>
    </row>
    <row r="115" spans="1:16">
      <c r="A115" s="2">
        <v>42893</v>
      </c>
      <c r="B115" s="1">
        <v>1005.95</v>
      </c>
      <c r="C115" s="1">
        <v>1010.25</v>
      </c>
      <c r="D115" s="1">
        <v>1002</v>
      </c>
      <c r="E115" s="1">
        <v>1010.07</v>
      </c>
      <c r="F115" s="1">
        <v>2823000</v>
      </c>
      <c r="G115" s="1">
        <v>1010.07</v>
      </c>
      <c r="H115" s="1">
        <f t="shared" si="9"/>
        <v>8.25</v>
      </c>
      <c r="I115" s="9">
        <f t="shared" si="16"/>
        <v>8.2335329341317372E-3</v>
      </c>
      <c r="J115" s="1">
        <f t="shared" si="17"/>
        <v>7.07000000000005</v>
      </c>
      <c r="K115" s="9">
        <f t="shared" si="10"/>
        <v>7.0488534396810068E-3</v>
      </c>
      <c r="L115" s="1">
        <f t="shared" si="11"/>
        <v>1</v>
      </c>
      <c r="M115" s="1">
        <f t="shared" si="12"/>
        <v>1010.25</v>
      </c>
      <c r="N115" s="1">
        <f t="shared" si="13"/>
        <v>1002</v>
      </c>
      <c r="O115" s="1">
        <f t="shared" si="14"/>
        <v>1008.11</v>
      </c>
      <c r="P115" s="1">
        <f t="shared" si="15"/>
        <v>514.34183673469386</v>
      </c>
    </row>
    <row r="116" spans="1:16">
      <c r="A116" s="2">
        <v>42892</v>
      </c>
      <c r="B116" s="1">
        <v>1012</v>
      </c>
      <c r="C116" s="1">
        <v>1016.5</v>
      </c>
      <c r="D116" s="1">
        <v>1001.25</v>
      </c>
      <c r="E116" s="1">
        <v>1003</v>
      </c>
      <c r="F116" s="1">
        <v>3346400</v>
      </c>
      <c r="G116" s="1">
        <v>1003</v>
      </c>
      <c r="H116" s="1">
        <f t="shared" si="9"/>
        <v>15.25</v>
      </c>
      <c r="I116" s="9">
        <f t="shared" si="16"/>
        <v>1.5230961298377029E-2</v>
      </c>
      <c r="J116" s="1">
        <f t="shared" si="17"/>
        <v>-8.3400000000000318</v>
      </c>
      <c r="K116" s="9">
        <f t="shared" si="10"/>
        <v>-8.2464848616687087E-3</v>
      </c>
      <c r="L116" s="1">
        <f t="shared" si="11"/>
        <v>1</v>
      </c>
      <c r="M116" s="1">
        <f t="shared" si="12"/>
        <v>1016.5</v>
      </c>
      <c r="N116" s="1">
        <f t="shared" si="13"/>
        <v>1001.25</v>
      </c>
      <c r="O116" s="1">
        <f t="shared" si="14"/>
        <v>1001.04</v>
      </c>
      <c r="P116" s="1">
        <f t="shared" si="15"/>
        <v>510.73469387755102</v>
      </c>
    </row>
    <row r="117" spans="1:16">
      <c r="A117" s="2">
        <v>42891</v>
      </c>
      <c r="B117" s="1">
        <v>1007.23</v>
      </c>
      <c r="C117" s="1">
        <v>1013.21</v>
      </c>
      <c r="D117" s="1">
        <v>1003.51</v>
      </c>
      <c r="E117" s="1">
        <v>1011.34</v>
      </c>
      <c r="F117" s="1">
        <v>2719900</v>
      </c>
      <c r="G117" s="1">
        <v>1011.34</v>
      </c>
      <c r="H117" s="1">
        <f t="shared" si="9"/>
        <v>9.7000000000000455</v>
      </c>
      <c r="I117" s="9">
        <f t="shared" si="16"/>
        <v>9.6660720869747637E-3</v>
      </c>
      <c r="J117" s="1">
        <f t="shared" si="17"/>
        <v>4.6100000000000136</v>
      </c>
      <c r="K117" s="9">
        <f t="shared" si="10"/>
        <v>4.5791821044371519E-3</v>
      </c>
      <c r="L117" s="1">
        <f t="shared" si="11"/>
        <v>1</v>
      </c>
      <c r="M117" s="1">
        <f t="shared" si="12"/>
        <v>1013.21</v>
      </c>
      <c r="N117" s="1">
        <f t="shared" si="13"/>
        <v>1003.51</v>
      </c>
      <c r="O117" s="1">
        <f t="shared" si="14"/>
        <v>1009.38</v>
      </c>
      <c r="P117" s="1">
        <f t="shared" si="15"/>
        <v>514.98979591836735</v>
      </c>
    </row>
    <row r="118" spans="1:16">
      <c r="A118" s="2">
        <v>42888</v>
      </c>
      <c r="B118" s="1">
        <v>998.99</v>
      </c>
      <c r="C118" s="1">
        <v>1008.48</v>
      </c>
      <c r="D118" s="1">
        <v>995.67</v>
      </c>
      <c r="E118" s="1">
        <v>1006.73</v>
      </c>
      <c r="F118" s="1">
        <v>3752300</v>
      </c>
      <c r="G118" s="1">
        <v>1006.73</v>
      </c>
      <c r="H118" s="1">
        <f t="shared" si="9"/>
        <v>12.810000000000059</v>
      </c>
      <c r="I118" s="9">
        <f t="shared" si="16"/>
        <v>1.286570851788249E-2</v>
      </c>
      <c r="J118" s="1">
        <f t="shared" si="17"/>
        <v>10.779999999999973</v>
      </c>
      <c r="K118" s="9">
        <f t="shared" si="10"/>
        <v>1.0823836537978786E-2</v>
      </c>
      <c r="L118" s="1">
        <f t="shared" si="11"/>
        <v>1</v>
      </c>
      <c r="M118" s="1">
        <f t="shared" si="12"/>
        <v>1008.48</v>
      </c>
      <c r="N118" s="1">
        <f t="shared" si="13"/>
        <v>995.67</v>
      </c>
      <c r="O118" s="1">
        <f t="shared" si="14"/>
        <v>1004.77</v>
      </c>
      <c r="P118" s="1">
        <f t="shared" si="15"/>
        <v>512.63775510204084</v>
      </c>
    </row>
    <row r="119" spans="1:16">
      <c r="A119" s="2">
        <v>42887</v>
      </c>
      <c r="B119" s="1">
        <v>998.59</v>
      </c>
      <c r="C119" s="1">
        <v>998.99</v>
      </c>
      <c r="D119" s="1">
        <v>991.37</v>
      </c>
      <c r="E119" s="1">
        <v>995.95</v>
      </c>
      <c r="F119" s="1">
        <v>2454800</v>
      </c>
      <c r="G119" s="1">
        <v>995.95</v>
      </c>
      <c r="H119" s="1">
        <f t="shared" si="9"/>
        <v>7.6200000000000045</v>
      </c>
      <c r="I119" s="9">
        <f t="shared" si="16"/>
        <v>7.6863330542582533E-3</v>
      </c>
      <c r="J119" s="1">
        <f t="shared" si="17"/>
        <v>1.3300000000000409</v>
      </c>
      <c r="K119" s="9">
        <f t="shared" si="10"/>
        <v>1.337194104281073E-3</v>
      </c>
      <c r="L119" s="1">
        <f t="shared" si="11"/>
        <v>1</v>
      </c>
      <c r="M119" s="1">
        <f t="shared" si="12"/>
        <v>998.99</v>
      </c>
      <c r="N119" s="1">
        <f t="shared" si="13"/>
        <v>991.37</v>
      </c>
      <c r="O119" s="1">
        <f t="shared" si="14"/>
        <v>993.99</v>
      </c>
      <c r="P119" s="1">
        <f t="shared" si="15"/>
        <v>507.13775510204084</v>
      </c>
    </row>
    <row r="120" spans="1:16">
      <c r="A120" s="2">
        <v>42886</v>
      </c>
      <c r="B120" s="1">
        <v>1000</v>
      </c>
      <c r="C120" s="1">
        <v>1000.12</v>
      </c>
      <c r="D120" s="1">
        <v>982.16</v>
      </c>
      <c r="E120" s="1">
        <v>994.62</v>
      </c>
      <c r="F120" s="1">
        <v>3913100</v>
      </c>
      <c r="G120" s="1">
        <v>994.62</v>
      </c>
      <c r="H120" s="1">
        <f t="shared" si="9"/>
        <v>17.960000000000036</v>
      </c>
      <c r="I120" s="9">
        <f t="shared" si="16"/>
        <v>1.8286226276777753E-2</v>
      </c>
      <c r="J120" s="1">
        <f t="shared" si="17"/>
        <v>-2.0800000000000409</v>
      </c>
      <c r="K120" s="9">
        <f t="shared" si="10"/>
        <v>-2.0868867261964893E-3</v>
      </c>
      <c r="L120" s="1">
        <f t="shared" si="11"/>
        <v>1</v>
      </c>
      <c r="M120" s="1">
        <f t="shared" si="12"/>
        <v>1000.12</v>
      </c>
      <c r="N120" s="1">
        <f t="shared" si="13"/>
        <v>982.16</v>
      </c>
      <c r="O120" s="1">
        <f t="shared" si="14"/>
        <v>992.66</v>
      </c>
      <c r="P120" s="1">
        <f t="shared" si="15"/>
        <v>506.4591836734694</v>
      </c>
    </row>
    <row r="121" spans="1:16">
      <c r="A121" s="2">
        <v>42885</v>
      </c>
      <c r="B121" s="1">
        <v>996.51</v>
      </c>
      <c r="C121" s="1">
        <v>1001.2</v>
      </c>
      <c r="D121" s="1">
        <v>995.52</v>
      </c>
      <c r="E121" s="1">
        <v>996.7</v>
      </c>
      <c r="F121" s="1">
        <v>3263100</v>
      </c>
      <c r="G121" s="1">
        <v>996.7</v>
      </c>
      <c r="H121" s="1">
        <f t="shared" si="9"/>
        <v>5.6800000000000637</v>
      </c>
      <c r="I121" s="9">
        <f t="shared" si="16"/>
        <v>5.7055609128898099E-3</v>
      </c>
      <c r="J121" s="1">
        <f t="shared" si="17"/>
        <v>0.92000000000007276</v>
      </c>
      <c r="K121" s="9">
        <f t="shared" si="10"/>
        <v>9.2389885316040976E-4</v>
      </c>
      <c r="L121" s="1">
        <f t="shared" si="11"/>
        <v>1</v>
      </c>
      <c r="M121" s="1">
        <f t="shared" si="12"/>
        <v>1001.2</v>
      </c>
      <c r="N121" s="1">
        <f t="shared" si="13"/>
        <v>995.52</v>
      </c>
      <c r="O121" s="1">
        <f t="shared" si="14"/>
        <v>994.74</v>
      </c>
      <c r="P121" s="1">
        <f t="shared" si="15"/>
        <v>507.5204081632653</v>
      </c>
    </row>
    <row r="122" spans="1:16">
      <c r="A122" s="2">
        <v>42881</v>
      </c>
      <c r="B122" s="1">
        <v>995</v>
      </c>
      <c r="C122" s="1">
        <v>998.65</v>
      </c>
      <c r="D122" s="1">
        <v>989.25</v>
      </c>
      <c r="E122" s="1">
        <v>995.78</v>
      </c>
      <c r="F122" s="1">
        <v>3469200</v>
      </c>
      <c r="G122" s="1">
        <v>995.78</v>
      </c>
      <c r="H122" s="1">
        <f t="shared" si="9"/>
        <v>9.3999999999999773</v>
      </c>
      <c r="I122" s="9">
        <f t="shared" si="16"/>
        <v>9.5021480919888577E-3</v>
      </c>
      <c r="J122" s="1">
        <f t="shared" si="17"/>
        <v>2.3999999999999773</v>
      </c>
      <c r="K122" s="9">
        <f t="shared" si="10"/>
        <v>2.415993879482149E-3</v>
      </c>
      <c r="L122" s="1">
        <f t="shared" si="11"/>
        <v>1</v>
      </c>
      <c r="M122" s="1">
        <f t="shared" si="12"/>
        <v>998.65</v>
      </c>
      <c r="N122" s="1">
        <f t="shared" si="13"/>
        <v>989.25</v>
      </c>
      <c r="O122" s="1">
        <f t="shared" si="14"/>
        <v>993.81999999999994</v>
      </c>
      <c r="P122" s="1">
        <f t="shared" si="15"/>
        <v>507.05102040816325</v>
      </c>
    </row>
    <row r="123" spans="1:16">
      <c r="A123" s="2">
        <v>42880</v>
      </c>
      <c r="B123" s="1">
        <v>984.85</v>
      </c>
      <c r="C123" s="1">
        <v>999</v>
      </c>
      <c r="D123" s="1">
        <v>982.11</v>
      </c>
      <c r="E123" s="1">
        <v>993.38</v>
      </c>
      <c r="F123" s="1">
        <v>4822000</v>
      </c>
      <c r="G123" s="1">
        <v>993.38</v>
      </c>
      <c r="H123" s="1">
        <f t="shared" si="9"/>
        <v>16.889999999999986</v>
      </c>
      <c r="I123" s="9">
        <f t="shared" si="16"/>
        <v>1.7197666249198142E-2</v>
      </c>
      <c r="J123" s="1">
        <f t="shared" si="17"/>
        <v>13.029999999999973</v>
      </c>
      <c r="K123" s="9">
        <f t="shared" si="10"/>
        <v>1.3291171520375348E-2</v>
      </c>
      <c r="L123" s="1">
        <f t="shared" si="11"/>
        <v>1</v>
      </c>
      <c r="M123" s="1">
        <f t="shared" si="12"/>
        <v>999</v>
      </c>
      <c r="N123" s="1">
        <f t="shared" si="13"/>
        <v>982.11</v>
      </c>
      <c r="O123" s="1">
        <f t="shared" si="14"/>
        <v>991.42</v>
      </c>
      <c r="P123" s="1">
        <f t="shared" si="15"/>
        <v>505.82653061224488</v>
      </c>
    </row>
    <row r="124" spans="1:16">
      <c r="A124" s="2">
        <v>42879</v>
      </c>
      <c r="B124" s="1">
        <v>976</v>
      </c>
      <c r="C124" s="1">
        <v>981</v>
      </c>
      <c r="D124" s="1">
        <v>970.23</v>
      </c>
      <c r="E124" s="1">
        <v>980.35</v>
      </c>
      <c r="F124" s="1">
        <v>2446000</v>
      </c>
      <c r="G124" s="1">
        <v>980.35</v>
      </c>
      <c r="H124" s="1">
        <f t="shared" si="9"/>
        <v>10.769999999999982</v>
      </c>
      <c r="I124" s="9">
        <f t="shared" si="16"/>
        <v>1.1100460715500429E-2</v>
      </c>
      <c r="J124" s="1">
        <f t="shared" si="17"/>
        <v>8.8100000000000591</v>
      </c>
      <c r="K124" s="9">
        <f t="shared" si="10"/>
        <v>9.0680774852296975E-3</v>
      </c>
      <c r="L124" s="1">
        <f t="shared" si="11"/>
        <v>1</v>
      </c>
      <c r="M124" s="1">
        <f t="shared" si="12"/>
        <v>981</v>
      </c>
      <c r="N124" s="1">
        <f t="shared" si="13"/>
        <v>970.23</v>
      </c>
      <c r="O124" s="1">
        <f t="shared" si="14"/>
        <v>978.39</v>
      </c>
      <c r="P124" s="1">
        <f t="shared" si="15"/>
        <v>499.17857142857144</v>
      </c>
    </row>
    <row r="125" spans="1:16">
      <c r="A125" s="2">
        <v>42878</v>
      </c>
      <c r="B125" s="1">
        <v>975.02</v>
      </c>
      <c r="C125" s="1">
        <v>975.2</v>
      </c>
      <c r="D125" s="1">
        <v>966.85</v>
      </c>
      <c r="E125" s="1">
        <v>971.54</v>
      </c>
      <c r="F125" s="1">
        <v>2415600</v>
      </c>
      <c r="G125" s="1">
        <v>971.54</v>
      </c>
      <c r="H125" s="1">
        <f t="shared" si="9"/>
        <v>8.3500000000000227</v>
      </c>
      <c r="I125" s="9">
        <f t="shared" si="16"/>
        <v>8.6362931168226954E-3</v>
      </c>
      <c r="J125" s="1">
        <f t="shared" si="17"/>
        <v>0.87000000000000455</v>
      </c>
      <c r="K125" s="9">
        <f t="shared" si="10"/>
        <v>8.9628813087867614E-4</v>
      </c>
      <c r="L125" s="1">
        <f t="shared" si="11"/>
        <v>1</v>
      </c>
      <c r="M125" s="1">
        <f t="shared" si="12"/>
        <v>975.2</v>
      </c>
      <c r="N125" s="1">
        <f t="shared" si="13"/>
        <v>966.85</v>
      </c>
      <c r="O125" s="1">
        <f t="shared" si="14"/>
        <v>969.57999999999993</v>
      </c>
      <c r="P125" s="1">
        <f t="shared" si="15"/>
        <v>494.68367346938771</v>
      </c>
    </row>
    <row r="126" spans="1:16">
      <c r="A126" s="2">
        <v>42877</v>
      </c>
      <c r="B126" s="1">
        <v>964</v>
      </c>
      <c r="C126" s="1">
        <v>971.38</v>
      </c>
      <c r="D126" s="1">
        <v>962.9</v>
      </c>
      <c r="E126" s="1">
        <v>970.67</v>
      </c>
      <c r="F126" s="1">
        <v>2642200</v>
      </c>
      <c r="G126" s="1">
        <v>970.67</v>
      </c>
      <c r="H126" s="1">
        <f t="shared" si="9"/>
        <v>8.4800000000000182</v>
      </c>
      <c r="I126" s="9">
        <f t="shared" si="16"/>
        <v>8.8067296707861863E-3</v>
      </c>
      <c r="J126" s="1">
        <f t="shared" si="17"/>
        <v>10.829999999999927</v>
      </c>
      <c r="K126" s="9">
        <f t="shared" si="10"/>
        <v>1.1283130521753549E-2</v>
      </c>
      <c r="L126" s="1">
        <f t="shared" si="11"/>
        <v>1</v>
      </c>
      <c r="M126" s="1">
        <f t="shared" si="12"/>
        <v>971.38</v>
      </c>
      <c r="N126" s="1">
        <f t="shared" si="13"/>
        <v>962.9</v>
      </c>
      <c r="O126" s="1">
        <f t="shared" si="14"/>
        <v>968.70999999999992</v>
      </c>
      <c r="P126" s="1">
        <f t="shared" si="15"/>
        <v>494.23979591836729</v>
      </c>
    </row>
    <row r="127" spans="1:16">
      <c r="A127" s="2">
        <v>42874</v>
      </c>
      <c r="B127" s="1">
        <v>962.84</v>
      </c>
      <c r="C127" s="1">
        <v>968.92</v>
      </c>
      <c r="D127" s="1">
        <v>959.72</v>
      </c>
      <c r="E127" s="1">
        <v>959.84</v>
      </c>
      <c r="F127" s="1">
        <v>3972100</v>
      </c>
      <c r="G127" s="1">
        <v>959.84</v>
      </c>
      <c r="H127" s="1">
        <f t="shared" si="9"/>
        <v>9.1999999999999318</v>
      </c>
      <c r="I127" s="9">
        <f t="shared" si="16"/>
        <v>9.5861292877088434E-3</v>
      </c>
      <c r="J127" s="1">
        <f t="shared" si="17"/>
        <v>1.3500000000000227</v>
      </c>
      <c r="K127" s="9">
        <f t="shared" si="10"/>
        <v>1.4084653987000624E-3</v>
      </c>
      <c r="L127" s="1">
        <f t="shared" si="11"/>
        <v>1</v>
      </c>
      <c r="M127" s="1">
        <f t="shared" si="12"/>
        <v>968.92</v>
      </c>
      <c r="N127" s="1">
        <f t="shared" si="13"/>
        <v>959.72</v>
      </c>
      <c r="O127" s="1">
        <f t="shared" si="14"/>
        <v>957.88</v>
      </c>
      <c r="P127" s="1">
        <f t="shared" si="15"/>
        <v>488.71428571428572</v>
      </c>
    </row>
    <row r="128" spans="1:16">
      <c r="A128" s="2">
        <v>42873</v>
      </c>
      <c r="B128" s="1">
        <v>944.8</v>
      </c>
      <c r="C128" s="1">
        <v>962.75</v>
      </c>
      <c r="D128" s="1">
        <v>944.76</v>
      </c>
      <c r="E128" s="1">
        <v>958.49</v>
      </c>
      <c r="F128" s="1">
        <v>3939300</v>
      </c>
      <c r="G128" s="1">
        <v>958.49</v>
      </c>
      <c r="H128" s="1">
        <f t="shared" si="9"/>
        <v>17.990000000000009</v>
      </c>
      <c r="I128" s="9">
        <f t="shared" si="16"/>
        <v>1.9041873068292487E-2</v>
      </c>
      <c r="J128" s="1">
        <f t="shared" si="17"/>
        <v>13.730000000000018</v>
      </c>
      <c r="K128" s="9">
        <f t="shared" si="10"/>
        <v>1.4532791396756868E-2</v>
      </c>
      <c r="L128" s="1">
        <f t="shared" si="11"/>
        <v>1</v>
      </c>
      <c r="M128" s="1">
        <f t="shared" si="12"/>
        <v>962.75</v>
      </c>
      <c r="N128" s="1">
        <f t="shared" si="13"/>
        <v>944.76</v>
      </c>
      <c r="O128" s="1">
        <f t="shared" si="14"/>
        <v>956.53</v>
      </c>
      <c r="P128" s="1">
        <f t="shared" si="15"/>
        <v>488.02551020408163</v>
      </c>
    </row>
    <row r="129" spans="1:16">
      <c r="A129" s="2">
        <v>42872</v>
      </c>
      <c r="B129" s="1">
        <v>954.7</v>
      </c>
      <c r="C129" s="1">
        <v>960.4</v>
      </c>
      <c r="D129" s="1">
        <v>944.12</v>
      </c>
      <c r="E129" s="1">
        <v>944.76</v>
      </c>
      <c r="F129" s="1">
        <v>5145600</v>
      </c>
      <c r="G129" s="1">
        <v>944.76</v>
      </c>
      <c r="H129" s="1">
        <f t="shared" si="9"/>
        <v>16.279999999999973</v>
      </c>
      <c r="I129" s="9">
        <f t="shared" si="16"/>
        <v>1.7243570732533971E-2</v>
      </c>
      <c r="J129" s="1">
        <f t="shared" si="17"/>
        <v>-21.310000000000059</v>
      </c>
      <c r="K129" s="9">
        <f t="shared" si="10"/>
        <v>-2.2058442969971181E-2</v>
      </c>
      <c r="L129" s="1">
        <f t="shared" si="11"/>
        <v>1</v>
      </c>
      <c r="M129" s="1">
        <f t="shared" si="12"/>
        <v>960.4</v>
      </c>
      <c r="N129" s="1">
        <f t="shared" si="13"/>
        <v>944.12</v>
      </c>
      <c r="O129" s="1">
        <f t="shared" si="14"/>
        <v>942.8</v>
      </c>
      <c r="P129" s="1">
        <f t="shared" si="15"/>
        <v>481.0204081632653</v>
      </c>
    </row>
    <row r="130" spans="1:16">
      <c r="A130" s="2">
        <v>42871</v>
      </c>
      <c r="B130" s="1">
        <v>961</v>
      </c>
      <c r="C130" s="1">
        <v>970.06</v>
      </c>
      <c r="D130" s="1">
        <v>960.91</v>
      </c>
      <c r="E130" s="1">
        <v>966.07</v>
      </c>
      <c r="F130" s="1">
        <v>3126100</v>
      </c>
      <c r="G130" s="1">
        <v>966.07</v>
      </c>
      <c r="H130" s="1">
        <f t="shared" si="9"/>
        <v>9.1499999999999773</v>
      </c>
      <c r="I130" s="9">
        <f t="shared" si="16"/>
        <v>9.5222237254269163E-3</v>
      </c>
      <c r="J130" s="1">
        <f t="shared" si="17"/>
        <v>8.1000000000000227</v>
      </c>
      <c r="K130" s="9">
        <f t="shared" si="10"/>
        <v>8.4553796047893183E-3</v>
      </c>
      <c r="L130" s="1">
        <f t="shared" si="11"/>
        <v>1</v>
      </c>
      <c r="M130" s="1">
        <f t="shared" si="12"/>
        <v>970.06</v>
      </c>
      <c r="N130" s="1">
        <f t="shared" si="13"/>
        <v>960.91</v>
      </c>
      <c r="O130" s="1">
        <f t="shared" si="14"/>
        <v>964.11</v>
      </c>
      <c r="P130" s="1">
        <f t="shared" si="15"/>
        <v>491.89285714285717</v>
      </c>
    </row>
    <row r="131" spans="1:16">
      <c r="A131" s="2">
        <v>42870</v>
      </c>
      <c r="B131" s="1">
        <v>958.73</v>
      </c>
      <c r="C131" s="1">
        <v>963.15</v>
      </c>
      <c r="D131" s="1">
        <v>956.06</v>
      </c>
      <c r="E131" s="1">
        <v>957.97</v>
      </c>
      <c r="F131" s="1">
        <v>4270600</v>
      </c>
      <c r="G131" s="1">
        <v>957.97</v>
      </c>
      <c r="H131" s="1">
        <f t="shared" ref="H131:H194" si="18">C131-D131</f>
        <v>7.0900000000000318</v>
      </c>
      <c r="I131" s="9">
        <f t="shared" si="16"/>
        <v>7.4158525615547477E-3</v>
      </c>
      <c r="J131" s="1">
        <f t="shared" si="17"/>
        <v>-3.3799999999999955</v>
      </c>
      <c r="K131" s="9">
        <f t="shared" ref="K131:K194" si="19">(G131-G132)/G132</f>
        <v>-3.5158891142663914E-3</v>
      </c>
      <c r="L131" s="1">
        <f t="shared" ref="L131:L194" si="20">G131/E131</f>
        <v>1</v>
      </c>
      <c r="M131" s="1">
        <f t="shared" ref="M131:M194" si="21">L131*C131</f>
        <v>963.15</v>
      </c>
      <c r="N131" s="1">
        <f t="shared" ref="N131:N194" si="22">L131*D131</f>
        <v>956.06</v>
      </c>
      <c r="O131" s="1">
        <f t="shared" ref="O131:O194" si="23">G131-$G$5163</f>
        <v>956.01</v>
      </c>
      <c r="P131" s="1">
        <f t="shared" ref="P131:P194" si="24">(G131-$G$5163)/$G$5163</f>
        <v>487.76020408163265</v>
      </c>
    </row>
    <row r="132" spans="1:16">
      <c r="A132" s="2">
        <v>42867</v>
      </c>
      <c r="B132" s="1">
        <v>954.5</v>
      </c>
      <c r="C132" s="1">
        <v>962.79</v>
      </c>
      <c r="D132" s="1">
        <v>951.53</v>
      </c>
      <c r="E132" s="1">
        <v>961.35</v>
      </c>
      <c r="F132" s="1">
        <v>3625900</v>
      </c>
      <c r="G132" s="1">
        <v>961.35</v>
      </c>
      <c r="H132" s="1">
        <f t="shared" si="18"/>
        <v>11.259999999999991</v>
      </c>
      <c r="I132" s="9">
        <f t="shared" ref="I132:I195" si="25">(C132-D132)/D132</f>
        <v>1.1833573297741522E-2</v>
      </c>
      <c r="J132" s="1">
        <f t="shared" ref="J132:J195" si="26">G132-G133</f>
        <v>13.730000000000018</v>
      </c>
      <c r="K132" s="9">
        <f t="shared" si="19"/>
        <v>1.4488930161879254E-2</v>
      </c>
      <c r="L132" s="1">
        <f t="shared" si="20"/>
        <v>1</v>
      </c>
      <c r="M132" s="1">
        <f t="shared" si="21"/>
        <v>962.79</v>
      </c>
      <c r="N132" s="1">
        <f t="shared" si="22"/>
        <v>951.53</v>
      </c>
      <c r="O132" s="1">
        <f t="shared" si="23"/>
        <v>959.39</v>
      </c>
      <c r="P132" s="1">
        <f t="shared" si="24"/>
        <v>489.48469387755102</v>
      </c>
    </row>
    <row r="133" spans="1:16">
      <c r="A133" s="2">
        <v>42866</v>
      </c>
      <c r="B133" s="1">
        <v>945.11</v>
      </c>
      <c r="C133" s="1">
        <v>950.29</v>
      </c>
      <c r="D133" s="1">
        <v>940.78</v>
      </c>
      <c r="E133" s="1">
        <v>947.62</v>
      </c>
      <c r="F133" s="1">
        <v>2194100</v>
      </c>
      <c r="G133" s="1">
        <v>947.62</v>
      </c>
      <c r="H133" s="1">
        <f t="shared" si="18"/>
        <v>9.5099999999999909</v>
      </c>
      <c r="I133" s="9">
        <f t="shared" si="25"/>
        <v>1.0108633261761507E-2</v>
      </c>
      <c r="J133" s="1">
        <f t="shared" si="26"/>
        <v>-1.3300000000000409</v>
      </c>
      <c r="K133" s="9">
        <f t="shared" si="19"/>
        <v>-1.4015490805627702E-3</v>
      </c>
      <c r="L133" s="1">
        <f t="shared" si="20"/>
        <v>1</v>
      </c>
      <c r="M133" s="1">
        <f t="shared" si="21"/>
        <v>950.29</v>
      </c>
      <c r="N133" s="1">
        <f t="shared" si="22"/>
        <v>940.78</v>
      </c>
      <c r="O133" s="1">
        <f t="shared" si="23"/>
        <v>945.66</v>
      </c>
      <c r="P133" s="1">
        <f t="shared" si="24"/>
        <v>482.4795918367347</v>
      </c>
    </row>
    <row r="134" spans="1:16">
      <c r="A134" s="2">
        <v>42865</v>
      </c>
      <c r="B134" s="1">
        <v>953.5</v>
      </c>
      <c r="C134" s="1">
        <v>953.75</v>
      </c>
      <c r="D134" s="1">
        <v>945</v>
      </c>
      <c r="E134" s="1">
        <v>948.95</v>
      </c>
      <c r="F134" s="1">
        <v>2096500</v>
      </c>
      <c r="G134" s="1">
        <v>948.95</v>
      </c>
      <c r="H134" s="1">
        <f t="shared" si="18"/>
        <v>8.75</v>
      </c>
      <c r="I134" s="9">
        <f t="shared" si="25"/>
        <v>9.2592592592592587E-3</v>
      </c>
      <c r="J134" s="1">
        <f t="shared" si="26"/>
        <v>-3.8700000000000045</v>
      </c>
      <c r="K134" s="9">
        <f t="shared" si="19"/>
        <v>-4.0616275896811615E-3</v>
      </c>
      <c r="L134" s="1">
        <f t="shared" si="20"/>
        <v>1</v>
      </c>
      <c r="M134" s="1">
        <f t="shared" si="21"/>
        <v>953.75</v>
      </c>
      <c r="N134" s="1">
        <f t="shared" si="22"/>
        <v>945</v>
      </c>
      <c r="O134" s="1">
        <f t="shared" si="23"/>
        <v>946.99</v>
      </c>
      <c r="P134" s="1">
        <f t="shared" si="24"/>
        <v>483.15816326530614</v>
      </c>
    </row>
    <row r="135" spans="1:16">
      <c r="A135" s="2">
        <v>42864</v>
      </c>
      <c r="B135" s="1">
        <v>952.8</v>
      </c>
      <c r="C135" s="1">
        <v>957.89</v>
      </c>
      <c r="D135" s="1">
        <v>950.2</v>
      </c>
      <c r="E135" s="1">
        <v>952.82</v>
      </c>
      <c r="F135" s="1">
        <v>3262100</v>
      </c>
      <c r="G135" s="1">
        <v>952.82</v>
      </c>
      <c r="H135" s="1">
        <f t="shared" si="18"/>
        <v>7.6899999999999409</v>
      </c>
      <c r="I135" s="9">
        <f t="shared" si="25"/>
        <v>8.0930330456745331E-3</v>
      </c>
      <c r="J135" s="1">
        <f t="shared" si="26"/>
        <v>3.7800000000000864</v>
      </c>
      <c r="K135" s="9">
        <f t="shared" si="19"/>
        <v>3.9829722667117156E-3</v>
      </c>
      <c r="L135" s="1">
        <f t="shared" si="20"/>
        <v>1</v>
      </c>
      <c r="M135" s="1">
        <f t="shared" si="21"/>
        <v>957.89</v>
      </c>
      <c r="N135" s="1">
        <f t="shared" si="22"/>
        <v>950.2</v>
      </c>
      <c r="O135" s="1">
        <f t="shared" si="23"/>
        <v>950.86</v>
      </c>
      <c r="P135" s="1">
        <f t="shared" si="24"/>
        <v>485.13265306122452</v>
      </c>
    </row>
    <row r="136" spans="1:16">
      <c r="A136" s="2">
        <v>42863</v>
      </c>
      <c r="B136" s="1">
        <v>940.95</v>
      </c>
      <c r="C136" s="1">
        <v>949.05</v>
      </c>
      <c r="D136" s="1">
        <v>939.21</v>
      </c>
      <c r="E136" s="1">
        <v>949.04</v>
      </c>
      <c r="F136" s="1">
        <v>3415700</v>
      </c>
      <c r="G136" s="1">
        <v>949.04</v>
      </c>
      <c r="H136" s="1">
        <f t="shared" si="18"/>
        <v>9.8399999999999181</v>
      </c>
      <c r="I136" s="9">
        <f t="shared" si="25"/>
        <v>1.0476890152362004E-2</v>
      </c>
      <c r="J136" s="1">
        <f t="shared" si="26"/>
        <v>14.889999999999986</v>
      </c>
      <c r="K136" s="9">
        <f t="shared" si="19"/>
        <v>1.5939624257346238E-2</v>
      </c>
      <c r="L136" s="1">
        <f t="shared" si="20"/>
        <v>1</v>
      </c>
      <c r="M136" s="1">
        <f t="shared" si="21"/>
        <v>949.05</v>
      </c>
      <c r="N136" s="1">
        <f t="shared" si="22"/>
        <v>939.21</v>
      </c>
      <c r="O136" s="1">
        <f t="shared" si="23"/>
        <v>947.07999999999993</v>
      </c>
      <c r="P136" s="1">
        <f t="shared" si="24"/>
        <v>483.20408163265301</v>
      </c>
    </row>
    <row r="137" spans="1:16">
      <c r="A137" s="2">
        <v>42860</v>
      </c>
      <c r="B137" s="1">
        <v>940.52</v>
      </c>
      <c r="C137" s="1">
        <v>940.79</v>
      </c>
      <c r="D137" s="1">
        <v>930.3</v>
      </c>
      <c r="E137" s="1">
        <v>934.15</v>
      </c>
      <c r="F137" s="1">
        <v>2866400</v>
      </c>
      <c r="G137" s="1">
        <v>934.15</v>
      </c>
      <c r="H137" s="1">
        <f t="shared" si="18"/>
        <v>10.490000000000009</v>
      </c>
      <c r="I137" s="9">
        <f t="shared" si="25"/>
        <v>1.127593249489413E-2</v>
      </c>
      <c r="J137" s="1">
        <f t="shared" si="26"/>
        <v>-3.3799999999999955</v>
      </c>
      <c r="K137" s="9">
        <f t="shared" si="19"/>
        <v>-3.6052179663584052E-3</v>
      </c>
      <c r="L137" s="1">
        <f t="shared" si="20"/>
        <v>1</v>
      </c>
      <c r="M137" s="1">
        <f t="shared" si="21"/>
        <v>940.79</v>
      </c>
      <c r="N137" s="1">
        <f t="shared" si="22"/>
        <v>930.3</v>
      </c>
      <c r="O137" s="1">
        <f t="shared" si="23"/>
        <v>932.18999999999994</v>
      </c>
      <c r="P137" s="1">
        <f t="shared" si="24"/>
        <v>475.60714285714283</v>
      </c>
    </row>
    <row r="138" spans="1:16">
      <c r="A138" s="2">
        <v>42859</v>
      </c>
      <c r="B138" s="1">
        <v>944.75</v>
      </c>
      <c r="C138" s="1">
        <v>945</v>
      </c>
      <c r="D138" s="1">
        <v>934.22</v>
      </c>
      <c r="E138" s="1">
        <v>937.53</v>
      </c>
      <c r="F138" s="1">
        <v>2418400</v>
      </c>
      <c r="G138" s="1">
        <v>937.53</v>
      </c>
      <c r="H138" s="1">
        <f t="shared" si="18"/>
        <v>10.779999999999973</v>
      </c>
      <c r="I138" s="9">
        <f t="shared" si="25"/>
        <v>1.1539037913981687E-2</v>
      </c>
      <c r="J138" s="1">
        <f t="shared" si="26"/>
        <v>-3.5</v>
      </c>
      <c r="K138" s="9">
        <f t="shared" si="19"/>
        <v>-3.719328820547698E-3</v>
      </c>
      <c r="L138" s="1">
        <f t="shared" si="20"/>
        <v>1</v>
      </c>
      <c r="M138" s="1">
        <f t="shared" si="21"/>
        <v>945</v>
      </c>
      <c r="N138" s="1">
        <f t="shared" si="22"/>
        <v>934.22</v>
      </c>
      <c r="O138" s="1">
        <f t="shared" si="23"/>
        <v>935.56999999999994</v>
      </c>
      <c r="P138" s="1">
        <f t="shared" si="24"/>
        <v>477.33163265306121</v>
      </c>
    </row>
    <row r="139" spans="1:16">
      <c r="A139" s="2">
        <v>42858</v>
      </c>
      <c r="B139" s="1">
        <v>946</v>
      </c>
      <c r="C139" s="1">
        <v>946</v>
      </c>
      <c r="D139" s="1">
        <v>935.9</v>
      </c>
      <c r="E139" s="1">
        <v>941.03</v>
      </c>
      <c r="F139" s="1">
        <v>3582700</v>
      </c>
      <c r="G139" s="1">
        <v>941.03</v>
      </c>
      <c r="H139" s="1">
        <f t="shared" si="18"/>
        <v>10.100000000000023</v>
      </c>
      <c r="I139" s="9">
        <f t="shared" si="25"/>
        <v>1.0791751255476037E-2</v>
      </c>
      <c r="J139" s="1">
        <f t="shared" si="26"/>
        <v>-5.9100000000000819</v>
      </c>
      <c r="K139" s="9">
        <f t="shared" si="19"/>
        <v>-6.2411557226435483E-3</v>
      </c>
      <c r="L139" s="1">
        <f t="shared" si="20"/>
        <v>1</v>
      </c>
      <c r="M139" s="1">
        <f t="shared" si="21"/>
        <v>946</v>
      </c>
      <c r="N139" s="1">
        <f t="shared" si="22"/>
        <v>935.9</v>
      </c>
      <c r="O139" s="1">
        <f t="shared" si="23"/>
        <v>939.06999999999994</v>
      </c>
      <c r="P139" s="1">
        <f t="shared" si="24"/>
        <v>479.11734693877548</v>
      </c>
    </row>
    <row r="140" spans="1:16">
      <c r="A140" s="2">
        <v>42857</v>
      </c>
      <c r="B140" s="1">
        <v>946.65</v>
      </c>
      <c r="C140" s="1">
        <v>950.1</v>
      </c>
      <c r="D140" s="1">
        <v>941.41</v>
      </c>
      <c r="E140" s="1">
        <v>946.94</v>
      </c>
      <c r="F140" s="1">
        <v>3848800</v>
      </c>
      <c r="G140" s="1">
        <v>946.94</v>
      </c>
      <c r="H140" s="1">
        <f t="shared" si="18"/>
        <v>8.6900000000000546</v>
      </c>
      <c r="I140" s="9">
        <f t="shared" si="25"/>
        <v>9.2308345991651396E-3</v>
      </c>
      <c r="J140" s="1">
        <f t="shared" si="26"/>
        <v>-1.2899999999999636</v>
      </c>
      <c r="K140" s="9">
        <f t="shared" si="19"/>
        <v>-1.36042943167793E-3</v>
      </c>
      <c r="L140" s="1">
        <f t="shared" si="20"/>
        <v>1</v>
      </c>
      <c r="M140" s="1">
        <f t="shared" si="21"/>
        <v>950.1</v>
      </c>
      <c r="N140" s="1">
        <f t="shared" si="22"/>
        <v>941.41</v>
      </c>
      <c r="O140" s="1">
        <f t="shared" si="23"/>
        <v>944.98</v>
      </c>
      <c r="P140" s="1">
        <f t="shared" si="24"/>
        <v>482.13265306122452</v>
      </c>
    </row>
    <row r="141" spans="1:16">
      <c r="A141" s="2">
        <v>42856</v>
      </c>
      <c r="B141" s="1">
        <v>927.8</v>
      </c>
      <c r="C141" s="1">
        <v>954.4</v>
      </c>
      <c r="D141" s="1">
        <v>927.8</v>
      </c>
      <c r="E141" s="1">
        <v>948.23</v>
      </c>
      <c r="F141" s="1">
        <v>5466500</v>
      </c>
      <c r="G141" s="1">
        <v>948.23</v>
      </c>
      <c r="H141" s="1">
        <f t="shared" si="18"/>
        <v>26.600000000000023</v>
      </c>
      <c r="I141" s="9">
        <f t="shared" si="25"/>
        <v>2.8669971976719145E-2</v>
      </c>
      <c r="J141" s="1">
        <f t="shared" si="26"/>
        <v>23.240000000000009</v>
      </c>
      <c r="K141" s="9">
        <f t="shared" si="19"/>
        <v>2.5124595941577756E-2</v>
      </c>
      <c r="L141" s="1">
        <f t="shared" si="20"/>
        <v>1</v>
      </c>
      <c r="M141" s="1">
        <f t="shared" si="21"/>
        <v>954.4</v>
      </c>
      <c r="N141" s="1">
        <f t="shared" si="22"/>
        <v>927.8</v>
      </c>
      <c r="O141" s="1">
        <f t="shared" si="23"/>
        <v>946.27</v>
      </c>
      <c r="P141" s="1">
        <f t="shared" si="24"/>
        <v>482.7908163265306</v>
      </c>
    </row>
    <row r="142" spans="1:16">
      <c r="A142" s="2">
        <v>42853</v>
      </c>
      <c r="B142" s="1">
        <v>948.83</v>
      </c>
      <c r="C142" s="1">
        <v>949.59</v>
      </c>
      <c r="D142" s="1">
        <v>924.33</v>
      </c>
      <c r="E142" s="1">
        <v>924.99</v>
      </c>
      <c r="F142" s="1">
        <v>7335800</v>
      </c>
      <c r="G142" s="1">
        <v>924.99</v>
      </c>
      <c r="H142" s="1">
        <f t="shared" si="18"/>
        <v>25.259999999999991</v>
      </c>
      <c r="I142" s="9">
        <f t="shared" si="25"/>
        <v>2.7327902372529279E-2</v>
      </c>
      <c r="J142" s="1">
        <f t="shared" si="26"/>
        <v>6.6100000000000136</v>
      </c>
      <c r="K142" s="9">
        <f t="shared" si="19"/>
        <v>7.1974563906008551E-3</v>
      </c>
      <c r="L142" s="1">
        <f t="shared" si="20"/>
        <v>1</v>
      </c>
      <c r="M142" s="1">
        <f t="shared" si="21"/>
        <v>949.59</v>
      </c>
      <c r="N142" s="1">
        <f t="shared" si="22"/>
        <v>924.33</v>
      </c>
      <c r="O142" s="1">
        <f t="shared" si="23"/>
        <v>923.03</v>
      </c>
      <c r="P142" s="1">
        <f t="shared" si="24"/>
        <v>470.93367346938777</v>
      </c>
    </row>
    <row r="143" spans="1:16">
      <c r="A143" s="2">
        <v>42852</v>
      </c>
      <c r="B143" s="1">
        <v>914.39</v>
      </c>
      <c r="C143" s="1">
        <v>921.86</v>
      </c>
      <c r="D143" s="1">
        <v>912.11</v>
      </c>
      <c r="E143" s="1">
        <v>918.38</v>
      </c>
      <c r="F143" s="1">
        <v>5305500</v>
      </c>
      <c r="G143" s="1">
        <v>918.38</v>
      </c>
      <c r="H143" s="1">
        <f t="shared" si="18"/>
        <v>9.75</v>
      </c>
      <c r="I143" s="9">
        <f t="shared" si="25"/>
        <v>1.0689500169935643E-2</v>
      </c>
      <c r="J143" s="1">
        <f t="shared" si="26"/>
        <v>9.0900000000000318</v>
      </c>
      <c r="K143" s="9">
        <f t="shared" si="19"/>
        <v>9.9968106984570735E-3</v>
      </c>
      <c r="L143" s="1">
        <f t="shared" si="20"/>
        <v>1</v>
      </c>
      <c r="M143" s="1">
        <f t="shared" si="21"/>
        <v>921.86</v>
      </c>
      <c r="N143" s="1">
        <f t="shared" si="22"/>
        <v>912.11</v>
      </c>
      <c r="O143" s="1">
        <f t="shared" si="23"/>
        <v>916.42</v>
      </c>
      <c r="P143" s="1">
        <f t="shared" si="24"/>
        <v>467.5612244897959</v>
      </c>
    </row>
    <row r="144" spans="1:16">
      <c r="A144" s="2">
        <v>42851</v>
      </c>
      <c r="B144" s="1">
        <v>910.3</v>
      </c>
      <c r="C144" s="1">
        <v>915.75</v>
      </c>
      <c r="D144" s="1">
        <v>907.56</v>
      </c>
      <c r="E144" s="1">
        <v>909.29</v>
      </c>
      <c r="F144" s="1">
        <v>2608900</v>
      </c>
      <c r="G144" s="1">
        <v>909.29</v>
      </c>
      <c r="H144" s="1">
        <f t="shared" si="18"/>
        <v>8.1900000000000546</v>
      </c>
      <c r="I144" s="9">
        <f t="shared" si="25"/>
        <v>9.024196747322551E-3</v>
      </c>
      <c r="J144" s="1">
        <f t="shared" si="26"/>
        <v>1.6699999999999591</v>
      </c>
      <c r="K144" s="9">
        <f t="shared" si="19"/>
        <v>1.8399770829201198E-3</v>
      </c>
      <c r="L144" s="1">
        <f t="shared" si="20"/>
        <v>1</v>
      </c>
      <c r="M144" s="1">
        <f t="shared" si="21"/>
        <v>915.75</v>
      </c>
      <c r="N144" s="1">
        <f t="shared" si="22"/>
        <v>907.56</v>
      </c>
      <c r="O144" s="1">
        <f t="shared" si="23"/>
        <v>907.32999999999993</v>
      </c>
      <c r="P144" s="1">
        <f t="shared" si="24"/>
        <v>462.92346938775506</v>
      </c>
    </row>
    <row r="145" spans="1:16">
      <c r="A145" s="2">
        <v>42850</v>
      </c>
      <c r="B145" s="1">
        <v>907.04</v>
      </c>
      <c r="C145" s="1">
        <v>909.48</v>
      </c>
      <c r="D145" s="1">
        <v>903</v>
      </c>
      <c r="E145" s="1">
        <v>907.62</v>
      </c>
      <c r="F145" s="1">
        <v>3380600</v>
      </c>
      <c r="G145" s="1">
        <v>907.62</v>
      </c>
      <c r="H145" s="1">
        <f t="shared" si="18"/>
        <v>6.4800000000000182</v>
      </c>
      <c r="I145" s="9">
        <f t="shared" si="25"/>
        <v>7.1760797342192897E-3</v>
      </c>
      <c r="J145" s="1">
        <f t="shared" si="26"/>
        <v>0.21000000000003638</v>
      </c>
      <c r="K145" s="9">
        <f t="shared" si="19"/>
        <v>2.3142791020601094E-4</v>
      </c>
      <c r="L145" s="1">
        <f t="shared" si="20"/>
        <v>1</v>
      </c>
      <c r="M145" s="1">
        <f t="shared" si="21"/>
        <v>909.48</v>
      </c>
      <c r="N145" s="1">
        <f t="shared" si="22"/>
        <v>903</v>
      </c>
      <c r="O145" s="1">
        <f t="shared" si="23"/>
        <v>905.66</v>
      </c>
      <c r="P145" s="1">
        <f t="shared" si="24"/>
        <v>462.07142857142856</v>
      </c>
    </row>
    <row r="146" spans="1:16">
      <c r="A146" s="2">
        <v>42849</v>
      </c>
      <c r="B146" s="1">
        <v>908.68</v>
      </c>
      <c r="C146" s="1">
        <v>909.99</v>
      </c>
      <c r="D146" s="1">
        <v>903.82</v>
      </c>
      <c r="E146" s="1">
        <v>907.41</v>
      </c>
      <c r="F146" s="1">
        <v>3122900</v>
      </c>
      <c r="G146" s="1">
        <v>907.41</v>
      </c>
      <c r="H146" s="1">
        <f t="shared" si="18"/>
        <v>6.1699999999999591</v>
      </c>
      <c r="I146" s="9">
        <f t="shared" si="25"/>
        <v>6.8265805138190772E-3</v>
      </c>
      <c r="J146" s="1">
        <f t="shared" si="26"/>
        <v>8.8799999999999955</v>
      </c>
      <c r="K146" s="9">
        <f t="shared" si="19"/>
        <v>9.8828085873593485E-3</v>
      </c>
      <c r="L146" s="1">
        <f t="shared" si="20"/>
        <v>1</v>
      </c>
      <c r="M146" s="1">
        <f t="shared" si="21"/>
        <v>909.99</v>
      </c>
      <c r="N146" s="1">
        <f t="shared" si="22"/>
        <v>903.82</v>
      </c>
      <c r="O146" s="1">
        <f t="shared" si="23"/>
        <v>905.44999999999993</v>
      </c>
      <c r="P146" s="1">
        <f t="shared" si="24"/>
        <v>461.96428571428567</v>
      </c>
    </row>
    <row r="147" spans="1:16">
      <c r="A147" s="2">
        <v>42846</v>
      </c>
      <c r="B147" s="1">
        <v>902.67</v>
      </c>
      <c r="C147" s="1">
        <v>903.65</v>
      </c>
      <c r="D147" s="1">
        <v>896.77</v>
      </c>
      <c r="E147" s="1">
        <v>898.53</v>
      </c>
      <c r="F147" s="1">
        <v>2420500</v>
      </c>
      <c r="G147" s="1">
        <v>898.53</v>
      </c>
      <c r="H147" s="1">
        <f t="shared" si="18"/>
        <v>6.8799999999999955</v>
      </c>
      <c r="I147" s="9">
        <f t="shared" si="25"/>
        <v>7.671978322200782E-3</v>
      </c>
      <c r="J147" s="1">
        <f t="shared" si="26"/>
        <v>-3.5299999999999727</v>
      </c>
      <c r="K147" s="9">
        <f t="shared" si="19"/>
        <v>-3.9132651930026529E-3</v>
      </c>
      <c r="L147" s="1">
        <f t="shared" si="20"/>
        <v>1</v>
      </c>
      <c r="M147" s="1">
        <f t="shared" si="21"/>
        <v>903.65</v>
      </c>
      <c r="N147" s="1">
        <f t="shared" si="22"/>
        <v>896.77</v>
      </c>
      <c r="O147" s="1">
        <f t="shared" si="23"/>
        <v>896.56999999999994</v>
      </c>
      <c r="P147" s="1">
        <f t="shared" si="24"/>
        <v>457.43367346938771</v>
      </c>
    </row>
    <row r="148" spans="1:16">
      <c r="A148" s="2">
        <v>42845</v>
      </c>
      <c r="B148" s="1">
        <v>899.7</v>
      </c>
      <c r="C148" s="1">
        <v>905.32</v>
      </c>
      <c r="D148" s="1">
        <v>896.29</v>
      </c>
      <c r="E148" s="1">
        <v>902.06</v>
      </c>
      <c r="F148" s="1">
        <v>2814400</v>
      </c>
      <c r="G148" s="1">
        <v>902.06</v>
      </c>
      <c r="H148" s="1">
        <f t="shared" si="18"/>
        <v>9.0300000000000864</v>
      </c>
      <c r="I148" s="9">
        <f t="shared" si="25"/>
        <v>1.0074864162269005E-2</v>
      </c>
      <c r="J148" s="1">
        <f t="shared" si="26"/>
        <v>2.8599999999999</v>
      </c>
      <c r="K148" s="9">
        <f t="shared" si="19"/>
        <v>3.1806049822062942E-3</v>
      </c>
      <c r="L148" s="1">
        <f t="shared" si="20"/>
        <v>1</v>
      </c>
      <c r="M148" s="1">
        <f t="shared" si="21"/>
        <v>905.32</v>
      </c>
      <c r="N148" s="1">
        <f t="shared" si="22"/>
        <v>896.29</v>
      </c>
      <c r="O148" s="1">
        <f t="shared" si="23"/>
        <v>900.09999999999991</v>
      </c>
      <c r="P148" s="1">
        <f t="shared" si="24"/>
        <v>459.23469387755097</v>
      </c>
    </row>
    <row r="149" spans="1:16">
      <c r="A149" s="2">
        <v>42844</v>
      </c>
      <c r="B149" s="1">
        <v>907.84</v>
      </c>
      <c r="C149" s="1">
        <v>910.5</v>
      </c>
      <c r="D149" s="1">
        <v>897.37</v>
      </c>
      <c r="E149" s="1">
        <v>899.2</v>
      </c>
      <c r="F149" s="1">
        <v>2870200</v>
      </c>
      <c r="G149" s="1">
        <v>899.2</v>
      </c>
      <c r="H149" s="1">
        <f t="shared" si="18"/>
        <v>13.129999999999995</v>
      </c>
      <c r="I149" s="9">
        <f t="shared" si="25"/>
        <v>1.4631645809420859E-2</v>
      </c>
      <c r="J149" s="1">
        <f t="shared" si="26"/>
        <v>-4.5799999999999272</v>
      </c>
      <c r="K149" s="9">
        <f t="shared" si="19"/>
        <v>-5.0676049481067596E-3</v>
      </c>
      <c r="L149" s="1">
        <f t="shared" si="20"/>
        <v>1</v>
      </c>
      <c r="M149" s="1">
        <f t="shared" si="21"/>
        <v>910.5</v>
      </c>
      <c r="N149" s="1">
        <f t="shared" si="22"/>
        <v>897.37</v>
      </c>
      <c r="O149" s="1">
        <f t="shared" si="23"/>
        <v>897.24</v>
      </c>
      <c r="P149" s="1">
        <f t="shared" si="24"/>
        <v>457.77551020408163</v>
      </c>
    </row>
    <row r="150" spans="1:16">
      <c r="A150" s="2">
        <v>42843</v>
      </c>
      <c r="B150" s="1">
        <v>900.99</v>
      </c>
      <c r="C150" s="1">
        <v>909.61</v>
      </c>
      <c r="D150" s="1">
        <v>900.78</v>
      </c>
      <c r="E150" s="1">
        <v>903.78</v>
      </c>
      <c r="F150" s="1">
        <v>2999200</v>
      </c>
      <c r="G150" s="1">
        <v>903.78</v>
      </c>
      <c r="H150" s="1">
        <f t="shared" si="18"/>
        <v>8.8300000000000409</v>
      </c>
      <c r="I150" s="9">
        <f t="shared" si="25"/>
        <v>9.8026155110016219E-3</v>
      </c>
      <c r="J150" s="1">
        <f t="shared" si="26"/>
        <v>1.7899999999999636</v>
      </c>
      <c r="K150" s="9">
        <f t="shared" si="19"/>
        <v>1.984500936817441E-3</v>
      </c>
      <c r="L150" s="1">
        <f t="shared" si="20"/>
        <v>1</v>
      </c>
      <c r="M150" s="1">
        <f t="shared" si="21"/>
        <v>909.61</v>
      </c>
      <c r="N150" s="1">
        <f t="shared" si="22"/>
        <v>900.78</v>
      </c>
      <c r="O150" s="1">
        <f t="shared" si="23"/>
        <v>901.81999999999994</v>
      </c>
      <c r="P150" s="1">
        <f t="shared" si="24"/>
        <v>460.11224489795916</v>
      </c>
    </row>
    <row r="151" spans="1:16">
      <c r="A151" s="2">
        <v>42842</v>
      </c>
      <c r="B151" s="1">
        <v>887.5</v>
      </c>
      <c r="C151" s="1">
        <v>902.38</v>
      </c>
      <c r="D151" s="1">
        <v>887.5</v>
      </c>
      <c r="E151" s="1">
        <v>901.99</v>
      </c>
      <c r="F151" s="1">
        <v>2854700</v>
      </c>
      <c r="G151" s="1">
        <v>901.99</v>
      </c>
      <c r="H151" s="1">
        <f t="shared" si="18"/>
        <v>14.879999999999995</v>
      </c>
      <c r="I151" s="9">
        <f t="shared" si="25"/>
        <v>1.6766197183098585E-2</v>
      </c>
      <c r="J151" s="1">
        <f t="shared" si="26"/>
        <v>17.32000000000005</v>
      </c>
      <c r="K151" s="9">
        <f t="shared" si="19"/>
        <v>1.9577921710920515E-2</v>
      </c>
      <c r="L151" s="1">
        <f t="shared" si="20"/>
        <v>1</v>
      </c>
      <c r="M151" s="1">
        <f t="shared" si="21"/>
        <v>902.38</v>
      </c>
      <c r="N151" s="1">
        <f t="shared" si="22"/>
        <v>887.5</v>
      </c>
      <c r="O151" s="1">
        <f t="shared" si="23"/>
        <v>900.03</v>
      </c>
      <c r="P151" s="1">
        <f t="shared" si="24"/>
        <v>459.19897959183675</v>
      </c>
    </row>
    <row r="152" spans="1:16">
      <c r="A152" s="2">
        <v>42838</v>
      </c>
      <c r="B152" s="1">
        <v>891.45</v>
      </c>
      <c r="C152" s="1">
        <v>894.97</v>
      </c>
      <c r="D152" s="1">
        <v>884.49</v>
      </c>
      <c r="E152" s="1">
        <v>884.67</v>
      </c>
      <c r="F152" s="1">
        <v>3174600</v>
      </c>
      <c r="G152" s="1">
        <v>884.67</v>
      </c>
      <c r="H152" s="1">
        <f t="shared" si="18"/>
        <v>10.480000000000018</v>
      </c>
      <c r="I152" s="9">
        <f t="shared" si="25"/>
        <v>1.1848635937093713E-2</v>
      </c>
      <c r="J152" s="1">
        <f t="shared" si="26"/>
        <v>-11.560000000000059</v>
      </c>
      <c r="K152" s="9">
        <f t="shared" si="19"/>
        <v>-1.2898474721890651E-2</v>
      </c>
      <c r="L152" s="1">
        <f t="shared" si="20"/>
        <v>1</v>
      </c>
      <c r="M152" s="1">
        <f t="shared" si="21"/>
        <v>894.97</v>
      </c>
      <c r="N152" s="1">
        <f t="shared" si="22"/>
        <v>884.49</v>
      </c>
      <c r="O152" s="1">
        <f t="shared" si="23"/>
        <v>882.70999999999992</v>
      </c>
      <c r="P152" s="1">
        <f t="shared" si="24"/>
        <v>450.36224489795916</v>
      </c>
    </row>
    <row r="153" spans="1:16">
      <c r="A153" s="2">
        <v>42837</v>
      </c>
      <c r="B153" s="1">
        <v>903.09</v>
      </c>
      <c r="C153" s="1">
        <v>904.09</v>
      </c>
      <c r="D153" s="1">
        <v>895.25</v>
      </c>
      <c r="E153" s="1">
        <v>896.23</v>
      </c>
      <c r="F153" s="1">
        <v>2456100</v>
      </c>
      <c r="G153" s="1">
        <v>896.23</v>
      </c>
      <c r="H153" s="1">
        <f t="shared" si="18"/>
        <v>8.8400000000000318</v>
      </c>
      <c r="I153" s="9">
        <f t="shared" si="25"/>
        <v>9.874336777436505E-3</v>
      </c>
      <c r="J153" s="1">
        <f t="shared" si="26"/>
        <v>-6.1299999999999955</v>
      </c>
      <c r="K153" s="9">
        <f t="shared" si="19"/>
        <v>-6.7932975752471245E-3</v>
      </c>
      <c r="L153" s="1">
        <f t="shared" si="20"/>
        <v>1</v>
      </c>
      <c r="M153" s="1">
        <f t="shared" si="21"/>
        <v>904.09</v>
      </c>
      <c r="N153" s="1">
        <f t="shared" si="22"/>
        <v>895.25</v>
      </c>
      <c r="O153" s="1">
        <f t="shared" si="23"/>
        <v>894.27</v>
      </c>
      <c r="P153" s="1">
        <f t="shared" si="24"/>
        <v>456.26020408163265</v>
      </c>
    </row>
    <row r="154" spans="1:16">
      <c r="A154" s="2">
        <v>42836</v>
      </c>
      <c r="B154" s="1">
        <v>907.04</v>
      </c>
      <c r="C154" s="1">
        <v>911.24</v>
      </c>
      <c r="D154" s="1">
        <v>897.5</v>
      </c>
      <c r="E154" s="1">
        <v>902.36</v>
      </c>
      <c r="F154" s="1">
        <v>3012700</v>
      </c>
      <c r="G154" s="1">
        <v>902.36</v>
      </c>
      <c r="H154" s="1">
        <f t="shared" si="18"/>
        <v>13.740000000000009</v>
      </c>
      <c r="I154" s="9">
        <f t="shared" si="25"/>
        <v>1.5309192200557114E-2</v>
      </c>
      <c r="J154" s="1">
        <f t="shared" si="26"/>
        <v>-4.67999999999995</v>
      </c>
      <c r="K154" s="9">
        <f t="shared" si="19"/>
        <v>-5.1596401481742264E-3</v>
      </c>
      <c r="L154" s="1">
        <f t="shared" si="20"/>
        <v>1</v>
      </c>
      <c r="M154" s="1">
        <f t="shared" si="21"/>
        <v>911.24</v>
      </c>
      <c r="N154" s="1">
        <f t="shared" si="22"/>
        <v>897.5</v>
      </c>
      <c r="O154" s="1">
        <f t="shared" si="23"/>
        <v>900.4</v>
      </c>
      <c r="P154" s="1">
        <f t="shared" si="24"/>
        <v>459.38775510204079</v>
      </c>
    </row>
    <row r="155" spans="1:16">
      <c r="A155" s="2">
        <v>42835</v>
      </c>
      <c r="B155" s="1">
        <v>899.63</v>
      </c>
      <c r="C155" s="1">
        <v>908.51</v>
      </c>
      <c r="D155" s="1">
        <v>899</v>
      </c>
      <c r="E155" s="1">
        <v>907.04</v>
      </c>
      <c r="F155" s="1">
        <v>3184300</v>
      </c>
      <c r="G155" s="1">
        <v>907.04</v>
      </c>
      <c r="H155" s="1">
        <f t="shared" si="18"/>
        <v>9.5099999999999909</v>
      </c>
      <c r="I155" s="9">
        <f t="shared" si="25"/>
        <v>1.0578420467185752E-2</v>
      </c>
      <c r="J155" s="1">
        <f t="shared" si="26"/>
        <v>12.159999999999968</v>
      </c>
      <c r="K155" s="9">
        <f t="shared" si="19"/>
        <v>1.3588414089039836E-2</v>
      </c>
      <c r="L155" s="1">
        <f t="shared" si="20"/>
        <v>1</v>
      </c>
      <c r="M155" s="1">
        <f t="shared" si="21"/>
        <v>908.51</v>
      </c>
      <c r="N155" s="1">
        <f t="shared" si="22"/>
        <v>899</v>
      </c>
      <c r="O155" s="1">
        <f t="shared" si="23"/>
        <v>905.07999999999993</v>
      </c>
      <c r="P155" s="1">
        <f t="shared" si="24"/>
        <v>461.77551020408163</v>
      </c>
    </row>
    <row r="156" spans="1:16">
      <c r="A156" s="2">
        <v>42832</v>
      </c>
      <c r="B156" s="1">
        <v>899.65</v>
      </c>
      <c r="C156" s="1">
        <v>900.09</v>
      </c>
      <c r="D156" s="1">
        <v>889.31</v>
      </c>
      <c r="E156" s="1">
        <v>894.88</v>
      </c>
      <c r="F156" s="1">
        <v>3710900</v>
      </c>
      <c r="G156" s="1">
        <v>894.88</v>
      </c>
      <c r="H156" s="1">
        <f t="shared" si="18"/>
        <v>10.780000000000086</v>
      </c>
      <c r="I156" s="9">
        <f t="shared" si="25"/>
        <v>1.2121757317470946E-2</v>
      </c>
      <c r="J156" s="1">
        <f t="shared" si="26"/>
        <v>-3.3999999999999773</v>
      </c>
      <c r="K156" s="9">
        <f t="shared" si="19"/>
        <v>-3.7850113550340399E-3</v>
      </c>
      <c r="L156" s="1">
        <f t="shared" si="20"/>
        <v>1</v>
      </c>
      <c r="M156" s="1">
        <f t="shared" si="21"/>
        <v>900.09</v>
      </c>
      <c r="N156" s="1">
        <f t="shared" si="22"/>
        <v>889.31</v>
      </c>
      <c r="O156" s="1">
        <f t="shared" si="23"/>
        <v>892.92</v>
      </c>
      <c r="P156" s="1">
        <f t="shared" si="24"/>
        <v>455.57142857142856</v>
      </c>
    </row>
    <row r="157" spans="1:16">
      <c r="A157" s="2">
        <v>42831</v>
      </c>
      <c r="B157" s="1">
        <v>913.8</v>
      </c>
      <c r="C157" s="1">
        <v>917.19</v>
      </c>
      <c r="D157" s="1">
        <v>894.49</v>
      </c>
      <c r="E157" s="1">
        <v>898.28</v>
      </c>
      <c r="F157" s="1">
        <v>6344100</v>
      </c>
      <c r="G157" s="1">
        <v>898.28</v>
      </c>
      <c r="H157" s="1">
        <f t="shared" si="18"/>
        <v>22.700000000000045</v>
      </c>
      <c r="I157" s="9">
        <f t="shared" si="25"/>
        <v>2.5377589464387579E-2</v>
      </c>
      <c r="J157" s="1">
        <f t="shared" si="26"/>
        <v>-11</v>
      </c>
      <c r="K157" s="9">
        <f t="shared" si="19"/>
        <v>-1.2097483723385536E-2</v>
      </c>
      <c r="L157" s="1">
        <f t="shared" si="20"/>
        <v>1</v>
      </c>
      <c r="M157" s="1">
        <f t="shared" si="21"/>
        <v>917.19</v>
      </c>
      <c r="N157" s="1">
        <f t="shared" si="22"/>
        <v>894.49</v>
      </c>
      <c r="O157" s="1">
        <f t="shared" si="23"/>
        <v>896.31999999999994</v>
      </c>
      <c r="P157" s="1">
        <f t="shared" si="24"/>
        <v>457.30612244897958</v>
      </c>
    </row>
    <row r="158" spans="1:16">
      <c r="A158" s="2">
        <v>42830</v>
      </c>
      <c r="B158" s="1">
        <v>910.82</v>
      </c>
      <c r="C158" s="1">
        <v>923.72</v>
      </c>
      <c r="D158" s="1">
        <v>905.62</v>
      </c>
      <c r="E158" s="1">
        <v>909.28</v>
      </c>
      <c r="F158" s="1">
        <v>7508400</v>
      </c>
      <c r="G158" s="1">
        <v>909.28</v>
      </c>
      <c r="H158" s="1">
        <f t="shared" si="18"/>
        <v>18.100000000000023</v>
      </c>
      <c r="I158" s="9">
        <f t="shared" si="25"/>
        <v>1.9986307722886003E-2</v>
      </c>
      <c r="J158" s="1">
        <f t="shared" si="26"/>
        <v>2.4499999999999318</v>
      </c>
      <c r="K158" s="9">
        <f t="shared" si="19"/>
        <v>2.7017191755896162E-3</v>
      </c>
      <c r="L158" s="1">
        <f t="shared" si="20"/>
        <v>1</v>
      </c>
      <c r="M158" s="1">
        <f t="shared" si="21"/>
        <v>923.72</v>
      </c>
      <c r="N158" s="1">
        <f t="shared" si="22"/>
        <v>905.62</v>
      </c>
      <c r="O158" s="1">
        <f t="shared" si="23"/>
        <v>907.31999999999994</v>
      </c>
      <c r="P158" s="1">
        <f t="shared" si="24"/>
        <v>462.91836734693874</v>
      </c>
    </row>
    <row r="159" spans="1:16">
      <c r="A159" s="2">
        <v>42829</v>
      </c>
      <c r="B159" s="1">
        <v>891.5</v>
      </c>
      <c r="C159" s="1">
        <v>908.54</v>
      </c>
      <c r="D159" s="1">
        <v>890.28</v>
      </c>
      <c r="E159" s="1">
        <v>906.83</v>
      </c>
      <c r="F159" s="1">
        <v>4984700</v>
      </c>
      <c r="G159" s="1">
        <v>906.83</v>
      </c>
      <c r="H159" s="1">
        <f t="shared" si="18"/>
        <v>18.259999999999991</v>
      </c>
      <c r="I159" s="9">
        <f t="shared" si="25"/>
        <v>2.0510401222087422E-2</v>
      </c>
      <c r="J159" s="1">
        <f t="shared" si="26"/>
        <v>15.32000000000005</v>
      </c>
      <c r="K159" s="9">
        <f t="shared" si="19"/>
        <v>1.718432771365442E-2</v>
      </c>
      <c r="L159" s="1">
        <f t="shared" si="20"/>
        <v>1</v>
      </c>
      <c r="M159" s="1">
        <f t="shared" si="21"/>
        <v>908.54</v>
      </c>
      <c r="N159" s="1">
        <f t="shared" si="22"/>
        <v>890.28</v>
      </c>
      <c r="O159" s="1">
        <f t="shared" si="23"/>
        <v>904.87</v>
      </c>
      <c r="P159" s="1">
        <f t="shared" si="24"/>
        <v>461.66836734693879</v>
      </c>
    </row>
    <row r="160" spans="1:16">
      <c r="A160" s="2">
        <v>42828</v>
      </c>
      <c r="B160" s="1">
        <v>888</v>
      </c>
      <c r="C160" s="1">
        <v>893.49</v>
      </c>
      <c r="D160" s="1">
        <v>885.42</v>
      </c>
      <c r="E160" s="1">
        <v>891.51</v>
      </c>
      <c r="F160" s="1">
        <v>3422300</v>
      </c>
      <c r="G160" s="1">
        <v>891.51</v>
      </c>
      <c r="H160" s="1">
        <f t="shared" si="18"/>
        <v>8.07000000000005</v>
      </c>
      <c r="I160" s="9">
        <f t="shared" si="25"/>
        <v>9.1143186284475732E-3</v>
      </c>
      <c r="J160" s="1">
        <f t="shared" si="26"/>
        <v>4.9700000000000273</v>
      </c>
      <c r="K160" s="9">
        <f t="shared" si="19"/>
        <v>5.606064024183937E-3</v>
      </c>
      <c r="L160" s="1">
        <f t="shared" si="20"/>
        <v>1</v>
      </c>
      <c r="M160" s="1">
        <f t="shared" si="21"/>
        <v>893.49</v>
      </c>
      <c r="N160" s="1">
        <f t="shared" si="22"/>
        <v>885.42</v>
      </c>
      <c r="O160" s="1">
        <f t="shared" si="23"/>
        <v>889.55</v>
      </c>
      <c r="P160" s="1">
        <f t="shared" si="24"/>
        <v>453.85204081632651</v>
      </c>
    </row>
    <row r="161" spans="1:16">
      <c r="A161" s="2">
        <v>42825</v>
      </c>
      <c r="B161" s="1">
        <v>877</v>
      </c>
      <c r="C161" s="1">
        <v>890.35</v>
      </c>
      <c r="D161" s="1">
        <v>876.65</v>
      </c>
      <c r="E161" s="1">
        <v>886.54</v>
      </c>
      <c r="F161" s="1">
        <v>3957600</v>
      </c>
      <c r="G161" s="1">
        <v>886.54</v>
      </c>
      <c r="H161" s="1">
        <f t="shared" si="18"/>
        <v>13.700000000000045</v>
      </c>
      <c r="I161" s="9">
        <f t="shared" si="25"/>
        <v>1.5627673529915068E-2</v>
      </c>
      <c r="J161" s="1">
        <f t="shared" si="26"/>
        <v>10.199999999999932</v>
      </c>
      <c r="K161" s="9">
        <f t="shared" si="19"/>
        <v>1.1639318072894004E-2</v>
      </c>
      <c r="L161" s="1">
        <f t="shared" si="20"/>
        <v>1</v>
      </c>
      <c r="M161" s="1">
        <f t="shared" si="21"/>
        <v>890.35</v>
      </c>
      <c r="N161" s="1">
        <f t="shared" si="22"/>
        <v>876.65</v>
      </c>
      <c r="O161" s="1">
        <f t="shared" si="23"/>
        <v>884.57999999999993</v>
      </c>
      <c r="P161" s="1">
        <f t="shared" si="24"/>
        <v>451.31632653061223</v>
      </c>
    </row>
    <row r="162" spans="1:16">
      <c r="A162" s="2">
        <v>42824</v>
      </c>
      <c r="B162" s="1">
        <v>874.95</v>
      </c>
      <c r="C162" s="1">
        <v>877.06</v>
      </c>
      <c r="D162" s="1">
        <v>871.66</v>
      </c>
      <c r="E162" s="1">
        <v>876.34</v>
      </c>
      <c r="F162" s="1">
        <v>2762700</v>
      </c>
      <c r="G162" s="1">
        <v>876.34</v>
      </c>
      <c r="H162" s="1">
        <f t="shared" si="18"/>
        <v>5.3999999999999773</v>
      </c>
      <c r="I162" s="9">
        <f t="shared" si="25"/>
        <v>6.1950760617671772E-3</v>
      </c>
      <c r="J162" s="1">
        <f t="shared" si="26"/>
        <v>2.0199999999999818</v>
      </c>
      <c r="K162" s="9">
        <f t="shared" si="19"/>
        <v>2.3103669137157809E-3</v>
      </c>
      <c r="L162" s="1">
        <f t="shared" si="20"/>
        <v>1</v>
      </c>
      <c r="M162" s="1">
        <f t="shared" si="21"/>
        <v>877.06</v>
      </c>
      <c r="N162" s="1">
        <f t="shared" si="22"/>
        <v>871.66</v>
      </c>
      <c r="O162" s="1">
        <f t="shared" si="23"/>
        <v>874.38</v>
      </c>
      <c r="P162" s="1">
        <f t="shared" si="24"/>
        <v>446.11224489795921</v>
      </c>
    </row>
    <row r="163" spans="1:16">
      <c r="A163" s="2">
        <v>42823</v>
      </c>
      <c r="B163" s="1">
        <v>859.05</v>
      </c>
      <c r="C163" s="1">
        <v>876.44</v>
      </c>
      <c r="D163" s="1">
        <v>859.02</v>
      </c>
      <c r="E163" s="1">
        <v>874.32</v>
      </c>
      <c r="F163" s="1">
        <v>4485800</v>
      </c>
      <c r="G163" s="1">
        <v>874.32</v>
      </c>
      <c r="H163" s="1">
        <f t="shared" si="18"/>
        <v>17.420000000000073</v>
      </c>
      <c r="I163" s="9">
        <f t="shared" si="25"/>
        <v>2.0278922493073587E-2</v>
      </c>
      <c r="J163" s="1">
        <f t="shared" si="26"/>
        <v>18.32000000000005</v>
      </c>
      <c r="K163" s="9">
        <f t="shared" si="19"/>
        <v>2.1401869158878564E-2</v>
      </c>
      <c r="L163" s="1">
        <f t="shared" si="20"/>
        <v>1</v>
      </c>
      <c r="M163" s="1">
        <f t="shared" si="21"/>
        <v>876.44</v>
      </c>
      <c r="N163" s="1">
        <f t="shared" si="22"/>
        <v>859.02</v>
      </c>
      <c r="O163" s="1">
        <f t="shared" si="23"/>
        <v>872.36</v>
      </c>
      <c r="P163" s="1">
        <f t="shared" si="24"/>
        <v>445.08163265306126</v>
      </c>
    </row>
    <row r="164" spans="1:16">
      <c r="A164" s="2">
        <v>42822</v>
      </c>
      <c r="B164" s="1">
        <v>851.75</v>
      </c>
      <c r="C164" s="1">
        <v>858.46</v>
      </c>
      <c r="D164" s="1">
        <v>850.1</v>
      </c>
      <c r="E164" s="1">
        <v>856</v>
      </c>
      <c r="F164" s="1">
        <v>3041600</v>
      </c>
      <c r="G164" s="1">
        <v>856</v>
      </c>
      <c r="H164" s="1">
        <f t="shared" si="18"/>
        <v>8.3600000000000136</v>
      </c>
      <c r="I164" s="9">
        <f t="shared" si="25"/>
        <v>9.8341371603340947E-3</v>
      </c>
      <c r="J164" s="1">
        <f t="shared" si="26"/>
        <v>9.17999999999995</v>
      </c>
      <c r="K164" s="9">
        <f t="shared" si="19"/>
        <v>1.0840556434661379E-2</v>
      </c>
      <c r="L164" s="1">
        <f t="shared" si="20"/>
        <v>1</v>
      </c>
      <c r="M164" s="1">
        <f t="shared" si="21"/>
        <v>858.46</v>
      </c>
      <c r="N164" s="1">
        <f t="shared" si="22"/>
        <v>850.1</v>
      </c>
      <c r="O164" s="1">
        <f t="shared" si="23"/>
        <v>854.04</v>
      </c>
      <c r="P164" s="1">
        <f t="shared" si="24"/>
        <v>435.73469387755102</v>
      </c>
    </row>
    <row r="165" spans="1:16">
      <c r="A165" s="2">
        <v>42821</v>
      </c>
      <c r="B165" s="1">
        <v>838.07</v>
      </c>
      <c r="C165" s="1">
        <v>850.3</v>
      </c>
      <c r="D165" s="1">
        <v>833.5</v>
      </c>
      <c r="E165" s="1">
        <v>846.82</v>
      </c>
      <c r="F165" s="1">
        <v>2755800</v>
      </c>
      <c r="G165" s="1">
        <v>846.82</v>
      </c>
      <c r="H165" s="1">
        <f t="shared" si="18"/>
        <v>16.799999999999955</v>
      </c>
      <c r="I165" s="9">
        <f t="shared" si="25"/>
        <v>2.0155968806238697E-2</v>
      </c>
      <c r="J165" s="1">
        <f t="shared" si="26"/>
        <v>1.2100000000000364</v>
      </c>
      <c r="K165" s="9">
        <f t="shared" si="19"/>
        <v>1.4309196911106022E-3</v>
      </c>
      <c r="L165" s="1">
        <f t="shared" si="20"/>
        <v>1</v>
      </c>
      <c r="M165" s="1">
        <f t="shared" si="21"/>
        <v>850.3</v>
      </c>
      <c r="N165" s="1">
        <f t="shared" si="22"/>
        <v>833.5</v>
      </c>
      <c r="O165" s="1">
        <f t="shared" si="23"/>
        <v>844.86</v>
      </c>
      <c r="P165" s="1">
        <f t="shared" si="24"/>
        <v>431.05102040816325</v>
      </c>
    </row>
    <row r="166" spans="1:16">
      <c r="A166" s="2">
        <v>42818</v>
      </c>
      <c r="B166" s="1">
        <v>851.68</v>
      </c>
      <c r="C166" s="1">
        <v>851.8</v>
      </c>
      <c r="D166" s="1">
        <v>843.53</v>
      </c>
      <c r="E166" s="1">
        <v>845.61</v>
      </c>
      <c r="F166" s="1">
        <v>2138300</v>
      </c>
      <c r="G166" s="1">
        <v>845.61</v>
      </c>
      <c r="H166" s="1">
        <f t="shared" si="18"/>
        <v>8.2699999999999818</v>
      </c>
      <c r="I166" s="9">
        <f t="shared" si="25"/>
        <v>9.8040377935580021E-3</v>
      </c>
      <c r="J166" s="1">
        <f t="shared" si="26"/>
        <v>-1.7699999999999818</v>
      </c>
      <c r="K166" s="9">
        <f t="shared" si="19"/>
        <v>-2.0887913332861075E-3</v>
      </c>
      <c r="L166" s="1">
        <f t="shared" si="20"/>
        <v>1</v>
      </c>
      <c r="M166" s="1">
        <f t="shared" si="21"/>
        <v>851.8</v>
      </c>
      <c r="N166" s="1">
        <f t="shared" si="22"/>
        <v>843.53</v>
      </c>
      <c r="O166" s="1">
        <f t="shared" si="23"/>
        <v>843.65</v>
      </c>
      <c r="P166" s="1">
        <f t="shared" si="24"/>
        <v>430.43367346938777</v>
      </c>
    </row>
    <row r="167" spans="1:16">
      <c r="A167" s="2">
        <v>42817</v>
      </c>
      <c r="B167" s="1">
        <v>848.2</v>
      </c>
      <c r="C167" s="1">
        <v>850.89</v>
      </c>
      <c r="D167" s="1">
        <v>844.8</v>
      </c>
      <c r="E167" s="1">
        <v>847.38</v>
      </c>
      <c r="F167" s="1">
        <v>1953000</v>
      </c>
      <c r="G167" s="1">
        <v>847.38</v>
      </c>
      <c r="H167" s="1">
        <f t="shared" si="18"/>
        <v>6.0900000000000318</v>
      </c>
      <c r="I167" s="9">
        <f t="shared" si="25"/>
        <v>7.2088068181818564E-3</v>
      </c>
      <c r="J167" s="1">
        <f t="shared" si="26"/>
        <v>-0.67999999999994998</v>
      </c>
      <c r="K167" s="9">
        <f t="shared" si="19"/>
        <v>-8.0183005919386608E-4</v>
      </c>
      <c r="L167" s="1">
        <f t="shared" si="20"/>
        <v>1</v>
      </c>
      <c r="M167" s="1">
        <f t="shared" si="21"/>
        <v>850.89</v>
      </c>
      <c r="N167" s="1">
        <f t="shared" si="22"/>
        <v>844.8</v>
      </c>
      <c r="O167" s="1">
        <f t="shared" si="23"/>
        <v>845.42</v>
      </c>
      <c r="P167" s="1">
        <f t="shared" si="24"/>
        <v>431.33673469387753</v>
      </c>
    </row>
    <row r="168" spans="1:16">
      <c r="A168" s="2">
        <v>42816</v>
      </c>
      <c r="B168" s="1">
        <v>840.43</v>
      </c>
      <c r="C168" s="1">
        <v>849.37</v>
      </c>
      <c r="D168" s="1">
        <v>839.05</v>
      </c>
      <c r="E168" s="1">
        <v>848.06</v>
      </c>
      <c r="F168" s="1">
        <v>2658700</v>
      </c>
      <c r="G168" s="1">
        <v>848.06</v>
      </c>
      <c r="H168" s="1">
        <f t="shared" si="18"/>
        <v>10.32000000000005</v>
      </c>
      <c r="I168" s="9">
        <f t="shared" si="25"/>
        <v>1.229962457541273E-2</v>
      </c>
      <c r="J168" s="1">
        <f t="shared" si="26"/>
        <v>4.8599999999999</v>
      </c>
      <c r="K168" s="9">
        <f t="shared" si="19"/>
        <v>5.763757115749407E-3</v>
      </c>
      <c r="L168" s="1">
        <f t="shared" si="20"/>
        <v>1</v>
      </c>
      <c r="M168" s="1">
        <f t="shared" si="21"/>
        <v>849.37</v>
      </c>
      <c r="N168" s="1">
        <f t="shared" si="22"/>
        <v>839.05</v>
      </c>
      <c r="O168" s="1">
        <f t="shared" si="23"/>
        <v>846.09999999999991</v>
      </c>
      <c r="P168" s="1">
        <f t="shared" si="24"/>
        <v>431.68367346938771</v>
      </c>
    </row>
    <row r="169" spans="1:16">
      <c r="A169" s="2">
        <v>42815</v>
      </c>
      <c r="B169" s="1">
        <v>858.84</v>
      </c>
      <c r="C169" s="1">
        <v>862.8</v>
      </c>
      <c r="D169" s="1">
        <v>841.31</v>
      </c>
      <c r="E169" s="1">
        <v>843.2</v>
      </c>
      <c r="F169" s="1">
        <v>4382900</v>
      </c>
      <c r="G169" s="1">
        <v>843.2</v>
      </c>
      <c r="H169" s="1">
        <f t="shared" si="18"/>
        <v>21.490000000000009</v>
      </c>
      <c r="I169" s="9">
        <f t="shared" si="25"/>
        <v>2.5543497640584341E-2</v>
      </c>
      <c r="J169" s="1">
        <f t="shared" si="26"/>
        <v>-13.769999999999982</v>
      </c>
      <c r="K169" s="9">
        <f t="shared" si="19"/>
        <v>-1.606824042848639E-2</v>
      </c>
      <c r="L169" s="1">
        <f t="shared" si="20"/>
        <v>1</v>
      </c>
      <c r="M169" s="1">
        <f t="shared" si="21"/>
        <v>862.8</v>
      </c>
      <c r="N169" s="1">
        <f t="shared" si="22"/>
        <v>841.31</v>
      </c>
      <c r="O169" s="1">
        <f t="shared" si="23"/>
        <v>841.24</v>
      </c>
      <c r="P169" s="1">
        <f t="shared" si="24"/>
        <v>429.20408163265307</v>
      </c>
    </row>
    <row r="170" spans="1:16">
      <c r="A170" s="2">
        <v>42814</v>
      </c>
      <c r="B170" s="1">
        <v>851.51</v>
      </c>
      <c r="C170" s="1">
        <v>857.8</v>
      </c>
      <c r="D170" s="1">
        <v>851.01</v>
      </c>
      <c r="E170" s="1">
        <v>856.97</v>
      </c>
      <c r="F170" s="1">
        <v>2282700</v>
      </c>
      <c r="G170" s="1">
        <v>856.97</v>
      </c>
      <c r="H170" s="1">
        <f t="shared" si="18"/>
        <v>6.7899999999999636</v>
      </c>
      <c r="I170" s="9">
        <f t="shared" si="25"/>
        <v>7.978754656231964E-3</v>
      </c>
      <c r="J170" s="1">
        <f t="shared" si="26"/>
        <v>4.6600000000000819</v>
      </c>
      <c r="K170" s="9">
        <f t="shared" si="19"/>
        <v>5.467494221586139E-3</v>
      </c>
      <c r="L170" s="1">
        <f t="shared" si="20"/>
        <v>1</v>
      </c>
      <c r="M170" s="1">
        <f t="shared" si="21"/>
        <v>857.8</v>
      </c>
      <c r="N170" s="1">
        <f t="shared" si="22"/>
        <v>851.01</v>
      </c>
      <c r="O170" s="1">
        <f t="shared" si="23"/>
        <v>855.01</v>
      </c>
      <c r="P170" s="1">
        <f t="shared" si="24"/>
        <v>436.2295918367347</v>
      </c>
    </row>
    <row r="171" spans="1:16">
      <c r="A171" s="2">
        <v>42811</v>
      </c>
      <c r="B171" s="1">
        <v>853.49</v>
      </c>
      <c r="C171" s="1">
        <v>853.83</v>
      </c>
      <c r="D171" s="1">
        <v>850.64</v>
      </c>
      <c r="E171" s="1">
        <v>852.31</v>
      </c>
      <c r="F171" s="1">
        <v>3384400</v>
      </c>
      <c r="G171" s="1">
        <v>852.31</v>
      </c>
      <c r="H171" s="1">
        <f t="shared" si="18"/>
        <v>3.1900000000000546</v>
      </c>
      <c r="I171" s="9">
        <f t="shared" si="25"/>
        <v>3.7501175585442194E-3</v>
      </c>
      <c r="J171" s="1">
        <f t="shared" si="26"/>
        <v>-1.1100000000000136</v>
      </c>
      <c r="K171" s="9">
        <f t="shared" si="19"/>
        <v>-1.3006491528204328E-3</v>
      </c>
      <c r="L171" s="1">
        <f t="shared" si="20"/>
        <v>1</v>
      </c>
      <c r="M171" s="1">
        <f t="shared" si="21"/>
        <v>853.83</v>
      </c>
      <c r="N171" s="1">
        <f t="shared" si="22"/>
        <v>850.64</v>
      </c>
      <c r="O171" s="1">
        <f t="shared" si="23"/>
        <v>850.34999999999991</v>
      </c>
      <c r="P171" s="1">
        <f t="shared" si="24"/>
        <v>433.85204081632651</v>
      </c>
    </row>
    <row r="172" spans="1:16">
      <c r="A172" s="2">
        <v>42810</v>
      </c>
      <c r="B172" s="1">
        <v>855.3</v>
      </c>
      <c r="C172" s="1">
        <v>855.5</v>
      </c>
      <c r="D172" s="1">
        <v>850.51</v>
      </c>
      <c r="E172" s="1">
        <v>853.42</v>
      </c>
      <c r="F172" s="1">
        <v>1842300</v>
      </c>
      <c r="G172" s="1">
        <v>853.42</v>
      </c>
      <c r="H172" s="1">
        <f t="shared" si="18"/>
        <v>4.9900000000000091</v>
      </c>
      <c r="I172" s="9">
        <f t="shared" si="25"/>
        <v>5.8670679944974298E-3</v>
      </c>
      <c r="J172" s="1">
        <f t="shared" si="26"/>
        <v>0.44999999999993179</v>
      </c>
      <c r="K172" s="9">
        <f t="shared" si="19"/>
        <v>5.2756837872367348E-4</v>
      </c>
      <c r="L172" s="1">
        <f t="shared" si="20"/>
        <v>1</v>
      </c>
      <c r="M172" s="1">
        <f t="shared" si="21"/>
        <v>855.5</v>
      </c>
      <c r="N172" s="1">
        <f t="shared" si="22"/>
        <v>850.51</v>
      </c>
      <c r="O172" s="1">
        <f t="shared" si="23"/>
        <v>851.45999999999992</v>
      </c>
      <c r="P172" s="1">
        <f t="shared" si="24"/>
        <v>434.41836734693874</v>
      </c>
    </row>
    <row r="173" spans="1:16">
      <c r="A173" s="2">
        <v>42809</v>
      </c>
      <c r="B173" s="1">
        <v>854.33</v>
      </c>
      <c r="C173" s="1">
        <v>854.45</v>
      </c>
      <c r="D173" s="1">
        <v>847.11</v>
      </c>
      <c r="E173" s="1">
        <v>852.97</v>
      </c>
      <c r="F173" s="1">
        <v>2562200</v>
      </c>
      <c r="G173" s="1">
        <v>852.97</v>
      </c>
      <c r="H173" s="1">
        <f t="shared" si="18"/>
        <v>7.3400000000000318</v>
      </c>
      <c r="I173" s="9">
        <f t="shared" si="25"/>
        <v>8.6647542822065986E-3</v>
      </c>
      <c r="J173" s="1">
        <f t="shared" si="26"/>
        <v>0.44000000000005457</v>
      </c>
      <c r="K173" s="9">
        <f t="shared" si="19"/>
        <v>5.1611086999877372E-4</v>
      </c>
      <c r="L173" s="1">
        <f t="shared" si="20"/>
        <v>1</v>
      </c>
      <c r="M173" s="1">
        <f t="shared" si="21"/>
        <v>854.45</v>
      </c>
      <c r="N173" s="1">
        <f t="shared" si="22"/>
        <v>847.11</v>
      </c>
      <c r="O173" s="1">
        <f t="shared" si="23"/>
        <v>851.01</v>
      </c>
      <c r="P173" s="1">
        <f t="shared" si="24"/>
        <v>434.1887755102041</v>
      </c>
    </row>
    <row r="174" spans="1:16">
      <c r="A174" s="2">
        <v>42808</v>
      </c>
      <c r="B174" s="1">
        <v>853.55</v>
      </c>
      <c r="C174" s="1">
        <v>853.75</v>
      </c>
      <c r="D174" s="1">
        <v>847.55</v>
      </c>
      <c r="E174" s="1">
        <v>852.53</v>
      </c>
      <c r="F174" s="1">
        <v>2130600</v>
      </c>
      <c r="G174" s="1">
        <v>852.53</v>
      </c>
      <c r="H174" s="1">
        <f t="shared" si="18"/>
        <v>6.2000000000000455</v>
      </c>
      <c r="I174" s="9">
        <f t="shared" si="25"/>
        <v>7.3152026429119769E-3</v>
      </c>
      <c r="J174" s="1">
        <f t="shared" si="26"/>
        <v>-2.0600000000000591</v>
      </c>
      <c r="K174" s="9">
        <f t="shared" si="19"/>
        <v>-2.4105126434899298E-3</v>
      </c>
      <c r="L174" s="1">
        <f t="shared" si="20"/>
        <v>1</v>
      </c>
      <c r="M174" s="1">
        <f t="shared" si="21"/>
        <v>853.75</v>
      </c>
      <c r="N174" s="1">
        <f t="shared" si="22"/>
        <v>847.55</v>
      </c>
      <c r="O174" s="1">
        <f t="shared" si="23"/>
        <v>850.56999999999994</v>
      </c>
      <c r="P174" s="1">
        <f t="shared" si="24"/>
        <v>433.96428571428567</v>
      </c>
    </row>
    <row r="175" spans="1:16">
      <c r="A175" s="2">
        <v>42807</v>
      </c>
      <c r="B175" s="1">
        <v>851.77</v>
      </c>
      <c r="C175" s="1">
        <v>855.69</v>
      </c>
      <c r="D175" s="1">
        <v>851.71</v>
      </c>
      <c r="E175" s="1">
        <v>854.59</v>
      </c>
      <c r="F175" s="1">
        <v>1909700</v>
      </c>
      <c r="G175" s="1">
        <v>854.59</v>
      </c>
      <c r="H175" s="1">
        <f t="shared" si="18"/>
        <v>3.9800000000000182</v>
      </c>
      <c r="I175" s="9">
        <f t="shared" si="25"/>
        <v>4.672952061147595E-3</v>
      </c>
      <c r="J175" s="1">
        <f t="shared" si="26"/>
        <v>2.1299999999999955</v>
      </c>
      <c r="K175" s="9">
        <f t="shared" si="19"/>
        <v>2.4986509630950371E-3</v>
      </c>
      <c r="L175" s="1">
        <f t="shared" si="20"/>
        <v>1</v>
      </c>
      <c r="M175" s="1">
        <f t="shared" si="21"/>
        <v>855.69</v>
      </c>
      <c r="N175" s="1">
        <f t="shared" si="22"/>
        <v>851.71</v>
      </c>
      <c r="O175" s="1">
        <f t="shared" si="23"/>
        <v>852.63</v>
      </c>
      <c r="P175" s="1">
        <f t="shared" si="24"/>
        <v>435.01530612244898</v>
      </c>
    </row>
    <row r="176" spans="1:16">
      <c r="A176" s="2">
        <v>42804</v>
      </c>
      <c r="B176" s="1">
        <v>857</v>
      </c>
      <c r="C176" s="1">
        <v>857.35</v>
      </c>
      <c r="D176" s="1">
        <v>851.72</v>
      </c>
      <c r="E176" s="1">
        <v>852.46</v>
      </c>
      <c r="F176" s="1">
        <v>2436400</v>
      </c>
      <c r="G176" s="1">
        <v>852.46</v>
      </c>
      <c r="H176" s="1">
        <f t="shared" si="18"/>
        <v>5.6299999999999955</v>
      </c>
      <c r="I176" s="9">
        <f t="shared" si="25"/>
        <v>6.6101535715962934E-3</v>
      </c>
      <c r="J176" s="1">
        <f t="shared" si="26"/>
        <v>-0.53999999999996362</v>
      </c>
      <c r="K176" s="9">
        <f t="shared" si="19"/>
        <v>-6.3305978898002774E-4</v>
      </c>
      <c r="L176" s="1">
        <f t="shared" si="20"/>
        <v>1</v>
      </c>
      <c r="M176" s="1">
        <f t="shared" si="21"/>
        <v>857.35</v>
      </c>
      <c r="N176" s="1">
        <f t="shared" si="22"/>
        <v>851.72</v>
      </c>
      <c r="O176" s="1">
        <f t="shared" si="23"/>
        <v>850.5</v>
      </c>
      <c r="P176" s="1">
        <f t="shared" si="24"/>
        <v>433.92857142857144</v>
      </c>
    </row>
    <row r="177" spans="1:16">
      <c r="A177" s="2">
        <v>42803</v>
      </c>
      <c r="B177" s="1">
        <v>851</v>
      </c>
      <c r="C177" s="1">
        <v>856.4</v>
      </c>
      <c r="D177" s="1">
        <v>850.31</v>
      </c>
      <c r="E177" s="1">
        <v>853</v>
      </c>
      <c r="F177" s="1">
        <v>2048200</v>
      </c>
      <c r="G177" s="1">
        <v>853</v>
      </c>
      <c r="H177" s="1">
        <f t="shared" si="18"/>
        <v>6.0900000000000318</v>
      </c>
      <c r="I177" s="9">
        <f t="shared" si="25"/>
        <v>7.1620938246051823E-3</v>
      </c>
      <c r="J177" s="1">
        <f t="shared" si="26"/>
        <v>2.5</v>
      </c>
      <c r="K177" s="9">
        <f t="shared" si="19"/>
        <v>2.9394473838918285E-3</v>
      </c>
      <c r="L177" s="1">
        <f t="shared" si="20"/>
        <v>1</v>
      </c>
      <c r="M177" s="1">
        <f t="shared" si="21"/>
        <v>856.4</v>
      </c>
      <c r="N177" s="1">
        <f t="shared" si="22"/>
        <v>850.31</v>
      </c>
      <c r="O177" s="1">
        <f t="shared" si="23"/>
        <v>851.04</v>
      </c>
      <c r="P177" s="1">
        <f t="shared" si="24"/>
        <v>434.20408163265307</v>
      </c>
    </row>
    <row r="178" spans="1:16">
      <c r="A178" s="2">
        <v>42802</v>
      </c>
      <c r="B178" s="1">
        <v>848</v>
      </c>
      <c r="C178" s="1">
        <v>853.07</v>
      </c>
      <c r="D178" s="1">
        <v>846.79</v>
      </c>
      <c r="E178" s="1">
        <v>850.5</v>
      </c>
      <c r="F178" s="1">
        <v>2286500</v>
      </c>
      <c r="G178" s="1">
        <v>850.5</v>
      </c>
      <c r="H178" s="1">
        <f t="shared" si="18"/>
        <v>6.2800000000000864</v>
      </c>
      <c r="I178" s="9">
        <f t="shared" si="25"/>
        <v>7.4162425158540921E-3</v>
      </c>
      <c r="J178" s="1">
        <f t="shared" si="26"/>
        <v>4.4800000000000182</v>
      </c>
      <c r="K178" s="9">
        <f t="shared" si="19"/>
        <v>5.2953830878702847E-3</v>
      </c>
      <c r="L178" s="1">
        <f t="shared" si="20"/>
        <v>1</v>
      </c>
      <c r="M178" s="1">
        <f t="shared" si="21"/>
        <v>853.07</v>
      </c>
      <c r="N178" s="1">
        <f t="shared" si="22"/>
        <v>846.79</v>
      </c>
      <c r="O178" s="1">
        <f t="shared" si="23"/>
        <v>848.54</v>
      </c>
      <c r="P178" s="1">
        <f t="shared" si="24"/>
        <v>432.92857142857144</v>
      </c>
    </row>
    <row r="179" spans="1:16">
      <c r="A179" s="2">
        <v>42801</v>
      </c>
      <c r="B179" s="1">
        <v>845.48</v>
      </c>
      <c r="C179" s="1">
        <v>848.46</v>
      </c>
      <c r="D179" s="1">
        <v>843.75</v>
      </c>
      <c r="E179" s="1">
        <v>846.02</v>
      </c>
      <c r="F179" s="1">
        <v>2247600</v>
      </c>
      <c r="G179" s="1">
        <v>846.02</v>
      </c>
      <c r="H179" s="1">
        <f t="shared" si="18"/>
        <v>4.7100000000000364</v>
      </c>
      <c r="I179" s="9">
        <f t="shared" si="25"/>
        <v>5.5822222222222653E-3</v>
      </c>
      <c r="J179" s="1">
        <f t="shared" si="26"/>
        <v>-0.59000000000003183</v>
      </c>
      <c r="K179" s="9">
        <f t="shared" si="19"/>
        <v>-6.968970364158607E-4</v>
      </c>
      <c r="L179" s="1">
        <f t="shared" si="20"/>
        <v>1</v>
      </c>
      <c r="M179" s="1">
        <f t="shared" si="21"/>
        <v>848.46</v>
      </c>
      <c r="N179" s="1">
        <f t="shared" si="22"/>
        <v>843.75</v>
      </c>
      <c r="O179" s="1">
        <f t="shared" si="23"/>
        <v>844.06</v>
      </c>
      <c r="P179" s="1">
        <f t="shared" si="24"/>
        <v>430.64285714285711</v>
      </c>
    </row>
    <row r="180" spans="1:16">
      <c r="A180" s="2">
        <v>42800</v>
      </c>
      <c r="B180" s="1">
        <v>845.23</v>
      </c>
      <c r="C180" s="1">
        <v>848.49</v>
      </c>
      <c r="D180" s="1">
        <v>841.12</v>
      </c>
      <c r="E180" s="1">
        <v>846.61</v>
      </c>
      <c r="F180" s="1">
        <v>2610400</v>
      </c>
      <c r="G180" s="1">
        <v>846.61</v>
      </c>
      <c r="H180" s="1">
        <f t="shared" si="18"/>
        <v>7.3700000000000045</v>
      </c>
      <c r="I180" s="9">
        <f t="shared" si="25"/>
        <v>8.7621266882252288E-3</v>
      </c>
      <c r="J180" s="1">
        <f t="shared" si="26"/>
        <v>-3.2699999999999818</v>
      </c>
      <c r="K180" s="9">
        <f t="shared" si="19"/>
        <v>-3.847602014402012E-3</v>
      </c>
      <c r="L180" s="1">
        <f t="shared" si="20"/>
        <v>1</v>
      </c>
      <c r="M180" s="1">
        <f t="shared" si="21"/>
        <v>848.49</v>
      </c>
      <c r="N180" s="1">
        <f t="shared" si="22"/>
        <v>841.12</v>
      </c>
      <c r="O180" s="1">
        <f t="shared" si="23"/>
        <v>844.65</v>
      </c>
      <c r="P180" s="1">
        <f t="shared" si="24"/>
        <v>430.94387755102042</v>
      </c>
    </row>
    <row r="181" spans="1:16">
      <c r="A181" s="2">
        <v>42797</v>
      </c>
      <c r="B181" s="1">
        <v>847.2</v>
      </c>
      <c r="C181" s="1">
        <v>851.99</v>
      </c>
      <c r="D181" s="1">
        <v>846.27</v>
      </c>
      <c r="E181" s="1">
        <v>849.88</v>
      </c>
      <c r="F181" s="1">
        <v>1941100</v>
      </c>
      <c r="G181" s="1">
        <v>849.88</v>
      </c>
      <c r="H181" s="1">
        <f t="shared" si="18"/>
        <v>5.7200000000000273</v>
      </c>
      <c r="I181" s="9">
        <f t="shared" si="25"/>
        <v>6.7590721637302842E-3</v>
      </c>
      <c r="J181" s="1">
        <f t="shared" si="26"/>
        <v>0.97000000000002728</v>
      </c>
      <c r="K181" s="9">
        <f t="shared" si="19"/>
        <v>1.1426417405850176E-3</v>
      </c>
      <c r="L181" s="1">
        <f t="shared" si="20"/>
        <v>1</v>
      </c>
      <c r="M181" s="1">
        <f t="shared" si="21"/>
        <v>851.99</v>
      </c>
      <c r="N181" s="1">
        <f t="shared" si="22"/>
        <v>846.27</v>
      </c>
      <c r="O181" s="1">
        <f t="shared" si="23"/>
        <v>847.92</v>
      </c>
      <c r="P181" s="1">
        <f t="shared" si="24"/>
        <v>432.61224489795916</v>
      </c>
    </row>
    <row r="182" spans="1:16">
      <c r="A182" s="2">
        <v>42796</v>
      </c>
      <c r="B182" s="1">
        <v>853.08</v>
      </c>
      <c r="C182" s="1">
        <v>854.82</v>
      </c>
      <c r="D182" s="1">
        <v>847.28</v>
      </c>
      <c r="E182" s="1">
        <v>848.91</v>
      </c>
      <c r="F182" s="1">
        <v>2132100</v>
      </c>
      <c r="G182" s="1">
        <v>848.91</v>
      </c>
      <c r="H182" s="1">
        <f t="shared" si="18"/>
        <v>7.5400000000000773</v>
      </c>
      <c r="I182" s="9">
        <f t="shared" si="25"/>
        <v>8.899065244075249E-3</v>
      </c>
      <c r="J182" s="1">
        <f t="shared" si="26"/>
        <v>-4.1700000000000728</v>
      </c>
      <c r="K182" s="9">
        <f t="shared" si="19"/>
        <v>-4.8881699254467023E-3</v>
      </c>
      <c r="L182" s="1">
        <f t="shared" si="20"/>
        <v>1</v>
      </c>
      <c r="M182" s="1">
        <f t="shared" si="21"/>
        <v>854.82</v>
      </c>
      <c r="N182" s="1">
        <f t="shared" si="22"/>
        <v>847.28</v>
      </c>
      <c r="O182" s="1">
        <f t="shared" si="23"/>
        <v>846.94999999999993</v>
      </c>
      <c r="P182" s="1">
        <f t="shared" si="24"/>
        <v>432.11734693877548</v>
      </c>
    </row>
    <row r="183" spans="1:16">
      <c r="A183" s="2">
        <v>42795</v>
      </c>
      <c r="B183" s="1">
        <v>853.05</v>
      </c>
      <c r="C183" s="1">
        <v>854.83</v>
      </c>
      <c r="D183" s="1">
        <v>849.01</v>
      </c>
      <c r="E183" s="1">
        <v>853.08</v>
      </c>
      <c r="F183" s="1">
        <v>2760100</v>
      </c>
      <c r="G183" s="1">
        <v>853.08</v>
      </c>
      <c r="H183" s="1">
        <f t="shared" si="18"/>
        <v>5.82000000000005</v>
      </c>
      <c r="I183" s="9">
        <f t="shared" si="25"/>
        <v>6.8550429323565682E-3</v>
      </c>
      <c r="J183" s="1">
        <f t="shared" si="26"/>
        <v>8.0400000000000773</v>
      </c>
      <c r="K183" s="9">
        <f t="shared" si="19"/>
        <v>9.5143425163306799E-3</v>
      </c>
      <c r="L183" s="1">
        <f t="shared" si="20"/>
        <v>1</v>
      </c>
      <c r="M183" s="1">
        <f t="shared" si="21"/>
        <v>854.83</v>
      </c>
      <c r="N183" s="1">
        <f t="shared" si="22"/>
        <v>849.01</v>
      </c>
      <c r="O183" s="1">
        <f t="shared" si="23"/>
        <v>851.12</v>
      </c>
      <c r="P183" s="1">
        <f t="shared" si="24"/>
        <v>434.24489795918367</v>
      </c>
    </row>
    <row r="184" spans="1:16">
      <c r="A184" s="2">
        <v>42794</v>
      </c>
      <c r="B184" s="1">
        <v>851.45</v>
      </c>
      <c r="C184" s="1">
        <v>854.09</v>
      </c>
      <c r="D184" s="1">
        <v>842.05</v>
      </c>
      <c r="E184" s="1">
        <v>845.04</v>
      </c>
      <c r="F184" s="1">
        <v>2793700</v>
      </c>
      <c r="G184" s="1">
        <v>845.04</v>
      </c>
      <c r="H184" s="1">
        <f t="shared" si="18"/>
        <v>12.040000000000077</v>
      </c>
      <c r="I184" s="9">
        <f t="shared" si="25"/>
        <v>1.4298438335015828E-2</v>
      </c>
      <c r="J184" s="1">
        <f t="shared" si="26"/>
        <v>-3.6000000000000227</v>
      </c>
      <c r="K184" s="9">
        <f t="shared" si="19"/>
        <v>-4.2420814479638275E-3</v>
      </c>
      <c r="L184" s="1">
        <f t="shared" si="20"/>
        <v>1</v>
      </c>
      <c r="M184" s="1">
        <f t="shared" si="21"/>
        <v>854.09</v>
      </c>
      <c r="N184" s="1">
        <f t="shared" si="22"/>
        <v>842.05</v>
      </c>
      <c r="O184" s="1">
        <f t="shared" si="23"/>
        <v>843.07999999999993</v>
      </c>
      <c r="P184" s="1">
        <f t="shared" si="24"/>
        <v>430.14285714285711</v>
      </c>
    </row>
    <row r="185" spans="1:16">
      <c r="A185" s="2">
        <v>42793</v>
      </c>
      <c r="B185" s="1">
        <v>842.38</v>
      </c>
      <c r="C185" s="1">
        <v>852.5</v>
      </c>
      <c r="D185" s="1">
        <v>839.67</v>
      </c>
      <c r="E185" s="1">
        <v>848.64</v>
      </c>
      <c r="F185" s="1">
        <v>2713600</v>
      </c>
      <c r="G185" s="1">
        <v>848.64</v>
      </c>
      <c r="H185" s="1">
        <f t="shared" si="18"/>
        <v>12.830000000000041</v>
      </c>
      <c r="I185" s="9">
        <f t="shared" si="25"/>
        <v>1.527981230721598E-2</v>
      </c>
      <c r="J185" s="1">
        <f t="shared" si="26"/>
        <v>3.3999999999999773</v>
      </c>
      <c r="K185" s="9">
        <f t="shared" si="19"/>
        <v>4.022526146419925E-3</v>
      </c>
      <c r="L185" s="1">
        <f t="shared" si="20"/>
        <v>1</v>
      </c>
      <c r="M185" s="1">
        <f t="shared" si="21"/>
        <v>852.5</v>
      </c>
      <c r="N185" s="1">
        <f t="shared" si="22"/>
        <v>839.67</v>
      </c>
      <c r="O185" s="1">
        <f t="shared" si="23"/>
        <v>846.68</v>
      </c>
      <c r="P185" s="1">
        <f t="shared" si="24"/>
        <v>431.9795918367347</v>
      </c>
    </row>
    <row r="186" spans="1:16">
      <c r="A186" s="2">
        <v>42790</v>
      </c>
      <c r="B186" s="1">
        <v>844.69</v>
      </c>
      <c r="C186" s="1">
        <v>845.81</v>
      </c>
      <c r="D186" s="1">
        <v>837.75</v>
      </c>
      <c r="E186" s="1">
        <v>845.24</v>
      </c>
      <c r="F186" s="1">
        <v>3688000</v>
      </c>
      <c r="G186" s="1">
        <v>845.24</v>
      </c>
      <c r="H186" s="1">
        <f t="shared" si="18"/>
        <v>8.0599999999999454</v>
      </c>
      <c r="I186" s="9">
        <f t="shared" si="25"/>
        <v>9.6210086541330293E-3</v>
      </c>
      <c r="J186" s="1">
        <f t="shared" si="26"/>
        <v>-6.9500000000000455</v>
      </c>
      <c r="K186" s="9">
        <f t="shared" si="19"/>
        <v>-8.1554582898180506E-3</v>
      </c>
      <c r="L186" s="1">
        <f t="shared" si="20"/>
        <v>1</v>
      </c>
      <c r="M186" s="1">
        <f t="shared" si="21"/>
        <v>845.81</v>
      </c>
      <c r="N186" s="1">
        <f t="shared" si="22"/>
        <v>837.75</v>
      </c>
      <c r="O186" s="1">
        <f t="shared" si="23"/>
        <v>843.28</v>
      </c>
      <c r="P186" s="1">
        <f t="shared" si="24"/>
        <v>430.24489795918367</v>
      </c>
    </row>
    <row r="187" spans="1:16">
      <c r="A187" s="2">
        <v>42789</v>
      </c>
      <c r="B187" s="1">
        <v>857.57</v>
      </c>
      <c r="C187" s="1">
        <v>860.86</v>
      </c>
      <c r="D187" s="1">
        <v>848</v>
      </c>
      <c r="E187" s="1">
        <v>852.19</v>
      </c>
      <c r="F187" s="1">
        <v>3462000</v>
      </c>
      <c r="G187" s="1">
        <v>852.19</v>
      </c>
      <c r="H187" s="1">
        <f t="shared" si="18"/>
        <v>12.860000000000014</v>
      </c>
      <c r="I187" s="9">
        <f t="shared" si="25"/>
        <v>1.5165094339622657E-2</v>
      </c>
      <c r="J187" s="1">
        <f t="shared" si="26"/>
        <v>-3.4199999999999591</v>
      </c>
      <c r="K187" s="9">
        <f t="shared" si="19"/>
        <v>-3.9971482334240586E-3</v>
      </c>
      <c r="L187" s="1">
        <f t="shared" si="20"/>
        <v>1</v>
      </c>
      <c r="M187" s="1">
        <f t="shared" si="21"/>
        <v>860.86</v>
      </c>
      <c r="N187" s="1">
        <f t="shared" si="22"/>
        <v>848</v>
      </c>
      <c r="O187" s="1">
        <f t="shared" si="23"/>
        <v>850.23</v>
      </c>
      <c r="P187" s="1">
        <f t="shared" si="24"/>
        <v>433.7908163265306</v>
      </c>
    </row>
    <row r="188" spans="1:16">
      <c r="A188" s="2">
        <v>42788</v>
      </c>
      <c r="B188" s="1">
        <v>856.95</v>
      </c>
      <c r="C188" s="1">
        <v>858.43</v>
      </c>
      <c r="D188" s="1">
        <v>852.18</v>
      </c>
      <c r="E188" s="1">
        <v>855.61</v>
      </c>
      <c r="F188" s="1">
        <v>2617000</v>
      </c>
      <c r="G188" s="1">
        <v>855.61</v>
      </c>
      <c r="H188" s="1">
        <f t="shared" si="18"/>
        <v>6.25</v>
      </c>
      <c r="I188" s="9">
        <f t="shared" si="25"/>
        <v>7.3341312868173397E-3</v>
      </c>
      <c r="J188" s="1">
        <f t="shared" si="26"/>
        <v>-0.83000000000004093</v>
      </c>
      <c r="K188" s="9">
        <f t="shared" si="19"/>
        <v>-9.6912801830839395E-4</v>
      </c>
      <c r="L188" s="1">
        <f t="shared" si="20"/>
        <v>1</v>
      </c>
      <c r="M188" s="1">
        <f t="shared" si="21"/>
        <v>858.43</v>
      </c>
      <c r="N188" s="1">
        <f t="shared" si="22"/>
        <v>852.18</v>
      </c>
      <c r="O188" s="1">
        <f t="shared" si="23"/>
        <v>853.65</v>
      </c>
      <c r="P188" s="1">
        <f t="shared" si="24"/>
        <v>435.53571428571428</v>
      </c>
    </row>
    <row r="189" spans="1:16">
      <c r="A189" s="2">
        <v>42787</v>
      </c>
      <c r="B189" s="1">
        <v>848.84</v>
      </c>
      <c r="C189" s="1">
        <v>857.98</v>
      </c>
      <c r="D189" s="1">
        <v>847.25</v>
      </c>
      <c r="E189" s="1">
        <v>856.44</v>
      </c>
      <c r="F189" s="1">
        <v>3507700</v>
      </c>
      <c r="G189" s="1">
        <v>856.44</v>
      </c>
      <c r="H189" s="1">
        <f t="shared" si="18"/>
        <v>10.730000000000018</v>
      </c>
      <c r="I189" s="9">
        <f t="shared" si="25"/>
        <v>1.2664502803186803E-2</v>
      </c>
      <c r="J189" s="1">
        <f t="shared" si="26"/>
        <v>11.370000000000005</v>
      </c>
      <c r="K189" s="9">
        <f t="shared" si="19"/>
        <v>1.3454506727253368E-2</v>
      </c>
      <c r="L189" s="1">
        <f t="shared" si="20"/>
        <v>1</v>
      </c>
      <c r="M189" s="1">
        <f t="shared" si="21"/>
        <v>857.98</v>
      </c>
      <c r="N189" s="1">
        <f t="shared" si="22"/>
        <v>847.25</v>
      </c>
      <c r="O189" s="1">
        <f t="shared" si="23"/>
        <v>854.48</v>
      </c>
      <c r="P189" s="1">
        <f t="shared" si="24"/>
        <v>435.9591836734694</v>
      </c>
    </row>
    <row r="190" spans="1:16">
      <c r="A190" s="2">
        <v>42783</v>
      </c>
      <c r="B190" s="1">
        <v>842</v>
      </c>
      <c r="C190" s="1">
        <v>847.27</v>
      </c>
      <c r="D190" s="1">
        <v>840.73</v>
      </c>
      <c r="E190" s="1">
        <v>845.07</v>
      </c>
      <c r="F190" s="1">
        <v>3112300</v>
      </c>
      <c r="G190" s="1">
        <v>845.07</v>
      </c>
      <c r="H190" s="1">
        <f t="shared" si="18"/>
        <v>6.5399999999999636</v>
      </c>
      <c r="I190" s="9">
        <f t="shared" si="25"/>
        <v>7.7789540042581609E-3</v>
      </c>
      <c r="J190" s="1">
        <f t="shared" si="26"/>
        <v>0.93000000000006366</v>
      </c>
      <c r="K190" s="9">
        <f t="shared" si="19"/>
        <v>1.1017129859976589E-3</v>
      </c>
      <c r="L190" s="1">
        <f t="shared" si="20"/>
        <v>1</v>
      </c>
      <c r="M190" s="1">
        <f t="shared" si="21"/>
        <v>847.27</v>
      </c>
      <c r="N190" s="1">
        <f t="shared" si="22"/>
        <v>840.73</v>
      </c>
      <c r="O190" s="1">
        <f t="shared" si="23"/>
        <v>843.11</v>
      </c>
      <c r="P190" s="1">
        <f t="shared" si="24"/>
        <v>430.15816326530614</v>
      </c>
    </row>
    <row r="191" spans="1:16">
      <c r="A191" s="2">
        <v>42782</v>
      </c>
      <c r="B191" s="1">
        <v>841.84</v>
      </c>
      <c r="C191" s="1">
        <v>845</v>
      </c>
      <c r="D191" s="1">
        <v>839.38</v>
      </c>
      <c r="E191" s="1">
        <v>844.14</v>
      </c>
      <c r="F191" s="1">
        <v>2714700</v>
      </c>
      <c r="G191" s="1">
        <v>844.14</v>
      </c>
      <c r="H191" s="1">
        <f t="shared" si="18"/>
        <v>5.6200000000000045</v>
      </c>
      <c r="I191" s="9">
        <f t="shared" si="25"/>
        <v>6.6954180466534882E-3</v>
      </c>
      <c r="J191" s="1">
        <f t="shared" si="26"/>
        <v>1.4399999999999409</v>
      </c>
      <c r="K191" s="9">
        <f t="shared" si="19"/>
        <v>1.7087931648272704E-3</v>
      </c>
      <c r="L191" s="1">
        <f t="shared" si="20"/>
        <v>1</v>
      </c>
      <c r="M191" s="1">
        <f t="shared" si="21"/>
        <v>845</v>
      </c>
      <c r="N191" s="1">
        <f t="shared" si="22"/>
        <v>839.38</v>
      </c>
      <c r="O191" s="1">
        <f t="shared" si="23"/>
        <v>842.18</v>
      </c>
      <c r="P191" s="1">
        <f t="shared" si="24"/>
        <v>429.68367346938771</v>
      </c>
    </row>
    <row r="192" spans="1:16">
      <c r="A192" s="2">
        <v>42781</v>
      </c>
      <c r="B192" s="1">
        <v>834</v>
      </c>
      <c r="C192" s="1">
        <v>842.81</v>
      </c>
      <c r="D192" s="1">
        <v>832.82</v>
      </c>
      <c r="E192" s="1">
        <v>842.7</v>
      </c>
      <c r="F192" s="1">
        <v>2968900</v>
      </c>
      <c r="G192" s="1">
        <v>842.7</v>
      </c>
      <c r="H192" s="1">
        <f t="shared" si="18"/>
        <v>9.9899999999998954</v>
      </c>
      <c r="I192" s="9">
        <f t="shared" si="25"/>
        <v>1.1995389159722262E-2</v>
      </c>
      <c r="J192" s="1">
        <f t="shared" si="26"/>
        <v>6.3100000000000591</v>
      </c>
      <c r="K192" s="9">
        <f t="shared" si="19"/>
        <v>7.5443274070709351E-3</v>
      </c>
      <c r="L192" s="1">
        <f t="shared" si="20"/>
        <v>1</v>
      </c>
      <c r="M192" s="1">
        <f t="shared" si="21"/>
        <v>842.81</v>
      </c>
      <c r="N192" s="1">
        <f t="shared" si="22"/>
        <v>832.82</v>
      </c>
      <c r="O192" s="1">
        <f t="shared" si="23"/>
        <v>840.74</v>
      </c>
      <c r="P192" s="1">
        <f t="shared" si="24"/>
        <v>428.94897959183675</v>
      </c>
    </row>
    <row r="193" spans="1:16">
      <c r="A193" s="2">
        <v>42780</v>
      </c>
      <c r="B193" s="1">
        <v>837</v>
      </c>
      <c r="C193" s="1">
        <v>838.31</v>
      </c>
      <c r="D193" s="1">
        <v>831.45</v>
      </c>
      <c r="E193" s="1">
        <v>836.39</v>
      </c>
      <c r="F193" s="1">
        <v>2787900</v>
      </c>
      <c r="G193" s="1">
        <v>836.39</v>
      </c>
      <c r="H193" s="1">
        <f t="shared" si="18"/>
        <v>6.8599999999999</v>
      </c>
      <c r="I193" s="9">
        <f t="shared" si="25"/>
        <v>8.2506464610017441E-3</v>
      </c>
      <c r="J193" s="1">
        <f t="shared" si="26"/>
        <v>-0.13999999999998636</v>
      </c>
      <c r="K193" s="9">
        <f t="shared" si="19"/>
        <v>-1.6735801465576412E-4</v>
      </c>
      <c r="L193" s="1">
        <f t="shared" si="20"/>
        <v>1</v>
      </c>
      <c r="M193" s="1">
        <f t="shared" si="21"/>
        <v>838.31</v>
      </c>
      <c r="N193" s="1">
        <f t="shared" si="22"/>
        <v>831.45</v>
      </c>
      <c r="O193" s="1">
        <f t="shared" si="23"/>
        <v>834.43</v>
      </c>
      <c r="P193" s="1">
        <f t="shared" si="24"/>
        <v>425.7295918367347</v>
      </c>
    </row>
    <row r="194" spans="1:16">
      <c r="A194" s="2">
        <v>42779</v>
      </c>
      <c r="B194" s="1">
        <v>831.62</v>
      </c>
      <c r="C194" s="1">
        <v>843</v>
      </c>
      <c r="D194" s="1">
        <v>828.55</v>
      </c>
      <c r="E194" s="1">
        <v>836.53</v>
      </c>
      <c r="F194" s="1">
        <v>4172600</v>
      </c>
      <c r="G194" s="1">
        <v>836.53</v>
      </c>
      <c r="H194" s="1">
        <f t="shared" si="18"/>
        <v>14.450000000000045</v>
      </c>
      <c r="I194" s="9">
        <f t="shared" si="25"/>
        <v>1.7440106209643407E-2</v>
      </c>
      <c r="J194" s="1">
        <f t="shared" si="26"/>
        <v>9.0699999999999363</v>
      </c>
      <c r="K194" s="9">
        <f t="shared" si="19"/>
        <v>1.0961254924709275E-2</v>
      </c>
      <c r="L194" s="1">
        <f t="shared" si="20"/>
        <v>1</v>
      </c>
      <c r="M194" s="1">
        <f t="shared" si="21"/>
        <v>843</v>
      </c>
      <c r="N194" s="1">
        <f t="shared" si="22"/>
        <v>828.55</v>
      </c>
      <c r="O194" s="1">
        <f t="shared" si="23"/>
        <v>834.56999999999994</v>
      </c>
      <c r="P194" s="1">
        <f t="shared" si="24"/>
        <v>425.80102040816325</v>
      </c>
    </row>
    <row r="195" spans="1:16">
      <c r="A195" s="2">
        <v>42776</v>
      </c>
      <c r="B195" s="1">
        <v>823.82</v>
      </c>
      <c r="C195" s="1">
        <v>828</v>
      </c>
      <c r="D195" s="1">
        <v>822.85</v>
      </c>
      <c r="E195" s="1">
        <v>827.46</v>
      </c>
      <c r="F195" s="1">
        <v>2429600</v>
      </c>
      <c r="G195" s="1">
        <v>827.46</v>
      </c>
      <c r="H195" s="1">
        <f t="shared" ref="H195:H258" si="27">C195-D195</f>
        <v>5.1499999999999773</v>
      </c>
      <c r="I195" s="9">
        <f t="shared" si="25"/>
        <v>6.2587348848514033E-3</v>
      </c>
      <c r="J195" s="1">
        <f t="shared" si="26"/>
        <v>6.1000000000000227</v>
      </c>
      <c r="K195" s="9">
        <f t="shared" ref="K195:K258" si="28">(G195-G196)/G196</f>
        <v>7.4267069250998621E-3</v>
      </c>
      <c r="L195" s="1">
        <f t="shared" ref="L195:L258" si="29">G195/E195</f>
        <v>1</v>
      </c>
      <c r="M195" s="1">
        <f t="shared" ref="M195:M258" si="30">L195*C195</f>
        <v>828</v>
      </c>
      <c r="N195" s="1">
        <f t="shared" ref="N195:N258" si="31">L195*D195</f>
        <v>822.85</v>
      </c>
      <c r="O195" s="1">
        <f t="shared" ref="O195:O258" si="32">G195-$G$5163</f>
        <v>825.5</v>
      </c>
      <c r="P195" s="1">
        <f t="shared" ref="P195:P258" si="33">(G195-$G$5163)/$G$5163</f>
        <v>421.17346938775512</v>
      </c>
    </row>
    <row r="196" spans="1:16">
      <c r="A196" s="2">
        <v>42775</v>
      </c>
      <c r="B196" s="1">
        <v>821.6</v>
      </c>
      <c r="C196" s="1">
        <v>825</v>
      </c>
      <c r="D196" s="1">
        <v>819.71</v>
      </c>
      <c r="E196" s="1">
        <v>821.36</v>
      </c>
      <c r="F196" s="1">
        <v>2484900</v>
      </c>
      <c r="G196" s="1">
        <v>821.36</v>
      </c>
      <c r="H196" s="1">
        <f t="shared" si="27"/>
        <v>5.2899999999999636</v>
      </c>
      <c r="I196" s="9">
        <f t="shared" ref="I196:I259" si="34">(C196-D196)/D196</f>
        <v>6.4535018482145675E-3</v>
      </c>
      <c r="J196" s="1">
        <f t="shared" ref="J196:J259" si="35">G196-G197</f>
        <v>1.6499999999999773</v>
      </c>
      <c r="K196" s="9">
        <f t="shared" si="28"/>
        <v>2.0129070036964012E-3</v>
      </c>
      <c r="L196" s="1">
        <f t="shared" si="29"/>
        <v>1</v>
      </c>
      <c r="M196" s="1">
        <f t="shared" si="30"/>
        <v>825</v>
      </c>
      <c r="N196" s="1">
        <f t="shared" si="31"/>
        <v>819.71</v>
      </c>
      <c r="O196" s="1">
        <f t="shared" si="32"/>
        <v>819.4</v>
      </c>
      <c r="P196" s="1">
        <f t="shared" si="33"/>
        <v>418.0612244897959</v>
      </c>
    </row>
    <row r="197" spans="1:16">
      <c r="A197" s="2">
        <v>42774</v>
      </c>
      <c r="B197" s="1">
        <v>812.69</v>
      </c>
      <c r="C197" s="1">
        <v>821.48</v>
      </c>
      <c r="D197" s="1">
        <v>812.5</v>
      </c>
      <c r="E197" s="1">
        <v>819.71</v>
      </c>
      <c r="F197" s="1">
        <v>2858000</v>
      </c>
      <c r="G197" s="1">
        <v>819.71</v>
      </c>
      <c r="H197" s="1">
        <f t="shared" si="27"/>
        <v>8.9800000000000182</v>
      </c>
      <c r="I197" s="9">
        <f t="shared" si="34"/>
        <v>1.1052307692307715E-2</v>
      </c>
      <c r="J197" s="1">
        <f t="shared" si="35"/>
        <v>7.2100000000000364</v>
      </c>
      <c r="K197" s="9">
        <f t="shared" si="28"/>
        <v>8.8738461538461991E-3</v>
      </c>
      <c r="L197" s="1">
        <f t="shared" si="29"/>
        <v>1</v>
      </c>
      <c r="M197" s="1">
        <f t="shared" si="30"/>
        <v>821.48</v>
      </c>
      <c r="N197" s="1">
        <f t="shared" si="31"/>
        <v>812.5</v>
      </c>
      <c r="O197" s="1">
        <f t="shared" si="32"/>
        <v>817.75</v>
      </c>
      <c r="P197" s="1">
        <f t="shared" si="33"/>
        <v>417.21938775510205</v>
      </c>
    </row>
    <row r="198" spans="1:16">
      <c r="A198" s="2">
        <v>42773</v>
      </c>
      <c r="B198" s="1">
        <v>809.31</v>
      </c>
      <c r="C198" s="1">
        <v>816.16</v>
      </c>
      <c r="D198" s="1">
        <v>807.5</v>
      </c>
      <c r="E198" s="1">
        <v>812.5</v>
      </c>
      <c r="F198" s="1">
        <v>3466100</v>
      </c>
      <c r="G198" s="1">
        <v>812.5</v>
      </c>
      <c r="H198" s="1">
        <f t="shared" si="27"/>
        <v>8.6599999999999682</v>
      </c>
      <c r="I198" s="9">
        <f t="shared" si="34"/>
        <v>1.0724458204334326E-2</v>
      </c>
      <c r="J198" s="1">
        <f t="shared" si="35"/>
        <v>4.8600000000000136</v>
      </c>
      <c r="K198" s="9">
        <f t="shared" si="28"/>
        <v>6.0175325640136864E-3</v>
      </c>
      <c r="L198" s="1">
        <f t="shared" si="29"/>
        <v>1</v>
      </c>
      <c r="M198" s="1">
        <f t="shared" si="30"/>
        <v>816.16</v>
      </c>
      <c r="N198" s="1">
        <f t="shared" si="31"/>
        <v>807.5</v>
      </c>
      <c r="O198" s="1">
        <f t="shared" si="32"/>
        <v>810.54</v>
      </c>
      <c r="P198" s="1">
        <f t="shared" si="33"/>
        <v>413.5408163265306</v>
      </c>
    </row>
    <row r="199" spans="1:16">
      <c r="A199" s="2">
        <v>42772</v>
      </c>
      <c r="B199" s="1">
        <v>809.8</v>
      </c>
      <c r="C199" s="1">
        <v>810.72</v>
      </c>
      <c r="D199" s="1">
        <v>803</v>
      </c>
      <c r="E199" s="1">
        <v>807.64</v>
      </c>
      <c r="F199" s="1">
        <v>3897300</v>
      </c>
      <c r="G199" s="1">
        <v>807.64</v>
      </c>
      <c r="H199" s="1">
        <f t="shared" si="27"/>
        <v>7.7200000000000273</v>
      </c>
      <c r="I199" s="9">
        <f t="shared" si="34"/>
        <v>9.6139476961395118E-3</v>
      </c>
      <c r="J199" s="1">
        <f t="shared" si="35"/>
        <v>-2.5600000000000591</v>
      </c>
      <c r="K199" s="9">
        <f t="shared" si="28"/>
        <v>-3.1597136509504556E-3</v>
      </c>
      <c r="L199" s="1">
        <f t="shared" si="29"/>
        <v>1</v>
      </c>
      <c r="M199" s="1">
        <f t="shared" si="30"/>
        <v>810.72</v>
      </c>
      <c r="N199" s="1">
        <f t="shared" si="31"/>
        <v>803</v>
      </c>
      <c r="O199" s="1">
        <f t="shared" si="32"/>
        <v>805.68</v>
      </c>
      <c r="P199" s="1">
        <f t="shared" si="33"/>
        <v>411.0612244897959</v>
      </c>
    </row>
    <row r="200" spans="1:16">
      <c r="A200" s="2">
        <v>42769</v>
      </c>
      <c r="B200" s="1">
        <v>806.72</v>
      </c>
      <c r="C200" s="1">
        <v>818.3</v>
      </c>
      <c r="D200" s="1">
        <v>804</v>
      </c>
      <c r="E200" s="1">
        <v>810.2</v>
      </c>
      <c r="F200" s="1">
        <v>10868800</v>
      </c>
      <c r="G200" s="1">
        <v>810.2</v>
      </c>
      <c r="H200" s="1">
        <f t="shared" si="27"/>
        <v>14.299999999999955</v>
      </c>
      <c r="I200" s="9">
        <f t="shared" si="34"/>
        <v>1.7786069651741235E-2</v>
      </c>
      <c r="J200" s="1">
        <f t="shared" si="35"/>
        <v>-29.75</v>
      </c>
      <c r="K200" s="9">
        <f t="shared" si="28"/>
        <v>-3.541877492707899E-2</v>
      </c>
      <c r="L200" s="1">
        <f t="shared" si="29"/>
        <v>1</v>
      </c>
      <c r="M200" s="1">
        <f t="shared" si="30"/>
        <v>818.3</v>
      </c>
      <c r="N200" s="1">
        <f t="shared" si="31"/>
        <v>804</v>
      </c>
      <c r="O200" s="1">
        <f t="shared" si="32"/>
        <v>808.24</v>
      </c>
      <c r="P200" s="1">
        <f t="shared" si="33"/>
        <v>412.36734693877554</v>
      </c>
    </row>
    <row r="201" spans="1:16">
      <c r="A201" s="2">
        <v>42768</v>
      </c>
      <c r="B201" s="1">
        <v>836.59</v>
      </c>
      <c r="C201" s="1">
        <v>842.49</v>
      </c>
      <c r="D201" s="1">
        <v>828.26</v>
      </c>
      <c r="E201" s="1">
        <v>839.95</v>
      </c>
      <c r="F201" s="1">
        <v>7350500</v>
      </c>
      <c r="G201" s="1">
        <v>839.95</v>
      </c>
      <c r="H201" s="1">
        <f t="shared" si="27"/>
        <v>14.230000000000018</v>
      </c>
      <c r="I201" s="9">
        <f t="shared" si="34"/>
        <v>1.718059546519211E-2</v>
      </c>
      <c r="J201" s="1">
        <f t="shared" si="35"/>
        <v>7.6000000000000227</v>
      </c>
      <c r="K201" s="9">
        <f t="shared" si="28"/>
        <v>9.130774313690181E-3</v>
      </c>
      <c r="L201" s="1">
        <f t="shared" si="29"/>
        <v>1</v>
      </c>
      <c r="M201" s="1">
        <f t="shared" si="30"/>
        <v>842.49</v>
      </c>
      <c r="N201" s="1">
        <f t="shared" si="31"/>
        <v>828.26</v>
      </c>
      <c r="O201" s="1">
        <f t="shared" si="32"/>
        <v>837.99</v>
      </c>
      <c r="P201" s="1">
        <f t="shared" si="33"/>
        <v>427.54591836734693</v>
      </c>
    </row>
    <row r="202" spans="1:16">
      <c r="A202" s="2">
        <v>42767</v>
      </c>
      <c r="B202" s="1">
        <v>829.21</v>
      </c>
      <c r="C202" s="1">
        <v>833.78</v>
      </c>
      <c r="D202" s="1">
        <v>824.94</v>
      </c>
      <c r="E202" s="1">
        <v>832.35</v>
      </c>
      <c r="F202" s="1">
        <v>3850200</v>
      </c>
      <c r="G202" s="1">
        <v>832.35</v>
      </c>
      <c r="H202" s="1">
        <f t="shared" si="27"/>
        <v>8.8399999999999181</v>
      </c>
      <c r="I202" s="9">
        <f t="shared" si="34"/>
        <v>1.0715930855577276E-2</v>
      </c>
      <c r="J202" s="1">
        <f t="shared" si="35"/>
        <v>8.8700000000000045</v>
      </c>
      <c r="K202" s="9">
        <f t="shared" si="28"/>
        <v>1.0771360567348332E-2</v>
      </c>
      <c r="L202" s="1">
        <f t="shared" si="29"/>
        <v>1</v>
      </c>
      <c r="M202" s="1">
        <f t="shared" si="30"/>
        <v>833.78</v>
      </c>
      <c r="N202" s="1">
        <f t="shared" si="31"/>
        <v>824.94</v>
      </c>
      <c r="O202" s="1">
        <f t="shared" si="32"/>
        <v>830.39</v>
      </c>
      <c r="P202" s="1">
        <f t="shared" si="33"/>
        <v>423.66836734693879</v>
      </c>
    </row>
    <row r="203" spans="1:16">
      <c r="A203" s="2">
        <v>42766</v>
      </c>
      <c r="B203" s="1">
        <v>823.75</v>
      </c>
      <c r="C203" s="1">
        <v>826.99</v>
      </c>
      <c r="D203" s="1">
        <v>819.56</v>
      </c>
      <c r="E203" s="1">
        <v>823.48</v>
      </c>
      <c r="F203" s="1">
        <v>3137200</v>
      </c>
      <c r="G203" s="1">
        <v>823.48</v>
      </c>
      <c r="H203" s="1">
        <f t="shared" si="27"/>
        <v>7.4300000000000637</v>
      </c>
      <c r="I203" s="9">
        <f t="shared" si="34"/>
        <v>9.0658402069403871E-3</v>
      </c>
      <c r="J203" s="1">
        <f t="shared" si="35"/>
        <v>-6.8999999999999773</v>
      </c>
      <c r="K203" s="9">
        <f t="shared" si="28"/>
        <v>-8.3094486861436667E-3</v>
      </c>
      <c r="L203" s="1">
        <f t="shared" si="29"/>
        <v>1</v>
      </c>
      <c r="M203" s="1">
        <f t="shared" si="30"/>
        <v>826.99</v>
      </c>
      <c r="N203" s="1">
        <f t="shared" si="31"/>
        <v>819.56</v>
      </c>
      <c r="O203" s="1">
        <f t="shared" si="32"/>
        <v>821.52</v>
      </c>
      <c r="P203" s="1">
        <f t="shared" si="33"/>
        <v>419.14285714285717</v>
      </c>
    </row>
    <row r="204" spans="1:16">
      <c r="A204" s="2">
        <v>42765</v>
      </c>
      <c r="B204" s="1">
        <v>833</v>
      </c>
      <c r="C204" s="1">
        <v>833.5</v>
      </c>
      <c r="D204" s="1">
        <v>816.38</v>
      </c>
      <c r="E204" s="1">
        <v>830.38</v>
      </c>
      <c r="F204" s="1">
        <v>3747300</v>
      </c>
      <c r="G204" s="1">
        <v>830.38</v>
      </c>
      <c r="H204" s="1">
        <f t="shared" si="27"/>
        <v>17.120000000000005</v>
      </c>
      <c r="I204" s="9">
        <f t="shared" si="34"/>
        <v>2.0970626423969237E-2</v>
      </c>
      <c r="J204" s="1">
        <f t="shared" si="35"/>
        <v>-5.3899999999999864</v>
      </c>
      <c r="K204" s="9">
        <f t="shared" si="28"/>
        <v>-6.4491427067255181E-3</v>
      </c>
      <c r="L204" s="1">
        <f t="shared" si="29"/>
        <v>1</v>
      </c>
      <c r="M204" s="1">
        <f t="shared" si="30"/>
        <v>833.5</v>
      </c>
      <c r="N204" s="1">
        <f t="shared" si="31"/>
        <v>816.38</v>
      </c>
      <c r="O204" s="1">
        <f t="shared" si="32"/>
        <v>828.42</v>
      </c>
      <c r="P204" s="1">
        <f t="shared" si="33"/>
        <v>422.66326530612241</v>
      </c>
    </row>
    <row r="205" spans="1:16">
      <c r="A205" s="2">
        <v>42762</v>
      </c>
      <c r="B205" s="1">
        <v>839</v>
      </c>
      <c r="C205" s="1">
        <v>839.7</v>
      </c>
      <c r="D205" s="1">
        <v>829.44</v>
      </c>
      <c r="E205" s="1">
        <v>835.77</v>
      </c>
      <c r="F205" s="1">
        <v>2998700</v>
      </c>
      <c r="G205" s="1">
        <v>835.77</v>
      </c>
      <c r="H205" s="1">
        <f t="shared" si="27"/>
        <v>10.259999999999991</v>
      </c>
      <c r="I205" s="9">
        <f t="shared" si="34"/>
        <v>1.2369791666666656E-2</v>
      </c>
      <c r="J205" s="1">
        <f t="shared" si="35"/>
        <v>-3.3799999999999955</v>
      </c>
      <c r="K205" s="9">
        <f t="shared" si="28"/>
        <v>-4.0278853601858969E-3</v>
      </c>
      <c r="L205" s="1">
        <f t="shared" si="29"/>
        <v>1</v>
      </c>
      <c r="M205" s="1">
        <f t="shared" si="30"/>
        <v>839.7</v>
      </c>
      <c r="N205" s="1">
        <f t="shared" si="31"/>
        <v>829.44</v>
      </c>
      <c r="O205" s="1">
        <f t="shared" si="32"/>
        <v>833.81</v>
      </c>
      <c r="P205" s="1">
        <f t="shared" si="33"/>
        <v>425.41326530612241</v>
      </c>
    </row>
    <row r="206" spans="1:16">
      <c r="A206" s="2">
        <v>42761</v>
      </c>
      <c r="B206" s="1">
        <v>835.53</v>
      </c>
      <c r="C206" s="1">
        <v>843.84</v>
      </c>
      <c r="D206" s="1">
        <v>833</v>
      </c>
      <c r="E206" s="1">
        <v>839.15</v>
      </c>
      <c r="F206" s="1">
        <v>3586300</v>
      </c>
      <c r="G206" s="1">
        <v>839.15</v>
      </c>
      <c r="H206" s="1">
        <f t="shared" si="27"/>
        <v>10.840000000000032</v>
      </c>
      <c r="I206" s="9">
        <f t="shared" si="34"/>
        <v>1.3013205282112883E-2</v>
      </c>
      <c r="J206" s="1">
        <f t="shared" si="35"/>
        <v>2.6299999999999955</v>
      </c>
      <c r="K206" s="9">
        <f t="shared" si="28"/>
        <v>3.1439774303065027E-3</v>
      </c>
      <c r="L206" s="1">
        <f t="shared" si="29"/>
        <v>1</v>
      </c>
      <c r="M206" s="1">
        <f t="shared" si="30"/>
        <v>843.84</v>
      </c>
      <c r="N206" s="1">
        <f t="shared" si="31"/>
        <v>833</v>
      </c>
      <c r="O206" s="1">
        <f t="shared" si="32"/>
        <v>837.18999999999994</v>
      </c>
      <c r="P206" s="1">
        <f t="shared" si="33"/>
        <v>427.13775510204079</v>
      </c>
    </row>
    <row r="207" spans="1:16">
      <c r="A207" s="2">
        <v>42760</v>
      </c>
      <c r="B207" s="1">
        <v>825.79</v>
      </c>
      <c r="C207" s="1">
        <v>837.42</v>
      </c>
      <c r="D207" s="1">
        <v>825.29</v>
      </c>
      <c r="E207" s="1">
        <v>836.52</v>
      </c>
      <c r="F207" s="1">
        <v>3922600</v>
      </c>
      <c r="G207" s="1">
        <v>836.52</v>
      </c>
      <c r="H207" s="1">
        <f t="shared" si="27"/>
        <v>12.129999999999995</v>
      </c>
      <c r="I207" s="9">
        <f t="shared" si="34"/>
        <v>1.4697863781216295E-2</v>
      </c>
      <c r="J207" s="1">
        <f t="shared" si="35"/>
        <v>14.079999999999927</v>
      </c>
      <c r="K207" s="9">
        <f t="shared" si="28"/>
        <v>1.7119789893487582E-2</v>
      </c>
      <c r="L207" s="1">
        <f t="shared" si="29"/>
        <v>1</v>
      </c>
      <c r="M207" s="1">
        <f t="shared" si="30"/>
        <v>837.42</v>
      </c>
      <c r="N207" s="1">
        <f t="shared" si="31"/>
        <v>825.29</v>
      </c>
      <c r="O207" s="1">
        <f t="shared" si="32"/>
        <v>834.56</v>
      </c>
      <c r="P207" s="1">
        <f t="shared" si="33"/>
        <v>425.79591836734693</v>
      </c>
    </row>
    <row r="208" spans="1:16">
      <c r="A208" s="2">
        <v>42759</v>
      </c>
      <c r="B208" s="1">
        <v>822</v>
      </c>
      <c r="C208" s="1">
        <v>823.99</v>
      </c>
      <c r="D208" s="1">
        <v>814.5</v>
      </c>
      <c r="E208" s="1">
        <v>822.44</v>
      </c>
      <c r="F208" s="1">
        <v>2971700</v>
      </c>
      <c r="G208" s="1">
        <v>822.44</v>
      </c>
      <c r="H208" s="1">
        <f t="shared" si="27"/>
        <v>9.4900000000000091</v>
      </c>
      <c r="I208" s="9">
        <f t="shared" si="34"/>
        <v>1.165131982811542E-2</v>
      </c>
      <c r="J208" s="1">
        <f t="shared" si="35"/>
        <v>4.5600000000000591</v>
      </c>
      <c r="K208" s="9">
        <f t="shared" si="28"/>
        <v>5.5753900327677151E-3</v>
      </c>
      <c r="L208" s="1">
        <f t="shared" si="29"/>
        <v>1</v>
      </c>
      <c r="M208" s="1">
        <f t="shared" si="30"/>
        <v>823.99</v>
      </c>
      <c r="N208" s="1">
        <f t="shared" si="31"/>
        <v>814.5</v>
      </c>
      <c r="O208" s="1">
        <f t="shared" si="32"/>
        <v>820.48</v>
      </c>
      <c r="P208" s="1">
        <f t="shared" si="33"/>
        <v>418.61224489795921</v>
      </c>
    </row>
    <row r="209" spans="1:16">
      <c r="A209" s="2">
        <v>42758</v>
      </c>
      <c r="B209" s="1">
        <v>806.8</v>
      </c>
      <c r="C209" s="1">
        <v>818.5</v>
      </c>
      <c r="D209" s="1">
        <v>805.08</v>
      </c>
      <c r="E209" s="1">
        <v>817.88</v>
      </c>
      <c r="F209" s="1">
        <v>2797500</v>
      </c>
      <c r="G209" s="1">
        <v>817.88</v>
      </c>
      <c r="H209" s="1">
        <f t="shared" si="27"/>
        <v>13.419999999999959</v>
      </c>
      <c r="I209" s="9">
        <f t="shared" si="34"/>
        <v>1.6669150891836786E-2</v>
      </c>
      <c r="J209" s="1">
        <f t="shared" si="35"/>
        <v>9.5499999999999545</v>
      </c>
      <c r="K209" s="9">
        <f t="shared" si="28"/>
        <v>1.1814481709202868E-2</v>
      </c>
      <c r="L209" s="1">
        <f t="shared" si="29"/>
        <v>1</v>
      </c>
      <c r="M209" s="1">
        <f t="shared" si="30"/>
        <v>818.5</v>
      </c>
      <c r="N209" s="1">
        <f t="shared" si="31"/>
        <v>805.08</v>
      </c>
      <c r="O209" s="1">
        <f t="shared" si="32"/>
        <v>815.92</v>
      </c>
      <c r="P209" s="1">
        <f t="shared" si="33"/>
        <v>416.28571428571428</v>
      </c>
    </row>
    <row r="210" spans="1:16">
      <c r="A210" s="2">
        <v>42755</v>
      </c>
      <c r="B210" s="1">
        <v>815.28</v>
      </c>
      <c r="C210" s="1">
        <v>816.02</v>
      </c>
      <c r="D210" s="1">
        <v>806.26</v>
      </c>
      <c r="E210" s="1">
        <v>808.33</v>
      </c>
      <c r="F210" s="1">
        <v>3376200</v>
      </c>
      <c r="G210" s="1">
        <v>808.33</v>
      </c>
      <c r="H210" s="1">
        <f t="shared" si="27"/>
        <v>9.7599999999999909</v>
      </c>
      <c r="I210" s="9">
        <f t="shared" si="34"/>
        <v>1.2105276213628348E-2</v>
      </c>
      <c r="J210" s="1">
        <f t="shared" si="35"/>
        <v>-0.70999999999992269</v>
      </c>
      <c r="K210" s="9">
        <f t="shared" si="28"/>
        <v>-8.7758330861258127E-4</v>
      </c>
      <c r="L210" s="1">
        <f t="shared" si="29"/>
        <v>1</v>
      </c>
      <c r="M210" s="1">
        <f t="shared" si="30"/>
        <v>816.02</v>
      </c>
      <c r="N210" s="1">
        <f t="shared" si="31"/>
        <v>806.26</v>
      </c>
      <c r="O210" s="1">
        <f t="shared" si="32"/>
        <v>806.37</v>
      </c>
      <c r="P210" s="1">
        <f t="shared" si="33"/>
        <v>411.41326530612247</v>
      </c>
    </row>
    <row r="211" spans="1:16">
      <c r="A211" s="2">
        <v>42754</v>
      </c>
      <c r="B211" s="1">
        <v>810</v>
      </c>
      <c r="C211" s="1">
        <v>813.51</v>
      </c>
      <c r="D211" s="1">
        <v>807.32</v>
      </c>
      <c r="E211" s="1">
        <v>809.04</v>
      </c>
      <c r="F211" s="1">
        <v>2540800</v>
      </c>
      <c r="G211" s="1">
        <v>809.04</v>
      </c>
      <c r="H211" s="1">
        <f t="shared" si="27"/>
        <v>6.1899999999999409</v>
      </c>
      <c r="I211" s="9">
        <f t="shared" si="34"/>
        <v>7.6673438041915728E-3</v>
      </c>
      <c r="J211" s="1">
        <f t="shared" si="35"/>
        <v>1.5599999999999454</v>
      </c>
      <c r="K211" s="9">
        <f t="shared" si="28"/>
        <v>1.9319363947093988E-3</v>
      </c>
      <c r="L211" s="1">
        <f t="shared" si="29"/>
        <v>1</v>
      </c>
      <c r="M211" s="1">
        <f t="shared" si="30"/>
        <v>813.51</v>
      </c>
      <c r="N211" s="1">
        <f t="shared" si="31"/>
        <v>807.32</v>
      </c>
      <c r="O211" s="1">
        <f t="shared" si="32"/>
        <v>807.07999999999993</v>
      </c>
      <c r="P211" s="1">
        <f t="shared" si="33"/>
        <v>411.77551020408163</v>
      </c>
    </row>
    <row r="212" spans="1:16">
      <c r="A212" s="2">
        <v>42753</v>
      </c>
      <c r="B212" s="1">
        <v>809.5</v>
      </c>
      <c r="C212" s="1">
        <v>811.73</v>
      </c>
      <c r="D212" s="1">
        <v>804.27</v>
      </c>
      <c r="E212" s="1">
        <v>807.48</v>
      </c>
      <c r="F212" s="1">
        <v>2354200</v>
      </c>
      <c r="G212" s="1">
        <v>807.48</v>
      </c>
      <c r="H212" s="1">
        <f t="shared" si="27"/>
        <v>7.4600000000000364</v>
      </c>
      <c r="I212" s="9">
        <f t="shared" si="34"/>
        <v>9.2754920611237968E-3</v>
      </c>
      <c r="J212" s="1">
        <f t="shared" si="35"/>
        <v>-2.2400000000000091</v>
      </c>
      <c r="K212" s="9">
        <f t="shared" si="28"/>
        <v>-2.7663883811688103E-3</v>
      </c>
      <c r="L212" s="1">
        <f t="shared" si="29"/>
        <v>1</v>
      </c>
      <c r="M212" s="1">
        <f t="shared" si="30"/>
        <v>811.73</v>
      </c>
      <c r="N212" s="1">
        <f t="shared" si="31"/>
        <v>804.27</v>
      </c>
      <c r="O212" s="1">
        <f t="shared" si="32"/>
        <v>805.52</v>
      </c>
      <c r="P212" s="1">
        <f t="shared" si="33"/>
        <v>410.9795918367347</v>
      </c>
    </row>
    <row r="213" spans="1:16">
      <c r="A213" s="2">
        <v>42752</v>
      </c>
      <c r="B213" s="1">
        <v>815.7</v>
      </c>
      <c r="C213" s="1">
        <v>816</v>
      </c>
      <c r="D213" s="1">
        <v>803.44</v>
      </c>
      <c r="E213" s="1">
        <v>809.72</v>
      </c>
      <c r="F213" s="1">
        <v>3659400</v>
      </c>
      <c r="G213" s="1">
        <v>809.72</v>
      </c>
      <c r="H213" s="1">
        <f t="shared" si="27"/>
        <v>12.559999999999945</v>
      </c>
      <c r="I213" s="9">
        <f t="shared" si="34"/>
        <v>1.5632779050084568E-2</v>
      </c>
      <c r="J213" s="1">
        <f t="shared" si="35"/>
        <v>-7.4199999999999591</v>
      </c>
      <c r="K213" s="9">
        <f t="shared" si="28"/>
        <v>-9.0804513302493572E-3</v>
      </c>
      <c r="L213" s="1">
        <f t="shared" si="29"/>
        <v>1</v>
      </c>
      <c r="M213" s="1">
        <f t="shared" si="30"/>
        <v>816</v>
      </c>
      <c r="N213" s="1">
        <f t="shared" si="31"/>
        <v>803.44</v>
      </c>
      <c r="O213" s="1">
        <f t="shared" si="32"/>
        <v>807.76</v>
      </c>
      <c r="P213" s="1">
        <f t="shared" si="33"/>
        <v>412.12244897959187</v>
      </c>
    </row>
    <row r="214" spans="1:16">
      <c r="A214" s="2">
        <v>42748</v>
      </c>
      <c r="B214" s="1">
        <v>814.32</v>
      </c>
      <c r="C214" s="1">
        <v>821.65</v>
      </c>
      <c r="D214" s="1">
        <v>811.4</v>
      </c>
      <c r="E214" s="1">
        <v>817.14</v>
      </c>
      <c r="F214" s="1">
        <v>3791900</v>
      </c>
      <c r="G214" s="1">
        <v>817.14</v>
      </c>
      <c r="H214" s="1">
        <f t="shared" si="27"/>
        <v>10.25</v>
      </c>
      <c r="I214" s="9">
        <f t="shared" si="34"/>
        <v>1.2632487059403501E-2</v>
      </c>
      <c r="J214" s="1">
        <f t="shared" si="35"/>
        <v>3.5</v>
      </c>
      <c r="K214" s="9">
        <f t="shared" si="28"/>
        <v>4.3016567523720562E-3</v>
      </c>
      <c r="L214" s="1">
        <f t="shared" si="29"/>
        <v>1</v>
      </c>
      <c r="M214" s="1">
        <f t="shared" si="30"/>
        <v>821.65</v>
      </c>
      <c r="N214" s="1">
        <f t="shared" si="31"/>
        <v>811.4</v>
      </c>
      <c r="O214" s="1">
        <f t="shared" si="32"/>
        <v>815.18</v>
      </c>
      <c r="P214" s="1">
        <f t="shared" si="33"/>
        <v>415.90816326530609</v>
      </c>
    </row>
    <row r="215" spans="1:16">
      <c r="A215" s="2">
        <v>42747</v>
      </c>
      <c r="B215" s="1">
        <v>800.31</v>
      </c>
      <c r="C215" s="1">
        <v>814.13</v>
      </c>
      <c r="D215" s="1">
        <v>799.5</v>
      </c>
      <c r="E215" s="1">
        <v>813.64</v>
      </c>
      <c r="F215" s="1">
        <v>4873900</v>
      </c>
      <c r="G215" s="1">
        <v>813.64</v>
      </c>
      <c r="H215" s="1">
        <f t="shared" si="27"/>
        <v>14.629999999999995</v>
      </c>
      <c r="I215" s="9">
        <f t="shared" si="34"/>
        <v>1.8298936835522195E-2</v>
      </c>
      <c r="J215" s="1">
        <f t="shared" si="35"/>
        <v>14.620000000000005</v>
      </c>
      <c r="K215" s="9">
        <f t="shared" si="28"/>
        <v>1.8297414332557389E-2</v>
      </c>
      <c r="L215" s="1">
        <f t="shared" si="29"/>
        <v>1</v>
      </c>
      <c r="M215" s="1">
        <f t="shared" si="30"/>
        <v>814.13</v>
      </c>
      <c r="N215" s="1">
        <f t="shared" si="31"/>
        <v>799.5</v>
      </c>
      <c r="O215" s="1">
        <f t="shared" si="32"/>
        <v>811.68</v>
      </c>
      <c r="P215" s="1">
        <f t="shared" si="33"/>
        <v>414.12244897959181</v>
      </c>
    </row>
    <row r="216" spans="1:16">
      <c r="A216" s="2">
        <v>42746</v>
      </c>
      <c r="B216" s="1">
        <v>793.66</v>
      </c>
      <c r="C216" s="1">
        <v>799.5</v>
      </c>
      <c r="D216" s="1">
        <v>789.51</v>
      </c>
      <c r="E216" s="1">
        <v>799.02</v>
      </c>
      <c r="F216" s="1">
        <v>2992800</v>
      </c>
      <c r="G216" s="1">
        <v>799.02</v>
      </c>
      <c r="H216" s="1">
        <f t="shared" si="27"/>
        <v>9.9900000000000091</v>
      </c>
      <c r="I216" s="9">
        <f t="shared" si="34"/>
        <v>1.2653417942774643E-2</v>
      </c>
      <c r="J216" s="1">
        <f t="shared" si="35"/>
        <v>3.1200000000000045</v>
      </c>
      <c r="K216" s="9">
        <f t="shared" si="28"/>
        <v>3.9200904636260891E-3</v>
      </c>
      <c r="L216" s="1">
        <f t="shared" si="29"/>
        <v>1</v>
      </c>
      <c r="M216" s="1">
        <f t="shared" si="30"/>
        <v>799.5</v>
      </c>
      <c r="N216" s="1">
        <f t="shared" si="31"/>
        <v>789.51</v>
      </c>
      <c r="O216" s="1">
        <f t="shared" si="32"/>
        <v>797.06</v>
      </c>
      <c r="P216" s="1">
        <f t="shared" si="33"/>
        <v>406.66326530612241</v>
      </c>
    </row>
    <row r="217" spans="1:16">
      <c r="A217" s="2">
        <v>42745</v>
      </c>
      <c r="B217" s="1">
        <v>796.6</v>
      </c>
      <c r="C217" s="1">
        <v>798</v>
      </c>
      <c r="D217" s="1">
        <v>789.54</v>
      </c>
      <c r="E217" s="1">
        <v>795.9</v>
      </c>
      <c r="F217" s="1">
        <v>2558400</v>
      </c>
      <c r="G217" s="1">
        <v>795.9</v>
      </c>
      <c r="H217" s="1">
        <f t="shared" si="27"/>
        <v>8.4600000000000364</v>
      </c>
      <c r="I217" s="9">
        <f t="shared" si="34"/>
        <v>1.0715099931605791E-2</v>
      </c>
      <c r="J217" s="1">
        <f t="shared" si="35"/>
        <v>-1.0199999999999818</v>
      </c>
      <c r="K217" s="9">
        <f t="shared" si="28"/>
        <v>-1.2799277217286325E-3</v>
      </c>
      <c r="L217" s="1">
        <f t="shared" si="29"/>
        <v>1</v>
      </c>
      <c r="M217" s="1">
        <f t="shared" si="30"/>
        <v>798</v>
      </c>
      <c r="N217" s="1">
        <f t="shared" si="31"/>
        <v>789.54</v>
      </c>
      <c r="O217" s="1">
        <f t="shared" si="32"/>
        <v>793.93999999999994</v>
      </c>
      <c r="P217" s="1">
        <f t="shared" si="33"/>
        <v>405.07142857142856</v>
      </c>
    </row>
    <row r="218" spans="1:16">
      <c r="A218" s="2">
        <v>42744</v>
      </c>
      <c r="B218" s="1">
        <v>798</v>
      </c>
      <c r="C218" s="1">
        <v>801.77</v>
      </c>
      <c r="D218" s="1">
        <v>791.77</v>
      </c>
      <c r="E218" s="1">
        <v>796.92</v>
      </c>
      <c r="F218" s="1">
        <v>3440100</v>
      </c>
      <c r="G218" s="1">
        <v>796.92</v>
      </c>
      <c r="H218" s="1">
        <f t="shared" si="27"/>
        <v>10</v>
      </c>
      <c r="I218" s="9">
        <f t="shared" si="34"/>
        <v>1.2629930409083447E-2</v>
      </c>
      <c r="J218" s="1">
        <f t="shared" si="35"/>
        <v>0.92999999999994998</v>
      </c>
      <c r="K218" s="9">
        <f t="shared" si="28"/>
        <v>1.1683563863867008E-3</v>
      </c>
      <c r="L218" s="1">
        <f t="shared" si="29"/>
        <v>1</v>
      </c>
      <c r="M218" s="1">
        <f t="shared" si="30"/>
        <v>801.77</v>
      </c>
      <c r="N218" s="1">
        <f t="shared" si="31"/>
        <v>791.77</v>
      </c>
      <c r="O218" s="1">
        <f t="shared" si="32"/>
        <v>794.95999999999992</v>
      </c>
      <c r="P218" s="1">
        <f t="shared" si="33"/>
        <v>405.59183673469386</v>
      </c>
    </row>
    <row r="219" spans="1:16">
      <c r="A219" s="2">
        <v>42741</v>
      </c>
      <c r="B219" s="1">
        <v>782.36</v>
      </c>
      <c r="C219" s="1">
        <v>799.44</v>
      </c>
      <c r="D219" s="1">
        <v>778.48</v>
      </c>
      <c r="E219" s="1">
        <v>795.99</v>
      </c>
      <c r="F219" s="1">
        <v>5986200</v>
      </c>
      <c r="G219" s="1">
        <v>795.99</v>
      </c>
      <c r="H219" s="1">
        <f t="shared" si="27"/>
        <v>20.960000000000036</v>
      </c>
      <c r="I219" s="9">
        <f t="shared" si="34"/>
        <v>2.692426266570758E-2</v>
      </c>
      <c r="J219" s="1">
        <f t="shared" si="35"/>
        <v>15.539999999999964</v>
      </c>
      <c r="K219" s="9">
        <f t="shared" si="28"/>
        <v>1.9911589467614791E-2</v>
      </c>
      <c r="L219" s="1">
        <f t="shared" si="29"/>
        <v>1</v>
      </c>
      <c r="M219" s="1">
        <f t="shared" si="30"/>
        <v>799.44</v>
      </c>
      <c r="N219" s="1">
        <f t="shared" si="31"/>
        <v>778.48</v>
      </c>
      <c r="O219" s="1">
        <f t="shared" si="32"/>
        <v>794.03</v>
      </c>
      <c r="P219" s="1">
        <f t="shared" si="33"/>
        <v>405.11734693877548</v>
      </c>
    </row>
    <row r="220" spans="1:16">
      <c r="A220" s="2">
        <v>42740</v>
      </c>
      <c r="B220" s="1">
        <v>761.55</v>
      </c>
      <c r="C220" s="1">
        <v>782.4</v>
      </c>
      <c r="D220" s="1">
        <v>760.26</v>
      </c>
      <c r="E220" s="1">
        <v>780.45</v>
      </c>
      <c r="F220" s="1">
        <v>5830100</v>
      </c>
      <c r="G220" s="1">
        <v>780.45</v>
      </c>
      <c r="H220" s="1">
        <f t="shared" si="27"/>
        <v>22.139999999999986</v>
      </c>
      <c r="I220" s="9">
        <f t="shared" si="34"/>
        <v>2.9121616289164216E-2</v>
      </c>
      <c r="J220" s="1">
        <f t="shared" si="35"/>
        <v>23.270000000000095</v>
      </c>
      <c r="K220" s="9">
        <f t="shared" si="28"/>
        <v>3.0732454634301087E-2</v>
      </c>
      <c r="L220" s="1">
        <f t="shared" si="29"/>
        <v>1</v>
      </c>
      <c r="M220" s="1">
        <f t="shared" si="30"/>
        <v>782.4</v>
      </c>
      <c r="N220" s="1">
        <f t="shared" si="31"/>
        <v>760.26</v>
      </c>
      <c r="O220" s="1">
        <f t="shared" si="32"/>
        <v>778.49</v>
      </c>
      <c r="P220" s="1">
        <f t="shared" si="33"/>
        <v>397.1887755102041</v>
      </c>
    </row>
    <row r="221" spans="1:16">
      <c r="A221" s="2">
        <v>42739</v>
      </c>
      <c r="B221" s="1">
        <v>758.39</v>
      </c>
      <c r="C221" s="1">
        <v>759.68</v>
      </c>
      <c r="D221" s="1">
        <v>754.2</v>
      </c>
      <c r="E221" s="1">
        <v>757.18</v>
      </c>
      <c r="F221" s="1">
        <v>2510500</v>
      </c>
      <c r="G221" s="1">
        <v>757.18</v>
      </c>
      <c r="H221" s="1">
        <f t="shared" si="27"/>
        <v>5.4799999999999045</v>
      </c>
      <c r="I221" s="9">
        <f t="shared" si="34"/>
        <v>7.2659771943780222E-3</v>
      </c>
      <c r="J221" s="1">
        <f t="shared" si="35"/>
        <v>3.5099999999999909</v>
      </c>
      <c r="K221" s="9">
        <f t="shared" si="28"/>
        <v>4.6572107155651559E-3</v>
      </c>
      <c r="L221" s="1">
        <f t="shared" si="29"/>
        <v>1</v>
      </c>
      <c r="M221" s="1">
        <f t="shared" si="30"/>
        <v>759.68</v>
      </c>
      <c r="N221" s="1">
        <f t="shared" si="31"/>
        <v>754.2</v>
      </c>
      <c r="O221" s="1">
        <f t="shared" si="32"/>
        <v>755.21999999999991</v>
      </c>
      <c r="P221" s="1">
        <f t="shared" si="33"/>
        <v>385.31632653061223</v>
      </c>
    </row>
    <row r="222" spans="1:16">
      <c r="A222" s="2">
        <v>42738</v>
      </c>
      <c r="B222" s="1">
        <v>757.92</v>
      </c>
      <c r="C222" s="1">
        <v>758.76</v>
      </c>
      <c r="D222" s="1">
        <v>747.7</v>
      </c>
      <c r="E222" s="1">
        <v>753.67</v>
      </c>
      <c r="F222" s="1">
        <v>3521100</v>
      </c>
      <c r="G222" s="1">
        <v>753.67</v>
      </c>
      <c r="H222" s="1">
        <f t="shared" si="27"/>
        <v>11.059999999999945</v>
      </c>
      <c r="I222" s="9">
        <f t="shared" si="34"/>
        <v>1.4792028888591607E-2</v>
      </c>
      <c r="J222" s="1">
        <f t="shared" si="35"/>
        <v>3.7999999999999545</v>
      </c>
      <c r="K222" s="9">
        <f t="shared" si="28"/>
        <v>5.0675450411404033E-3</v>
      </c>
      <c r="L222" s="1">
        <f t="shared" si="29"/>
        <v>1</v>
      </c>
      <c r="M222" s="1">
        <f t="shared" si="30"/>
        <v>758.76</v>
      </c>
      <c r="N222" s="1">
        <f t="shared" si="31"/>
        <v>747.7</v>
      </c>
      <c r="O222" s="1">
        <f t="shared" si="32"/>
        <v>751.70999999999992</v>
      </c>
      <c r="P222" s="1">
        <f t="shared" si="33"/>
        <v>383.52551020408163</v>
      </c>
    </row>
    <row r="223" spans="1:16">
      <c r="A223" s="2">
        <v>42734</v>
      </c>
      <c r="B223" s="1">
        <v>766.47</v>
      </c>
      <c r="C223" s="1">
        <v>767.4</v>
      </c>
      <c r="D223" s="1">
        <v>748.28</v>
      </c>
      <c r="E223" s="1">
        <v>749.87</v>
      </c>
      <c r="F223" s="1">
        <v>4139400</v>
      </c>
      <c r="G223" s="1">
        <v>749.87</v>
      </c>
      <c r="H223" s="1">
        <f t="shared" si="27"/>
        <v>19.120000000000005</v>
      </c>
      <c r="I223" s="9">
        <f t="shared" si="34"/>
        <v>2.5551932431710063E-2</v>
      </c>
      <c r="J223" s="1">
        <f t="shared" si="35"/>
        <v>-15.279999999999973</v>
      </c>
      <c r="K223" s="9">
        <f t="shared" si="28"/>
        <v>-1.9969940534535678E-2</v>
      </c>
      <c r="L223" s="1">
        <f t="shared" si="29"/>
        <v>1</v>
      </c>
      <c r="M223" s="1">
        <f t="shared" si="30"/>
        <v>767.4</v>
      </c>
      <c r="N223" s="1">
        <f t="shared" si="31"/>
        <v>748.28</v>
      </c>
      <c r="O223" s="1">
        <f t="shared" si="32"/>
        <v>747.91</v>
      </c>
      <c r="P223" s="1">
        <f t="shared" si="33"/>
        <v>381.58673469387753</v>
      </c>
    </row>
    <row r="224" spans="1:16">
      <c r="A224" s="2">
        <v>42733</v>
      </c>
      <c r="B224" s="1">
        <v>772.4</v>
      </c>
      <c r="C224" s="1">
        <v>773.4</v>
      </c>
      <c r="D224" s="1">
        <v>760.85</v>
      </c>
      <c r="E224" s="1">
        <v>765.15</v>
      </c>
      <c r="F224" s="1">
        <v>3153500</v>
      </c>
      <c r="G224" s="1">
        <v>765.15</v>
      </c>
      <c r="H224" s="1">
        <f t="shared" si="27"/>
        <v>12.549999999999955</v>
      </c>
      <c r="I224" s="9">
        <f t="shared" si="34"/>
        <v>1.6494709863967869E-2</v>
      </c>
      <c r="J224" s="1">
        <f t="shared" si="35"/>
        <v>-6.9800000000000182</v>
      </c>
      <c r="K224" s="9">
        <f t="shared" si="28"/>
        <v>-9.0399285094479153E-3</v>
      </c>
      <c r="L224" s="1">
        <f t="shared" si="29"/>
        <v>1</v>
      </c>
      <c r="M224" s="1">
        <f t="shared" si="30"/>
        <v>773.4</v>
      </c>
      <c r="N224" s="1">
        <f t="shared" si="31"/>
        <v>760.85</v>
      </c>
      <c r="O224" s="1">
        <f t="shared" si="32"/>
        <v>763.18999999999994</v>
      </c>
      <c r="P224" s="1">
        <f t="shared" si="33"/>
        <v>389.38265306122446</v>
      </c>
    </row>
    <row r="225" spans="1:16">
      <c r="A225" s="2">
        <v>42732</v>
      </c>
      <c r="B225" s="1">
        <v>776.25</v>
      </c>
      <c r="C225" s="1">
        <v>780</v>
      </c>
      <c r="D225" s="1">
        <v>770.5</v>
      </c>
      <c r="E225" s="1">
        <v>772.13</v>
      </c>
      <c r="F225" s="1">
        <v>3301000</v>
      </c>
      <c r="G225" s="1">
        <v>772.13</v>
      </c>
      <c r="H225" s="1">
        <f t="shared" si="27"/>
        <v>9.5</v>
      </c>
      <c r="I225" s="9">
        <f t="shared" si="34"/>
        <v>1.2329656067488644E-2</v>
      </c>
      <c r="J225" s="1">
        <f t="shared" si="35"/>
        <v>0.73000000000001819</v>
      </c>
      <c r="K225" s="9">
        <f t="shared" si="28"/>
        <v>9.4633134560541637E-4</v>
      </c>
      <c r="L225" s="1">
        <f t="shared" si="29"/>
        <v>1</v>
      </c>
      <c r="M225" s="1">
        <f t="shared" si="30"/>
        <v>780</v>
      </c>
      <c r="N225" s="1">
        <f t="shared" si="31"/>
        <v>770.5</v>
      </c>
      <c r="O225" s="1">
        <f t="shared" si="32"/>
        <v>770.17</v>
      </c>
      <c r="P225" s="1">
        <f t="shared" si="33"/>
        <v>392.94387755102042</v>
      </c>
    </row>
    <row r="226" spans="1:16">
      <c r="A226" s="2">
        <v>42731</v>
      </c>
      <c r="B226" s="1">
        <v>763.4</v>
      </c>
      <c r="C226" s="1">
        <v>774.65</v>
      </c>
      <c r="D226" s="1">
        <v>761.2</v>
      </c>
      <c r="E226" s="1">
        <v>771.4</v>
      </c>
      <c r="F226" s="1">
        <v>2638700</v>
      </c>
      <c r="G226" s="1">
        <v>771.4</v>
      </c>
      <c r="H226" s="1">
        <f t="shared" si="27"/>
        <v>13.449999999999932</v>
      </c>
      <c r="I226" s="9">
        <f t="shared" si="34"/>
        <v>1.7669469259064544E-2</v>
      </c>
      <c r="J226" s="1">
        <f t="shared" si="35"/>
        <v>10.809999999999945</v>
      </c>
      <c r="K226" s="9">
        <f t="shared" si="28"/>
        <v>1.4212650705373388E-2</v>
      </c>
      <c r="L226" s="1">
        <f t="shared" si="29"/>
        <v>1</v>
      </c>
      <c r="M226" s="1">
        <f t="shared" si="30"/>
        <v>774.65</v>
      </c>
      <c r="N226" s="1">
        <f t="shared" si="31"/>
        <v>761.2</v>
      </c>
      <c r="O226" s="1">
        <f t="shared" si="32"/>
        <v>769.43999999999994</v>
      </c>
      <c r="P226" s="1">
        <f t="shared" si="33"/>
        <v>392.57142857142856</v>
      </c>
    </row>
    <row r="227" spans="1:16">
      <c r="A227" s="2">
        <v>42727</v>
      </c>
      <c r="B227" s="1">
        <v>764.55</v>
      </c>
      <c r="C227" s="1">
        <v>766.5</v>
      </c>
      <c r="D227" s="1">
        <v>757.99</v>
      </c>
      <c r="E227" s="1">
        <v>760.59</v>
      </c>
      <c r="F227" s="1">
        <v>1976900</v>
      </c>
      <c r="G227" s="1">
        <v>760.59</v>
      </c>
      <c r="H227" s="1">
        <f t="shared" si="27"/>
        <v>8.5099999999999909</v>
      </c>
      <c r="I227" s="9">
        <f t="shared" si="34"/>
        <v>1.1227061043021664E-2</v>
      </c>
      <c r="J227" s="1">
        <f t="shared" si="35"/>
        <v>-5.75</v>
      </c>
      <c r="K227" s="9">
        <f t="shared" si="28"/>
        <v>-7.5031970143800402E-3</v>
      </c>
      <c r="L227" s="1">
        <f t="shared" si="29"/>
        <v>1</v>
      </c>
      <c r="M227" s="1">
        <f t="shared" si="30"/>
        <v>766.5</v>
      </c>
      <c r="N227" s="1">
        <f t="shared" si="31"/>
        <v>757.99</v>
      </c>
      <c r="O227" s="1">
        <f t="shared" si="32"/>
        <v>758.63</v>
      </c>
      <c r="P227" s="1">
        <f t="shared" si="33"/>
        <v>387.05612244897958</v>
      </c>
    </row>
    <row r="228" spans="1:16">
      <c r="A228" s="2">
        <v>42726</v>
      </c>
      <c r="B228" s="1">
        <v>768.12</v>
      </c>
      <c r="C228" s="1">
        <v>771.21</v>
      </c>
      <c r="D228" s="1">
        <v>763.02</v>
      </c>
      <c r="E228" s="1">
        <v>766.34</v>
      </c>
      <c r="F228" s="1">
        <v>2543600</v>
      </c>
      <c r="G228" s="1">
        <v>766.34</v>
      </c>
      <c r="H228" s="1">
        <f t="shared" si="27"/>
        <v>8.1900000000000546</v>
      </c>
      <c r="I228" s="9">
        <f t="shared" si="34"/>
        <v>1.0733663599905709E-2</v>
      </c>
      <c r="J228" s="1">
        <f t="shared" si="35"/>
        <v>-4.2599999999999909</v>
      </c>
      <c r="K228" s="9">
        <f t="shared" si="28"/>
        <v>-5.5281598754217372E-3</v>
      </c>
      <c r="L228" s="1">
        <f t="shared" si="29"/>
        <v>1</v>
      </c>
      <c r="M228" s="1">
        <f t="shared" si="30"/>
        <v>771.21</v>
      </c>
      <c r="N228" s="1">
        <f t="shared" si="31"/>
        <v>763.02</v>
      </c>
      <c r="O228" s="1">
        <f t="shared" si="32"/>
        <v>764.38</v>
      </c>
      <c r="P228" s="1">
        <f t="shared" si="33"/>
        <v>389.98979591836735</v>
      </c>
    </row>
    <row r="229" spans="1:16">
      <c r="A229" s="2">
        <v>42725</v>
      </c>
      <c r="B229" s="1">
        <v>770</v>
      </c>
      <c r="C229" s="1">
        <v>771.22</v>
      </c>
      <c r="D229" s="1">
        <v>765.7</v>
      </c>
      <c r="E229" s="1">
        <v>770.6</v>
      </c>
      <c r="F229" s="1">
        <v>2044600</v>
      </c>
      <c r="G229" s="1">
        <v>770.6</v>
      </c>
      <c r="H229" s="1">
        <f t="shared" si="27"/>
        <v>5.5199999999999818</v>
      </c>
      <c r="I229" s="9">
        <f t="shared" si="34"/>
        <v>7.2090897218231439E-3</v>
      </c>
      <c r="J229" s="1">
        <f t="shared" si="35"/>
        <v>-0.62000000000000455</v>
      </c>
      <c r="K229" s="9">
        <f t="shared" si="28"/>
        <v>-8.0392106013848781E-4</v>
      </c>
      <c r="L229" s="1">
        <f t="shared" si="29"/>
        <v>1</v>
      </c>
      <c r="M229" s="1">
        <f t="shared" si="30"/>
        <v>771.22</v>
      </c>
      <c r="N229" s="1">
        <f t="shared" si="31"/>
        <v>765.7</v>
      </c>
      <c r="O229" s="1">
        <f t="shared" si="32"/>
        <v>768.64</v>
      </c>
      <c r="P229" s="1">
        <f t="shared" si="33"/>
        <v>392.16326530612247</v>
      </c>
    </row>
    <row r="230" spans="1:16">
      <c r="A230" s="2">
        <v>42724</v>
      </c>
      <c r="B230" s="1">
        <v>768.65</v>
      </c>
      <c r="C230" s="1">
        <v>774.39</v>
      </c>
      <c r="D230" s="1">
        <v>767.71</v>
      </c>
      <c r="E230" s="1">
        <v>771.22</v>
      </c>
      <c r="F230" s="1">
        <v>2703600</v>
      </c>
      <c r="G230" s="1">
        <v>771.22</v>
      </c>
      <c r="H230" s="1">
        <f t="shared" si="27"/>
        <v>6.67999999999995</v>
      </c>
      <c r="I230" s="9">
        <f t="shared" si="34"/>
        <v>8.701202276901368E-3</v>
      </c>
      <c r="J230" s="1">
        <f t="shared" si="35"/>
        <v>5.2200000000000273</v>
      </c>
      <c r="K230" s="9">
        <f t="shared" si="28"/>
        <v>6.8146214099217067E-3</v>
      </c>
      <c r="L230" s="1">
        <f t="shared" si="29"/>
        <v>1</v>
      </c>
      <c r="M230" s="1">
        <f t="shared" si="30"/>
        <v>774.39</v>
      </c>
      <c r="N230" s="1">
        <f t="shared" si="31"/>
        <v>767.71</v>
      </c>
      <c r="O230" s="1">
        <f t="shared" si="32"/>
        <v>769.26</v>
      </c>
      <c r="P230" s="1">
        <f t="shared" si="33"/>
        <v>392.4795918367347</v>
      </c>
    </row>
    <row r="231" spans="1:16">
      <c r="A231" s="2">
        <v>42723</v>
      </c>
      <c r="B231" s="1">
        <v>758.89</v>
      </c>
      <c r="C231" s="1">
        <v>770.5</v>
      </c>
      <c r="D231" s="1">
        <v>756.16</v>
      </c>
      <c r="E231" s="1">
        <v>766</v>
      </c>
      <c r="F231" s="1">
        <v>3113200</v>
      </c>
      <c r="G231" s="1">
        <v>766</v>
      </c>
      <c r="H231" s="1">
        <f t="shared" si="27"/>
        <v>14.340000000000032</v>
      </c>
      <c r="I231" s="9">
        <f t="shared" si="34"/>
        <v>1.8964240372408001E-2</v>
      </c>
      <c r="J231" s="1">
        <f t="shared" si="35"/>
        <v>8.2300000000000182</v>
      </c>
      <c r="K231" s="9">
        <f t="shared" si="28"/>
        <v>1.0860815286960448E-2</v>
      </c>
      <c r="L231" s="1">
        <f t="shared" si="29"/>
        <v>1</v>
      </c>
      <c r="M231" s="1">
        <f t="shared" si="30"/>
        <v>770.5</v>
      </c>
      <c r="N231" s="1">
        <f t="shared" si="31"/>
        <v>756.16</v>
      </c>
      <c r="O231" s="1">
        <f t="shared" si="32"/>
        <v>764.04</v>
      </c>
      <c r="P231" s="1">
        <f t="shared" si="33"/>
        <v>389.81632653061223</v>
      </c>
    </row>
    <row r="232" spans="1:16">
      <c r="A232" s="2">
        <v>42720</v>
      </c>
      <c r="B232" s="1">
        <v>765</v>
      </c>
      <c r="C232" s="1">
        <v>765.13</v>
      </c>
      <c r="D232" s="1">
        <v>754</v>
      </c>
      <c r="E232" s="1">
        <v>757.77</v>
      </c>
      <c r="F232" s="1">
        <v>4828700</v>
      </c>
      <c r="G232" s="1">
        <v>757.77</v>
      </c>
      <c r="H232" s="1">
        <f t="shared" si="27"/>
        <v>11.129999999999995</v>
      </c>
      <c r="I232" s="9">
        <f t="shared" si="34"/>
        <v>1.4761273209549066E-2</v>
      </c>
      <c r="J232" s="1">
        <f t="shared" si="35"/>
        <v>-3.2300000000000182</v>
      </c>
      <c r="K232" s="9">
        <f t="shared" si="28"/>
        <v>-4.2444152431012063E-3</v>
      </c>
      <c r="L232" s="1">
        <f t="shared" si="29"/>
        <v>1</v>
      </c>
      <c r="M232" s="1">
        <f t="shared" si="30"/>
        <v>765.13</v>
      </c>
      <c r="N232" s="1">
        <f t="shared" si="31"/>
        <v>754</v>
      </c>
      <c r="O232" s="1">
        <f t="shared" si="32"/>
        <v>755.81</v>
      </c>
      <c r="P232" s="1">
        <f t="shared" si="33"/>
        <v>385.61734693877548</v>
      </c>
    </row>
    <row r="233" spans="1:16">
      <c r="A233" s="2">
        <v>42719</v>
      </c>
      <c r="B233" s="1">
        <v>766.28</v>
      </c>
      <c r="C233" s="1">
        <v>769.1</v>
      </c>
      <c r="D233" s="1">
        <v>760.31</v>
      </c>
      <c r="E233" s="1">
        <v>761</v>
      </c>
      <c r="F233" s="1">
        <v>3801900</v>
      </c>
      <c r="G233" s="1">
        <v>761</v>
      </c>
      <c r="H233" s="1">
        <f t="shared" si="27"/>
        <v>8.7900000000000773</v>
      </c>
      <c r="I233" s="9">
        <f t="shared" si="34"/>
        <v>1.156107377254025E-2</v>
      </c>
      <c r="J233" s="1">
        <f t="shared" si="35"/>
        <v>-7.82000000000005</v>
      </c>
      <c r="K233" s="9">
        <f t="shared" si="28"/>
        <v>-1.0171431544444798E-2</v>
      </c>
      <c r="L233" s="1">
        <f t="shared" si="29"/>
        <v>1</v>
      </c>
      <c r="M233" s="1">
        <f t="shared" si="30"/>
        <v>769.1</v>
      </c>
      <c r="N233" s="1">
        <f t="shared" si="31"/>
        <v>760.31</v>
      </c>
      <c r="O233" s="1">
        <f t="shared" si="32"/>
        <v>759.04</v>
      </c>
      <c r="P233" s="1">
        <f t="shared" si="33"/>
        <v>387.26530612244898</v>
      </c>
    </row>
    <row r="234" spans="1:16">
      <c r="A234" s="2">
        <v>42718</v>
      </c>
      <c r="B234" s="1">
        <v>778.25</v>
      </c>
      <c r="C234" s="1">
        <v>780.86</v>
      </c>
      <c r="D234" s="1">
        <v>762.81</v>
      </c>
      <c r="E234" s="1">
        <v>768.82</v>
      </c>
      <c r="F234" s="1">
        <v>5454800</v>
      </c>
      <c r="G234" s="1">
        <v>768.82</v>
      </c>
      <c r="H234" s="1">
        <f t="shared" si="27"/>
        <v>18.050000000000068</v>
      </c>
      <c r="I234" s="9">
        <f t="shared" si="34"/>
        <v>2.3662510979142997E-2</v>
      </c>
      <c r="J234" s="1">
        <f t="shared" si="35"/>
        <v>-5.5199999999999818</v>
      </c>
      <c r="K234" s="9">
        <f t="shared" si="28"/>
        <v>-7.1286514967585065E-3</v>
      </c>
      <c r="L234" s="1">
        <f t="shared" si="29"/>
        <v>1</v>
      </c>
      <c r="M234" s="1">
        <f t="shared" si="30"/>
        <v>780.86</v>
      </c>
      <c r="N234" s="1">
        <f t="shared" si="31"/>
        <v>762.81</v>
      </c>
      <c r="O234" s="1">
        <f t="shared" si="32"/>
        <v>766.86</v>
      </c>
      <c r="P234" s="1">
        <f t="shared" si="33"/>
        <v>391.25510204081633</v>
      </c>
    </row>
    <row r="235" spans="1:16">
      <c r="A235" s="2">
        <v>42717</v>
      </c>
      <c r="B235" s="1">
        <v>764.96</v>
      </c>
      <c r="C235" s="1">
        <v>782.46</v>
      </c>
      <c r="D235" s="1">
        <v>762</v>
      </c>
      <c r="E235" s="1">
        <v>774.34</v>
      </c>
      <c r="F235" s="1">
        <v>5285300</v>
      </c>
      <c r="G235" s="1">
        <v>774.34</v>
      </c>
      <c r="H235" s="1">
        <f t="shared" si="27"/>
        <v>20.460000000000036</v>
      </c>
      <c r="I235" s="9">
        <f t="shared" si="34"/>
        <v>2.6850393700787449E-2</v>
      </c>
      <c r="J235" s="1">
        <f t="shared" si="35"/>
        <v>14.220000000000027</v>
      </c>
      <c r="K235" s="9">
        <f t="shared" si="28"/>
        <v>1.8707572488554473E-2</v>
      </c>
      <c r="L235" s="1">
        <f t="shared" si="29"/>
        <v>1</v>
      </c>
      <c r="M235" s="1">
        <f t="shared" si="30"/>
        <v>782.46</v>
      </c>
      <c r="N235" s="1">
        <f t="shared" si="31"/>
        <v>762</v>
      </c>
      <c r="O235" s="1">
        <f t="shared" si="32"/>
        <v>772.38</v>
      </c>
      <c r="P235" s="1">
        <f t="shared" si="33"/>
        <v>394.07142857142856</v>
      </c>
    </row>
    <row r="236" spans="1:16">
      <c r="A236" s="2">
        <v>42716</v>
      </c>
      <c r="B236" s="1">
        <v>766.4</v>
      </c>
      <c r="C236" s="1">
        <v>766.89</v>
      </c>
      <c r="D236" s="1">
        <v>757.2</v>
      </c>
      <c r="E236" s="1">
        <v>760.12</v>
      </c>
      <c r="F236" s="1">
        <v>2963900</v>
      </c>
      <c r="G236" s="1">
        <v>760.12</v>
      </c>
      <c r="H236" s="1">
        <f t="shared" si="27"/>
        <v>9.6899999999999409</v>
      </c>
      <c r="I236" s="9">
        <f t="shared" si="34"/>
        <v>1.2797147385102932E-2</v>
      </c>
      <c r="J236" s="1">
        <f t="shared" si="35"/>
        <v>-8.5399999999999636</v>
      </c>
      <c r="K236" s="9">
        <f t="shared" si="28"/>
        <v>-1.1110243800900222E-2</v>
      </c>
      <c r="L236" s="1">
        <f t="shared" si="29"/>
        <v>1</v>
      </c>
      <c r="M236" s="1">
        <f t="shared" si="30"/>
        <v>766.89</v>
      </c>
      <c r="N236" s="1">
        <f t="shared" si="31"/>
        <v>757.2</v>
      </c>
      <c r="O236" s="1">
        <f t="shared" si="32"/>
        <v>758.16</v>
      </c>
      <c r="P236" s="1">
        <f t="shared" si="33"/>
        <v>386.81632653061223</v>
      </c>
    </row>
    <row r="237" spans="1:16">
      <c r="A237" s="2">
        <v>42713</v>
      </c>
      <c r="B237" s="1">
        <v>770</v>
      </c>
      <c r="C237" s="1">
        <v>770.25</v>
      </c>
      <c r="D237" s="1">
        <v>765.34</v>
      </c>
      <c r="E237" s="1">
        <v>768.66</v>
      </c>
      <c r="F237" s="1">
        <v>2470900</v>
      </c>
      <c r="G237" s="1">
        <v>768.66</v>
      </c>
      <c r="H237" s="1">
        <f t="shared" si="27"/>
        <v>4.9099999999999682</v>
      </c>
      <c r="I237" s="9">
        <f t="shared" si="34"/>
        <v>6.4154493427757177E-3</v>
      </c>
      <c r="J237" s="1">
        <f t="shared" si="35"/>
        <v>1.3299999999999272</v>
      </c>
      <c r="K237" s="9">
        <f t="shared" si="28"/>
        <v>1.7332829421499579E-3</v>
      </c>
      <c r="L237" s="1">
        <f t="shared" si="29"/>
        <v>1</v>
      </c>
      <c r="M237" s="1">
        <f t="shared" si="30"/>
        <v>770.25</v>
      </c>
      <c r="N237" s="1">
        <f t="shared" si="31"/>
        <v>765.34</v>
      </c>
      <c r="O237" s="1">
        <f t="shared" si="32"/>
        <v>766.69999999999993</v>
      </c>
      <c r="P237" s="1">
        <f t="shared" si="33"/>
        <v>391.17346938775506</v>
      </c>
    </row>
    <row r="238" spans="1:16">
      <c r="A238" s="2">
        <v>42712</v>
      </c>
      <c r="B238" s="1">
        <v>771.87</v>
      </c>
      <c r="C238" s="1">
        <v>773.79</v>
      </c>
      <c r="D238" s="1">
        <v>765.19</v>
      </c>
      <c r="E238" s="1">
        <v>767.33</v>
      </c>
      <c r="F238" s="1">
        <v>3189600</v>
      </c>
      <c r="G238" s="1">
        <v>767.33</v>
      </c>
      <c r="H238" s="1">
        <f t="shared" si="27"/>
        <v>8.5999999999999091</v>
      </c>
      <c r="I238" s="9">
        <f t="shared" si="34"/>
        <v>1.1239038670134096E-2</v>
      </c>
      <c r="J238" s="1">
        <f t="shared" si="35"/>
        <v>-3.0899999999999181</v>
      </c>
      <c r="K238" s="9">
        <f t="shared" si="28"/>
        <v>-4.0107993042754839E-3</v>
      </c>
      <c r="L238" s="1">
        <f t="shared" si="29"/>
        <v>1</v>
      </c>
      <c r="M238" s="1">
        <f t="shared" si="30"/>
        <v>773.79</v>
      </c>
      <c r="N238" s="1">
        <f t="shared" si="31"/>
        <v>765.19</v>
      </c>
      <c r="O238" s="1">
        <f t="shared" si="32"/>
        <v>765.37</v>
      </c>
      <c r="P238" s="1">
        <f t="shared" si="33"/>
        <v>390.49489795918367</v>
      </c>
    </row>
    <row r="239" spans="1:16">
      <c r="A239" s="2">
        <v>42711</v>
      </c>
      <c r="B239" s="1">
        <v>764.55</v>
      </c>
      <c r="C239" s="1">
        <v>770.42</v>
      </c>
      <c r="D239" s="1">
        <v>755.82</v>
      </c>
      <c r="E239" s="1">
        <v>770.42</v>
      </c>
      <c r="F239" s="1">
        <v>3684900</v>
      </c>
      <c r="G239" s="1">
        <v>770.42</v>
      </c>
      <c r="H239" s="1">
        <f t="shared" si="27"/>
        <v>14.599999999999909</v>
      </c>
      <c r="I239" s="9">
        <f t="shared" si="34"/>
        <v>1.9316768542774612E-2</v>
      </c>
      <c r="J239" s="1">
        <f t="shared" si="35"/>
        <v>5.6999999999999318</v>
      </c>
      <c r="K239" s="9">
        <f t="shared" si="28"/>
        <v>7.4537085469190446E-3</v>
      </c>
      <c r="L239" s="1">
        <f t="shared" si="29"/>
        <v>1</v>
      </c>
      <c r="M239" s="1">
        <f t="shared" si="30"/>
        <v>770.42</v>
      </c>
      <c r="N239" s="1">
        <f t="shared" si="31"/>
        <v>755.82</v>
      </c>
      <c r="O239" s="1">
        <f t="shared" si="32"/>
        <v>768.45999999999992</v>
      </c>
      <c r="P239" s="1">
        <f t="shared" si="33"/>
        <v>392.07142857142856</v>
      </c>
    </row>
    <row r="240" spans="1:16">
      <c r="A240" s="2">
        <v>42710</v>
      </c>
      <c r="B240" s="1">
        <v>763.99</v>
      </c>
      <c r="C240" s="1">
        <v>768.24</v>
      </c>
      <c r="D240" s="1">
        <v>757.25</v>
      </c>
      <c r="E240" s="1">
        <v>764.72</v>
      </c>
      <c r="F240" s="1">
        <v>3794700</v>
      </c>
      <c r="G240" s="1">
        <v>764.72</v>
      </c>
      <c r="H240" s="1">
        <f t="shared" si="27"/>
        <v>10.990000000000009</v>
      </c>
      <c r="I240" s="9">
        <f t="shared" si="34"/>
        <v>1.451304060746122E-2</v>
      </c>
      <c r="J240" s="1">
        <f t="shared" si="35"/>
        <v>5.3600000000000136</v>
      </c>
      <c r="K240" s="9">
        <f t="shared" si="28"/>
        <v>7.058575642646457E-3</v>
      </c>
      <c r="L240" s="1">
        <f t="shared" si="29"/>
        <v>1</v>
      </c>
      <c r="M240" s="1">
        <f t="shared" si="30"/>
        <v>768.24</v>
      </c>
      <c r="N240" s="1">
        <f t="shared" si="31"/>
        <v>757.25</v>
      </c>
      <c r="O240" s="1">
        <f t="shared" si="32"/>
        <v>762.76</v>
      </c>
      <c r="P240" s="1">
        <f t="shared" si="33"/>
        <v>389.16326530612247</v>
      </c>
    </row>
    <row r="241" spans="1:16">
      <c r="A241" s="2">
        <v>42709</v>
      </c>
      <c r="B241" s="1">
        <v>745</v>
      </c>
      <c r="C241" s="1">
        <v>761.49</v>
      </c>
      <c r="D241" s="1">
        <v>742</v>
      </c>
      <c r="E241" s="1">
        <v>759.36</v>
      </c>
      <c r="F241" s="1">
        <v>4314700</v>
      </c>
      <c r="G241" s="1">
        <v>759.36</v>
      </c>
      <c r="H241" s="1">
        <f t="shared" si="27"/>
        <v>19.490000000000009</v>
      </c>
      <c r="I241" s="9">
        <f t="shared" si="34"/>
        <v>2.6266846361185998E-2</v>
      </c>
      <c r="J241" s="1">
        <f t="shared" si="35"/>
        <v>19.019999999999982</v>
      </c>
      <c r="K241" s="9">
        <f t="shared" si="28"/>
        <v>2.5690898776237918E-2</v>
      </c>
      <c r="L241" s="1">
        <f t="shared" si="29"/>
        <v>1</v>
      </c>
      <c r="M241" s="1">
        <f t="shared" si="30"/>
        <v>761.49</v>
      </c>
      <c r="N241" s="1">
        <f t="shared" si="31"/>
        <v>742</v>
      </c>
      <c r="O241" s="1">
        <f t="shared" si="32"/>
        <v>757.4</v>
      </c>
      <c r="P241" s="1">
        <f t="shared" si="33"/>
        <v>386.42857142857144</v>
      </c>
    </row>
    <row r="242" spans="1:16">
      <c r="A242" s="2">
        <v>42706</v>
      </c>
      <c r="B242" s="1">
        <v>743.4</v>
      </c>
      <c r="C242" s="1">
        <v>748.49</v>
      </c>
      <c r="D242" s="1">
        <v>736.7</v>
      </c>
      <c r="E242" s="1">
        <v>740.34</v>
      </c>
      <c r="F242" s="1">
        <v>3561300</v>
      </c>
      <c r="G242" s="1">
        <v>740.34</v>
      </c>
      <c r="H242" s="1">
        <f t="shared" si="27"/>
        <v>11.789999999999964</v>
      </c>
      <c r="I242" s="9">
        <f t="shared" si="34"/>
        <v>1.6003800732998456E-2</v>
      </c>
      <c r="J242" s="1">
        <f t="shared" si="35"/>
        <v>-3.3099999999999454</v>
      </c>
      <c r="K242" s="9">
        <f t="shared" si="28"/>
        <v>-4.4510186243527806E-3</v>
      </c>
      <c r="L242" s="1">
        <f t="shared" si="29"/>
        <v>1</v>
      </c>
      <c r="M242" s="1">
        <f t="shared" si="30"/>
        <v>748.49</v>
      </c>
      <c r="N242" s="1">
        <f t="shared" si="31"/>
        <v>736.7</v>
      </c>
      <c r="O242" s="1">
        <f t="shared" si="32"/>
        <v>738.38</v>
      </c>
      <c r="P242" s="1">
        <f t="shared" si="33"/>
        <v>376.72448979591837</v>
      </c>
    </row>
    <row r="243" spans="1:16">
      <c r="A243" s="2">
        <v>42705</v>
      </c>
      <c r="B243" s="1">
        <v>752.41</v>
      </c>
      <c r="C243" s="1">
        <v>753.37</v>
      </c>
      <c r="D243" s="1">
        <v>738.03</v>
      </c>
      <c r="E243" s="1">
        <v>743.65</v>
      </c>
      <c r="F243" s="1">
        <v>4666000</v>
      </c>
      <c r="G243" s="1">
        <v>743.65</v>
      </c>
      <c r="H243" s="1">
        <f t="shared" si="27"/>
        <v>15.340000000000032</v>
      </c>
      <c r="I243" s="9">
        <f t="shared" si="34"/>
        <v>2.0785062937821001E-2</v>
      </c>
      <c r="J243" s="1">
        <f t="shared" si="35"/>
        <v>-6.9200000000000728</v>
      </c>
      <c r="K243" s="9">
        <f t="shared" si="28"/>
        <v>-9.219659725275553E-3</v>
      </c>
      <c r="L243" s="1">
        <f t="shared" si="29"/>
        <v>1</v>
      </c>
      <c r="M243" s="1">
        <f t="shared" si="30"/>
        <v>753.37</v>
      </c>
      <c r="N243" s="1">
        <f t="shared" si="31"/>
        <v>738.03</v>
      </c>
      <c r="O243" s="1">
        <f t="shared" si="32"/>
        <v>741.68999999999994</v>
      </c>
      <c r="P243" s="1">
        <f t="shared" si="33"/>
        <v>378.41326530612241</v>
      </c>
    </row>
    <row r="244" spans="1:16">
      <c r="A244" s="2">
        <v>42704</v>
      </c>
      <c r="B244" s="1">
        <v>762</v>
      </c>
      <c r="C244" s="1">
        <v>768.09</v>
      </c>
      <c r="D244" s="1">
        <v>750.25</v>
      </c>
      <c r="E244" s="1">
        <v>750.57</v>
      </c>
      <c r="F244" s="1">
        <v>4625900</v>
      </c>
      <c r="G244" s="1">
        <v>750.57</v>
      </c>
      <c r="H244" s="1">
        <f t="shared" si="27"/>
        <v>17.840000000000032</v>
      </c>
      <c r="I244" s="9">
        <f t="shared" si="34"/>
        <v>2.3778740419860091E-2</v>
      </c>
      <c r="J244" s="1">
        <f t="shared" si="35"/>
        <v>-11.949999999999932</v>
      </c>
      <c r="K244" s="9">
        <f t="shared" si="28"/>
        <v>-1.567172008603044E-2</v>
      </c>
      <c r="L244" s="1">
        <f t="shared" si="29"/>
        <v>1</v>
      </c>
      <c r="M244" s="1">
        <f t="shared" si="30"/>
        <v>768.09</v>
      </c>
      <c r="N244" s="1">
        <f t="shared" si="31"/>
        <v>750.25</v>
      </c>
      <c r="O244" s="1">
        <f t="shared" si="32"/>
        <v>748.61</v>
      </c>
      <c r="P244" s="1">
        <f t="shared" si="33"/>
        <v>381.94387755102042</v>
      </c>
    </row>
    <row r="245" spans="1:16">
      <c r="A245" s="2">
        <v>42703</v>
      </c>
      <c r="B245" s="1">
        <v>768</v>
      </c>
      <c r="C245" s="1">
        <v>769.89</v>
      </c>
      <c r="D245" s="1">
        <v>761.32</v>
      </c>
      <c r="E245" s="1">
        <v>762.52</v>
      </c>
      <c r="F245" s="1">
        <v>3272300</v>
      </c>
      <c r="G245" s="1">
        <v>762.52</v>
      </c>
      <c r="H245" s="1">
        <f t="shared" si="27"/>
        <v>8.5699999999999363</v>
      </c>
      <c r="I245" s="9">
        <f t="shared" si="34"/>
        <v>1.1256764566804939E-2</v>
      </c>
      <c r="J245" s="1">
        <f t="shared" si="35"/>
        <v>-4.25</v>
      </c>
      <c r="K245" s="9">
        <f t="shared" si="28"/>
        <v>-5.5427311970995211E-3</v>
      </c>
      <c r="L245" s="1">
        <f t="shared" si="29"/>
        <v>1</v>
      </c>
      <c r="M245" s="1">
        <f t="shared" si="30"/>
        <v>769.89</v>
      </c>
      <c r="N245" s="1">
        <f t="shared" si="31"/>
        <v>761.32</v>
      </c>
      <c r="O245" s="1">
        <f t="shared" si="32"/>
        <v>760.56</v>
      </c>
      <c r="P245" s="1">
        <f t="shared" si="33"/>
        <v>388.0408163265306</v>
      </c>
    </row>
    <row r="246" spans="1:16">
      <c r="A246" s="2">
        <v>42702</v>
      </c>
      <c r="B246" s="1">
        <v>776.99</v>
      </c>
      <c r="C246" s="1">
        <v>777</v>
      </c>
      <c r="D246" s="1">
        <v>764.24</v>
      </c>
      <c r="E246" s="1">
        <v>766.77</v>
      </c>
      <c r="F246" s="1">
        <v>4438800</v>
      </c>
      <c r="G246" s="1">
        <v>766.77</v>
      </c>
      <c r="H246" s="1">
        <f t="shared" si="27"/>
        <v>12.759999999999991</v>
      </c>
      <c r="I246" s="9">
        <f t="shared" si="34"/>
        <v>1.6696325761540867E-2</v>
      </c>
      <c r="J246" s="1">
        <f t="shared" si="35"/>
        <v>-13.600000000000023</v>
      </c>
      <c r="K246" s="9">
        <f t="shared" si="28"/>
        <v>-1.7427630482976054E-2</v>
      </c>
      <c r="L246" s="1">
        <f t="shared" si="29"/>
        <v>1</v>
      </c>
      <c r="M246" s="1">
        <f t="shared" si="30"/>
        <v>777</v>
      </c>
      <c r="N246" s="1">
        <f t="shared" si="31"/>
        <v>764.24</v>
      </c>
      <c r="O246" s="1">
        <f t="shared" si="32"/>
        <v>764.81</v>
      </c>
      <c r="P246" s="1">
        <f t="shared" si="33"/>
        <v>390.20918367346934</v>
      </c>
    </row>
    <row r="247" spans="1:16">
      <c r="A247" s="2">
        <v>42699</v>
      </c>
      <c r="B247" s="1">
        <v>786.5</v>
      </c>
      <c r="C247" s="1">
        <v>786.75</v>
      </c>
      <c r="D247" s="1">
        <v>777.9</v>
      </c>
      <c r="E247" s="1">
        <v>780.37</v>
      </c>
      <c r="F247" s="1">
        <v>1837100</v>
      </c>
      <c r="G247" s="1">
        <v>780.37</v>
      </c>
      <c r="H247" s="1">
        <f t="shared" si="27"/>
        <v>8.8500000000000227</v>
      </c>
      <c r="I247" s="9">
        <f t="shared" si="34"/>
        <v>1.1376783648283871E-2</v>
      </c>
      <c r="J247" s="1">
        <f t="shared" si="35"/>
        <v>0.25</v>
      </c>
      <c r="K247" s="9">
        <f t="shared" si="28"/>
        <v>3.2046351843306156E-4</v>
      </c>
      <c r="L247" s="1">
        <f t="shared" si="29"/>
        <v>1</v>
      </c>
      <c r="M247" s="1">
        <f t="shared" si="30"/>
        <v>786.75</v>
      </c>
      <c r="N247" s="1">
        <f t="shared" si="31"/>
        <v>777.9</v>
      </c>
      <c r="O247" s="1">
        <f t="shared" si="32"/>
        <v>778.41</v>
      </c>
      <c r="P247" s="1">
        <f t="shared" si="33"/>
        <v>397.14795918367344</v>
      </c>
    </row>
    <row r="248" spans="1:16">
      <c r="A248" s="2">
        <v>42697</v>
      </c>
      <c r="B248" s="1">
        <v>781.73</v>
      </c>
      <c r="C248" s="1">
        <v>781.75</v>
      </c>
      <c r="D248" s="1">
        <v>773.12</v>
      </c>
      <c r="E248" s="1">
        <v>780.12</v>
      </c>
      <c r="F248" s="1">
        <v>3522500</v>
      </c>
      <c r="G248" s="1">
        <v>780.12</v>
      </c>
      <c r="H248" s="1">
        <f t="shared" si="27"/>
        <v>8.6299999999999955</v>
      </c>
      <c r="I248" s="9">
        <f t="shared" si="34"/>
        <v>1.1162562086092708E-2</v>
      </c>
      <c r="J248" s="1">
        <f t="shared" si="35"/>
        <v>-5.2100000000000364</v>
      </c>
      <c r="K248" s="9">
        <f t="shared" si="28"/>
        <v>-6.6341537952198902E-3</v>
      </c>
      <c r="L248" s="1">
        <f t="shared" si="29"/>
        <v>1</v>
      </c>
      <c r="M248" s="1">
        <f t="shared" si="30"/>
        <v>781.75</v>
      </c>
      <c r="N248" s="1">
        <f t="shared" si="31"/>
        <v>773.12</v>
      </c>
      <c r="O248" s="1">
        <f t="shared" si="32"/>
        <v>778.16</v>
      </c>
      <c r="P248" s="1">
        <f t="shared" si="33"/>
        <v>397.0204081632653</v>
      </c>
    </row>
    <row r="249" spans="1:16">
      <c r="A249" s="2">
        <v>42696</v>
      </c>
      <c r="B249" s="1">
        <v>788.17</v>
      </c>
      <c r="C249" s="1">
        <v>792.4</v>
      </c>
      <c r="D249" s="1">
        <v>781</v>
      </c>
      <c r="E249" s="1">
        <v>785.33</v>
      </c>
      <c r="F249" s="1">
        <v>5311300</v>
      </c>
      <c r="G249" s="1">
        <v>785.33</v>
      </c>
      <c r="H249" s="1">
        <f t="shared" si="27"/>
        <v>11.399999999999977</v>
      </c>
      <c r="I249" s="9">
        <f t="shared" si="34"/>
        <v>1.4596670934699074E-2</v>
      </c>
      <c r="J249" s="1">
        <f t="shared" si="35"/>
        <v>5.3300000000000409</v>
      </c>
      <c r="K249" s="9">
        <f t="shared" si="28"/>
        <v>6.8333333333333857E-3</v>
      </c>
      <c r="L249" s="1">
        <f t="shared" si="29"/>
        <v>1</v>
      </c>
      <c r="M249" s="1">
        <f t="shared" si="30"/>
        <v>792.4</v>
      </c>
      <c r="N249" s="1">
        <f t="shared" si="31"/>
        <v>781</v>
      </c>
      <c r="O249" s="1">
        <f t="shared" si="32"/>
        <v>783.37</v>
      </c>
      <c r="P249" s="1">
        <f t="shared" si="33"/>
        <v>399.67857142857144</v>
      </c>
    </row>
    <row r="250" spans="1:16">
      <c r="A250" s="2">
        <v>42695</v>
      </c>
      <c r="B250" s="1">
        <v>766</v>
      </c>
      <c r="C250" s="1">
        <v>780.35</v>
      </c>
      <c r="D250" s="1">
        <v>765.11</v>
      </c>
      <c r="E250" s="1">
        <v>780</v>
      </c>
      <c r="F250" s="1">
        <v>4614600</v>
      </c>
      <c r="G250" s="1">
        <v>780</v>
      </c>
      <c r="H250" s="1">
        <f t="shared" si="27"/>
        <v>15.240000000000009</v>
      </c>
      <c r="I250" s="9">
        <f t="shared" si="34"/>
        <v>1.9918704500006545E-2</v>
      </c>
      <c r="J250" s="1">
        <f t="shared" si="35"/>
        <v>19.840000000000032</v>
      </c>
      <c r="K250" s="9">
        <f t="shared" si="28"/>
        <v>2.6099768469795875E-2</v>
      </c>
      <c r="L250" s="1">
        <f t="shared" si="29"/>
        <v>1</v>
      </c>
      <c r="M250" s="1">
        <f t="shared" si="30"/>
        <v>780.35</v>
      </c>
      <c r="N250" s="1">
        <f t="shared" si="31"/>
        <v>765.11</v>
      </c>
      <c r="O250" s="1">
        <f t="shared" si="32"/>
        <v>778.04</v>
      </c>
      <c r="P250" s="1">
        <f t="shared" si="33"/>
        <v>396.9591836734694</v>
      </c>
    </row>
    <row r="251" spans="1:16">
      <c r="A251" s="2">
        <v>42692</v>
      </c>
      <c r="B251" s="1">
        <v>761</v>
      </c>
      <c r="C251" s="1">
        <v>767.74</v>
      </c>
      <c r="D251" s="1">
        <v>757.64</v>
      </c>
      <c r="E251" s="1">
        <v>760.16</v>
      </c>
      <c r="F251" s="1">
        <v>4373400</v>
      </c>
      <c r="G251" s="1">
        <v>760.16</v>
      </c>
      <c r="H251" s="1">
        <f t="shared" si="27"/>
        <v>10.100000000000023</v>
      </c>
      <c r="I251" s="9">
        <f t="shared" si="34"/>
        <v>1.3330869542262846E-2</v>
      </c>
      <c r="J251" s="1">
        <f t="shared" si="35"/>
        <v>3.7599999999999909</v>
      </c>
      <c r="K251" s="9">
        <f t="shared" si="28"/>
        <v>4.9709148598624945E-3</v>
      </c>
      <c r="L251" s="1">
        <f t="shared" si="29"/>
        <v>1</v>
      </c>
      <c r="M251" s="1">
        <f t="shared" si="30"/>
        <v>767.74</v>
      </c>
      <c r="N251" s="1">
        <f t="shared" si="31"/>
        <v>757.64</v>
      </c>
      <c r="O251" s="1">
        <f t="shared" si="32"/>
        <v>758.19999999999993</v>
      </c>
      <c r="P251" s="1">
        <f t="shared" si="33"/>
        <v>386.83673469387753</v>
      </c>
    </row>
    <row r="252" spans="1:16">
      <c r="A252" s="2">
        <v>42691</v>
      </c>
      <c r="B252" s="1">
        <v>749.32</v>
      </c>
      <c r="C252" s="1">
        <v>757.5</v>
      </c>
      <c r="D252" s="1">
        <v>748</v>
      </c>
      <c r="E252" s="1">
        <v>756.4</v>
      </c>
      <c r="F252" s="1">
        <v>3690100</v>
      </c>
      <c r="G252" s="1">
        <v>756.4</v>
      </c>
      <c r="H252" s="1">
        <f t="shared" si="27"/>
        <v>9.5</v>
      </c>
      <c r="I252" s="9">
        <f t="shared" si="34"/>
        <v>1.2700534759358289E-2</v>
      </c>
      <c r="J252" s="1">
        <f t="shared" si="35"/>
        <v>9.9099999999999682</v>
      </c>
      <c r="K252" s="9">
        <f t="shared" si="28"/>
        <v>1.3275462497823102E-2</v>
      </c>
      <c r="L252" s="1">
        <f t="shared" si="29"/>
        <v>1</v>
      </c>
      <c r="M252" s="1">
        <f t="shared" si="30"/>
        <v>757.5</v>
      </c>
      <c r="N252" s="1">
        <f t="shared" si="31"/>
        <v>748</v>
      </c>
      <c r="O252" s="1">
        <f t="shared" si="32"/>
        <v>754.43999999999994</v>
      </c>
      <c r="P252" s="1">
        <f t="shared" si="33"/>
        <v>384.91836734693874</v>
      </c>
    </row>
    <row r="253" spans="1:16">
      <c r="A253" s="2">
        <v>42690</v>
      </c>
      <c r="B253" s="1">
        <v>739.88</v>
      </c>
      <c r="C253" s="1">
        <v>749.87</v>
      </c>
      <c r="D253" s="1">
        <v>735.61</v>
      </c>
      <c r="E253" s="1">
        <v>746.49</v>
      </c>
      <c r="F253" s="1">
        <v>3601400</v>
      </c>
      <c r="G253" s="1">
        <v>746.49</v>
      </c>
      <c r="H253" s="1">
        <f t="shared" si="27"/>
        <v>14.259999999999991</v>
      </c>
      <c r="I253" s="9">
        <f t="shared" si="34"/>
        <v>1.9385272087111365E-2</v>
      </c>
      <c r="J253" s="1">
        <f t="shared" si="35"/>
        <v>3.25</v>
      </c>
      <c r="K253" s="9">
        <f t="shared" si="28"/>
        <v>4.3727463538022707E-3</v>
      </c>
      <c r="L253" s="1">
        <f t="shared" si="29"/>
        <v>1</v>
      </c>
      <c r="M253" s="1">
        <f t="shared" si="30"/>
        <v>749.87</v>
      </c>
      <c r="N253" s="1">
        <f t="shared" si="31"/>
        <v>735.61</v>
      </c>
      <c r="O253" s="1">
        <f t="shared" si="32"/>
        <v>744.53</v>
      </c>
      <c r="P253" s="1">
        <f t="shared" si="33"/>
        <v>379.86224489795916</v>
      </c>
    </row>
    <row r="254" spans="1:16">
      <c r="A254" s="2">
        <v>42689</v>
      </c>
      <c r="B254" s="1">
        <v>730</v>
      </c>
      <c r="C254" s="1">
        <v>746.78</v>
      </c>
      <c r="D254" s="1">
        <v>725.99</v>
      </c>
      <c r="E254" s="1">
        <v>743.24</v>
      </c>
      <c r="F254" s="1">
        <v>6755800</v>
      </c>
      <c r="G254" s="1">
        <v>743.24</v>
      </c>
      <c r="H254" s="1">
        <f t="shared" si="27"/>
        <v>20.789999999999964</v>
      </c>
      <c r="I254" s="9">
        <f t="shared" si="34"/>
        <v>2.8636758082067195E-2</v>
      </c>
      <c r="J254" s="1">
        <f t="shared" si="35"/>
        <v>24.169999999999959</v>
      </c>
      <c r="K254" s="9">
        <f t="shared" si="28"/>
        <v>3.3612861056642546E-2</v>
      </c>
      <c r="L254" s="1">
        <f t="shared" si="29"/>
        <v>1</v>
      </c>
      <c r="M254" s="1">
        <f t="shared" si="30"/>
        <v>746.78</v>
      </c>
      <c r="N254" s="1">
        <f t="shared" si="31"/>
        <v>725.99</v>
      </c>
      <c r="O254" s="1">
        <f t="shared" si="32"/>
        <v>741.28</v>
      </c>
      <c r="P254" s="1">
        <f t="shared" si="33"/>
        <v>378.20408163265307</v>
      </c>
    </row>
    <row r="255" spans="1:16">
      <c r="A255" s="2">
        <v>42688</v>
      </c>
      <c r="B255" s="1">
        <v>745.51</v>
      </c>
      <c r="C255" s="1">
        <v>746</v>
      </c>
      <c r="D255" s="1">
        <v>710.1</v>
      </c>
      <c r="E255" s="1">
        <v>719.07</v>
      </c>
      <c r="F255" s="1">
        <v>7283200</v>
      </c>
      <c r="G255" s="1">
        <v>719.07</v>
      </c>
      <c r="H255" s="1">
        <f t="shared" si="27"/>
        <v>35.899999999999977</v>
      </c>
      <c r="I255" s="9">
        <f t="shared" si="34"/>
        <v>5.0556259681734932E-2</v>
      </c>
      <c r="J255" s="1">
        <f t="shared" si="35"/>
        <v>-19.939999999999941</v>
      </c>
      <c r="K255" s="9">
        <f t="shared" si="28"/>
        <v>-2.698204354474221E-2</v>
      </c>
      <c r="L255" s="1">
        <f t="shared" si="29"/>
        <v>1</v>
      </c>
      <c r="M255" s="1">
        <f t="shared" si="30"/>
        <v>746</v>
      </c>
      <c r="N255" s="1">
        <f t="shared" si="31"/>
        <v>710.1</v>
      </c>
      <c r="O255" s="1">
        <f t="shared" si="32"/>
        <v>717.11</v>
      </c>
      <c r="P255" s="1">
        <f t="shared" si="33"/>
        <v>365.87244897959187</v>
      </c>
    </row>
    <row r="256" spans="1:16">
      <c r="A256" s="2">
        <v>42685</v>
      </c>
      <c r="B256" s="1">
        <v>735.73</v>
      </c>
      <c r="C256" s="1">
        <v>743.26</v>
      </c>
      <c r="D256" s="1">
        <v>728.9</v>
      </c>
      <c r="E256" s="1">
        <v>739.01</v>
      </c>
      <c r="F256" s="1">
        <v>6622800</v>
      </c>
      <c r="G256" s="1">
        <v>739.01</v>
      </c>
      <c r="H256" s="1">
        <f t="shared" si="27"/>
        <v>14.360000000000014</v>
      </c>
      <c r="I256" s="9">
        <f t="shared" si="34"/>
        <v>1.9700919193304998E-2</v>
      </c>
      <c r="J256" s="1">
        <f t="shared" si="35"/>
        <v>-3.3700000000000045</v>
      </c>
      <c r="K256" s="9">
        <f t="shared" si="28"/>
        <v>-4.5394541878822229E-3</v>
      </c>
      <c r="L256" s="1">
        <f t="shared" si="29"/>
        <v>1</v>
      </c>
      <c r="M256" s="1">
        <f t="shared" si="30"/>
        <v>743.26</v>
      </c>
      <c r="N256" s="1">
        <f t="shared" si="31"/>
        <v>728.9</v>
      </c>
      <c r="O256" s="1">
        <f t="shared" si="32"/>
        <v>737.05</v>
      </c>
      <c r="P256" s="1">
        <f t="shared" si="33"/>
        <v>376.04591836734693</v>
      </c>
    </row>
    <row r="257" spans="1:16">
      <c r="A257" s="2">
        <v>42684</v>
      </c>
      <c r="B257" s="1">
        <v>778.81</v>
      </c>
      <c r="C257" s="1">
        <v>778.83</v>
      </c>
      <c r="D257" s="1">
        <v>717.7</v>
      </c>
      <c r="E257" s="1">
        <v>742.38</v>
      </c>
      <c r="F257" s="1">
        <v>12747000</v>
      </c>
      <c r="G257" s="1">
        <v>742.38</v>
      </c>
      <c r="H257" s="1">
        <f t="shared" si="27"/>
        <v>61.129999999999995</v>
      </c>
      <c r="I257" s="9">
        <f t="shared" si="34"/>
        <v>8.5174864149366022E-2</v>
      </c>
      <c r="J257" s="1">
        <f t="shared" si="35"/>
        <v>-29.5</v>
      </c>
      <c r="K257" s="9">
        <f t="shared" si="28"/>
        <v>-3.8218375913354405E-2</v>
      </c>
      <c r="L257" s="1">
        <f t="shared" si="29"/>
        <v>1</v>
      </c>
      <c r="M257" s="1">
        <f t="shared" si="30"/>
        <v>778.83</v>
      </c>
      <c r="N257" s="1">
        <f t="shared" si="31"/>
        <v>717.7</v>
      </c>
      <c r="O257" s="1">
        <f t="shared" si="32"/>
        <v>740.42</v>
      </c>
      <c r="P257" s="1">
        <f t="shared" si="33"/>
        <v>377.76530612244898</v>
      </c>
    </row>
    <row r="258" spans="1:16">
      <c r="A258" s="2">
        <v>42683</v>
      </c>
      <c r="B258" s="1">
        <v>764</v>
      </c>
      <c r="C258" s="1">
        <v>777.5</v>
      </c>
      <c r="D258" s="1">
        <v>760.09</v>
      </c>
      <c r="E258" s="1">
        <v>771.88</v>
      </c>
      <c r="F258" s="1">
        <v>8562900</v>
      </c>
      <c r="G258" s="1">
        <v>771.88</v>
      </c>
      <c r="H258" s="1">
        <f t="shared" si="27"/>
        <v>17.409999999999968</v>
      </c>
      <c r="I258" s="9">
        <f t="shared" si="34"/>
        <v>2.2905182281045624E-2</v>
      </c>
      <c r="J258" s="1">
        <f t="shared" si="35"/>
        <v>-15.870000000000005</v>
      </c>
      <c r="K258" s="9">
        <f t="shared" si="28"/>
        <v>-2.014598540145986E-2</v>
      </c>
      <c r="L258" s="1">
        <f t="shared" si="29"/>
        <v>1</v>
      </c>
      <c r="M258" s="1">
        <f t="shared" si="30"/>
        <v>777.5</v>
      </c>
      <c r="N258" s="1">
        <f t="shared" si="31"/>
        <v>760.09</v>
      </c>
      <c r="O258" s="1">
        <f t="shared" si="32"/>
        <v>769.92</v>
      </c>
      <c r="P258" s="1">
        <f t="shared" si="33"/>
        <v>392.81632653061223</v>
      </c>
    </row>
    <row r="259" spans="1:16">
      <c r="A259" s="2">
        <v>42682</v>
      </c>
      <c r="B259" s="1">
        <v>784.97</v>
      </c>
      <c r="C259" s="1">
        <v>791.74</v>
      </c>
      <c r="D259" s="1">
        <v>779.1</v>
      </c>
      <c r="E259" s="1">
        <v>787.75</v>
      </c>
      <c r="F259" s="1">
        <v>3373300</v>
      </c>
      <c r="G259" s="1">
        <v>787.75</v>
      </c>
      <c r="H259" s="1">
        <f t="shared" ref="H259:H322" si="36">C259-D259</f>
        <v>12.639999999999986</v>
      </c>
      <c r="I259" s="9">
        <f t="shared" si="34"/>
        <v>1.6223848029777933E-2</v>
      </c>
      <c r="J259" s="1">
        <f t="shared" si="35"/>
        <v>2.82000000000005</v>
      </c>
      <c r="K259" s="9">
        <f t="shared" ref="K259:K322" si="37">(G259-G260)/G260</f>
        <v>3.5926770540048798E-3</v>
      </c>
      <c r="L259" s="1">
        <f t="shared" ref="L259:L322" si="38">G259/E259</f>
        <v>1</v>
      </c>
      <c r="M259" s="1">
        <f t="shared" ref="M259:M322" si="39">L259*C259</f>
        <v>791.74</v>
      </c>
      <c r="N259" s="1">
        <f t="shared" ref="N259:N322" si="40">L259*D259</f>
        <v>779.1</v>
      </c>
      <c r="O259" s="1">
        <f t="shared" ref="O259:O322" si="41">G259-$G$5163</f>
        <v>785.79</v>
      </c>
      <c r="P259" s="1">
        <f t="shared" ref="P259:P322" si="42">(G259-$G$5163)/$G$5163</f>
        <v>400.91326530612241</v>
      </c>
    </row>
    <row r="260" spans="1:16">
      <c r="A260" s="2">
        <v>42681</v>
      </c>
      <c r="B260" s="1">
        <v>771.64</v>
      </c>
      <c r="C260" s="1">
        <v>787.73</v>
      </c>
      <c r="D260" s="1">
        <v>770.94</v>
      </c>
      <c r="E260" s="1">
        <v>784.93</v>
      </c>
      <c r="F260" s="1">
        <v>5984400</v>
      </c>
      <c r="G260" s="1">
        <v>784.93</v>
      </c>
      <c r="H260" s="1">
        <f t="shared" si="36"/>
        <v>16.789999999999964</v>
      </c>
      <c r="I260" s="9">
        <f t="shared" ref="I260:I323" si="43">(C260-D260)/D260</f>
        <v>2.1778607933172441E-2</v>
      </c>
      <c r="J260" s="1">
        <f t="shared" ref="J260:J323" si="44">G260-G261</f>
        <v>29.879999999999995</v>
      </c>
      <c r="K260" s="9">
        <f t="shared" si="37"/>
        <v>3.9573538176279711E-2</v>
      </c>
      <c r="L260" s="1">
        <f t="shared" si="38"/>
        <v>1</v>
      </c>
      <c r="M260" s="1">
        <f t="shared" si="39"/>
        <v>787.73</v>
      </c>
      <c r="N260" s="1">
        <f t="shared" si="40"/>
        <v>770.94</v>
      </c>
      <c r="O260" s="1">
        <f t="shared" si="41"/>
        <v>782.96999999999991</v>
      </c>
      <c r="P260" s="1">
        <f t="shared" si="42"/>
        <v>399.47448979591832</v>
      </c>
    </row>
    <row r="261" spans="1:16">
      <c r="A261" s="2">
        <v>42678</v>
      </c>
      <c r="B261" s="1">
        <v>762.79</v>
      </c>
      <c r="C261" s="1">
        <v>766</v>
      </c>
      <c r="D261" s="1">
        <v>753.23</v>
      </c>
      <c r="E261" s="1">
        <v>755.05</v>
      </c>
      <c r="F261" s="1">
        <v>5122100</v>
      </c>
      <c r="G261" s="1">
        <v>755.05</v>
      </c>
      <c r="H261" s="1">
        <f t="shared" si="36"/>
        <v>12.769999999999982</v>
      </c>
      <c r="I261" s="9">
        <f t="shared" si="43"/>
        <v>1.6953652934694557E-2</v>
      </c>
      <c r="J261" s="1">
        <f t="shared" si="44"/>
        <v>-11.980000000000018</v>
      </c>
      <c r="K261" s="9">
        <f t="shared" si="37"/>
        <v>-1.5618685057950821E-2</v>
      </c>
      <c r="L261" s="1">
        <f t="shared" si="38"/>
        <v>1</v>
      </c>
      <c r="M261" s="1">
        <f t="shared" si="39"/>
        <v>766</v>
      </c>
      <c r="N261" s="1">
        <f t="shared" si="40"/>
        <v>753.23</v>
      </c>
      <c r="O261" s="1">
        <f t="shared" si="41"/>
        <v>753.08999999999992</v>
      </c>
      <c r="P261" s="1">
        <f t="shared" si="42"/>
        <v>384.22959183673464</v>
      </c>
    </row>
    <row r="262" spans="1:16">
      <c r="A262" s="2">
        <v>42677</v>
      </c>
      <c r="B262" s="1">
        <v>765.05</v>
      </c>
      <c r="C262" s="1">
        <v>777</v>
      </c>
      <c r="D262" s="1">
        <v>764</v>
      </c>
      <c r="E262" s="1">
        <v>767.03</v>
      </c>
      <c r="F262" s="1">
        <v>3872500</v>
      </c>
      <c r="G262" s="1">
        <v>767.03</v>
      </c>
      <c r="H262" s="1">
        <f t="shared" si="36"/>
        <v>13</v>
      </c>
      <c r="I262" s="9">
        <f t="shared" si="43"/>
        <v>1.7015706806282723E-2</v>
      </c>
      <c r="J262" s="1">
        <f t="shared" si="44"/>
        <v>1.4700000000000273</v>
      </c>
      <c r="K262" s="9">
        <f t="shared" si="37"/>
        <v>1.9201630179215574E-3</v>
      </c>
      <c r="L262" s="1">
        <f t="shared" si="38"/>
        <v>1</v>
      </c>
      <c r="M262" s="1">
        <f t="shared" si="39"/>
        <v>777</v>
      </c>
      <c r="N262" s="1">
        <f t="shared" si="40"/>
        <v>764</v>
      </c>
      <c r="O262" s="1">
        <f t="shared" si="41"/>
        <v>765.06999999999994</v>
      </c>
      <c r="P262" s="1">
        <f t="shared" si="42"/>
        <v>390.34183673469386</v>
      </c>
    </row>
    <row r="263" spans="1:16">
      <c r="A263" s="2">
        <v>42676</v>
      </c>
      <c r="B263" s="1">
        <v>783.93</v>
      </c>
      <c r="C263" s="1">
        <v>784.75</v>
      </c>
      <c r="D263" s="1">
        <v>763.55</v>
      </c>
      <c r="E263" s="1">
        <v>765.56</v>
      </c>
      <c r="F263" s="1">
        <v>5026500</v>
      </c>
      <c r="G263" s="1">
        <v>765.56</v>
      </c>
      <c r="H263" s="1">
        <f t="shared" si="36"/>
        <v>21.200000000000045</v>
      </c>
      <c r="I263" s="9">
        <f t="shared" si="43"/>
        <v>2.7765044856263566E-2</v>
      </c>
      <c r="J263" s="1">
        <f t="shared" si="44"/>
        <v>-19.850000000000023</v>
      </c>
      <c r="K263" s="9">
        <f t="shared" si="37"/>
        <v>-2.5273424071504087E-2</v>
      </c>
      <c r="L263" s="1">
        <f t="shared" si="38"/>
        <v>1</v>
      </c>
      <c r="M263" s="1">
        <f t="shared" si="39"/>
        <v>784.75</v>
      </c>
      <c r="N263" s="1">
        <f t="shared" si="40"/>
        <v>763.55</v>
      </c>
      <c r="O263" s="1">
        <f t="shared" si="41"/>
        <v>763.59999999999991</v>
      </c>
      <c r="P263" s="1">
        <f t="shared" si="42"/>
        <v>389.59183673469386</v>
      </c>
    </row>
    <row r="264" spans="1:16">
      <c r="A264" s="2">
        <v>42675</v>
      </c>
      <c r="B264" s="1">
        <v>799</v>
      </c>
      <c r="C264" s="1">
        <v>800.84</v>
      </c>
      <c r="D264" s="1">
        <v>776.71</v>
      </c>
      <c r="E264" s="1">
        <v>785.41</v>
      </c>
      <c r="F264" s="1">
        <v>5305400</v>
      </c>
      <c r="G264" s="1">
        <v>785.41</v>
      </c>
      <c r="H264" s="1">
        <f t="shared" si="36"/>
        <v>24.129999999999995</v>
      </c>
      <c r="I264" s="9">
        <f t="shared" si="43"/>
        <v>3.1066936179526456E-2</v>
      </c>
      <c r="J264" s="1">
        <f t="shared" si="44"/>
        <v>-4.4100000000000819</v>
      </c>
      <c r="K264" s="9">
        <f t="shared" si="37"/>
        <v>-5.5835506824340759E-3</v>
      </c>
      <c r="L264" s="1">
        <f t="shared" si="38"/>
        <v>1</v>
      </c>
      <c r="M264" s="1">
        <f t="shared" si="39"/>
        <v>800.84</v>
      </c>
      <c r="N264" s="1">
        <f t="shared" si="40"/>
        <v>776.71</v>
      </c>
      <c r="O264" s="1">
        <f t="shared" si="41"/>
        <v>783.44999999999993</v>
      </c>
      <c r="P264" s="1">
        <f t="shared" si="42"/>
        <v>399.71938775510199</v>
      </c>
    </row>
    <row r="265" spans="1:16">
      <c r="A265" s="2">
        <v>42674</v>
      </c>
      <c r="B265" s="1">
        <v>781.03</v>
      </c>
      <c r="C265" s="1">
        <v>793.7</v>
      </c>
      <c r="D265" s="1">
        <v>780.11</v>
      </c>
      <c r="E265" s="1">
        <v>789.82</v>
      </c>
      <c r="F265" s="1">
        <v>5413300</v>
      </c>
      <c r="G265" s="1">
        <v>789.82</v>
      </c>
      <c r="H265" s="1">
        <f t="shared" si="36"/>
        <v>13.590000000000032</v>
      </c>
      <c r="I265" s="9">
        <f t="shared" si="43"/>
        <v>1.7420620168950574E-2</v>
      </c>
      <c r="J265" s="1">
        <f t="shared" si="44"/>
        <v>13.5</v>
      </c>
      <c r="K265" s="9">
        <f t="shared" si="37"/>
        <v>1.7389736191261336E-2</v>
      </c>
      <c r="L265" s="1">
        <f t="shared" si="38"/>
        <v>1</v>
      </c>
      <c r="M265" s="1">
        <f t="shared" si="39"/>
        <v>793.7</v>
      </c>
      <c r="N265" s="1">
        <f t="shared" si="40"/>
        <v>780.11</v>
      </c>
      <c r="O265" s="1">
        <f t="shared" si="41"/>
        <v>787.86</v>
      </c>
      <c r="P265" s="1">
        <f t="shared" si="42"/>
        <v>401.96938775510205</v>
      </c>
    </row>
    <row r="266" spans="1:16">
      <c r="A266" s="2">
        <v>42671</v>
      </c>
      <c r="B266" s="1">
        <v>782</v>
      </c>
      <c r="C266" s="1">
        <v>789.49</v>
      </c>
      <c r="D266" s="1">
        <v>774.61</v>
      </c>
      <c r="E266" s="1">
        <v>776.32</v>
      </c>
      <c r="F266" s="1">
        <v>10841100</v>
      </c>
      <c r="G266" s="1">
        <v>776.32</v>
      </c>
      <c r="H266" s="1">
        <f t="shared" si="36"/>
        <v>14.879999999999995</v>
      </c>
      <c r="I266" s="9">
        <f t="shared" si="43"/>
        <v>1.9209666800067124E-2</v>
      </c>
      <c r="J266" s="1">
        <f t="shared" si="44"/>
        <v>-42.039999999999964</v>
      </c>
      <c r="K266" s="9">
        <f t="shared" si="37"/>
        <v>-5.1371034752431648E-2</v>
      </c>
      <c r="L266" s="1">
        <f t="shared" si="38"/>
        <v>1</v>
      </c>
      <c r="M266" s="1">
        <f t="shared" si="39"/>
        <v>789.49</v>
      </c>
      <c r="N266" s="1">
        <f t="shared" si="40"/>
        <v>774.61</v>
      </c>
      <c r="O266" s="1">
        <f t="shared" si="41"/>
        <v>774.36</v>
      </c>
      <c r="P266" s="1">
        <f t="shared" si="42"/>
        <v>395.08163265306126</v>
      </c>
    </row>
    <row r="267" spans="1:16">
      <c r="A267" s="2">
        <v>42670</v>
      </c>
      <c r="B267" s="1">
        <v>831.24</v>
      </c>
      <c r="C267" s="1">
        <v>831.72</v>
      </c>
      <c r="D267" s="1">
        <v>815.43</v>
      </c>
      <c r="E267" s="1">
        <v>818.36</v>
      </c>
      <c r="F267" s="1">
        <v>7406400</v>
      </c>
      <c r="G267" s="1">
        <v>818.36</v>
      </c>
      <c r="H267" s="1">
        <f t="shared" si="36"/>
        <v>16.290000000000077</v>
      </c>
      <c r="I267" s="9">
        <f t="shared" si="43"/>
        <v>1.9977189948861433E-2</v>
      </c>
      <c r="J267" s="1">
        <f t="shared" si="44"/>
        <v>-4.2300000000000182</v>
      </c>
      <c r="K267" s="9">
        <f t="shared" si="37"/>
        <v>-5.1422944601806709E-3</v>
      </c>
      <c r="L267" s="1">
        <f t="shared" si="38"/>
        <v>1</v>
      </c>
      <c r="M267" s="1">
        <f t="shared" si="39"/>
        <v>831.72</v>
      </c>
      <c r="N267" s="1">
        <f t="shared" si="40"/>
        <v>815.43</v>
      </c>
      <c r="O267" s="1">
        <f t="shared" si="41"/>
        <v>816.4</v>
      </c>
      <c r="P267" s="1">
        <f t="shared" si="42"/>
        <v>416.53061224489795</v>
      </c>
    </row>
    <row r="268" spans="1:16">
      <c r="A268" s="2">
        <v>42669</v>
      </c>
      <c r="B268" s="1">
        <v>832.76</v>
      </c>
      <c r="C268" s="1">
        <v>833.44</v>
      </c>
      <c r="D268" s="1">
        <v>820</v>
      </c>
      <c r="E268" s="1">
        <v>822.59</v>
      </c>
      <c r="F268" s="1">
        <v>3998100</v>
      </c>
      <c r="G268" s="1">
        <v>822.59</v>
      </c>
      <c r="H268" s="1">
        <f t="shared" si="36"/>
        <v>13.440000000000055</v>
      </c>
      <c r="I268" s="9">
        <f t="shared" si="43"/>
        <v>1.6390243902439091E-2</v>
      </c>
      <c r="J268" s="1">
        <f t="shared" si="44"/>
        <v>-12.589999999999918</v>
      </c>
      <c r="K268" s="9">
        <f t="shared" si="37"/>
        <v>-1.5074594698148805E-2</v>
      </c>
      <c r="L268" s="1">
        <f t="shared" si="38"/>
        <v>1</v>
      </c>
      <c r="M268" s="1">
        <f t="shared" si="39"/>
        <v>833.44</v>
      </c>
      <c r="N268" s="1">
        <f t="shared" si="40"/>
        <v>820</v>
      </c>
      <c r="O268" s="1">
        <f t="shared" si="41"/>
        <v>820.63</v>
      </c>
      <c r="P268" s="1">
        <f t="shared" si="42"/>
        <v>418.6887755102041</v>
      </c>
    </row>
    <row r="269" spans="1:16">
      <c r="A269" s="2">
        <v>42668</v>
      </c>
      <c r="B269" s="1">
        <v>839.3</v>
      </c>
      <c r="C269" s="1">
        <v>843.09</v>
      </c>
      <c r="D269" s="1">
        <v>833.22</v>
      </c>
      <c r="E269" s="1">
        <v>835.18</v>
      </c>
      <c r="F269" s="1">
        <v>3248400</v>
      </c>
      <c r="G269" s="1">
        <v>835.18</v>
      </c>
      <c r="H269" s="1">
        <f t="shared" si="36"/>
        <v>9.8700000000000045</v>
      </c>
      <c r="I269" s="9">
        <f t="shared" si="43"/>
        <v>1.1845611003096427E-2</v>
      </c>
      <c r="J269" s="1">
        <f t="shared" si="44"/>
        <v>-2.9100000000000819</v>
      </c>
      <c r="K269" s="9">
        <f t="shared" si="37"/>
        <v>-3.4721807920391388E-3</v>
      </c>
      <c r="L269" s="1">
        <f t="shared" si="38"/>
        <v>1</v>
      </c>
      <c r="M269" s="1">
        <f t="shared" si="39"/>
        <v>843.09</v>
      </c>
      <c r="N269" s="1">
        <f t="shared" si="40"/>
        <v>833.22</v>
      </c>
      <c r="O269" s="1">
        <f t="shared" si="41"/>
        <v>833.21999999999991</v>
      </c>
      <c r="P269" s="1">
        <f t="shared" si="42"/>
        <v>425.11224489795916</v>
      </c>
    </row>
    <row r="270" spans="1:16">
      <c r="A270" s="2">
        <v>42667</v>
      </c>
      <c r="B270" s="1">
        <v>824.95</v>
      </c>
      <c r="C270" s="1">
        <v>838.3</v>
      </c>
      <c r="D270" s="1">
        <v>822.21</v>
      </c>
      <c r="E270" s="1">
        <v>838.09</v>
      </c>
      <c r="F270" s="1">
        <v>4060900</v>
      </c>
      <c r="G270" s="1">
        <v>838.09</v>
      </c>
      <c r="H270" s="1">
        <f t="shared" si="36"/>
        <v>16.089999999999918</v>
      </c>
      <c r="I270" s="9">
        <f t="shared" si="43"/>
        <v>1.9569209812578196E-2</v>
      </c>
      <c r="J270" s="1">
        <f t="shared" si="44"/>
        <v>19.100000000000023</v>
      </c>
      <c r="K270" s="9">
        <f t="shared" si="37"/>
        <v>2.3321408075800708E-2</v>
      </c>
      <c r="L270" s="1">
        <f t="shared" si="38"/>
        <v>1</v>
      </c>
      <c r="M270" s="1">
        <f t="shared" si="39"/>
        <v>838.3</v>
      </c>
      <c r="N270" s="1">
        <f t="shared" si="40"/>
        <v>822.21</v>
      </c>
      <c r="O270" s="1">
        <f t="shared" si="41"/>
        <v>836.13</v>
      </c>
      <c r="P270" s="1">
        <f t="shared" si="42"/>
        <v>426.59693877551018</v>
      </c>
    </row>
    <row r="271" spans="1:16">
      <c r="A271" s="2">
        <v>42664</v>
      </c>
      <c r="B271" s="1">
        <v>809.36</v>
      </c>
      <c r="C271" s="1">
        <v>819.42</v>
      </c>
      <c r="D271" s="1">
        <v>809</v>
      </c>
      <c r="E271" s="1">
        <v>818.99</v>
      </c>
      <c r="F271" s="1">
        <v>2793000</v>
      </c>
      <c r="G271" s="1">
        <v>818.99</v>
      </c>
      <c r="H271" s="1">
        <f t="shared" si="36"/>
        <v>10.419999999999959</v>
      </c>
      <c r="I271" s="9">
        <f t="shared" si="43"/>
        <v>1.2880098887515401E-2</v>
      </c>
      <c r="J271" s="1">
        <f t="shared" si="44"/>
        <v>8.6699999999999591</v>
      </c>
      <c r="K271" s="9">
        <f t="shared" si="37"/>
        <v>1.0699476749925904E-2</v>
      </c>
      <c r="L271" s="1">
        <f t="shared" si="38"/>
        <v>1</v>
      </c>
      <c r="M271" s="1">
        <f t="shared" si="39"/>
        <v>819.42</v>
      </c>
      <c r="N271" s="1">
        <f t="shared" si="40"/>
        <v>809</v>
      </c>
      <c r="O271" s="1">
        <f t="shared" si="41"/>
        <v>817.03</v>
      </c>
      <c r="P271" s="1">
        <f t="shared" si="42"/>
        <v>416.85204081632651</v>
      </c>
    </row>
    <row r="272" spans="1:16">
      <c r="A272" s="2">
        <v>42663</v>
      </c>
      <c r="B272" s="1">
        <v>813.99</v>
      </c>
      <c r="C272" s="1">
        <v>815.71</v>
      </c>
      <c r="D272" s="1">
        <v>803.1</v>
      </c>
      <c r="E272" s="1">
        <v>810.32</v>
      </c>
      <c r="F272" s="1">
        <v>3152000</v>
      </c>
      <c r="G272" s="1">
        <v>810.32</v>
      </c>
      <c r="H272" s="1">
        <f t="shared" si="36"/>
        <v>12.610000000000014</v>
      </c>
      <c r="I272" s="9">
        <f t="shared" si="43"/>
        <v>1.5701656082679632E-2</v>
      </c>
      <c r="J272" s="1">
        <f t="shared" si="44"/>
        <v>-7.3700000000000045</v>
      </c>
      <c r="K272" s="9">
        <f t="shared" si="37"/>
        <v>-9.013195709865602E-3</v>
      </c>
      <c r="L272" s="1">
        <f t="shared" si="38"/>
        <v>1</v>
      </c>
      <c r="M272" s="1">
        <f t="shared" si="39"/>
        <v>815.71</v>
      </c>
      <c r="N272" s="1">
        <f t="shared" si="40"/>
        <v>803.1</v>
      </c>
      <c r="O272" s="1">
        <f t="shared" si="41"/>
        <v>808.36</v>
      </c>
      <c r="P272" s="1">
        <f t="shared" si="42"/>
        <v>412.42857142857144</v>
      </c>
    </row>
    <row r="273" spans="1:16">
      <c r="A273" s="2">
        <v>42662</v>
      </c>
      <c r="B273" s="1">
        <v>820.4</v>
      </c>
      <c r="C273" s="1">
        <v>820.67</v>
      </c>
      <c r="D273" s="1">
        <v>815.17</v>
      </c>
      <c r="E273" s="1">
        <v>817.69</v>
      </c>
      <c r="F273" s="1">
        <v>2090700</v>
      </c>
      <c r="G273" s="1">
        <v>817.69</v>
      </c>
      <c r="H273" s="1">
        <f t="shared" si="36"/>
        <v>5.5</v>
      </c>
      <c r="I273" s="9">
        <f t="shared" si="43"/>
        <v>6.7470588956904699E-3</v>
      </c>
      <c r="J273" s="1">
        <f t="shared" si="44"/>
        <v>4.0000000000077307E-2</v>
      </c>
      <c r="K273" s="9">
        <f t="shared" si="37"/>
        <v>4.8920687335751614E-5</v>
      </c>
      <c r="L273" s="1">
        <f t="shared" si="38"/>
        <v>1</v>
      </c>
      <c r="M273" s="1">
        <f t="shared" si="39"/>
        <v>820.67</v>
      </c>
      <c r="N273" s="1">
        <f t="shared" si="40"/>
        <v>815.17</v>
      </c>
      <c r="O273" s="1">
        <f t="shared" si="41"/>
        <v>815.73</v>
      </c>
      <c r="P273" s="1">
        <f t="shared" si="42"/>
        <v>416.1887755102041</v>
      </c>
    </row>
    <row r="274" spans="1:16">
      <c r="A274" s="2">
        <v>42661</v>
      </c>
      <c r="B274" s="1">
        <v>822.11</v>
      </c>
      <c r="C274" s="1">
        <v>823.26</v>
      </c>
      <c r="D274" s="1">
        <v>815.02</v>
      </c>
      <c r="E274" s="1">
        <v>817.65</v>
      </c>
      <c r="F274" s="1">
        <v>2480800</v>
      </c>
      <c r="G274" s="1">
        <v>817.65</v>
      </c>
      <c r="H274" s="1">
        <f t="shared" si="36"/>
        <v>8.2400000000000091</v>
      </c>
      <c r="I274" s="9">
        <f t="shared" si="43"/>
        <v>1.0110181345243073E-2</v>
      </c>
      <c r="J274" s="1">
        <f t="shared" si="44"/>
        <v>4.6999999999999318</v>
      </c>
      <c r="K274" s="9">
        <f t="shared" si="37"/>
        <v>5.7814133710559464E-3</v>
      </c>
      <c r="L274" s="1">
        <f t="shared" si="38"/>
        <v>1</v>
      </c>
      <c r="M274" s="1">
        <f t="shared" si="39"/>
        <v>823.26</v>
      </c>
      <c r="N274" s="1">
        <f t="shared" si="40"/>
        <v>815.02</v>
      </c>
      <c r="O274" s="1">
        <f t="shared" si="41"/>
        <v>815.68999999999994</v>
      </c>
      <c r="P274" s="1">
        <f t="shared" si="42"/>
        <v>416.16836734693874</v>
      </c>
    </row>
    <row r="275" spans="1:16">
      <c r="A275" s="2">
        <v>42660</v>
      </c>
      <c r="B275" s="1">
        <v>821.5</v>
      </c>
      <c r="C275" s="1">
        <v>822</v>
      </c>
      <c r="D275" s="1">
        <v>811.68</v>
      </c>
      <c r="E275" s="1">
        <v>812.95</v>
      </c>
      <c r="F275" s="1">
        <v>3361500</v>
      </c>
      <c r="G275" s="1">
        <v>812.95</v>
      </c>
      <c r="H275" s="1">
        <f t="shared" si="36"/>
        <v>10.32000000000005</v>
      </c>
      <c r="I275" s="9">
        <f t="shared" si="43"/>
        <v>1.271437019515086E-2</v>
      </c>
      <c r="J275" s="1">
        <f t="shared" si="44"/>
        <v>-10.009999999999991</v>
      </c>
      <c r="K275" s="9">
        <f t="shared" si="37"/>
        <v>-1.2163410129289383E-2</v>
      </c>
      <c r="L275" s="1">
        <f t="shared" si="38"/>
        <v>1</v>
      </c>
      <c r="M275" s="1">
        <f t="shared" si="39"/>
        <v>822</v>
      </c>
      <c r="N275" s="1">
        <f t="shared" si="40"/>
        <v>811.68</v>
      </c>
      <c r="O275" s="1">
        <f t="shared" si="41"/>
        <v>810.99</v>
      </c>
      <c r="P275" s="1">
        <f t="shared" si="42"/>
        <v>413.7704081632653</v>
      </c>
    </row>
    <row r="276" spans="1:16">
      <c r="A276" s="2">
        <v>42657</v>
      </c>
      <c r="B276" s="1">
        <v>835.08</v>
      </c>
      <c r="C276" s="1">
        <v>835.74</v>
      </c>
      <c r="D276" s="1">
        <v>822.96</v>
      </c>
      <c r="E276" s="1">
        <v>822.96</v>
      </c>
      <c r="F276" s="1">
        <v>2999800</v>
      </c>
      <c r="G276" s="1">
        <v>822.96</v>
      </c>
      <c r="H276" s="1">
        <f t="shared" si="36"/>
        <v>12.779999999999973</v>
      </c>
      <c r="I276" s="9">
        <f t="shared" si="43"/>
        <v>1.5529308836395417E-2</v>
      </c>
      <c r="J276" s="1">
        <f t="shared" si="44"/>
        <v>-6.3199999999999363</v>
      </c>
      <c r="K276" s="9">
        <f t="shared" si="37"/>
        <v>-7.6210688790275139E-3</v>
      </c>
      <c r="L276" s="1">
        <f t="shared" si="38"/>
        <v>1</v>
      </c>
      <c r="M276" s="1">
        <f t="shared" si="39"/>
        <v>835.74</v>
      </c>
      <c r="N276" s="1">
        <f t="shared" si="40"/>
        <v>822.96</v>
      </c>
      <c r="O276" s="1">
        <f t="shared" si="41"/>
        <v>821</v>
      </c>
      <c r="P276" s="1">
        <f t="shared" si="42"/>
        <v>418.87755102040819</v>
      </c>
    </row>
    <row r="277" spans="1:16">
      <c r="A277" s="2">
        <v>42656</v>
      </c>
      <c r="B277" s="1">
        <v>829</v>
      </c>
      <c r="C277" s="1">
        <v>831.8</v>
      </c>
      <c r="D277" s="1">
        <v>821.21</v>
      </c>
      <c r="E277" s="1">
        <v>829.28</v>
      </c>
      <c r="F277" s="1">
        <v>3091400</v>
      </c>
      <c r="G277" s="1">
        <v>829.28</v>
      </c>
      <c r="H277" s="1">
        <f t="shared" si="36"/>
        <v>10.589999999999918</v>
      </c>
      <c r="I277" s="9">
        <f t="shared" si="43"/>
        <v>1.2895605265400954E-2</v>
      </c>
      <c r="J277" s="1">
        <f t="shared" si="44"/>
        <v>-4.8100000000000591</v>
      </c>
      <c r="K277" s="9">
        <f t="shared" si="37"/>
        <v>-5.7667637784892022E-3</v>
      </c>
      <c r="L277" s="1">
        <f t="shared" si="38"/>
        <v>1</v>
      </c>
      <c r="M277" s="1">
        <f t="shared" si="39"/>
        <v>831.8</v>
      </c>
      <c r="N277" s="1">
        <f t="shared" si="40"/>
        <v>821.21</v>
      </c>
      <c r="O277" s="1">
        <f t="shared" si="41"/>
        <v>827.31999999999994</v>
      </c>
      <c r="P277" s="1">
        <f t="shared" si="42"/>
        <v>422.10204081632651</v>
      </c>
    </row>
    <row r="278" spans="1:16">
      <c r="A278" s="2">
        <v>42655</v>
      </c>
      <c r="B278" s="1">
        <v>834</v>
      </c>
      <c r="C278" s="1">
        <v>837.67</v>
      </c>
      <c r="D278" s="1">
        <v>830.1</v>
      </c>
      <c r="E278" s="1">
        <v>834.09</v>
      </c>
      <c r="F278" s="1">
        <v>2380400</v>
      </c>
      <c r="G278" s="1">
        <v>834.09</v>
      </c>
      <c r="H278" s="1">
        <f t="shared" si="36"/>
        <v>7.5699999999999363</v>
      </c>
      <c r="I278" s="9">
        <f t="shared" si="43"/>
        <v>9.119383206842472E-3</v>
      </c>
      <c r="J278" s="1">
        <f t="shared" si="44"/>
        <v>3.0900000000000318</v>
      </c>
      <c r="K278" s="9">
        <f t="shared" si="37"/>
        <v>3.7184115523466086E-3</v>
      </c>
      <c r="L278" s="1">
        <f t="shared" si="38"/>
        <v>1</v>
      </c>
      <c r="M278" s="1">
        <f t="shared" si="39"/>
        <v>837.67</v>
      </c>
      <c r="N278" s="1">
        <f t="shared" si="40"/>
        <v>830.1</v>
      </c>
      <c r="O278" s="1">
        <f t="shared" si="41"/>
        <v>832.13</v>
      </c>
      <c r="P278" s="1">
        <f t="shared" si="42"/>
        <v>424.55612244897958</v>
      </c>
    </row>
    <row r="279" spans="1:16">
      <c r="A279" s="2">
        <v>42654</v>
      </c>
      <c r="B279" s="1">
        <v>841.02</v>
      </c>
      <c r="C279" s="1">
        <v>841.29</v>
      </c>
      <c r="D279" s="1">
        <v>828.35</v>
      </c>
      <c r="E279" s="1">
        <v>831</v>
      </c>
      <c r="F279" s="1">
        <v>3588200</v>
      </c>
      <c r="G279" s="1">
        <v>831</v>
      </c>
      <c r="H279" s="1">
        <f t="shared" si="36"/>
        <v>12.939999999999941</v>
      </c>
      <c r="I279" s="9">
        <f t="shared" si="43"/>
        <v>1.5621416068087089E-2</v>
      </c>
      <c r="J279" s="1">
        <f t="shared" si="44"/>
        <v>-10.710000000000036</v>
      </c>
      <c r="K279" s="9">
        <f t="shared" si="37"/>
        <v>-1.2724097373204591E-2</v>
      </c>
      <c r="L279" s="1">
        <f t="shared" si="38"/>
        <v>1</v>
      </c>
      <c r="M279" s="1">
        <f t="shared" si="39"/>
        <v>841.29</v>
      </c>
      <c r="N279" s="1">
        <f t="shared" si="40"/>
        <v>828.35</v>
      </c>
      <c r="O279" s="1">
        <f t="shared" si="41"/>
        <v>829.04</v>
      </c>
      <c r="P279" s="1">
        <f t="shared" si="42"/>
        <v>422.9795918367347</v>
      </c>
    </row>
    <row r="280" spans="1:16">
      <c r="A280" s="2">
        <v>42653</v>
      </c>
      <c r="B280" s="1">
        <v>843.25</v>
      </c>
      <c r="C280" s="1">
        <v>845.2</v>
      </c>
      <c r="D280" s="1">
        <v>840.27</v>
      </c>
      <c r="E280" s="1">
        <v>841.71</v>
      </c>
      <c r="F280" s="1">
        <v>1818000</v>
      </c>
      <c r="G280" s="1">
        <v>841.71</v>
      </c>
      <c r="H280" s="1">
        <f t="shared" si="36"/>
        <v>4.9300000000000637</v>
      </c>
      <c r="I280" s="9">
        <f t="shared" si="43"/>
        <v>5.8671617456294567E-3</v>
      </c>
      <c r="J280" s="1">
        <f t="shared" si="44"/>
        <v>2.2800000000000864</v>
      </c>
      <c r="K280" s="9">
        <f t="shared" si="37"/>
        <v>2.716128801686962E-3</v>
      </c>
      <c r="L280" s="1">
        <f t="shared" si="38"/>
        <v>1</v>
      </c>
      <c r="M280" s="1">
        <f t="shared" si="39"/>
        <v>845.2</v>
      </c>
      <c r="N280" s="1">
        <f t="shared" si="40"/>
        <v>840.27</v>
      </c>
      <c r="O280" s="1">
        <f t="shared" si="41"/>
        <v>839.75</v>
      </c>
      <c r="P280" s="1">
        <f t="shared" si="42"/>
        <v>428.44387755102042</v>
      </c>
    </row>
    <row r="281" spans="1:16">
      <c r="A281" s="2">
        <v>42650</v>
      </c>
      <c r="B281" s="1">
        <v>845.79</v>
      </c>
      <c r="C281" s="1">
        <v>845.95</v>
      </c>
      <c r="D281" s="1">
        <v>837.45</v>
      </c>
      <c r="E281" s="1">
        <v>839.43</v>
      </c>
      <c r="F281" s="1">
        <v>2426200</v>
      </c>
      <c r="G281" s="1">
        <v>839.43</v>
      </c>
      <c r="H281" s="1">
        <f t="shared" si="36"/>
        <v>8.5</v>
      </c>
      <c r="I281" s="9">
        <f t="shared" si="43"/>
        <v>1.0149859693116006E-2</v>
      </c>
      <c r="J281" s="1">
        <f t="shared" si="44"/>
        <v>-2.2300000000000182</v>
      </c>
      <c r="K281" s="9">
        <f t="shared" si="37"/>
        <v>-2.6495259368391256E-3</v>
      </c>
      <c r="L281" s="1">
        <f t="shared" si="38"/>
        <v>1</v>
      </c>
      <c r="M281" s="1">
        <f t="shared" si="39"/>
        <v>845.95</v>
      </c>
      <c r="N281" s="1">
        <f t="shared" si="40"/>
        <v>837.45</v>
      </c>
      <c r="O281" s="1">
        <f t="shared" si="41"/>
        <v>837.46999999999991</v>
      </c>
      <c r="P281" s="1">
        <f t="shared" si="42"/>
        <v>427.2806122448979</v>
      </c>
    </row>
    <row r="282" spans="1:16">
      <c r="A282" s="2">
        <v>42649</v>
      </c>
      <c r="B282" s="1">
        <v>843.7</v>
      </c>
      <c r="C282" s="1">
        <v>847.21</v>
      </c>
      <c r="D282" s="1">
        <v>840.6</v>
      </c>
      <c r="E282" s="1">
        <v>841.66</v>
      </c>
      <c r="F282" s="1">
        <v>2684000</v>
      </c>
      <c r="G282" s="1">
        <v>841.66</v>
      </c>
      <c r="H282" s="1">
        <f t="shared" si="36"/>
        <v>6.6100000000000136</v>
      </c>
      <c r="I282" s="9">
        <f t="shared" si="43"/>
        <v>7.8634308827028477E-3</v>
      </c>
      <c r="J282" s="1">
        <f t="shared" si="44"/>
        <v>-2.7000000000000455</v>
      </c>
      <c r="K282" s="9">
        <f t="shared" si="37"/>
        <v>-3.1976881898716724E-3</v>
      </c>
      <c r="L282" s="1">
        <f t="shared" si="38"/>
        <v>1</v>
      </c>
      <c r="M282" s="1">
        <f t="shared" si="39"/>
        <v>847.21</v>
      </c>
      <c r="N282" s="1">
        <f t="shared" si="40"/>
        <v>840.6</v>
      </c>
      <c r="O282" s="1">
        <f t="shared" si="41"/>
        <v>839.69999999999993</v>
      </c>
      <c r="P282" s="1">
        <f t="shared" si="42"/>
        <v>428.41836734693874</v>
      </c>
    </row>
    <row r="283" spans="1:16">
      <c r="A283" s="2">
        <v>42648</v>
      </c>
      <c r="B283" s="1">
        <v>838</v>
      </c>
      <c r="C283" s="1">
        <v>845.67</v>
      </c>
      <c r="D283" s="1">
        <v>836.12</v>
      </c>
      <c r="E283" s="1">
        <v>844.36</v>
      </c>
      <c r="F283" s="1">
        <v>3469100</v>
      </c>
      <c r="G283" s="1">
        <v>844.36</v>
      </c>
      <c r="H283" s="1">
        <f t="shared" si="36"/>
        <v>9.5499999999999545</v>
      </c>
      <c r="I283" s="9">
        <f t="shared" si="43"/>
        <v>1.1421805482466577E-2</v>
      </c>
      <c r="J283" s="1">
        <f t="shared" si="44"/>
        <v>10.330000000000041</v>
      </c>
      <c r="K283" s="9">
        <f t="shared" si="37"/>
        <v>1.2385645600278217E-2</v>
      </c>
      <c r="L283" s="1">
        <f t="shared" si="38"/>
        <v>1</v>
      </c>
      <c r="M283" s="1">
        <f t="shared" si="39"/>
        <v>845.67</v>
      </c>
      <c r="N283" s="1">
        <f t="shared" si="40"/>
        <v>836.12</v>
      </c>
      <c r="O283" s="1">
        <f t="shared" si="41"/>
        <v>842.4</v>
      </c>
      <c r="P283" s="1">
        <f t="shared" si="42"/>
        <v>429.79591836734693</v>
      </c>
    </row>
    <row r="284" spans="1:16">
      <c r="A284" s="2">
        <v>42647</v>
      </c>
      <c r="B284" s="1">
        <v>840.91</v>
      </c>
      <c r="C284" s="1">
        <v>842.37</v>
      </c>
      <c r="D284" s="1">
        <v>830.26</v>
      </c>
      <c r="E284" s="1">
        <v>834.03</v>
      </c>
      <c r="F284" s="1">
        <v>2950300</v>
      </c>
      <c r="G284" s="1">
        <v>834.03</v>
      </c>
      <c r="H284" s="1">
        <f t="shared" si="36"/>
        <v>12.110000000000014</v>
      </c>
      <c r="I284" s="9">
        <f t="shared" si="43"/>
        <v>1.4585792402379994E-2</v>
      </c>
      <c r="J284" s="1">
        <f t="shared" si="44"/>
        <v>-2.7100000000000364</v>
      </c>
      <c r="K284" s="9">
        <f t="shared" si="37"/>
        <v>-3.238759949327194E-3</v>
      </c>
      <c r="L284" s="1">
        <f t="shared" si="38"/>
        <v>1</v>
      </c>
      <c r="M284" s="1">
        <f t="shared" si="39"/>
        <v>842.37</v>
      </c>
      <c r="N284" s="1">
        <f t="shared" si="40"/>
        <v>830.26</v>
      </c>
      <c r="O284" s="1">
        <f t="shared" si="41"/>
        <v>832.06999999999994</v>
      </c>
      <c r="P284" s="1">
        <f t="shared" si="42"/>
        <v>424.52551020408163</v>
      </c>
    </row>
    <row r="285" spans="1:16">
      <c r="A285" s="2">
        <v>42646</v>
      </c>
      <c r="B285" s="1">
        <v>836</v>
      </c>
      <c r="C285" s="1">
        <v>839.86</v>
      </c>
      <c r="D285" s="1">
        <v>831.25</v>
      </c>
      <c r="E285" s="1">
        <v>836.74</v>
      </c>
      <c r="F285" s="1">
        <v>2769400</v>
      </c>
      <c r="G285" s="1">
        <v>836.74</v>
      </c>
      <c r="H285" s="1">
        <f t="shared" si="36"/>
        <v>8.6100000000000136</v>
      </c>
      <c r="I285" s="9">
        <f t="shared" si="43"/>
        <v>1.0357894736842121E-2</v>
      </c>
      <c r="J285" s="1">
        <f t="shared" si="44"/>
        <v>-0.56999999999993634</v>
      </c>
      <c r="K285" s="9">
        <f t="shared" si="37"/>
        <v>-6.8075145406114388E-4</v>
      </c>
      <c r="L285" s="1">
        <f t="shared" si="38"/>
        <v>1</v>
      </c>
      <c r="M285" s="1">
        <f t="shared" si="39"/>
        <v>839.86</v>
      </c>
      <c r="N285" s="1">
        <f t="shared" si="40"/>
        <v>831.25</v>
      </c>
      <c r="O285" s="1">
        <f t="shared" si="41"/>
        <v>834.78</v>
      </c>
      <c r="P285" s="1">
        <f t="shared" si="42"/>
        <v>425.90816326530614</v>
      </c>
    </row>
    <row r="286" spans="1:16">
      <c r="A286" s="2">
        <v>42643</v>
      </c>
      <c r="B286" s="1">
        <v>832.61</v>
      </c>
      <c r="C286" s="1">
        <v>839.95</v>
      </c>
      <c r="D286" s="1">
        <v>832.4</v>
      </c>
      <c r="E286" s="1">
        <v>837.31</v>
      </c>
      <c r="F286" s="1">
        <v>4430600</v>
      </c>
      <c r="G286" s="1">
        <v>837.31</v>
      </c>
      <c r="H286" s="1">
        <f t="shared" si="36"/>
        <v>7.5500000000000682</v>
      </c>
      <c r="I286" s="9">
        <f t="shared" si="43"/>
        <v>9.0701585776070022E-3</v>
      </c>
      <c r="J286" s="1">
        <f t="shared" si="44"/>
        <v>8.2599999999999909</v>
      </c>
      <c r="K286" s="9">
        <f t="shared" si="37"/>
        <v>9.9632109040467907E-3</v>
      </c>
      <c r="L286" s="1">
        <f t="shared" si="38"/>
        <v>1</v>
      </c>
      <c r="M286" s="1">
        <f t="shared" si="39"/>
        <v>839.95</v>
      </c>
      <c r="N286" s="1">
        <f t="shared" si="40"/>
        <v>832.4</v>
      </c>
      <c r="O286" s="1">
        <f t="shared" si="41"/>
        <v>835.34999999999991</v>
      </c>
      <c r="P286" s="1">
        <f t="shared" si="42"/>
        <v>426.19897959183669</v>
      </c>
    </row>
    <row r="287" spans="1:16">
      <c r="A287" s="2">
        <v>42642</v>
      </c>
      <c r="B287" s="1">
        <v>828.26</v>
      </c>
      <c r="C287" s="1">
        <v>837.5</v>
      </c>
      <c r="D287" s="1">
        <v>824.63</v>
      </c>
      <c r="E287" s="1">
        <v>829.05</v>
      </c>
      <c r="F287" s="1">
        <v>4922200</v>
      </c>
      <c r="G287" s="1">
        <v>829.05</v>
      </c>
      <c r="H287" s="1">
        <f t="shared" si="36"/>
        <v>12.870000000000005</v>
      </c>
      <c r="I287" s="9">
        <f t="shared" si="43"/>
        <v>1.5606999502807325E-2</v>
      </c>
      <c r="J287" s="1">
        <f t="shared" si="44"/>
        <v>0.32999999999992724</v>
      </c>
      <c r="K287" s="9">
        <f t="shared" si="37"/>
        <v>3.9820445988986294E-4</v>
      </c>
      <c r="L287" s="1">
        <f t="shared" si="38"/>
        <v>1</v>
      </c>
      <c r="M287" s="1">
        <f t="shared" si="39"/>
        <v>837.5</v>
      </c>
      <c r="N287" s="1">
        <f t="shared" si="40"/>
        <v>824.63</v>
      </c>
      <c r="O287" s="1">
        <f t="shared" si="41"/>
        <v>827.08999999999992</v>
      </c>
      <c r="P287" s="1">
        <f t="shared" si="42"/>
        <v>421.98469387755097</v>
      </c>
    </row>
    <row r="288" spans="1:16">
      <c r="A288" s="2">
        <v>42641</v>
      </c>
      <c r="B288" s="1">
        <v>818</v>
      </c>
      <c r="C288" s="1">
        <v>830.14</v>
      </c>
      <c r="D288" s="1">
        <v>817.03</v>
      </c>
      <c r="E288" s="1">
        <v>828.72</v>
      </c>
      <c r="F288" s="1">
        <v>4422100</v>
      </c>
      <c r="G288" s="1">
        <v>828.72</v>
      </c>
      <c r="H288" s="1">
        <f t="shared" si="36"/>
        <v>13.110000000000014</v>
      </c>
      <c r="I288" s="9">
        <f t="shared" si="43"/>
        <v>1.6045922426349109E-2</v>
      </c>
      <c r="J288" s="1">
        <f t="shared" si="44"/>
        <v>12.610000000000014</v>
      </c>
      <c r="K288" s="9">
        <f t="shared" si="37"/>
        <v>1.5451348470181732E-2</v>
      </c>
      <c r="L288" s="1">
        <f t="shared" si="38"/>
        <v>1</v>
      </c>
      <c r="M288" s="1">
        <f t="shared" si="39"/>
        <v>830.14</v>
      </c>
      <c r="N288" s="1">
        <f t="shared" si="40"/>
        <v>817.03</v>
      </c>
      <c r="O288" s="1">
        <f t="shared" si="41"/>
        <v>826.76</v>
      </c>
      <c r="P288" s="1">
        <f t="shared" si="42"/>
        <v>421.81632653061223</v>
      </c>
    </row>
    <row r="289" spans="1:16">
      <c r="A289" s="2">
        <v>42640</v>
      </c>
      <c r="B289" s="1">
        <v>801.85</v>
      </c>
      <c r="C289" s="1">
        <v>816.64</v>
      </c>
      <c r="D289" s="1">
        <v>801.11</v>
      </c>
      <c r="E289" s="1">
        <v>816.11</v>
      </c>
      <c r="F289" s="1">
        <v>3819600</v>
      </c>
      <c r="G289" s="1">
        <v>816.11</v>
      </c>
      <c r="H289" s="1">
        <f t="shared" si="36"/>
        <v>15.529999999999973</v>
      </c>
      <c r="I289" s="9">
        <f t="shared" si="43"/>
        <v>1.9385602476563735E-2</v>
      </c>
      <c r="J289" s="1">
        <f t="shared" si="44"/>
        <v>16.950000000000045</v>
      </c>
      <c r="K289" s="9">
        <f t="shared" si="37"/>
        <v>2.1209770258771767E-2</v>
      </c>
      <c r="L289" s="1">
        <f t="shared" si="38"/>
        <v>1</v>
      </c>
      <c r="M289" s="1">
        <f t="shared" si="39"/>
        <v>816.64</v>
      </c>
      <c r="N289" s="1">
        <f t="shared" si="40"/>
        <v>801.11</v>
      </c>
      <c r="O289" s="1">
        <f t="shared" si="41"/>
        <v>814.15</v>
      </c>
      <c r="P289" s="1">
        <f t="shared" si="42"/>
        <v>415.38265306122446</v>
      </c>
    </row>
    <row r="290" spans="1:16">
      <c r="A290" s="2">
        <v>42639</v>
      </c>
      <c r="B290" s="1">
        <v>801.8</v>
      </c>
      <c r="C290" s="1">
        <v>805.93</v>
      </c>
      <c r="D290" s="1">
        <v>797.15</v>
      </c>
      <c r="E290" s="1">
        <v>799.16</v>
      </c>
      <c r="F290" s="1">
        <v>2651400</v>
      </c>
      <c r="G290" s="1">
        <v>799.16</v>
      </c>
      <c r="H290" s="1">
        <f t="shared" si="36"/>
        <v>8.7799999999999727</v>
      </c>
      <c r="I290" s="9">
        <f t="shared" si="43"/>
        <v>1.1014238223671797E-2</v>
      </c>
      <c r="J290" s="1">
        <f t="shared" si="44"/>
        <v>-6.5900000000000318</v>
      </c>
      <c r="K290" s="9">
        <f t="shared" si="37"/>
        <v>-8.1787154824697877E-3</v>
      </c>
      <c r="L290" s="1">
        <f t="shared" si="38"/>
        <v>1</v>
      </c>
      <c r="M290" s="1">
        <f t="shared" si="39"/>
        <v>805.93</v>
      </c>
      <c r="N290" s="1">
        <f t="shared" si="40"/>
        <v>797.15</v>
      </c>
      <c r="O290" s="1">
        <f t="shared" si="41"/>
        <v>797.19999999999993</v>
      </c>
      <c r="P290" s="1">
        <f t="shared" si="42"/>
        <v>406.73469387755097</v>
      </c>
    </row>
    <row r="291" spans="1:16">
      <c r="A291" s="2">
        <v>42636</v>
      </c>
      <c r="B291" s="1">
        <v>803.13</v>
      </c>
      <c r="C291" s="1">
        <v>807.75</v>
      </c>
      <c r="D291" s="1">
        <v>802.12</v>
      </c>
      <c r="E291" s="1">
        <v>805.75</v>
      </c>
      <c r="F291" s="1">
        <v>2353500</v>
      </c>
      <c r="G291" s="1">
        <v>805.75</v>
      </c>
      <c r="H291" s="1">
        <f t="shared" si="36"/>
        <v>5.6299999999999955</v>
      </c>
      <c r="I291" s="9">
        <f t="shared" si="43"/>
        <v>7.018899915224649E-3</v>
      </c>
      <c r="J291" s="1">
        <f t="shared" si="44"/>
        <v>1.0499999999999545</v>
      </c>
      <c r="K291" s="9">
        <f t="shared" si="37"/>
        <v>1.3048340996644147E-3</v>
      </c>
      <c r="L291" s="1">
        <f t="shared" si="38"/>
        <v>1</v>
      </c>
      <c r="M291" s="1">
        <f t="shared" si="39"/>
        <v>807.75</v>
      </c>
      <c r="N291" s="1">
        <f t="shared" si="40"/>
        <v>802.12</v>
      </c>
      <c r="O291" s="1">
        <f t="shared" si="41"/>
        <v>803.79</v>
      </c>
      <c r="P291" s="1">
        <f t="shared" si="42"/>
        <v>410.09693877551018</v>
      </c>
    </row>
    <row r="292" spans="1:16">
      <c r="A292" s="2">
        <v>42635</v>
      </c>
      <c r="B292" s="1">
        <v>794.27</v>
      </c>
      <c r="C292" s="1">
        <v>805.89</v>
      </c>
      <c r="D292" s="1">
        <v>794.27</v>
      </c>
      <c r="E292" s="1">
        <v>804.7</v>
      </c>
      <c r="F292" s="1">
        <v>4078900</v>
      </c>
      <c r="G292" s="1">
        <v>804.7</v>
      </c>
      <c r="H292" s="1">
        <f t="shared" si="36"/>
        <v>11.620000000000005</v>
      </c>
      <c r="I292" s="9">
        <f t="shared" si="43"/>
        <v>1.462978584108679E-2</v>
      </c>
      <c r="J292" s="1">
        <f t="shared" si="44"/>
        <v>14.960000000000036</v>
      </c>
      <c r="K292" s="9">
        <f t="shared" si="37"/>
        <v>1.8942943247144677E-2</v>
      </c>
      <c r="L292" s="1">
        <f t="shared" si="38"/>
        <v>1</v>
      </c>
      <c r="M292" s="1">
        <f t="shared" si="39"/>
        <v>805.89</v>
      </c>
      <c r="N292" s="1">
        <f t="shared" si="40"/>
        <v>794.27</v>
      </c>
      <c r="O292" s="1">
        <f t="shared" si="41"/>
        <v>802.74</v>
      </c>
      <c r="P292" s="1">
        <f t="shared" si="42"/>
        <v>409.5612244897959</v>
      </c>
    </row>
    <row r="293" spans="1:16">
      <c r="A293" s="2">
        <v>42634</v>
      </c>
      <c r="B293" s="1">
        <v>783.25</v>
      </c>
      <c r="C293" s="1">
        <v>790.69</v>
      </c>
      <c r="D293" s="1">
        <v>779.01</v>
      </c>
      <c r="E293" s="1">
        <v>789.74</v>
      </c>
      <c r="F293" s="1">
        <v>2718600</v>
      </c>
      <c r="G293" s="1">
        <v>789.74</v>
      </c>
      <c r="H293" s="1">
        <f t="shared" si="36"/>
        <v>11.680000000000064</v>
      </c>
      <c r="I293" s="9">
        <f t="shared" si="43"/>
        <v>1.4993389045070107E-2</v>
      </c>
      <c r="J293" s="1">
        <f t="shared" si="44"/>
        <v>9.5199999999999818</v>
      </c>
      <c r="K293" s="9">
        <f t="shared" si="37"/>
        <v>1.22016867037502E-2</v>
      </c>
      <c r="L293" s="1">
        <f t="shared" si="38"/>
        <v>1</v>
      </c>
      <c r="M293" s="1">
        <f t="shared" si="39"/>
        <v>790.69</v>
      </c>
      <c r="N293" s="1">
        <f t="shared" si="40"/>
        <v>779.01</v>
      </c>
      <c r="O293" s="1">
        <f t="shared" si="41"/>
        <v>787.78</v>
      </c>
      <c r="P293" s="1">
        <f t="shared" si="42"/>
        <v>401.92857142857144</v>
      </c>
    </row>
    <row r="294" spans="1:16">
      <c r="A294" s="2">
        <v>42633</v>
      </c>
      <c r="B294" s="1">
        <v>776</v>
      </c>
      <c r="C294" s="1">
        <v>781.37</v>
      </c>
      <c r="D294" s="1">
        <v>776</v>
      </c>
      <c r="E294" s="1">
        <v>780.22</v>
      </c>
      <c r="F294" s="1">
        <v>1937200</v>
      </c>
      <c r="G294" s="1">
        <v>780.22</v>
      </c>
      <c r="H294" s="1">
        <f t="shared" si="36"/>
        <v>5.3700000000000045</v>
      </c>
      <c r="I294" s="9">
        <f t="shared" si="43"/>
        <v>6.9201030927835113E-3</v>
      </c>
      <c r="J294" s="1">
        <f t="shared" si="44"/>
        <v>5.1200000000000045</v>
      </c>
      <c r="K294" s="9">
        <f t="shared" si="37"/>
        <v>6.6055992775125843E-3</v>
      </c>
      <c r="L294" s="1">
        <f t="shared" si="38"/>
        <v>1</v>
      </c>
      <c r="M294" s="1">
        <f t="shared" si="39"/>
        <v>781.37</v>
      </c>
      <c r="N294" s="1">
        <f t="shared" si="40"/>
        <v>776</v>
      </c>
      <c r="O294" s="1">
        <f t="shared" si="41"/>
        <v>778.26</v>
      </c>
      <c r="P294" s="1">
        <f t="shared" si="42"/>
        <v>397.07142857142856</v>
      </c>
    </row>
    <row r="295" spans="1:16">
      <c r="A295" s="2">
        <v>42632</v>
      </c>
      <c r="B295" s="1">
        <v>779.97</v>
      </c>
      <c r="C295" s="1">
        <v>781.94</v>
      </c>
      <c r="D295" s="1">
        <v>771</v>
      </c>
      <c r="E295" s="1">
        <v>775.1</v>
      </c>
      <c r="F295" s="1">
        <v>2292500</v>
      </c>
      <c r="G295" s="1">
        <v>775.1</v>
      </c>
      <c r="H295" s="1">
        <f t="shared" si="36"/>
        <v>10.940000000000055</v>
      </c>
      <c r="I295" s="9">
        <f t="shared" si="43"/>
        <v>1.4189364461738073E-2</v>
      </c>
      <c r="J295" s="1">
        <f t="shared" si="44"/>
        <v>-3.4199999999999591</v>
      </c>
      <c r="K295" s="9">
        <f t="shared" si="37"/>
        <v>-4.3929507270204478E-3</v>
      </c>
      <c r="L295" s="1">
        <f t="shared" si="38"/>
        <v>1</v>
      </c>
      <c r="M295" s="1">
        <f t="shared" si="39"/>
        <v>781.94</v>
      </c>
      <c r="N295" s="1">
        <f t="shared" si="40"/>
        <v>771</v>
      </c>
      <c r="O295" s="1">
        <f t="shared" si="41"/>
        <v>773.14</v>
      </c>
      <c r="P295" s="1">
        <f t="shared" si="42"/>
        <v>394.4591836734694</v>
      </c>
    </row>
    <row r="296" spans="1:16">
      <c r="A296" s="2">
        <v>42629</v>
      </c>
      <c r="B296" s="1">
        <v>773.28</v>
      </c>
      <c r="C296" s="1">
        <v>780.46</v>
      </c>
      <c r="D296" s="1">
        <v>771.66</v>
      </c>
      <c r="E296" s="1">
        <v>778.52</v>
      </c>
      <c r="F296" s="1">
        <v>5499200</v>
      </c>
      <c r="G296" s="1">
        <v>778.52</v>
      </c>
      <c r="H296" s="1">
        <f t="shared" si="36"/>
        <v>8.8000000000000682</v>
      </c>
      <c r="I296" s="9">
        <f t="shared" si="43"/>
        <v>1.1403986211544034E-2</v>
      </c>
      <c r="J296" s="1">
        <f t="shared" si="44"/>
        <v>8.8299999999999272</v>
      </c>
      <c r="K296" s="9">
        <f t="shared" si="37"/>
        <v>1.1472151125777815E-2</v>
      </c>
      <c r="L296" s="1">
        <f t="shared" si="38"/>
        <v>1</v>
      </c>
      <c r="M296" s="1">
        <f t="shared" si="39"/>
        <v>780.46</v>
      </c>
      <c r="N296" s="1">
        <f t="shared" si="40"/>
        <v>771.66</v>
      </c>
      <c r="O296" s="1">
        <f t="shared" si="41"/>
        <v>776.56</v>
      </c>
      <c r="P296" s="1">
        <f t="shared" si="42"/>
        <v>396.20408163265301</v>
      </c>
    </row>
    <row r="297" spans="1:16">
      <c r="A297" s="2">
        <v>42628</v>
      </c>
      <c r="B297" s="1">
        <v>762</v>
      </c>
      <c r="C297" s="1">
        <v>770.87</v>
      </c>
      <c r="D297" s="1">
        <v>757.58</v>
      </c>
      <c r="E297" s="1">
        <v>769.69</v>
      </c>
      <c r="F297" s="1">
        <v>3034000</v>
      </c>
      <c r="G297" s="1">
        <v>769.69</v>
      </c>
      <c r="H297" s="1">
        <f t="shared" si="36"/>
        <v>13.289999999999964</v>
      </c>
      <c r="I297" s="9">
        <f t="shared" si="43"/>
        <v>1.754270176087009E-2</v>
      </c>
      <c r="J297" s="1">
        <f t="shared" si="44"/>
        <v>8.6000000000000227</v>
      </c>
      <c r="K297" s="9">
        <f t="shared" si="37"/>
        <v>1.1299583492096891E-2</v>
      </c>
      <c r="L297" s="1">
        <f t="shared" si="38"/>
        <v>1</v>
      </c>
      <c r="M297" s="1">
        <f t="shared" si="39"/>
        <v>770.87</v>
      </c>
      <c r="N297" s="1">
        <f t="shared" si="40"/>
        <v>757.58</v>
      </c>
      <c r="O297" s="1">
        <f t="shared" si="41"/>
        <v>767.73</v>
      </c>
      <c r="P297" s="1">
        <f t="shared" si="42"/>
        <v>391.69897959183675</v>
      </c>
    </row>
    <row r="298" spans="1:16">
      <c r="A298" s="2">
        <v>42627</v>
      </c>
      <c r="B298" s="1">
        <v>762.2</v>
      </c>
      <c r="C298" s="1">
        <v>767.5</v>
      </c>
      <c r="D298" s="1">
        <v>758.85</v>
      </c>
      <c r="E298" s="1">
        <v>761.09</v>
      </c>
      <c r="F298" s="1">
        <v>2523000</v>
      </c>
      <c r="G298" s="1">
        <v>761.09</v>
      </c>
      <c r="H298" s="1">
        <f t="shared" si="36"/>
        <v>8.6499999999999773</v>
      </c>
      <c r="I298" s="9">
        <f t="shared" si="43"/>
        <v>1.1398827172695495E-2</v>
      </c>
      <c r="J298" s="1">
        <f t="shared" si="44"/>
        <v>8.0000000000040927E-2</v>
      </c>
      <c r="K298" s="9">
        <f t="shared" si="37"/>
        <v>1.0512345435676394E-4</v>
      </c>
      <c r="L298" s="1">
        <f t="shared" si="38"/>
        <v>1</v>
      </c>
      <c r="M298" s="1">
        <f t="shared" si="39"/>
        <v>767.5</v>
      </c>
      <c r="N298" s="1">
        <f t="shared" si="40"/>
        <v>758.85</v>
      </c>
      <c r="O298" s="1">
        <f t="shared" si="41"/>
        <v>759.13</v>
      </c>
      <c r="P298" s="1">
        <f t="shared" si="42"/>
        <v>387.3112244897959</v>
      </c>
    </row>
    <row r="299" spans="1:16">
      <c r="A299" s="2">
        <v>42626</v>
      </c>
      <c r="B299" s="1">
        <v>768.77</v>
      </c>
      <c r="C299" s="1">
        <v>769.89</v>
      </c>
      <c r="D299" s="1">
        <v>759.05</v>
      </c>
      <c r="E299" s="1">
        <v>761.01</v>
      </c>
      <c r="F299" s="1">
        <v>3117200</v>
      </c>
      <c r="G299" s="1">
        <v>761.01</v>
      </c>
      <c r="H299" s="1">
        <f t="shared" si="36"/>
        <v>10.840000000000032</v>
      </c>
      <c r="I299" s="9">
        <f t="shared" si="43"/>
        <v>1.4281009156182113E-2</v>
      </c>
      <c r="J299" s="1">
        <f t="shared" si="44"/>
        <v>-10.480000000000018</v>
      </c>
      <c r="K299" s="9">
        <f t="shared" si="37"/>
        <v>-1.3584103488055605E-2</v>
      </c>
      <c r="L299" s="1">
        <f t="shared" si="38"/>
        <v>1</v>
      </c>
      <c r="M299" s="1">
        <f t="shared" si="39"/>
        <v>769.89</v>
      </c>
      <c r="N299" s="1">
        <f t="shared" si="40"/>
        <v>759.05</v>
      </c>
      <c r="O299" s="1">
        <f t="shared" si="41"/>
        <v>759.05</v>
      </c>
      <c r="P299" s="1">
        <f t="shared" si="42"/>
        <v>387.2704081632653</v>
      </c>
    </row>
    <row r="300" spans="1:16">
      <c r="A300" s="2">
        <v>42625</v>
      </c>
      <c r="B300" s="1">
        <v>757.35</v>
      </c>
      <c r="C300" s="1">
        <v>772.66</v>
      </c>
      <c r="D300" s="1">
        <v>756</v>
      </c>
      <c r="E300" s="1">
        <v>771.49</v>
      </c>
      <c r="F300" s="1">
        <v>3124700</v>
      </c>
      <c r="G300" s="1">
        <v>771.49</v>
      </c>
      <c r="H300" s="1">
        <f t="shared" si="36"/>
        <v>16.659999999999968</v>
      </c>
      <c r="I300" s="9">
        <f t="shared" si="43"/>
        <v>2.2037037037036994E-2</v>
      </c>
      <c r="J300" s="1">
        <f t="shared" si="44"/>
        <v>11.350000000000023</v>
      </c>
      <c r="K300" s="9">
        <f t="shared" si="37"/>
        <v>1.4931459994211622E-2</v>
      </c>
      <c r="L300" s="1">
        <f t="shared" si="38"/>
        <v>1</v>
      </c>
      <c r="M300" s="1">
        <f t="shared" si="39"/>
        <v>772.66</v>
      </c>
      <c r="N300" s="1">
        <f t="shared" si="40"/>
        <v>756</v>
      </c>
      <c r="O300" s="1">
        <f t="shared" si="41"/>
        <v>769.53</v>
      </c>
      <c r="P300" s="1">
        <f t="shared" si="42"/>
        <v>392.61734693877548</v>
      </c>
    </row>
    <row r="301" spans="1:16">
      <c r="A301" s="2">
        <v>42622</v>
      </c>
      <c r="B301" s="1">
        <v>779.36</v>
      </c>
      <c r="C301" s="1">
        <v>781</v>
      </c>
      <c r="D301" s="1">
        <v>760.11</v>
      </c>
      <c r="E301" s="1">
        <v>760.14</v>
      </c>
      <c r="F301" s="1">
        <v>4257300</v>
      </c>
      <c r="G301" s="1">
        <v>760.14</v>
      </c>
      <c r="H301" s="1">
        <f t="shared" si="36"/>
        <v>20.889999999999986</v>
      </c>
      <c r="I301" s="9">
        <f t="shared" si="43"/>
        <v>2.7482864322269127E-2</v>
      </c>
      <c r="J301" s="1">
        <f t="shared" si="44"/>
        <v>-23.919999999999959</v>
      </c>
      <c r="K301" s="9">
        <f t="shared" si="37"/>
        <v>-3.0507869295717114E-2</v>
      </c>
      <c r="L301" s="1">
        <f t="shared" si="38"/>
        <v>1</v>
      </c>
      <c r="M301" s="1">
        <f t="shared" si="39"/>
        <v>781</v>
      </c>
      <c r="N301" s="1">
        <f t="shared" si="40"/>
        <v>760.11</v>
      </c>
      <c r="O301" s="1">
        <f t="shared" si="41"/>
        <v>758.18</v>
      </c>
      <c r="P301" s="1">
        <f t="shared" si="42"/>
        <v>386.82653061224488</v>
      </c>
    </row>
    <row r="302" spans="1:16">
      <c r="A302" s="2">
        <v>42621</v>
      </c>
      <c r="B302" s="1">
        <v>783.89</v>
      </c>
      <c r="C302" s="1">
        <v>786.5</v>
      </c>
      <c r="D302" s="1">
        <v>781.44</v>
      </c>
      <c r="E302" s="1">
        <v>784.06</v>
      </c>
      <c r="F302" s="1">
        <v>2026400</v>
      </c>
      <c r="G302" s="1">
        <v>784.06</v>
      </c>
      <c r="H302" s="1">
        <f t="shared" si="36"/>
        <v>5.0599999999999454</v>
      </c>
      <c r="I302" s="9">
        <f t="shared" si="43"/>
        <v>6.4752252252251548E-3</v>
      </c>
      <c r="J302" s="1">
        <f t="shared" si="44"/>
        <v>-0.42000000000007276</v>
      </c>
      <c r="K302" s="9">
        <f t="shared" si="37"/>
        <v>-5.3538649806250346E-4</v>
      </c>
      <c r="L302" s="1">
        <f t="shared" si="38"/>
        <v>1</v>
      </c>
      <c r="M302" s="1">
        <f t="shared" si="39"/>
        <v>786.5</v>
      </c>
      <c r="N302" s="1">
        <f t="shared" si="40"/>
        <v>781.44</v>
      </c>
      <c r="O302" s="1">
        <f t="shared" si="41"/>
        <v>782.09999999999991</v>
      </c>
      <c r="P302" s="1">
        <f t="shared" si="42"/>
        <v>399.0306122448979</v>
      </c>
    </row>
    <row r="303" spans="1:16">
      <c r="A303" s="2">
        <v>42620</v>
      </c>
      <c r="B303" s="1">
        <v>789.53</v>
      </c>
      <c r="C303" s="1">
        <v>790.79</v>
      </c>
      <c r="D303" s="1">
        <v>784.33</v>
      </c>
      <c r="E303" s="1">
        <v>784.48</v>
      </c>
      <c r="F303" s="1">
        <v>2424600</v>
      </c>
      <c r="G303" s="1">
        <v>784.48</v>
      </c>
      <c r="H303" s="1">
        <f t="shared" si="36"/>
        <v>6.4599999999999227</v>
      </c>
      <c r="I303" s="9">
        <f t="shared" si="43"/>
        <v>8.2363290961711549E-3</v>
      </c>
      <c r="J303" s="1">
        <f t="shared" si="44"/>
        <v>-4.3899999999999864</v>
      </c>
      <c r="K303" s="9">
        <f t="shared" si="37"/>
        <v>-5.5649219770050658E-3</v>
      </c>
      <c r="L303" s="1">
        <f t="shared" si="38"/>
        <v>1</v>
      </c>
      <c r="M303" s="1">
        <f t="shared" si="39"/>
        <v>790.79</v>
      </c>
      <c r="N303" s="1">
        <f t="shared" si="40"/>
        <v>784.33</v>
      </c>
      <c r="O303" s="1">
        <f t="shared" si="41"/>
        <v>782.52</v>
      </c>
      <c r="P303" s="1">
        <f t="shared" si="42"/>
        <v>399.24489795918367</v>
      </c>
    </row>
    <row r="304" spans="1:16">
      <c r="A304" s="2">
        <v>42619</v>
      </c>
      <c r="B304" s="1">
        <v>774.04</v>
      </c>
      <c r="C304" s="1">
        <v>789.48</v>
      </c>
      <c r="D304" s="1">
        <v>770.22</v>
      </c>
      <c r="E304" s="1">
        <v>788.87</v>
      </c>
      <c r="F304" s="1">
        <v>3719800</v>
      </c>
      <c r="G304" s="1">
        <v>788.87</v>
      </c>
      <c r="H304" s="1">
        <f t="shared" si="36"/>
        <v>19.259999999999991</v>
      </c>
      <c r="I304" s="9">
        <f t="shared" si="43"/>
        <v>2.5005842486562267E-2</v>
      </c>
      <c r="J304" s="1">
        <f t="shared" si="44"/>
        <v>16.42999999999995</v>
      </c>
      <c r="K304" s="9">
        <f t="shared" si="37"/>
        <v>2.1270260473305304E-2</v>
      </c>
      <c r="L304" s="1">
        <f t="shared" si="38"/>
        <v>1</v>
      </c>
      <c r="M304" s="1">
        <f t="shared" si="39"/>
        <v>789.48</v>
      </c>
      <c r="N304" s="1">
        <f t="shared" si="40"/>
        <v>770.22</v>
      </c>
      <c r="O304" s="1">
        <f t="shared" si="41"/>
        <v>786.91</v>
      </c>
      <c r="P304" s="1">
        <f t="shared" si="42"/>
        <v>401.48469387755102</v>
      </c>
    </row>
    <row r="305" spans="1:16">
      <c r="A305" s="2">
        <v>42615</v>
      </c>
      <c r="B305" s="1">
        <v>774.11</v>
      </c>
      <c r="C305" s="1">
        <v>776</v>
      </c>
      <c r="D305" s="1">
        <v>771.7</v>
      </c>
      <c r="E305" s="1">
        <v>772.44</v>
      </c>
      <c r="F305" s="1">
        <v>2181800</v>
      </c>
      <c r="G305" s="1">
        <v>772.44</v>
      </c>
      <c r="H305" s="1">
        <f t="shared" si="36"/>
        <v>4.2999999999999545</v>
      </c>
      <c r="I305" s="9">
        <f t="shared" si="43"/>
        <v>5.5721135156148174E-3</v>
      </c>
      <c r="J305" s="1">
        <f t="shared" si="44"/>
        <v>1.82000000000005</v>
      </c>
      <c r="K305" s="9">
        <f t="shared" si="37"/>
        <v>2.3617347071190082E-3</v>
      </c>
      <c r="L305" s="1">
        <f t="shared" si="38"/>
        <v>1</v>
      </c>
      <c r="M305" s="1">
        <f t="shared" si="39"/>
        <v>776</v>
      </c>
      <c r="N305" s="1">
        <f t="shared" si="40"/>
        <v>771.7</v>
      </c>
      <c r="O305" s="1">
        <f t="shared" si="41"/>
        <v>770.48</v>
      </c>
      <c r="P305" s="1">
        <f t="shared" si="42"/>
        <v>393.10204081632656</v>
      </c>
    </row>
    <row r="306" spans="1:16">
      <c r="A306" s="2">
        <v>42614</v>
      </c>
      <c r="B306" s="1">
        <v>770.9</v>
      </c>
      <c r="C306" s="1">
        <v>772.04</v>
      </c>
      <c r="D306" s="1">
        <v>766.75</v>
      </c>
      <c r="E306" s="1">
        <v>770.62</v>
      </c>
      <c r="F306" s="1">
        <v>1792300</v>
      </c>
      <c r="G306" s="1">
        <v>770.62</v>
      </c>
      <c r="H306" s="1">
        <f t="shared" si="36"/>
        <v>5.2899999999999636</v>
      </c>
      <c r="I306" s="9">
        <f t="shared" si="43"/>
        <v>6.8992500815128312E-3</v>
      </c>
      <c r="J306" s="1">
        <f t="shared" si="44"/>
        <v>1.4600000000000364</v>
      </c>
      <c r="K306" s="9">
        <f t="shared" si="37"/>
        <v>1.8981746320661974E-3</v>
      </c>
      <c r="L306" s="1">
        <f t="shared" si="38"/>
        <v>1</v>
      </c>
      <c r="M306" s="1">
        <f t="shared" si="39"/>
        <v>772.04</v>
      </c>
      <c r="N306" s="1">
        <f t="shared" si="40"/>
        <v>766.75</v>
      </c>
      <c r="O306" s="1">
        <f t="shared" si="41"/>
        <v>768.66</v>
      </c>
      <c r="P306" s="1">
        <f t="shared" si="42"/>
        <v>392.17346938775512</v>
      </c>
    </row>
    <row r="307" spans="1:16">
      <c r="A307" s="2">
        <v>42613</v>
      </c>
      <c r="B307" s="1">
        <v>766.6</v>
      </c>
      <c r="C307" s="1">
        <v>769.64</v>
      </c>
      <c r="D307" s="1">
        <v>764</v>
      </c>
      <c r="E307" s="1">
        <v>769.16</v>
      </c>
      <c r="F307" s="1">
        <v>1633800</v>
      </c>
      <c r="G307" s="1">
        <v>769.16</v>
      </c>
      <c r="H307" s="1">
        <f t="shared" si="36"/>
        <v>5.6399999999999864</v>
      </c>
      <c r="I307" s="9">
        <f t="shared" si="43"/>
        <v>7.382198952879563E-3</v>
      </c>
      <c r="J307" s="1">
        <f t="shared" si="44"/>
        <v>1.5799999999999272</v>
      </c>
      <c r="K307" s="9">
        <f t="shared" si="37"/>
        <v>2.0584173636623245E-3</v>
      </c>
      <c r="L307" s="1">
        <f t="shared" si="38"/>
        <v>1</v>
      </c>
      <c r="M307" s="1">
        <f t="shared" si="39"/>
        <v>769.64</v>
      </c>
      <c r="N307" s="1">
        <f t="shared" si="40"/>
        <v>764</v>
      </c>
      <c r="O307" s="1">
        <f t="shared" si="41"/>
        <v>767.19999999999993</v>
      </c>
      <c r="P307" s="1">
        <f t="shared" si="42"/>
        <v>391.42857142857139</v>
      </c>
    </row>
    <row r="308" spans="1:16">
      <c r="A308" s="2">
        <v>42612</v>
      </c>
      <c r="B308" s="1">
        <v>771.05</v>
      </c>
      <c r="C308" s="1">
        <v>771.84</v>
      </c>
      <c r="D308" s="1">
        <v>765.56</v>
      </c>
      <c r="E308" s="1">
        <v>767.58</v>
      </c>
      <c r="F308" s="1">
        <v>1709200</v>
      </c>
      <c r="G308" s="1">
        <v>767.58</v>
      </c>
      <c r="H308" s="1">
        <f t="shared" si="36"/>
        <v>6.2800000000000864</v>
      </c>
      <c r="I308" s="9">
        <f t="shared" si="43"/>
        <v>8.2031454098961381E-3</v>
      </c>
      <c r="J308" s="1">
        <f t="shared" si="44"/>
        <v>-3.7099999999999227</v>
      </c>
      <c r="K308" s="9">
        <f t="shared" si="37"/>
        <v>-4.8101232999259976E-3</v>
      </c>
      <c r="L308" s="1">
        <f t="shared" si="38"/>
        <v>1</v>
      </c>
      <c r="M308" s="1">
        <f t="shared" si="39"/>
        <v>771.84</v>
      </c>
      <c r="N308" s="1">
        <f t="shared" si="40"/>
        <v>765.56</v>
      </c>
      <c r="O308" s="1">
        <f t="shared" si="41"/>
        <v>765.62</v>
      </c>
      <c r="P308" s="1">
        <f t="shared" si="42"/>
        <v>390.62244897959187</v>
      </c>
    </row>
    <row r="309" spans="1:16">
      <c r="A309" s="2">
        <v>42611</v>
      </c>
      <c r="B309" s="1">
        <v>768.72</v>
      </c>
      <c r="C309" s="1">
        <v>774.98</v>
      </c>
      <c r="D309" s="1">
        <v>768.6</v>
      </c>
      <c r="E309" s="1">
        <v>771.29</v>
      </c>
      <c r="F309" s="1">
        <v>2185700</v>
      </c>
      <c r="G309" s="1">
        <v>771.29</v>
      </c>
      <c r="H309" s="1">
        <f t="shared" si="36"/>
        <v>6.3799999999999955</v>
      </c>
      <c r="I309" s="9">
        <f t="shared" si="43"/>
        <v>8.3008066614623927E-3</v>
      </c>
      <c r="J309" s="1">
        <f t="shared" si="44"/>
        <v>2.2899999999999636</v>
      </c>
      <c r="K309" s="9">
        <f t="shared" si="37"/>
        <v>2.9778933680103558E-3</v>
      </c>
      <c r="L309" s="1">
        <f t="shared" si="38"/>
        <v>1</v>
      </c>
      <c r="M309" s="1">
        <f t="shared" si="39"/>
        <v>774.98</v>
      </c>
      <c r="N309" s="1">
        <f t="shared" si="40"/>
        <v>768.6</v>
      </c>
      <c r="O309" s="1">
        <f t="shared" si="41"/>
        <v>769.32999999999993</v>
      </c>
      <c r="P309" s="1">
        <f t="shared" si="42"/>
        <v>392.51530612244898</v>
      </c>
    </row>
    <row r="310" spans="1:16">
      <c r="A310" s="2">
        <v>42608</v>
      </c>
      <c r="B310" s="1">
        <v>760.05</v>
      </c>
      <c r="C310" s="1">
        <v>770</v>
      </c>
      <c r="D310" s="1">
        <v>759.8</v>
      </c>
      <c r="E310" s="1">
        <v>769</v>
      </c>
      <c r="F310" s="1">
        <v>2776800</v>
      </c>
      <c r="G310" s="1">
        <v>769</v>
      </c>
      <c r="H310" s="1">
        <f t="shared" si="36"/>
        <v>10.200000000000045</v>
      </c>
      <c r="I310" s="9">
        <f t="shared" si="43"/>
        <v>1.3424585417215118E-2</v>
      </c>
      <c r="J310" s="1">
        <f t="shared" si="44"/>
        <v>9.7799999999999727</v>
      </c>
      <c r="K310" s="9">
        <f t="shared" si="37"/>
        <v>1.2881641684887084E-2</v>
      </c>
      <c r="L310" s="1">
        <f t="shared" si="38"/>
        <v>1</v>
      </c>
      <c r="M310" s="1">
        <f t="shared" si="39"/>
        <v>770</v>
      </c>
      <c r="N310" s="1">
        <f t="shared" si="40"/>
        <v>759.8</v>
      </c>
      <c r="O310" s="1">
        <f t="shared" si="41"/>
        <v>767.04</v>
      </c>
      <c r="P310" s="1">
        <f t="shared" si="42"/>
        <v>391.34693877551018</v>
      </c>
    </row>
    <row r="311" spans="1:16">
      <c r="A311" s="2">
        <v>42607</v>
      </c>
      <c r="B311" s="1">
        <v>756</v>
      </c>
      <c r="C311" s="1">
        <v>760.56</v>
      </c>
      <c r="D311" s="1">
        <v>754.74</v>
      </c>
      <c r="E311" s="1">
        <v>759.22</v>
      </c>
      <c r="F311" s="1">
        <v>1623000</v>
      </c>
      <c r="G311" s="1">
        <v>759.22</v>
      </c>
      <c r="H311" s="1">
        <f t="shared" si="36"/>
        <v>5.8199999999999363</v>
      </c>
      <c r="I311" s="9">
        <f t="shared" si="43"/>
        <v>7.7112648064233194E-3</v>
      </c>
      <c r="J311" s="1">
        <f t="shared" si="44"/>
        <v>1.9700000000000273</v>
      </c>
      <c r="K311" s="9">
        <f t="shared" si="37"/>
        <v>2.601518653020835E-3</v>
      </c>
      <c r="L311" s="1">
        <f t="shared" si="38"/>
        <v>1</v>
      </c>
      <c r="M311" s="1">
        <f t="shared" si="39"/>
        <v>760.56</v>
      </c>
      <c r="N311" s="1">
        <f t="shared" si="40"/>
        <v>754.74</v>
      </c>
      <c r="O311" s="1">
        <f t="shared" si="41"/>
        <v>757.26</v>
      </c>
      <c r="P311" s="1">
        <f t="shared" si="42"/>
        <v>386.35714285714283</v>
      </c>
    </row>
    <row r="312" spans="1:16">
      <c r="A312" s="2">
        <v>42606</v>
      </c>
      <c r="B312" s="1">
        <v>763</v>
      </c>
      <c r="C312" s="1">
        <v>763.41</v>
      </c>
      <c r="D312" s="1">
        <v>755.36</v>
      </c>
      <c r="E312" s="1">
        <v>757.25</v>
      </c>
      <c r="F312" s="1">
        <v>1744100</v>
      </c>
      <c r="G312" s="1">
        <v>757.25</v>
      </c>
      <c r="H312" s="1">
        <f t="shared" si="36"/>
        <v>8.0499999999999545</v>
      </c>
      <c r="I312" s="9">
        <f t="shared" si="43"/>
        <v>1.0657170091082337E-2</v>
      </c>
      <c r="J312" s="1">
        <f t="shared" si="44"/>
        <v>-5.2000000000000455</v>
      </c>
      <c r="K312" s="9">
        <f t="shared" si="37"/>
        <v>-6.8201193520887205E-3</v>
      </c>
      <c r="L312" s="1">
        <f t="shared" si="38"/>
        <v>1</v>
      </c>
      <c r="M312" s="1">
        <f t="shared" si="39"/>
        <v>763.41</v>
      </c>
      <c r="N312" s="1">
        <f t="shared" si="40"/>
        <v>755.36</v>
      </c>
      <c r="O312" s="1">
        <f t="shared" si="41"/>
        <v>755.29</v>
      </c>
      <c r="P312" s="1">
        <f t="shared" si="42"/>
        <v>385.35204081632651</v>
      </c>
    </row>
    <row r="313" spans="1:16">
      <c r="A313" s="2">
        <v>42605</v>
      </c>
      <c r="B313" s="1">
        <v>763.31</v>
      </c>
      <c r="C313" s="1">
        <v>764.7</v>
      </c>
      <c r="D313" s="1">
        <v>761</v>
      </c>
      <c r="E313" s="1">
        <v>762.45</v>
      </c>
      <c r="F313" s="1">
        <v>1524100</v>
      </c>
      <c r="G313" s="1">
        <v>762.45</v>
      </c>
      <c r="H313" s="1">
        <f t="shared" si="36"/>
        <v>3.7000000000000455</v>
      </c>
      <c r="I313" s="9">
        <f t="shared" si="43"/>
        <v>4.8620236530881019E-3</v>
      </c>
      <c r="J313" s="1">
        <f t="shared" si="44"/>
        <v>2.9700000000000273</v>
      </c>
      <c r="K313" s="9">
        <f t="shared" si="37"/>
        <v>3.9105703902670604E-3</v>
      </c>
      <c r="L313" s="1">
        <f t="shared" si="38"/>
        <v>1</v>
      </c>
      <c r="M313" s="1">
        <f t="shared" si="39"/>
        <v>764.7</v>
      </c>
      <c r="N313" s="1">
        <f t="shared" si="40"/>
        <v>761</v>
      </c>
      <c r="O313" s="1">
        <f t="shared" si="41"/>
        <v>760.49</v>
      </c>
      <c r="P313" s="1">
        <f t="shared" si="42"/>
        <v>388.00510204081633</v>
      </c>
    </row>
    <row r="314" spans="1:16">
      <c r="A314" s="2">
        <v>42604</v>
      </c>
      <c r="B314" s="1">
        <v>757.5</v>
      </c>
      <c r="C314" s="1">
        <v>759.85</v>
      </c>
      <c r="D314" s="1">
        <v>752.1</v>
      </c>
      <c r="E314" s="1">
        <v>759.48</v>
      </c>
      <c r="F314" s="1">
        <v>1679300</v>
      </c>
      <c r="G314" s="1">
        <v>759.48</v>
      </c>
      <c r="H314" s="1">
        <f t="shared" si="36"/>
        <v>7.75</v>
      </c>
      <c r="I314" s="9">
        <f t="shared" si="43"/>
        <v>1.0304480787129372E-2</v>
      </c>
      <c r="J314" s="1">
        <f t="shared" si="44"/>
        <v>2.1700000000000728</v>
      </c>
      <c r="K314" s="9">
        <f t="shared" si="37"/>
        <v>2.8654051841386923E-3</v>
      </c>
      <c r="L314" s="1">
        <f t="shared" si="38"/>
        <v>1</v>
      </c>
      <c r="M314" s="1">
        <f t="shared" si="39"/>
        <v>759.85</v>
      </c>
      <c r="N314" s="1">
        <f t="shared" si="40"/>
        <v>752.1</v>
      </c>
      <c r="O314" s="1">
        <f t="shared" si="41"/>
        <v>757.52</v>
      </c>
      <c r="P314" s="1">
        <f t="shared" si="42"/>
        <v>386.48979591836735</v>
      </c>
    </row>
    <row r="315" spans="1:16">
      <c r="A315" s="2">
        <v>42601</v>
      </c>
      <c r="B315" s="1">
        <v>761.9</v>
      </c>
      <c r="C315" s="1">
        <v>762.49</v>
      </c>
      <c r="D315" s="1">
        <v>756.89</v>
      </c>
      <c r="E315" s="1">
        <v>757.31</v>
      </c>
      <c r="F315" s="1">
        <v>2343200</v>
      </c>
      <c r="G315" s="1">
        <v>757.31</v>
      </c>
      <c r="H315" s="1">
        <f t="shared" si="36"/>
        <v>5.6000000000000227</v>
      </c>
      <c r="I315" s="9">
        <f t="shared" si="43"/>
        <v>7.3986973007967114E-3</v>
      </c>
      <c r="J315" s="1">
        <f t="shared" si="44"/>
        <v>-7.1500000000000909</v>
      </c>
      <c r="K315" s="9">
        <f t="shared" si="37"/>
        <v>-9.3530073515947082E-3</v>
      </c>
      <c r="L315" s="1">
        <f t="shared" si="38"/>
        <v>1</v>
      </c>
      <c r="M315" s="1">
        <f t="shared" si="39"/>
        <v>762.49</v>
      </c>
      <c r="N315" s="1">
        <f t="shared" si="40"/>
        <v>756.89</v>
      </c>
      <c r="O315" s="1">
        <f t="shared" si="41"/>
        <v>755.34999999999991</v>
      </c>
      <c r="P315" s="1">
        <f t="shared" si="42"/>
        <v>385.38265306122446</v>
      </c>
    </row>
    <row r="316" spans="1:16">
      <c r="A316" s="2">
        <v>42600</v>
      </c>
      <c r="B316" s="1">
        <v>764</v>
      </c>
      <c r="C316" s="1">
        <v>765.17</v>
      </c>
      <c r="D316" s="1">
        <v>760.6</v>
      </c>
      <c r="E316" s="1">
        <v>764.46</v>
      </c>
      <c r="F316" s="1">
        <v>1458800</v>
      </c>
      <c r="G316" s="1">
        <v>764.46</v>
      </c>
      <c r="H316" s="1">
        <f t="shared" si="36"/>
        <v>4.5699999999999363</v>
      </c>
      <c r="I316" s="9">
        <f t="shared" si="43"/>
        <v>6.0084144096764873E-3</v>
      </c>
      <c r="J316" s="1">
        <f t="shared" si="44"/>
        <v>-0.16999999999995907</v>
      </c>
      <c r="K316" s="9">
        <f t="shared" si="37"/>
        <v>-2.2232975426017692E-4</v>
      </c>
      <c r="L316" s="1">
        <f t="shared" si="38"/>
        <v>1</v>
      </c>
      <c r="M316" s="1">
        <f t="shared" si="39"/>
        <v>765.17</v>
      </c>
      <c r="N316" s="1">
        <f t="shared" si="40"/>
        <v>760.6</v>
      </c>
      <c r="O316" s="1">
        <f t="shared" si="41"/>
        <v>762.5</v>
      </c>
      <c r="P316" s="1">
        <f t="shared" si="42"/>
        <v>389.03061224489795</v>
      </c>
    </row>
    <row r="317" spans="1:16">
      <c r="A317" s="2">
        <v>42599</v>
      </c>
      <c r="B317" s="1">
        <v>764.41</v>
      </c>
      <c r="C317" s="1">
        <v>765.22</v>
      </c>
      <c r="D317" s="1">
        <v>759.2</v>
      </c>
      <c r="E317" s="1">
        <v>764.63</v>
      </c>
      <c r="F317" s="1">
        <v>1891100</v>
      </c>
      <c r="G317" s="1">
        <v>764.63</v>
      </c>
      <c r="H317" s="1">
        <f t="shared" si="36"/>
        <v>6.0199999999999818</v>
      </c>
      <c r="I317" s="9">
        <f t="shared" si="43"/>
        <v>7.9293993677555085E-3</v>
      </c>
      <c r="J317" s="1">
        <f t="shared" si="44"/>
        <v>0.59000000000003183</v>
      </c>
      <c r="K317" s="9">
        <f t="shared" si="37"/>
        <v>7.7221087901161182E-4</v>
      </c>
      <c r="L317" s="1">
        <f t="shared" si="38"/>
        <v>1</v>
      </c>
      <c r="M317" s="1">
        <f t="shared" si="39"/>
        <v>765.22</v>
      </c>
      <c r="N317" s="1">
        <f t="shared" si="40"/>
        <v>759.2</v>
      </c>
      <c r="O317" s="1">
        <f t="shared" si="41"/>
        <v>762.67</v>
      </c>
      <c r="P317" s="1">
        <f t="shared" si="42"/>
        <v>389.11734693877548</v>
      </c>
    </row>
    <row r="318" spans="1:16">
      <c r="A318" s="2">
        <v>42598</v>
      </c>
      <c r="B318" s="1">
        <v>768.62</v>
      </c>
      <c r="C318" s="1">
        <v>768.73</v>
      </c>
      <c r="D318" s="1">
        <v>763.82</v>
      </c>
      <c r="E318" s="1">
        <v>764.04</v>
      </c>
      <c r="F318" s="1">
        <v>1604600</v>
      </c>
      <c r="G318" s="1">
        <v>764.04</v>
      </c>
      <c r="H318" s="1">
        <f t="shared" si="36"/>
        <v>4.9099999999999682</v>
      </c>
      <c r="I318" s="9">
        <f t="shared" si="43"/>
        <v>6.4282160718493464E-3</v>
      </c>
      <c r="J318" s="1">
        <f t="shared" si="44"/>
        <v>-4.4500000000000455</v>
      </c>
      <c r="K318" s="9">
        <f t="shared" si="37"/>
        <v>-5.7905763250010352E-3</v>
      </c>
      <c r="L318" s="1">
        <f t="shared" si="38"/>
        <v>1</v>
      </c>
      <c r="M318" s="1">
        <f t="shared" si="39"/>
        <v>768.73</v>
      </c>
      <c r="N318" s="1">
        <f t="shared" si="40"/>
        <v>763.82</v>
      </c>
      <c r="O318" s="1">
        <f t="shared" si="41"/>
        <v>762.07999999999993</v>
      </c>
      <c r="P318" s="1">
        <f t="shared" si="42"/>
        <v>388.81632653061223</v>
      </c>
    </row>
    <row r="319" spans="1:16">
      <c r="A319" s="2">
        <v>42597</v>
      </c>
      <c r="B319" s="1">
        <v>771.9</v>
      </c>
      <c r="C319" s="1">
        <v>772.04</v>
      </c>
      <c r="D319" s="1">
        <v>767.71</v>
      </c>
      <c r="E319" s="1">
        <v>768.49</v>
      </c>
      <c r="F319" s="1">
        <v>2118500</v>
      </c>
      <c r="G319" s="1">
        <v>768.49</v>
      </c>
      <c r="H319" s="1">
        <f t="shared" si="36"/>
        <v>4.3299999999999272</v>
      </c>
      <c r="I319" s="9">
        <f t="shared" si="43"/>
        <v>5.6401505776920019E-3</v>
      </c>
      <c r="J319" s="1">
        <f t="shared" si="44"/>
        <v>-4.0699999999999363</v>
      </c>
      <c r="K319" s="9">
        <f t="shared" si="37"/>
        <v>-5.2681992337163929E-3</v>
      </c>
      <c r="L319" s="1">
        <f t="shared" si="38"/>
        <v>1</v>
      </c>
      <c r="M319" s="1">
        <f t="shared" si="39"/>
        <v>772.04</v>
      </c>
      <c r="N319" s="1">
        <f t="shared" si="40"/>
        <v>767.71</v>
      </c>
      <c r="O319" s="1">
        <f t="shared" si="41"/>
        <v>766.53</v>
      </c>
      <c r="P319" s="1">
        <f t="shared" si="42"/>
        <v>391.08673469387753</v>
      </c>
    </row>
    <row r="320" spans="1:16">
      <c r="A320" s="2">
        <v>42594</v>
      </c>
      <c r="B320" s="1">
        <v>768.46</v>
      </c>
      <c r="C320" s="1">
        <v>773.15</v>
      </c>
      <c r="D320" s="1">
        <v>768.42</v>
      </c>
      <c r="E320" s="1">
        <v>772.56</v>
      </c>
      <c r="F320" s="1">
        <v>1563300</v>
      </c>
      <c r="G320" s="1">
        <v>772.56</v>
      </c>
      <c r="H320" s="1">
        <f t="shared" si="36"/>
        <v>4.7300000000000182</v>
      </c>
      <c r="I320" s="9">
        <f t="shared" si="43"/>
        <v>6.155487884230002E-3</v>
      </c>
      <c r="J320" s="1">
        <f t="shared" si="44"/>
        <v>1.3199999999999363</v>
      </c>
      <c r="K320" s="9">
        <f t="shared" si="37"/>
        <v>1.7115294849851361E-3</v>
      </c>
      <c r="L320" s="1">
        <f t="shared" si="38"/>
        <v>1</v>
      </c>
      <c r="M320" s="1">
        <f t="shared" si="39"/>
        <v>773.15</v>
      </c>
      <c r="N320" s="1">
        <f t="shared" si="40"/>
        <v>768.42</v>
      </c>
      <c r="O320" s="1">
        <f t="shared" si="41"/>
        <v>770.59999999999991</v>
      </c>
      <c r="P320" s="1">
        <f t="shared" si="42"/>
        <v>393.16326530612241</v>
      </c>
    </row>
    <row r="321" spans="1:16">
      <c r="A321" s="2">
        <v>42593</v>
      </c>
      <c r="B321" s="1">
        <v>769.94</v>
      </c>
      <c r="C321" s="1">
        <v>773.75</v>
      </c>
      <c r="D321" s="1">
        <v>769.12</v>
      </c>
      <c r="E321" s="1">
        <v>771.24</v>
      </c>
      <c r="F321" s="1">
        <v>2016300</v>
      </c>
      <c r="G321" s="1">
        <v>771.24</v>
      </c>
      <c r="H321" s="1">
        <f t="shared" si="36"/>
        <v>4.6299999999999955</v>
      </c>
      <c r="I321" s="9">
        <f t="shared" si="43"/>
        <v>6.0198668608279536E-3</v>
      </c>
      <c r="J321" s="1">
        <f t="shared" si="44"/>
        <v>2.6800000000000637</v>
      </c>
      <c r="K321" s="9">
        <f t="shared" si="37"/>
        <v>3.4870406994900382E-3</v>
      </c>
      <c r="L321" s="1">
        <f t="shared" si="38"/>
        <v>1</v>
      </c>
      <c r="M321" s="1">
        <f t="shared" si="39"/>
        <v>773.75</v>
      </c>
      <c r="N321" s="1">
        <f t="shared" si="40"/>
        <v>769.12</v>
      </c>
      <c r="O321" s="1">
        <f t="shared" si="41"/>
        <v>769.28</v>
      </c>
      <c r="P321" s="1">
        <f t="shared" si="42"/>
        <v>392.48979591836735</v>
      </c>
    </row>
    <row r="322" spans="1:16">
      <c r="A322" s="2">
        <v>42592</v>
      </c>
      <c r="B322" s="1">
        <v>769.8</v>
      </c>
      <c r="C322" s="1">
        <v>772.1</v>
      </c>
      <c r="D322" s="1">
        <v>766.19</v>
      </c>
      <c r="E322" s="1">
        <v>768.56</v>
      </c>
      <c r="F322" s="1">
        <v>1604300</v>
      </c>
      <c r="G322" s="1">
        <v>768.56</v>
      </c>
      <c r="H322" s="1">
        <f t="shared" si="36"/>
        <v>5.9099999999999682</v>
      </c>
      <c r="I322" s="9">
        <f t="shared" si="43"/>
        <v>7.7134914316291884E-3</v>
      </c>
      <c r="J322" s="1">
        <f t="shared" si="44"/>
        <v>0.25</v>
      </c>
      <c r="K322" s="9">
        <f t="shared" si="37"/>
        <v>3.2538949122099155E-4</v>
      </c>
      <c r="L322" s="1">
        <f t="shared" si="38"/>
        <v>1</v>
      </c>
      <c r="M322" s="1">
        <f t="shared" si="39"/>
        <v>772.1</v>
      </c>
      <c r="N322" s="1">
        <f t="shared" si="40"/>
        <v>766.19</v>
      </c>
      <c r="O322" s="1">
        <f t="shared" si="41"/>
        <v>766.59999999999991</v>
      </c>
      <c r="P322" s="1">
        <f t="shared" si="42"/>
        <v>391.12244897959181</v>
      </c>
    </row>
    <row r="323" spans="1:16">
      <c r="A323" s="2">
        <v>42591</v>
      </c>
      <c r="B323" s="1">
        <v>767.39</v>
      </c>
      <c r="C323" s="1">
        <v>772.6</v>
      </c>
      <c r="D323" s="1">
        <v>766.9</v>
      </c>
      <c r="E323" s="1">
        <v>768.31</v>
      </c>
      <c r="F323" s="1">
        <v>1876100</v>
      </c>
      <c r="G323" s="1">
        <v>768.31</v>
      </c>
      <c r="H323" s="1">
        <f t="shared" ref="H323:H386" si="45">C323-D323</f>
        <v>5.7000000000000455</v>
      </c>
      <c r="I323" s="9">
        <f t="shared" si="43"/>
        <v>7.43252053722786E-3</v>
      </c>
      <c r="J323" s="1">
        <f t="shared" si="44"/>
        <v>1.75</v>
      </c>
      <c r="K323" s="9">
        <f t="shared" ref="K323:K386" si="46">(G323-G324)/G324</f>
        <v>2.282926320183678E-3</v>
      </c>
      <c r="L323" s="1">
        <f t="shared" ref="L323:L386" si="47">G323/E323</f>
        <v>1</v>
      </c>
      <c r="M323" s="1">
        <f t="shared" ref="M323:M386" si="48">L323*C323</f>
        <v>772.6</v>
      </c>
      <c r="N323" s="1">
        <f t="shared" ref="N323:N386" si="49">L323*D323</f>
        <v>766.9</v>
      </c>
      <c r="O323" s="1">
        <f t="shared" ref="O323:O386" si="50">G323-$G$5163</f>
        <v>766.34999999999991</v>
      </c>
      <c r="P323" s="1">
        <f t="shared" ref="P323:P386" si="51">(G323-$G$5163)/$G$5163</f>
        <v>390.99489795918362</v>
      </c>
    </row>
    <row r="324" spans="1:16">
      <c r="A324" s="2">
        <v>42590</v>
      </c>
      <c r="B324" s="1">
        <v>766.81</v>
      </c>
      <c r="C324" s="1">
        <v>767</v>
      </c>
      <c r="D324" s="1">
        <v>761.02</v>
      </c>
      <c r="E324" s="1">
        <v>766.56</v>
      </c>
      <c r="F324" s="1">
        <v>1986300</v>
      </c>
      <c r="G324" s="1">
        <v>766.56</v>
      </c>
      <c r="H324" s="1">
        <f t="shared" si="45"/>
        <v>5.9800000000000182</v>
      </c>
      <c r="I324" s="9">
        <f t="shared" ref="I324:I387" si="52">(C324-D324)/D324</f>
        <v>7.8578749572941822E-3</v>
      </c>
      <c r="J324" s="1">
        <f t="shared" ref="J324:J387" si="53">G324-G325</f>
        <v>0.57999999999992724</v>
      </c>
      <c r="K324" s="9">
        <f t="shared" si="46"/>
        <v>7.5719992689094655E-4</v>
      </c>
      <c r="L324" s="1">
        <f t="shared" si="47"/>
        <v>1</v>
      </c>
      <c r="M324" s="1">
        <f t="shared" si="48"/>
        <v>767</v>
      </c>
      <c r="N324" s="1">
        <f t="shared" si="49"/>
        <v>761.02</v>
      </c>
      <c r="O324" s="1">
        <f t="shared" si="50"/>
        <v>764.59999999999991</v>
      </c>
      <c r="P324" s="1">
        <f t="shared" si="51"/>
        <v>390.10204081632651</v>
      </c>
    </row>
    <row r="325" spans="1:16">
      <c r="A325" s="2">
        <v>42587</v>
      </c>
      <c r="B325" s="1">
        <v>764.81</v>
      </c>
      <c r="C325" s="1">
        <v>768.47</v>
      </c>
      <c r="D325" s="1">
        <v>763.09</v>
      </c>
      <c r="E325" s="1">
        <v>765.98</v>
      </c>
      <c r="F325" s="1">
        <v>2704400</v>
      </c>
      <c r="G325" s="1">
        <v>765.98</v>
      </c>
      <c r="H325" s="1">
        <f t="shared" si="45"/>
        <v>5.3799999999999955</v>
      </c>
      <c r="I325" s="9">
        <f t="shared" si="52"/>
        <v>7.0502824044345949E-3</v>
      </c>
      <c r="J325" s="1">
        <f t="shared" si="53"/>
        <v>5.2100000000000364</v>
      </c>
      <c r="K325" s="9">
        <f t="shared" si="46"/>
        <v>6.8483247236353125E-3</v>
      </c>
      <c r="L325" s="1">
        <f t="shared" si="47"/>
        <v>1</v>
      </c>
      <c r="M325" s="1">
        <f t="shared" si="48"/>
        <v>768.47</v>
      </c>
      <c r="N325" s="1">
        <f t="shared" si="49"/>
        <v>763.09</v>
      </c>
      <c r="O325" s="1">
        <f t="shared" si="50"/>
        <v>764.02</v>
      </c>
      <c r="P325" s="1">
        <f t="shared" si="51"/>
        <v>389.80612244897958</v>
      </c>
    </row>
    <row r="326" spans="1:16">
      <c r="A326" s="2">
        <v>42586</v>
      </c>
      <c r="B326" s="1">
        <v>753.7</v>
      </c>
      <c r="C326" s="1">
        <v>765</v>
      </c>
      <c r="D326" s="1">
        <v>750.35</v>
      </c>
      <c r="E326" s="1">
        <v>760.77</v>
      </c>
      <c r="F326" s="1">
        <v>3176000</v>
      </c>
      <c r="G326" s="1">
        <v>760.77</v>
      </c>
      <c r="H326" s="1">
        <f t="shared" si="45"/>
        <v>14.649999999999977</v>
      </c>
      <c r="I326" s="9">
        <f t="shared" si="52"/>
        <v>1.9524222029719433E-2</v>
      </c>
      <c r="J326" s="1">
        <f t="shared" si="53"/>
        <v>6.1299999999999955</v>
      </c>
      <c r="K326" s="9">
        <f t="shared" si="46"/>
        <v>8.1230785540125031E-3</v>
      </c>
      <c r="L326" s="1">
        <f t="shared" si="47"/>
        <v>1</v>
      </c>
      <c r="M326" s="1">
        <f t="shared" si="48"/>
        <v>765</v>
      </c>
      <c r="N326" s="1">
        <f t="shared" si="49"/>
        <v>750.35</v>
      </c>
      <c r="O326" s="1">
        <f t="shared" si="50"/>
        <v>758.81</v>
      </c>
      <c r="P326" s="1">
        <f t="shared" si="51"/>
        <v>387.14795918367344</v>
      </c>
    </row>
    <row r="327" spans="1:16">
      <c r="A327" s="2">
        <v>42585</v>
      </c>
      <c r="B327" s="1">
        <v>757.06</v>
      </c>
      <c r="C327" s="1">
        <v>758.89</v>
      </c>
      <c r="D327" s="1">
        <v>752.25</v>
      </c>
      <c r="E327" s="1">
        <v>754.64</v>
      </c>
      <c r="F327" s="1">
        <v>3581500</v>
      </c>
      <c r="G327" s="1">
        <v>754.64</v>
      </c>
      <c r="H327" s="1">
        <f t="shared" si="45"/>
        <v>6.6399999999999864</v>
      </c>
      <c r="I327" s="9">
        <f t="shared" si="52"/>
        <v>8.8268527750082898E-3</v>
      </c>
      <c r="J327" s="1">
        <f t="shared" si="53"/>
        <v>-5.9400000000000546</v>
      </c>
      <c r="K327" s="9">
        <f t="shared" si="46"/>
        <v>-7.8098293407663283E-3</v>
      </c>
      <c r="L327" s="1">
        <f t="shared" si="47"/>
        <v>1</v>
      </c>
      <c r="M327" s="1">
        <f t="shared" si="48"/>
        <v>758.89</v>
      </c>
      <c r="N327" s="1">
        <f t="shared" si="49"/>
        <v>752.25</v>
      </c>
      <c r="O327" s="1">
        <f t="shared" si="50"/>
        <v>752.68</v>
      </c>
      <c r="P327" s="1">
        <f t="shared" si="51"/>
        <v>384.0204081632653</v>
      </c>
    </row>
    <row r="328" spans="1:16">
      <c r="A328" s="2">
        <v>42584</v>
      </c>
      <c r="B328" s="1">
        <v>763.81</v>
      </c>
      <c r="C328" s="1">
        <v>765.01</v>
      </c>
      <c r="D328" s="1">
        <v>757.02</v>
      </c>
      <c r="E328" s="1">
        <v>760.58</v>
      </c>
      <c r="F328" s="1">
        <v>3603300</v>
      </c>
      <c r="G328" s="1">
        <v>760.58</v>
      </c>
      <c r="H328" s="1">
        <f t="shared" si="45"/>
        <v>7.9900000000000091</v>
      </c>
      <c r="I328" s="9">
        <f t="shared" si="52"/>
        <v>1.0554542812607341E-2</v>
      </c>
      <c r="J328" s="1">
        <f t="shared" si="53"/>
        <v>-7.1599999999999682</v>
      </c>
      <c r="K328" s="9">
        <f t="shared" si="46"/>
        <v>-9.326073931278777E-3</v>
      </c>
      <c r="L328" s="1">
        <f t="shared" si="47"/>
        <v>1</v>
      </c>
      <c r="M328" s="1">
        <f t="shared" si="48"/>
        <v>765.01</v>
      </c>
      <c r="N328" s="1">
        <f t="shared" si="49"/>
        <v>757.02</v>
      </c>
      <c r="O328" s="1">
        <f t="shared" si="50"/>
        <v>758.62</v>
      </c>
      <c r="P328" s="1">
        <f t="shared" si="51"/>
        <v>387.05102040816325</v>
      </c>
    </row>
    <row r="329" spans="1:16">
      <c r="A329" s="2">
        <v>42583</v>
      </c>
      <c r="B329" s="1">
        <v>759.87</v>
      </c>
      <c r="C329" s="1">
        <v>770.5</v>
      </c>
      <c r="D329" s="1">
        <v>757.06</v>
      </c>
      <c r="E329" s="1">
        <v>767.74</v>
      </c>
      <c r="F329" s="1">
        <v>3578200</v>
      </c>
      <c r="G329" s="1">
        <v>767.74</v>
      </c>
      <c r="H329" s="1">
        <f t="shared" si="45"/>
        <v>13.440000000000055</v>
      </c>
      <c r="I329" s="9">
        <f t="shared" si="52"/>
        <v>1.7752886164901137E-2</v>
      </c>
      <c r="J329" s="1">
        <f t="shared" si="53"/>
        <v>8.9300000000000637</v>
      </c>
      <c r="K329" s="9">
        <f t="shared" si="46"/>
        <v>1.1768426878928933E-2</v>
      </c>
      <c r="L329" s="1">
        <f t="shared" si="47"/>
        <v>1</v>
      </c>
      <c r="M329" s="1">
        <f t="shared" si="48"/>
        <v>770.5</v>
      </c>
      <c r="N329" s="1">
        <f t="shared" si="49"/>
        <v>757.06</v>
      </c>
      <c r="O329" s="1">
        <f t="shared" si="50"/>
        <v>765.78</v>
      </c>
      <c r="P329" s="1">
        <f t="shared" si="51"/>
        <v>390.70408163265307</v>
      </c>
    </row>
    <row r="330" spans="1:16">
      <c r="A330" s="2">
        <v>42580</v>
      </c>
      <c r="B330" s="1">
        <v>765</v>
      </c>
      <c r="C330" s="1">
        <v>766</v>
      </c>
      <c r="D330" s="1">
        <v>755</v>
      </c>
      <c r="E330" s="1">
        <v>758.81</v>
      </c>
      <c r="F330" s="1">
        <v>6777100</v>
      </c>
      <c r="G330" s="1">
        <v>758.81</v>
      </c>
      <c r="H330" s="1">
        <f t="shared" si="45"/>
        <v>11</v>
      </c>
      <c r="I330" s="9">
        <f t="shared" si="52"/>
        <v>1.456953642384106E-2</v>
      </c>
      <c r="J330" s="1">
        <f t="shared" si="53"/>
        <v>6.1999999999999318</v>
      </c>
      <c r="K330" s="9">
        <f t="shared" si="46"/>
        <v>8.2379984321227888E-3</v>
      </c>
      <c r="L330" s="1">
        <f t="shared" si="47"/>
        <v>1</v>
      </c>
      <c r="M330" s="1">
        <f t="shared" si="48"/>
        <v>766</v>
      </c>
      <c r="N330" s="1">
        <f t="shared" si="49"/>
        <v>755</v>
      </c>
      <c r="O330" s="1">
        <f t="shared" si="50"/>
        <v>756.84999999999991</v>
      </c>
      <c r="P330" s="1">
        <f t="shared" si="51"/>
        <v>386.14795918367344</v>
      </c>
    </row>
    <row r="331" spans="1:16">
      <c r="A331" s="2">
        <v>42579</v>
      </c>
      <c r="B331" s="1">
        <v>745.98</v>
      </c>
      <c r="C331" s="1">
        <v>753.36</v>
      </c>
      <c r="D331" s="1">
        <v>739.7</v>
      </c>
      <c r="E331" s="1">
        <v>752.61</v>
      </c>
      <c r="F331" s="1">
        <v>7617600</v>
      </c>
      <c r="G331" s="1">
        <v>752.61</v>
      </c>
      <c r="H331" s="1">
        <f t="shared" si="45"/>
        <v>13.659999999999968</v>
      </c>
      <c r="I331" s="9">
        <f t="shared" si="52"/>
        <v>1.846694605921315E-2</v>
      </c>
      <c r="J331" s="1">
        <f t="shared" si="53"/>
        <v>15.940000000000055</v>
      </c>
      <c r="K331" s="9">
        <f t="shared" si="46"/>
        <v>2.1637911140673646E-2</v>
      </c>
      <c r="L331" s="1">
        <f t="shared" si="47"/>
        <v>1</v>
      </c>
      <c r="M331" s="1">
        <f t="shared" si="48"/>
        <v>753.36</v>
      </c>
      <c r="N331" s="1">
        <f t="shared" si="49"/>
        <v>739.7</v>
      </c>
      <c r="O331" s="1">
        <f t="shared" si="50"/>
        <v>750.65</v>
      </c>
      <c r="P331" s="1">
        <f t="shared" si="51"/>
        <v>382.98469387755102</v>
      </c>
    </row>
    <row r="332" spans="1:16">
      <c r="A332" s="2">
        <v>42578</v>
      </c>
      <c r="B332" s="1">
        <v>737.97</v>
      </c>
      <c r="C332" s="1">
        <v>740.94</v>
      </c>
      <c r="D332" s="1">
        <v>733.86</v>
      </c>
      <c r="E332" s="1">
        <v>736.67</v>
      </c>
      <c r="F332" s="1">
        <v>2831800</v>
      </c>
      <c r="G332" s="1">
        <v>736.67</v>
      </c>
      <c r="H332" s="1">
        <f t="shared" si="45"/>
        <v>7.0800000000000409</v>
      </c>
      <c r="I332" s="9">
        <f t="shared" si="52"/>
        <v>9.647616711634428E-3</v>
      </c>
      <c r="J332" s="1">
        <f t="shared" si="53"/>
        <v>1.0799999999999272</v>
      </c>
      <c r="K332" s="9">
        <f t="shared" si="46"/>
        <v>1.4682091926207905E-3</v>
      </c>
      <c r="L332" s="1">
        <f t="shared" si="47"/>
        <v>1</v>
      </c>
      <c r="M332" s="1">
        <f t="shared" si="48"/>
        <v>740.94</v>
      </c>
      <c r="N332" s="1">
        <f t="shared" si="49"/>
        <v>733.86</v>
      </c>
      <c r="O332" s="1">
        <f t="shared" si="50"/>
        <v>734.70999999999992</v>
      </c>
      <c r="P332" s="1">
        <f t="shared" si="51"/>
        <v>374.85204081632651</v>
      </c>
    </row>
    <row r="333" spans="1:16">
      <c r="A333" s="2">
        <v>42577</v>
      </c>
      <c r="B333" s="1">
        <v>742.71</v>
      </c>
      <c r="C333" s="1">
        <v>743.13</v>
      </c>
      <c r="D333" s="1">
        <v>732.75</v>
      </c>
      <c r="E333" s="1">
        <v>735.59</v>
      </c>
      <c r="F333" s="1">
        <v>2529700</v>
      </c>
      <c r="G333" s="1">
        <v>735.59</v>
      </c>
      <c r="H333" s="1">
        <f t="shared" si="45"/>
        <v>10.379999999999995</v>
      </c>
      <c r="I333" s="9">
        <f t="shared" si="52"/>
        <v>1.416581371545547E-2</v>
      </c>
      <c r="J333" s="1">
        <f t="shared" si="53"/>
        <v>-4.0199999999999818</v>
      </c>
      <c r="K333" s="9">
        <f t="shared" si="46"/>
        <v>-5.4352969808412295E-3</v>
      </c>
      <c r="L333" s="1">
        <f t="shared" si="47"/>
        <v>1</v>
      </c>
      <c r="M333" s="1">
        <f t="shared" si="48"/>
        <v>743.13</v>
      </c>
      <c r="N333" s="1">
        <f t="shared" si="49"/>
        <v>732.75</v>
      </c>
      <c r="O333" s="1">
        <f t="shared" si="50"/>
        <v>733.63</v>
      </c>
      <c r="P333" s="1">
        <f t="shared" si="51"/>
        <v>374.30102040816325</v>
      </c>
    </row>
    <row r="334" spans="1:16">
      <c r="A334" s="2">
        <v>42576</v>
      </c>
      <c r="B334" s="1">
        <v>746.55</v>
      </c>
      <c r="C334" s="1">
        <v>748.5</v>
      </c>
      <c r="D334" s="1">
        <v>735.35</v>
      </c>
      <c r="E334" s="1">
        <v>739.61</v>
      </c>
      <c r="F334" s="1">
        <v>2679300</v>
      </c>
      <c r="G334" s="1">
        <v>739.61</v>
      </c>
      <c r="H334" s="1">
        <f t="shared" si="45"/>
        <v>13.149999999999977</v>
      </c>
      <c r="I334" s="9">
        <f t="shared" si="52"/>
        <v>1.7882640919290104E-2</v>
      </c>
      <c r="J334" s="1">
        <f t="shared" si="53"/>
        <v>-5.25</v>
      </c>
      <c r="K334" s="9">
        <f t="shared" si="46"/>
        <v>-7.0483043793464544E-3</v>
      </c>
      <c r="L334" s="1">
        <f t="shared" si="47"/>
        <v>1</v>
      </c>
      <c r="M334" s="1">
        <f t="shared" si="48"/>
        <v>748.5</v>
      </c>
      <c r="N334" s="1">
        <f t="shared" si="49"/>
        <v>735.35</v>
      </c>
      <c r="O334" s="1">
        <f t="shared" si="50"/>
        <v>737.65</v>
      </c>
      <c r="P334" s="1">
        <f t="shared" si="51"/>
        <v>376.35204081632651</v>
      </c>
    </row>
    <row r="335" spans="1:16">
      <c r="A335" s="2">
        <v>42573</v>
      </c>
      <c r="B335" s="1">
        <v>747.79</v>
      </c>
      <c r="C335" s="1">
        <v>751.28</v>
      </c>
      <c r="D335" s="1">
        <v>743.53</v>
      </c>
      <c r="E335" s="1">
        <v>744.86</v>
      </c>
      <c r="F335" s="1">
        <v>2277700</v>
      </c>
      <c r="G335" s="1">
        <v>744.86</v>
      </c>
      <c r="H335" s="1">
        <f t="shared" si="45"/>
        <v>7.75</v>
      </c>
      <c r="I335" s="9">
        <f t="shared" si="52"/>
        <v>1.0423251247427811E-2</v>
      </c>
      <c r="J335" s="1">
        <f t="shared" si="53"/>
        <v>0.43000000000006366</v>
      </c>
      <c r="K335" s="9">
        <f t="shared" si="46"/>
        <v>5.7762314791191067E-4</v>
      </c>
      <c r="L335" s="1">
        <f t="shared" si="47"/>
        <v>1</v>
      </c>
      <c r="M335" s="1">
        <f t="shared" si="48"/>
        <v>751.28</v>
      </c>
      <c r="N335" s="1">
        <f t="shared" si="49"/>
        <v>743.53</v>
      </c>
      <c r="O335" s="1">
        <f t="shared" si="50"/>
        <v>742.9</v>
      </c>
      <c r="P335" s="1">
        <f t="shared" si="51"/>
        <v>379.03061224489795</v>
      </c>
    </row>
    <row r="336" spans="1:16">
      <c r="A336" s="2">
        <v>42572</v>
      </c>
      <c r="B336" s="1">
        <v>747.5</v>
      </c>
      <c r="C336" s="1">
        <v>749.36</v>
      </c>
      <c r="D336" s="1">
        <v>742.79</v>
      </c>
      <c r="E336" s="1">
        <v>744.43</v>
      </c>
      <c r="F336" s="1">
        <v>2317100</v>
      </c>
      <c r="G336" s="1">
        <v>744.43</v>
      </c>
      <c r="H336" s="1">
        <f t="shared" si="45"/>
        <v>6.57000000000005</v>
      </c>
      <c r="I336" s="9">
        <f t="shared" si="52"/>
        <v>8.845030223885688E-3</v>
      </c>
      <c r="J336" s="1">
        <f t="shared" si="53"/>
        <v>-1.2900000000000773</v>
      </c>
      <c r="K336" s="9">
        <f t="shared" si="46"/>
        <v>-1.7298718017487492E-3</v>
      </c>
      <c r="L336" s="1">
        <f t="shared" si="47"/>
        <v>1</v>
      </c>
      <c r="M336" s="1">
        <f t="shared" si="48"/>
        <v>749.36</v>
      </c>
      <c r="N336" s="1">
        <f t="shared" si="49"/>
        <v>742.79</v>
      </c>
      <c r="O336" s="1">
        <f t="shared" si="50"/>
        <v>742.46999999999991</v>
      </c>
      <c r="P336" s="1">
        <f t="shared" si="51"/>
        <v>378.8112244897959</v>
      </c>
    </row>
    <row r="337" spans="1:16">
      <c r="A337" s="2">
        <v>42571</v>
      </c>
      <c r="B337" s="1">
        <v>744</v>
      </c>
      <c r="C337" s="1">
        <v>746.25</v>
      </c>
      <c r="D337" s="1">
        <v>740.7</v>
      </c>
      <c r="E337" s="1">
        <v>745.72</v>
      </c>
      <c r="F337" s="1">
        <v>2214000</v>
      </c>
      <c r="G337" s="1">
        <v>745.72</v>
      </c>
      <c r="H337" s="1">
        <f t="shared" si="45"/>
        <v>5.5499999999999545</v>
      </c>
      <c r="I337" s="9">
        <f t="shared" si="52"/>
        <v>7.492912110165997E-3</v>
      </c>
      <c r="J337" s="1">
        <f t="shared" si="53"/>
        <v>5.7699999999999818</v>
      </c>
      <c r="K337" s="9">
        <f t="shared" si="46"/>
        <v>7.7978241773092524E-3</v>
      </c>
      <c r="L337" s="1">
        <f t="shared" si="47"/>
        <v>1</v>
      </c>
      <c r="M337" s="1">
        <f t="shared" si="48"/>
        <v>746.25</v>
      </c>
      <c r="N337" s="1">
        <f t="shared" si="49"/>
        <v>740.7</v>
      </c>
      <c r="O337" s="1">
        <f t="shared" si="50"/>
        <v>743.76</v>
      </c>
      <c r="P337" s="1">
        <f t="shared" si="51"/>
        <v>379.46938775510205</v>
      </c>
    </row>
    <row r="338" spans="1:16">
      <c r="A338" s="2">
        <v>42570</v>
      </c>
      <c r="B338" s="1">
        <v>732.5</v>
      </c>
      <c r="C338" s="1">
        <v>743.33</v>
      </c>
      <c r="D338" s="1">
        <v>732.31</v>
      </c>
      <c r="E338" s="1">
        <v>739.95</v>
      </c>
      <c r="F338" s="1">
        <v>2216800</v>
      </c>
      <c r="G338" s="1">
        <v>739.95</v>
      </c>
      <c r="H338" s="1">
        <f t="shared" si="45"/>
        <v>11.020000000000095</v>
      </c>
      <c r="I338" s="9">
        <f t="shared" si="52"/>
        <v>1.5048271906706307E-2</v>
      </c>
      <c r="J338" s="1">
        <f t="shared" si="53"/>
        <v>3.8799999999999955</v>
      </c>
      <c r="K338" s="9">
        <f t="shared" si="46"/>
        <v>5.2712377898841076E-3</v>
      </c>
      <c r="L338" s="1">
        <f t="shared" si="47"/>
        <v>1</v>
      </c>
      <c r="M338" s="1">
        <f t="shared" si="48"/>
        <v>743.33</v>
      </c>
      <c r="N338" s="1">
        <f t="shared" si="49"/>
        <v>732.31</v>
      </c>
      <c r="O338" s="1">
        <f t="shared" si="50"/>
        <v>737.99</v>
      </c>
      <c r="P338" s="1">
        <f t="shared" si="51"/>
        <v>376.52551020408163</v>
      </c>
    </row>
    <row r="339" spans="1:16">
      <c r="A339" s="2">
        <v>42569</v>
      </c>
      <c r="B339" s="1">
        <v>735.49</v>
      </c>
      <c r="C339" s="1">
        <v>741.6</v>
      </c>
      <c r="D339" s="1">
        <v>728.72</v>
      </c>
      <c r="E339" s="1">
        <v>736.07</v>
      </c>
      <c r="F339" s="1">
        <v>2954900</v>
      </c>
      <c r="G339" s="1">
        <v>736.07</v>
      </c>
      <c r="H339" s="1">
        <f t="shared" si="45"/>
        <v>12.879999999999995</v>
      </c>
      <c r="I339" s="9">
        <f t="shared" si="52"/>
        <v>1.767482709408277E-2</v>
      </c>
      <c r="J339" s="1">
        <f t="shared" si="53"/>
        <v>0.62999999999999545</v>
      </c>
      <c r="K339" s="9">
        <f t="shared" si="46"/>
        <v>8.5663004459914528E-4</v>
      </c>
      <c r="L339" s="1">
        <f t="shared" si="47"/>
        <v>1</v>
      </c>
      <c r="M339" s="1">
        <f t="shared" si="48"/>
        <v>741.6</v>
      </c>
      <c r="N339" s="1">
        <f t="shared" si="49"/>
        <v>728.72</v>
      </c>
      <c r="O339" s="1">
        <f t="shared" si="50"/>
        <v>734.11</v>
      </c>
      <c r="P339" s="1">
        <f t="shared" si="51"/>
        <v>374.54591836734693</v>
      </c>
    </row>
    <row r="340" spans="1:16">
      <c r="A340" s="2">
        <v>42566</v>
      </c>
      <c r="B340" s="1">
        <v>746.55</v>
      </c>
      <c r="C340" s="1">
        <v>746.55</v>
      </c>
      <c r="D340" s="1">
        <v>734.05</v>
      </c>
      <c r="E340" s="1">
        <v>735.44</v>
      </c>
      <c r="F340" s="1">
        <v>3121400</v>
      </c>
      <c r="G340" s="1">
        <v>735.44</v>
      </c>
      <c r="H340" s="1">
        <f t="shared" si="45"/>
        <v>12.5</v>
      </c>
      <c r="I340" s="9">
        <f t="shared" si="52"/>
        <v>1.7028812751174988E-2</v>
      </c>
      <c r="J340" s="1">
        <f t="shared" si="53"/>
        <v>-5.7599999999999909</v>
      </c>
      <c r="K340" s="9">
        <f t="shared" si="46"/>
        <v>-7.7711818672422973E-3</v>
      </c>
      <c r="L340" s="1">
        <f t="shared" si="47"/>
        <v>1</v>
      </c>
      <c r="M340" s="1">
        <f t="shared" si="48"/>
        <v>746.55</v>
      </c>
      <c r="N340" s="1">
        <f t="shared" si="49"/>
        <v>734.05</v>
      </c>
      <c r="O340" s="1">
        <f t="shared" si="50"/>
        <v>733.48</v>
      </c>
      <c r="P340" s="1">
        <f t="shared" si="51"/>
        <v>374.22448979591837</v>
      </c>
    </row>
    <row r="341" spans="1:16">
      <c r="A341" s="2">
        <v>42565</v>
      </c>
      <c r="B341" s="1">
        <v>748.86</v>
      </c>
      <c r="C341" s="1">
        <v>749.04</v>
      </c>
      <c r="D341" s="1">
        <v>739.02</v>
      </c>
      <c r="E341" s="1">
        <v>741.2</v>
      </c>
      <c r="F341" s="1">
        <v>2390500</v>
      </c>
      <c r="G341" s="1">
        <v>741.2</v>
      </c>
      <c r="H341" s="1">
        <f t="shared" si="45"/>
        <v>10.019999999999982</v>
      </c>
      <c r="I341" s="9">
        <f t="shared" si="52"/>
        <v>1.3558496387107226E-2</v>
      </c>
      <c r="J341" s="1">
        <f t="shared" si="53"/>
        <v>-1.42999999999995</v>
      </c>
      <c r="K341" s="9">
        <f t="shared" si="46"/>
        <v>-1.9255887858017451E-3</v>
      </c>
      <c r="L341" s="1">
        <f t="shared" si="47"/>
        <v>1</v>
      </c>
      <c r="M341" s="1">
        <f t="shared" si="48"/>
        <v>749.04</v>
      </c>
      <c r="N341" s="1">
        <f t="shared" si="49"/>
        <v>739.02</v>
      </c>
      <c r="O341" s="1">
        <f t="shared" si="50"/>
        <v>739.24</v>
      </c>
      <c r="P341" s="1">
        <f t="shared" si="51"/>
        <v>377.16326530612247</v>
      </c>
    </row>
    <row r="342" spans="1:16">
      <c r="A342" s="2">
        <v>42564</v>
      </c>
      <c r="B342" s="1">
        <v>746.76</v>
      </c>
      <c r="C342" s="1">
        <v>756.87</v>
      </c>
      <c r="D342" s="1">
        <v>741.25</v>
      </c>
      <c r="E342" s="1">
        <v>742.63</v>
      </c>
      <c r="F342" s="1">
        <v>4142300</v>
      </c>
      <c r="G342" s="1">
        <v>742.63</v>
      </c>
      <c r="H342" s="1">
        <f t="shared" si="45"/>
        <v>15.620000000000005</v>
      </c>
      <c r="I342" s="9">
        <f t="shared" si="52"/>
        <v>2.1072512647554813E-2</v>
      </c>
      <c r="J342" s="1">
        <f t="shared" si="53"/>
        <v>-5.5800000000000409</v>
      </c>
      <c r="K342" s="9">
        <f t="shared" si="46"/>
        <v>-7.4577992809505894E-3</v>
      </c>
      <c r="L342" s="1">
        <f t="shared" si="47"/>
        <v>1</v>
      </c>
      <c r="M342" s="1">
        <f t="shared" si="48"/>
        <v>756.87</v>
      </c>
      <c r="N342" s="1">
        <f t="shared" si="49"/>
        <v>741.25</v>
      </c>
      <c r="O342" s="1">
        <f t="shared" si="50"/>
        <v>740.67</v>
      </c>
      <c r="P342" s="1">
        <f t="shared" si="51"/>
        <v>377.89285714285711</v>
      </c>
    </row>
    <row r="343" spans="1:16">
      <c r="A343" s="2">
        <v>42563</v>
      </c>
      <c r="B343" s="1">
        <v>756.86</v>
      </c>
      <c r="C343" s="1">
        <v>757.34</v>
      </c>
      <c r="D343" s="1">
        <v>740.33</v>
      </c>
      <c r="E343" s="1">
        <v>748.21</v>
      </c>
      <c r="F343" s="1">
        <v>5623700</v>
      </c>
      <c r="G343" s="1">
        <v>748.21</v>
      </c>
      <c r="H343" s="1">
        <f t="shared" si="45"/>
        <v>17.009999999999991</v>
      </c>
      <c r="I343" s="9">
        <f t="shared" si="52"/>
        <v>2.2976240325260345E-2</v>
      </c>
      <c r="J343" s="1">
        <f t="shared" si="53"/>
        <v>-5.5699999999999363</v>
      </c>
      <c r="K343" s="9">
        <f t="shared" si="46"/>
        <v>-7.3894239698584956E-3</v>
      </c>
      <c r="L343" s="1">
        <f t="shared" si="47"/>
        <v>1</v>
      </c>
      <c r="M343" s="1">
        <f t="shared" si="48"/>
        <v>757.34</v>
      </c>
      <c r="N343" s="1">
        <f t="shared" si="49"/>
        <v>740.33</v>
      </c>
      <c r="O343" s="1">
        <f t="shared" si="50"/>
        <v>746.25</v>
      </c>
      <c r="P343" s="1">
        <f t="shared" si="51"/>
        <v>380.73979591836735</v>
      </c>
    </row>
    <row r="344" spans="1:16">
      <c r="A344" s="2">
        <v>42562</v>
      </c>
      <c r="B344" s="1">
        <v>750</v>
      </c>
      <c r="C344" s="1">
        <v>755.9</v>
      </c>
      <c r="D344" s="1">
        <v>747</v>
      </c>
      <c r="E344" s="1">
        <v>753.78</v>
      </c>
      <c r="F344" s="1">
        <v>3195300</v>
      </c>
      <c r="G344" s="1">
        <v>753.78</v>
      </c>
      <c r="H344" s="1">
        <f t="shared" si="45"/>
        <v>8.8999999999999773</v>
      </c>
      <c r="I344" s="9">
        <f t="shared" si="52"/>
        <v>1.1914323962516703E-2</v>
      </c>
      <c r="J344" s="1">
        <f t="shared" si="53"/>
        <v>7.9700000000000273</v>
      </c>
      <c r="K344" s="9">
        <f t="shared" si="46"/>
        <v>1.0686367841675532E-2</v>
      </c>
      <c r="L344" s="1">
        <f t="shared" si="47"/>
        <v>1</v>
      </c>
      <c r="M344" s="1">
        <f t="shared" si="48"/>
        <v>755.9</v>
      </c>
      <c r="N344" s="1">
        <f t="shared" si="49"/>
        <v>747</v>
      </c>
      <c r="O344" s="1">
        <f t="shared" si="50"/>
        <v>751.81999999999994</v>
      </c>
      <c r="P344" s="1">
        <f t="shared" si="51"/>
        <v>383.58163265306121</v>
      </c>
    </row>
    <row r="345" spans="1:16">
      <c r="A345" s="2">
        <v>42559</v>
      </c>
      <c r="B345" s="1">
        <v>740.14</v>
      </c>
      <c r="C345" s="1">
        <v>746.1</v>
      </c>
      <c r="D345" s="1">
        <v>738</v>
      </c>
      <c r="E345" s="1">
        <v>745.81</v>
      </c>
      <c r="F345" s="1">
        <v>3429200</v>
      </c>
      <c r="G345" s="1">
        <v>745.81</v>
      </c>
      <c r="H345" s="1">
        <f t="shared" si="45"/>
        <v>8.1000000000000227</v>
      </c>
      <c r="I345" s="9">
        <f t="shared" si="52"/>
        <v>1.0975609756097592E-2</v>
      </c>
      <c r="J345" s="1">
        <f t="shared" si="53"/>
        <v>9.2399999999998954</v>
      </c>
      <c r="K345" s="9">
        <f t="shared" si="46"/>
        <v>1.2544632553592863E-2</v>
      </c>
      <c r="L345" s="1">
        <f t="shared" si="47"/>
        <v>1</v>
      </c>
      <c r="M345" s="1">
        <f t="shared" si="48"/>
        <v>746.1</v>
      </c>
      <c r="N345" s="1">
        <f t="shared" si="49"/>
        <v>738</v>
      </c>
      <c r="O345" s="1">
        <f t="shared" si="50"/>
        <v>743.84999999999991</v>
      </c>
      <c r="P345" s="1">
        <f t="shared" si="51"/>
        <v>379.51530612244892</v>
      </c>
    </row>
    <row r="346" spans="1:16">
      <c r="A346" s="2">
        <v>42558</v>
      </c>
      <c r="B346" s="1">
        <v>739.33</v>
      </c>
      <c r="C346" s="1">
        <v>739.55</v>
      </c>
      <c r="D346" s="1">
        <v>731.63</v>
      </c>
      <c r="E346" s="1">
        <v>736.57</v>
      </c>
      <c r="F346" s="1">
        <v>2936700</v>
      </c>
      <c r="G346" s="1">
        <v>736.57</v>
      </c>
      <c r="H346" s="1">
        <f t="shared" si="45"/>
        <v>7.9199999999999591</v>
      </c>
      <c r="I346" s="9">
        <f t="shared" si="52"/>
        <v>1.0825143856867487E-2</v>
      </c>
      <c r="J346" s="1">
        <f t="shared" si="53"/>
        <v>-1.0399999999999636</v>
      </c>
      <c r="K346" s="9">
        <f t="shared" si="46"/>
        <v>-1.4099591925271669E-3</v>
      </c>
      <c r="L346" s="1">
        <f t="shared" si="47"/>
        <v>1</v>
      </c>
      <c r="M346" s="1">
        <f t="shared" si="48"/>
        <v>739.55</v>
      </c>
      <c r="N346" s="1">
        <f t="shared" si="49"/>
        <v>731.63</v>
      </c>
      <c r="O346" s="1">
        <f t="shared" si="50"/>
        <v>734.61</v>
      </c>
      <c r="P346" s="1">
        <f t="shared" si="51"/>
        <v>374.80102040816325</v>
      </c>
    </row>
    <row r="347" spans="1:16">
      <c r="A347" s="2">
        <v>42557</v>
      </c>
      <c r="B347" s="1">
        <v>725.71</v>
      </c>
      <c r="C347" s="1">
        <v>737.77</v>
      </c>
      <c r="D347" s="1">
        <v>722.58</v>
      </c>
      <c r="E347" s="1">
        <v>737.61</v>
      </c>
      <c r="F347" s="1">
        <v>3938200</v>
      </c>
      <c r="G347" s="1">
        <v>737.61</v>
      </c>
      <c r="H347" s="1">
        <f t="shared" si="45"/>
        <v>15.189999999999941</v>
      </c>
      <c r="I347" s="9">
        <f t="shared" si="52"/>
        <v>2.1021893769547925E-2</v>
      </c>
      <c r="J347" s="1">
        <f t="shared" si="53"/>
        <v>9.5099999999999909</v>
      </c>
      <c r="K347" s="9">
        <f t="shared" si="46"/>
        <v>1.3061392665842591E-2</v>
      </c>
      <c r="L347" s="1">
        <f t="shared" si="47"/>
        <v>1</v>
      </c>
      <c r="M347" s="1">
        <f t="shared" si="48"/>
        <v>737.77</v>
      </c>
      <c r="N347" s="1">
        <f t="shared" si="49"/>
        <v>722.58</v>
      </c>
      <c r="O347" s="1">
        <f t="shared" si="50"/>
        <v>735.65</v>
      </c>
      <c r="P347" s="1">
        <f t="shared" si="51"/>
        <v>375.33163265306121</v>
      </c>
    </row>
    <row r="348" spans="1:16">
      <c r="A348" s="2">
        <v>42556</v>
      </c>
      <c r="B348" s="1">
        <v>722.8</v>
      </c>
      <c r="C348" s="1">
        <v>729.56</v>
      </c>
      <c r="D348" s="1">
        <v>719.61</v>
      </c>
      <c r="E348" s="1">
        <v>728.1</v>
      </c>
      <c r="F348" s="1">
        <v>2431400</v>
      </c>
      <c r="G348" s="1">
        <v>728.1</v>
      </c>
      <c r="H348" s="1">
        <f t="shared" si="45"/>
        <v>9.9499999999999318</v>
      </c>
      <c r="I348" s="9">
        <f t="shared" si="52"/>
        <v>1.382693403371261E-2</v>
      </c>
      <c r="J348" s="1">
        <f t="shared" si="53"/>
        <v>2.4200000000000728</v>
      </c>
      <c r="K348" s="9">
        <f t="shared" si="46"/>
        <v>3.3348032190498194E-3</v>
      </c>
      <c r="L348" s="1">
        <f t="shared" si="47"/>
        <v>1</v>
      </c>
      <c r="M348" s="1">
        <f t="shared" si="48"/>
        <v>729.56</v>
      </c>
      <c r="N348" s="1">
        <f t="shared" si="49"/>
        <v>719.61</v>
      </c>
      <c r="O348" s="1">
        <f t="shared" si="50"/>
        <v>726.14</v>
      </c>
      <c r="P348" s="1">
        <f t="shared" si="51"/>
        <v>370.4795918367347</v>
      </c>
    </row>
    <row r="349" spans="1:16">
      <c r="A349" s="2">
        <v>42552</v>
      </c>
      <c r="B349" s="1">
        <v>717.32</v>
      </c>
      <c r="C349" s="1">
        <v>728</v>
      </c>
      <c r="D349" s="1">
        <v>716.54</v>
      </c>
      <c r="E349" s="1">
        <v>725.68</v>
      </c>
      <c r="F349" s="1">
        <v>2920400</v>
      </c>
      <c r="G349" s="1">
        <v>725.68</v>
      </c>
      <c r="H349" s="1">
        <f t="shared" si="45"/>
        <v>11.460000000000036</v>
      </c>
      <c r="I349" s="9">
        <f t="shared" si="52"/>
        <v>1.5993524436877266E-2</v>
      </c>
      <c r="J349" s="1">
        <f t="shared" si="53"/>
        <v>10.059999999999945</v>
      </c>
      <c r="K349" s="9">
        <f t="shared" si="46"/>
        <v>1.4057740141415758E-2</v>
      </c>
      <c r="L349" s="1">
        <f t="shared" si="47"/>
        <v>1</v>
      </c>
      <c r="M349" s="1">
        <f t="shared" si="48"/>
        <v>728</v>
      </c>
      <c r="N349" s="1">
        <f t="shared" si="49"/>
        <v>716.54</v>
      </c>
      <c r="O349" s="1">
        <f t="shared" si="50"/>
        <v>723.71999999999991</v>
      </c>
      <c r="P349" s="1">
        <f t="shared" si="51"/>
        <v>369.24489795918362</v>
      </c>
    </row>
    <row r="350" spans="1:16">
      <c r="A350" s="2">
        <v>42551</v>
      </c>
      <c r="B350" s="1">
        <v>717.2</v>
      </c>
      <c r="C350" s="1">
        <v>719.37</v>
      </c>
      <c r="D350" s="1">
        <v>712.54</v>
      </c>
      <c r="E350" s="1">
        <v>715.62</v>
      </c>
      <c r="F350" s="1">
        <v>2855100</v>
      </c>
      <c r="G350" s="1">
        <v>715.62</v>
      </c>
      <c r="H350" s="1">
        <f t="shared" si="45"/>
        <v>6.8300000000000409</v>
      </c>
      <c r="I350" s="9">
        <f t="shared" si="52"/>
        <v>9.5854267830578505E-3</v>
      </c>
      <c r="J350" s="1">
        <f t="shared" si="53"/>
        <v>1.999999999998181E-2</v>
      </c>
      <c r="K350" s="9">
        <f t="shared" si="46"/>
        <v>2.7948574622668821E-5</v>
      </c>
      <c r="L350" s="1">
        <f t="shared" si="47"/>
        <v>1</v>
      </c>
      <c r="M350" s="1">
        <f t="shared" si="48"/>
        <v>719.37</v>
      </c>
      <c r="N350" s="1">
        <f t="shared" si="49"/>
        <v>712.54</v>
      </c>
      <c r="O350" s="1">
        <f t="shared" si="50"/>
        <v>713.66</v>
      </c>
      <c r="P350" s="1">
        <f t="shared" si="51"/>
        <v>364.11224489795916</v>
      </c>
    </row>
    <row r="351" spans="1:16">
      <c r="A351" s="2">
        <v>42550</v>
      </c>
      <c r="B351" s="1">
        <v>715.75</v>
      </c>
      <c r="C351" s="1">
        <v>719.5</v>
      </c>
      <c r="D351" s="1">
        <v>713.54</v>
      </c>
      <c r="E351" s="1">
        <v>715.6</v>
      </c>
      <c r="F351" s="1">
        <v>3070100</v>
      </c>
      <c r="G351" s="1">
        <v>715.6</v>
      </c>
      <c r="H351" s="1">
        <f t="shared" si="45"/>
        <v>5.9600000000000364</v>
      </c>
      <c r="I351" s="9">
        <f t="shared" si="52"/>
        <v>8.3527202399305382E-3</v>
      </c>
      <c r="J351" s="1">
        <f t="shared" si="53"/>
        <v>7.6499999999999773</v>
      </c>
      <c r="K351" s="9">
        <f t="shared" si="46"/>
        <v>1.0805847870612298E-2</v>
      </c>
      <c r="L351" s="1">
        <f t="shared" si="47"/>
        <v>1</v>
      </c>
      <c r="M351" s="1">
        <f t="shared" si="48"/>
        <v>719.5</v>
      </c>
      <c r="N351" s="1">
        <f t="shared" si="49"/>
        <v>713.54</v>
      </c>
      <c r="O351" s="1">
        <f t="shared" si="50"/>
        <v>713.64</v>
      </c>
      <c r="P351" s="1">
        <f t="shared" si="51"/>
        <v>364.10204081632651</v>
      </c>
    </row>
    <row r="352" spans="1:16">
      <c r="A352" s="2">
        <v>42549</v>
      </c>
      <c r="B352" s="1">
        <v>700</v>
      </c>
      <c r="C352" s="1">
        <v>708</v>
      </c>
      <c r="D352" s="1">
        <v>698.17</v>
      </c>
      <c r="E352" s="1">
        <v>707.95</v>
      </c>
      <c r="F352" s="1">
        <v>4037000</v>
      </c>
      <c r="G352" s="1">
        <v>707.95</v>
      </c>
      <c r="H352" s="1">
        <f t="shared" si="45"/>
        <v>9.8300000000000409</v>
      </c>
      <c r="I352" s="9">
        <f t="shared" si="52"/>
        <v>1.407966541100311E-2</v>
      </c>
      <c r="J352" s="1">
        <f t="shared" si="53"/>
        <v>16.590000000000032</v>
      </c>
      <c r="K352" s="9">
        <f t="shared" si="46"/>
        <v>2.3996181439481647E-2</v>
      </c>
      <c r="L352" s="1">
        <f t="shared" si="47"/>
        <v>1</v>
      </c>
      <c r="M352" s="1">
        <f t="shared" si="48"/>
        <v>708</v>
      </c>
      <c r="N352" s="1">
        <f t="shared" si="49"/>
        <v>698.17</v>
      </c>
      <c r="O352" s="1">
        <f t="shared" si="50"/>
        <v>705.99</v>
      </c>
      <c r="P352" s="1">
        <f t="shared" si="51"/>
        <v>360.19897959183675</v>
      </c>
    </row>
    <row r="353" spans="1:16">
      <c r="A353" s="2">
        <v>42548</v>
      </c>
      <c r="B353" s="1">
        <v>692.01</v>
      </c>
      <c r="C353" s="1">
        <v>696.82</v>
      </c>
      <c r="D353" s="1">
        <v>682.12</v>
      </c>
      <c r="E353" s="1">
        <v>691.36</v>
      </c>
      <c r="F353" s="1">
        <v>5568000</v>
      </c>
      <c r="G353" s="1">
        <v>691.36</v>
      </c>
      <c r="H353" s="1">
        <f t="shared" si="45"/>
        <v>14.700000000000045</v>
      </c>
      <c r="I353" s="9">
        <f t="shared" si="52"/>
        <v>2.1550460329560848E-2</v>
      </c>
      <c r="J353" s="1">
        <f t="shared" si="53"/>
        <v>-7.6000000000000227</v>
      </c>
      <c r="K353" s="9">
        <f t="shared" si="46"/>
        <v>-1.0873297470527673E-2</v>
      </c>
      <c r="L353" s="1">
        <f t="shared" si="47"/>
        <v>1</v>
      </c>
      <c r="M353" s="1">
        <f t="shared" si="48"/>
        <v>696.82</v>
      </c>
      <c r="N353" s="1">
        <f t="shared" si="49"/>
        <v>682.12</v>
      </c>
      <c r="O353" s="1">
        <f t="shared" si="50"/>
        <v>689.4</v>
      </c>
      <c r="P353" s="1">
        <f t="shared" si="51"/>
        <v>351.73469387755102</v>
      </c>
    </row>
    <row r="354" spans="1:16">
      <c r="A354" s="2">
        <v>42545</v>
      </c>
      <c r="B354" s="1">
        <v>693</v>
      </c>
      <c r="C354" s="1">
        <v>712.53</v>
      </c>
      <c r="D354" s="1">
        <v>692.2</v>
      </c>
      <c r="E354" s="1">
        <v>698.96</v>
      </c>
      <c r="F354" s="1">
        <v>7632500</v>
      </c>
      <c r="G354" s="1">
        <v>698.96</v>
      </c>
      <c r="H354" s="1">
        <f t="shared" si="45"/>
        <v>20.329999999999927</v>
      </c>
      <c r="I354" s="9">
        <f t="shared" si="52"/>
        <v>2.9370124241548577E-2</v>
      </c>
      <c r="J354" s="1">
        <f t="shared" si="53"/>
        <v>-23.120000000000005</v>
      </c>
      <c r="K354" s="9">
        <f t="shared" si="46"/>
        <v>-3.2018612896077998E-2</v>
      </c>
      <c r="L354" s="1">
        <f t="shared" si="47"/>
        <v>1</v>
      </c>
      <c r="M354" s="1">
        <f t="shared" si="48"/>
        <v>712.53</v>
      </c>
      <c r="N354" s="1">
        <f t="shared" si="49"/>
        <v>692.2</v>
      </c>
      <c r="O354" s="1">
        <f t="shared" si="50"/>
        <v>697</v>
      </c>
      <c r="P354" s="1">
        <f t="shared" si="51"/>
        <v>355.61224489795921</v>
      </c>
    </row>
    <row r="355" spans="1:16">
      <c r="A355" s="2">
        <v>42544</v>
      </c>
      <c r="B355" s="1">
        <v>715.5</v>
      </c>
      <c r="C355" s="1">
        <v>722.12</v>
      </c>
      <c r="D355" s="1">
        <v>712.5</v>
      </c>
      <c r="E355" s="1">
        <v>722.08</v>
      </c>
      <c r="F355" s="1">
        <v>2825000</v>
      </c>
      <c r="G355" s="1">
        <v>722.08</v>
      </c>
      <c r="H355" s="1">
        <f t="shared" si="45"/>
        <v>9.6200000000000045</v>
      </c>
      <c r="I355" s="9">
        <f t="shared" si="52"/>
        <v>1.3501754385964919E-2</v>
      </c>
      <c r="J355" s="1">
        <f t="shared" si="53"/>
        <v>11.480000000000018</v>
      </c>
      <c r="K355" s="9">
        <f t="shared" si="46"/>
        <v>1.6155361666197604E-2</v>
      </c>
      <c r="L355" s="1">
        <f t="shared" si="47"/>
        <v>1</v>
      </c>
      <c r="M355" s="1">
        <f t="shared" si="48"/>
        <v>722.12</v>
      </c>
      <c r="N355" s="1">
        <f t="shared" si="49"/>
        <v>712.5</v>
      </c>
      <c r="O355" s="1">
        <f t="shared" si="50"/>
        <v>720.12</v>
      </c>
      <c r="P355" s="1">
        <f t="shared" si="51"/>
        <v>367.40816326530614</v>
      </c>
    </row>
    <row r="356" spans="1:16">
      <c r="A356" s="2">
        <v>42543</v>
      </c>
      <c r="B356" s="1">
        <v>716.58</v>
      </c>
      <c r="C356" s="1">
        <v>717</v>
      </c>
      <c r="D356" s="1">
        <v>707.57</v>
      </c>
      <c r="E356" s="1">
        <v>710.6</v>
      </c>
      <c r="F356" s="1">
        <v>2260500</v>
      </c>
      <c r="G356" s="1">
        <v>710.6</v>
      </c>
      <c r="H356" s="1">
        <f t="shared" si="45"/>
        <v>9.42999999999995</v>
      </c>
      <c r="I356" s="9">
        <f t="shared" si="52"/>
        <v>1.3327303305679931E-2</v>
      </c>
      <c r="J356" s="1">
        <f t="shared" si="53"/>
        <v>-5.2200000000000273</v>
      </c>
      <c r="K356" s="9">
        <f t="shared" si="46"/>
        <v>-7.2923360621385642E-3</v>
      </c>
      <c r="L356" s="1">
        <f t="shared" si="47"/>
        <v>1</v>
      </c>
      <c r="M356" s="1">
        <f t="shared" si="48"/>
        <v>717</v>
      </c>
      <c r="N356" s="1">
        <f t="shared" si="49"/>
        <v>707.57</v>
      </c>
      <c r="O356" s="1">
        <f t="shared" si="50"/>
        <v>708.64</v>
      </c>
      <c r="P356" s="1">
        <f t="shared" si="51"/>
        <v>361.55102040816325</v>
      </c>
    </row>
    <row r="357" spans="1:16">
      <c r="A357" s="2">
        <v>42542</v>
      </c>
      <c r="B357" s="1">
        <v>715.72</v>
      </c>
      <c r="C357" s="1">
        <v>718.4</v>
      </c>
      <c r="D357" s="1">
        <v>712.72</v>
      </c>
      <c r="E357" s="1">
        <v>715.82</v>
      </c>
      <c r="F357" s="1">
        <v>2137500</v>
      </c>
      <c r="G357" s="1">
        <v>715.82</v>
      </c>
      <c r="H357" s="1">
        <f t="shared" si="45"/>
        <v>5.67999999999995</v>
      </c>
      <c r="I357" s="9">
        <f t="shared" si="52"/>
        <v>7.9694690762149925E-3</v>
      </c>
      <c r="J357" s="1">
        <f t="shared" si="53"/>
        <v>1.8100000000000591</v>
      </c>
      <c r="K357" s="9">
        <f t="shared" si="46"/>
        <v>2.5349785017017398E-3</v>
      </c>
      <c r="L357" s="1">
        <f t="shared" si="47"/>
        <v>1</v>
      </c>
      <c r="M357" s="1">
        <f t="shared" si="48"/>
        <v>718.4</v>
      </c>
      <c r="N357" s="1">
        <f t="shared" si="49"/>
        <v>712.72</v>
      </c>
      <c r="O357" s="1">
        <f t="shared" si="50"/>
        <v>713.86</v>
      </c>
      <c r="P357" s="1">
        <f t="shared" si="51"/>
        <v>364.21428571428572</v>
      </c>
    </row>
    <row r="358" spans="1:16">
      <c r="A358" s="2">
        <v>42541</v>
      </c>
      <c r="B358" s="1">
        <v>713.5</v>
      </c>
      <c r="C358" s="1">
        <v>721.31</v>
      </c>
      <c r="D358" s="1">
        <v>710.81</v>
      </c>
      <c r="E358" s="1">
        <v>714.01</v>
      </c>
      <c r="F358" s="1">
        <v>3677200</v>
      </c>
      <c r="G358" s="1">
        <v>714.01</v>
      </c>
      <c r="H358" s="1">
        <f t="shared" si="45"/>
        <v>10.5</v>
      </c>
      <c r="I358" s="9">
        <f t="shared" si="52"/>
        <v>1.477187996792392E-2</v>
      </c>
      <c r="J358" s="1">
        <f t="shared" si="53"/>
        <v>7.6200000000000045</v>
      </c>
      <c r="K358" s="9">
        <f t="shared" si="46"/>
        <v>1.0787242175002484E-2</v>
      </c>
      <c r="L358" s="1">
        <f t="shared" si="47"/>
        <v>1</v>
      </c>
      <c r="M358" s="1">
        <f t="shared" si="48"/>
        <v>721.31</v>
      </c>
      <c r="N358" s="1">
        <f t="shared" si="49"/>
        <v>710.81</v>
      </c>
      <c r="O358" s="1">
        <f t="shared" si="50"/>
        <v>712.05</v>
      </c>
      <c r="P358" s="1">
        <f t="shared" si="51"/>
        <v>363.2908163265306</v>
      </c>
    </row>
    <row r="359" spans="1:16">
      <c r="A359" s="2">
        <v>42538</v>
      </c>
      <c r="B359" s="1">
        <v>718.19</v>
      </c>
      <c r="C359" s="1">
        <v>718.2</v>
      </c>
      <c r="D359" s="1">
        <v>699.18</v>
      </c>
      <c r="E359" s="1">
        <v>706.39</v>
      </c>
      <c r="F359" s="1">
        <v>5897800</v>
      </c>
      <c r="G359" s="1">
        <v>706.39</v>
      </c>
      <c r="H359" s="1">
        <f t="shared" si="45"/>
        <v>19.020000000000095</v>
      </c>
      <c r="I359" s="9">
        <f t="shared" si="52"/>
        <v>2.7203295288766981E-2</v>
      </c>
      <c r="J359" s="1">
        <f t="shared" si="53"/>
        <v>-11.120000000000005</v>
      </c>
      <c r="K359" s="9">
        <f t="shared" si="46"/>
        <v>-1.5498041839138136E-2</v>
      </c>
      <c r="L359" s="1">
        <f t="shared" si="47"/>
        <v>1</v>
      </c>
      <c r="M359" s="1">
        <f t="shared" si="48"/>
        <v>718.2</v>
      </c>
      <c r="N359" s="1">
        <f t="shared" si="49"/>
        <v>699.18</v>
      </c>
      <c r="O359" s="1">
        <f t="shared" si="50"/>
        <v>704.43</v>
      </c>
      <c r="P359" s="1">
        <f t="shared" si="51"/>
        <v>359.40306122448976</v>
      </c>
    </row>
    <row r="360" spans="1:16">
      <c r="A360" s="2">
        <v>42537</v>
      </c>
      <c r="B360" s="1">
        <v>712.05</v>
      </c>
      <c r="C360" s="1">
        <v>718</v>
      </c>
      <c r="D360" s="1">
        <v>705.3</v>
      </c>
      <c r="E360" s="1">
        <v>717.51</v>
      </c>
      <c r="F360" s="1">
        <v>3098000</v>
      </c>
      <c r="G360" s="1">
        <v>717.51</v>
      </c>
      <c r="H360" s="1">
        <f t="shared" si="45"/>
        <v>12.700000000000045</v>
      </c>
      <c r="I360" s="9">
        <f t="shared" si="52"/>
        <v>1.80065220473558E-2</v>
      </c>
      <c r="J360" s="1">
        <f t="shared" si="53"/>
        <v>3.25</v>
      </c>
      <c r="K360" s="9">
        <f t="shared" si="46"/>
        <v>4.5501638058970126E-3</v>
      </c>
      <c r="L360" s="1">
        <f t="shared" si="47"/>
        <v>1</v>
      </c>
      <c r="M360" s="1">
        <f t="shared" si="48"/>
        <v>718</v>
      </c>
      <c r="N360" s="1">
        <f t="shared" si="49"/>
        <v>705.3</v>
      </c>
      <c r="O360" s="1">
        <f t="shared" si="50"/>
        <v>715.55</v>
      </c>
      <c r="P360" s="1">
        <f t="shared" si="51"/>
        <v>365.07653061224488</v>
      </c>
    </row>
    <row r="361" spans="1:16">
      <c r="A361" s="2">
        <v>42536</v>
      </c>
      <c r="B361" s="1">
        <v>722</v>
      </c>
      <c r="C361" s="1">
        <v>722.56</v>
      </c>
      <c r="D361" s="1">
        <v>713.35</v>
      </c>
      <c r="E361" s="1">
        <v>714.26</v>
      </c>
      <c r="F361" s="1">
        <v>2709400</v>
      </c>
      <c r="G361" s="1">
        <v>714.26</v>
      </c>
      <c r="H361" s="1">
        <f t="shared" si="45"/>
        <v>9.2099999999999227</v>
      </c>
      <c r="I361" s="9">
        <f t="shared" si="52"/>
        <v>1.2910913296418199E-2</v>
      </c>
      <c r="J361" s="1">
        <f t="shared" si="53"/>
        <v>-5.0399999999999636</v>
      </c>
      <c r="K361" s="9">
        <f t="shared" si="46"/>
        <v>-7.0068121785068311E-3</v>
      </c>
      <c r="L361" s="1">
        <f t="shared" si="47"/>
        <v>1</v>
      </c>
      <c r="M361" s="1">
        <f t="shared" si="48"/>
        <v>722.56</v>
      </c>
      <c r="N361" s="1">
        <f t="shared" si="49"/>
        <v>713.35</v>
      </c>
      <c r="O361" s="1">
        <f t="shared" si="50"/>
        <v>712.3</v>
      </c>
      <c r="P361" s="1">
        <f t="shared" si="51"/>
        <v>363.41836734693874</v>
      </c>
    </row>
    <row r="362" spans="1:16">
      <c r="A362" s="2">
        <v>42535</v>
      </c>
      <c r="B362" s="1">
        <v>712.33</v>
      </c>
      <c r="C362" s="1">
        <v>720.81</v>
      </c>
      <c r="D362" s="1">
        <v>712.27</v>
      </c>
      <c r="E362" s="1">
        <v>719.3</v>
      </c>
      <c r="F362" s="1">
        <v>2506900</v>
      </c>
      <c r="G362" s="1">
        <v>719.3</v>
      </c>
      <c r="H362" s="1">
        <f t="shared" si="45"/>
        <v>8.5399999999999636</v>
      </c>
      <c r="I362" s="9">
        <f t="shared" si="52"/>
        <v>1.1989835315259613E-2</v>
      </c>
      <c r="J362" s="1">
        <f t="shared" si="53"/>
        <v>4.0599999999999454</v>
      </c>
      <c r="K362" s="9">
        <f t="shared" si="46"/>
        <v>5.676416307812686E-3</v>
      </c>
      <c r="L362" s="1">
        <f t="shared" si="47"/>
        <v>1</v>
      </c>
      <c r="M362" s="1">
        <f t="shared" si="48"/>
        <v>720.81</v>
      </c>
      <c r="N362" s="1">
        <f t="shared" si="49"/>
        <v>712.27</v>
      </c>
      <c r="O362" s="1">
        <f t="shared" si="50"/>
        <v>717.33999999999992</v>
      </c>
      <c r="P362" s="1">
        <f t="shared" si="51"/>
        <v>365.98979591836729</v>
      </c>
    </row>
    <row r="363" spans="1:16">
      <c r="A363" s="2">
        <v>42534</v>
      </c>
      <c r="B363" s="1">
        <v>714.01</v>
      </c>
      <c r="C363" s="1">
        <v>721.99</v>
      </c>
      <c r="D363" s="1">
        <v>711.16</v>
      </c>
      <c r="E363" s="1">
        <v>715.24</v>
      </c>
      <c r="F363" s="1">
        <v>3352200</v>
      </c>
      <c r="G363" s="1">
        <v>715.24</v>
      </c>
      <c r="H363" s="1">
        <f t="shared" si="45"/>
        <v>10.830000000000041</v>
      </c>
      <c r="I363" s="9">
        <f t="shared" si="52"/>
        <v>1.5228640530963554E-2</v>
      </c>
      <c r="J363" s="1">
        <f t="shared" si="53"/>
        <v>-2.6699999999999591</v>
      </c>
      <c r="K363" s="9">
        <f t="shared" si="46"/>
        <v>-3.7191291387499259E-3</v>
      </c>
      <c r="L363" s="1">
        <f t="shared" si="47"/>
        <v>1</v>
      </c>
      <c r="M363" s="1">
        <f t="shared" si="48"/>
        <v>721.99</v>
      </c>
      <c r="N363" s="1">
        <f t="shared" si="49"/>
        <v>711.16</v>
      </c>
      <c r="O363" s="1">
        <f t="shared" si="50"/>
        <v>713.28</v>
      </c>
      <c r="P363" s="1">
        <f t="shared" si="51"/>
        <v>363.91836734693879</v>
      </c>
    </row>
    <row r="364" spans="1:16">
      <c r="A364" s="2">
        <v>42531</v>
      </c>
      <c r="B364" s="1">
        <v>722.35</v>
      </c>
      <c r="C364" s="1">
        <v>724.98</v>
      </c>
      <c r="D364" s="1">
        <v>714.21</v>
      </c>
      <c r="E364" s="1">
        <v>717.91</v>
      </c>
      <c r="F364" s="1">
        <v>3425700</v>
      </c>
      <c r="G364" s="1">
        <v>717.91</v>
      </c>
      <c r="H364" s="1">
        <f t="shared" si="45"/>
        <v>10.769999999999982</v>
      </c>
      <c r="I364" s="9">
        <f t="shared" si="52"/>
        <v>1.5079598437434342E-2</v>
      </c>
      <c r="J364" s="1">
        <f t="shared" si="53"/>
        <v>-9.7400000000000091</v>
      </c>
      <c r="K364" s="9">
        <f t="shared" si="46"/>
        <v>-1.3385556242699112E-2</v>
      </c>
      <c r="L364" s="1">
        <f t="shared" si="47"/>
        <v>1</v>
      </c>
      <c r="M364" s="1">
        <f t="shared" si="48"/>
        <v>724.98</v>
      </c>
      <c r="N364" s="1">
        <f t="shared" si="49"/>
        <v>714.21</v>
      </c>
      <c r="O364" s="1">
        <f t="shared" si="50"/>
        <v>715.94999999999993</v>
      </c>
      <c r="P364" s="1">
        <f t="shared" si="51"/>
        <v>365.28061224489795</v>
      </c>
    </row>
    <row r="365" spans="1:16">
      <c r="A365" s="2">
        <v>42530</v>
      </c>
      <c r="B365" s="1">
        <v>723.1</v>
      </c>
      <c r="C365" s="1">
        <v>728.91</v>
      </c>
      <c r="D365" s="1">
        <v>722.3</v>
      </c>
      <c r="E365" s="1">
        <v>727.65</v>
      </c>
      <c r="F365" s="1">
        <v>2170300</v>
      </c>
      <c r="G365" s="1">
        <v>727.65</v>
      </c>
      <c r="H365" s="1">
        <f t="shared" si="45"/>
        <v>6.6100000000000136</v>
      </c>
      <c r="I365" s="9">
        <f t="shared" si="52"/>
        <v>9.1513221653052937E-3</v>
      </c>
      <c r="J365" s="1">
        <f t="shared" si="53"/>
        <v>1.0099999999999909</v>
      </c>
      <c r="K365" s="9">
        <f t="shared" si="46"/>
        <v>1.3899592645601549E-3</v>
      </c>
      <c r="L365" s="1">
        <f t="shared" si="47"/>
        <v>1</v>
      </c>
      <c r="M365" s="1">
        <f t="shared" si="48"/>
        <v>728.91</v>
      </c>
      <c r="N365" s="1">
        <f t="shared" si="49"/>
        <v>722.3</v>
      </c>
      <c r="O365" s="1">
        <f t="shared" si="50"/>
        <v>725.68999999999994</v>
      </c>
      <c r="P365" s="1">
        <f t="shared" si="51"/>
        <v>370.25</v>
      </c>
    </row>
    <row r="366" spans="1:16">
      <c r="A366" s="2">
        <v>42529</v>
      </c>
      <c r="B366" s="1">
        <v>726.4</v>
      </c>
      <c r="C366" s="1">
        <v>729.42</v>
      </c>
      <c r="D366" s="1">
        <v>721.6</v>
      </c>
      <c r="E366" s="1">
        <v>726.64</v>
      </c>
      <c r="F366" s="1">
        <v>2223400</v>
      </c>
      <c r="G366" s="1">
        <v>726.64</v>
      </c>
      <c r="H366" s="1">
        <f t="shared" si="45"/>
        <v>7.8199999999999363</v>
      </c>
      <c r="I366" s="9">
        <f t="shared" si="52"/>
        <v>1.0837028824833615E-2</v>
      </c>
      <c r="J366" s="1">
        <f t="shared" si="53"/>
        <v>2.8999999999999773</v>
      </c>
      <c r="K366" s="9">
        <f t="shared" si="46"/>
        <v>4.0069638267885939E-3</v>
      </c>
      <c r="L366" s="1">
        <f t="shared" si="47"/>
        <v>1</v>
      </c>
      <c r="M366" s="1">
        <f t="shared" si="48"/>
        <v>729.42</v>
      </c>
      <c r="N366" s="1">
        <f t="shared" si="49"/>
        <v>721.6</v>
      </c>
      <c r="O366" s="1">
        <f t="shared" si="50"/>
        <v>724.68</v>
      </c>
      <c r="P366" s="1">
        <f t="shared" si="51"/>
        <v>369.73469387755102</v>
      </c>
    </row>
    <row r="367" spans="1:16">
      <c r="A367" s="2">
        <v>42528</v>
      </c>
      <c r="B367" s="1">
        <v>729.89</v>
      </c>
      <c r="C367" s="1">
        <v>730</v>
      </c>
      <c r="D367" s="1">
        <v>720.55</v>
      </c>
      <c r="E367" s="1">
        <v>723.74</v>
      </c>
      <c r="F367" s="1">
        <v>2732500</v>
      </c>
      <c r="G367" s="1">
        <v>723.74</v>
      </c>
      <c r="H367" s="1">
        <f t="shared" si="45"/>
        <v>9.4500000000000455</v>
      </c>
      <c r="I367" s="9">
        <f t="shared" si="52"/>
        <v>1.3114981611269233E-2</v>
      </c>
      <c r="J367" s="1">
        <f t="shared" si="53"/>
        <v>-2.9900000000000091</v>
      </c>
      <c r="K367" s="9">
        <f t="shared" si="46"/>
        <v>-4.1143203115324937E-3</v>
      </c>
      <c r="L367" s="1">
        <f t="shared" si="47"/>
        <v>1</v>
      </c>
      <c r="M367" s="1">
        <f t="shared" si="48"/>
        <v>730</v>
      </c>
      <c r="N367" s="1">
        <f t="shared" si="49"/>
        <v>720.55</v>
      </c>
      <c r="O367" s="1">
        <f t="shared" si="50"/>
        <v>721.78</v>
      </c>
      <c r="P367" s="1">
        <f t="shared" si="51"/>
        <v>368.25510204081633</v>
      </c>
    </row>
    <row r="368" spans="1:16">
      <c r="A368" s="2">
        <v>42527</v>
      </c>
      <c r="B368" s="1">
        <v>726.5</v>
      </c>
      <c r="C368" s="1">
        <v>731.5</v>
      </c>
      <c r="D368" s="1">
        <v>724.42</v>
      </c>
      <c r="E368" s="1">
        <v>726.73</v>
      </c>
      <c r="F368" s="1">
        <v>2704800</v>
      </c>
      <c r="G368" s="1">
        <v>726.73</v>
      </c>
      <c r="H368" s="1">
        <f t="shared" si="45"/>
        <v>7.0800000000000409</v>
      </c>
      <c r="I368" s="9">
        <f t="shared" si="52"/>
        <v>9.773335910107454E-3</v>
      </c>
      <c r="J368" s="1">
        <f t="shared" si="53"/>
        <v>1.1900000000000546</v>
      </c>
      <c r="K368" s="9">
        <f t="shared" si="46"/>
        <v>1.6401576756623407E-3</v>
      </c>
      <c r="L368" s="1">
        <f t="shared" si="47"/>
        <v>1</v>
      </c>
      <c r="M368" s="1">
        <f t="shared" si="48"/>
        <v>731.5</v>
      </c>
      <c r="N368" s="1">
        <f t="shared" si="49"/>
        <v>724.42</v>
      </c>
      <c r="O368" s="1">
        <f t="shared" si="50"/>
        <v>724.77</v>
      </c>
      <c r="P368" s="1">
        <f t="shared" si="51"/>
        <v>369.78061224489795</v>
      </c>
    </row>
    <row r="369" spans="1:16">
      <c r="A369" s="2">
        <v>42524</v>
      </c>
      <c r="B369" s="1">
        <v>726.74</v>
      </c>
      <c r="C369" s="1">
        <v>727</v>
      </c>
      <c r="D369" s="1">
        <v>718.43</v>
      </c>
      <c r="E369" s="1">
        <v>725.54</v>
      </c>
      <c r="F369" s="1">
        <v>3367300</v>
      </c>
      <c r="G369" s="1">
        <v>725.54</v>
      </c>
      <c r="H369" s="1">
        <f t="shared" si="45"/>
        <v>8.57000000000005</v>
      </c>
      <c r="I369" s="9">
        <f t="shared" si="52"/>
        <v>1.1928789165263213E-2</v>
      </c>
      <c r="J369" s="1">
        <f t="shared" si="53"/>
        <v>-2.7000000000000455</v>
      </c>
      <c r="K369" s="9">
        <f t="shared" si="46"/>
        <v>-3.7075689333187487E-3</v>
      </c>
      <c r="L369" s="1">
        <f t="shared" si="47"/>
        <v>1</v>
      </c>
      <c r="M369" s="1">
        <f t="shared" si="48"/>
        <v>727</v>
      </c>
      <c r="N369" s="1">
        <f t="shared" si="49"/>
        <v>718.43</v>
      </c>
      <c r="O369" s="1">
        <f t="shared" si="50"/>
        <v>723.57999999999993</v>
      </c>
      <c r="P369" s="1">
        <f t="shared" si="51"/>
        <v>369.17346938775506</v>
      </c>
    </row>
    <row r="370" spans="1:16">
      <c r="A370" s="2">
        <v>42523</v>
      </c>
      <c r="B370" s="1">
        <v>720.97</v>
      </c>
      <c r="C370" s="1">
        <v>728.28</v>
      </c>
      <c r="D370" s="1">
        <v>715.5</v>
      </c>
      <c r="E370" s="1">
        <v>728.24</v>
      </c>
      <c r="F370" s="1">
        <v>3020700</v>
      </c>
      <c r="G370" s="1">
        <v>728.24</v>
      </c>
      <c r="H370" s="1">
        <f t="shared" si="45"/>
        <v>12.779999999999973</v>
      </c>
      <c r="I370" s="9">
        <f t="shared" si="52"/>
        <v>1.7861635220125748E-2</v>
      </c>
      <c r="J370" s="1">
        <f t="shared" si="53"/>
        <v>8.7999999999999545</v>
      </c>
      <c r="K370" s="9">
        <f t="shared" si="46"/>
        <v>1.2231735794506775E-2</v>
      </c>
      <c r="L370" s="1">
        <f t="shared" si="47"/>
        <v>1</v>
      </c>
      <c r="M370" s="1">
        <f t="shared" si="48"/>
        <v>728.28</v>
      </c>
      <c r="N370" s="1">
        <f t="shared" si="49"/>
        <v>715.5</v>
      </c>
      <c r="O370" s="1">
        <f t="shared" si="50"/>
        <v>726.28</v>
      </c>
      <c r="P370" s="1">
        <f t="shared" si="51"/>
        <v>370.55102040816325</v>
      </c>
    </row>
    <row r="371" spans="1:16">
      <c r="A371" s="2">
        <v>42522</v>
      </c>
      <c r="B371" s="1">
        <v>720.9</v>
      </c>
      <c r="C371" s="1">
        <v>726.43</v>
      </c>
      <c r="D371" s="1">
        <v>718.22</v>
      </c>
      <c r="E371" s="1">
        <v>719.44</v>
      </c>
      <c r="F371" s="1">
        <v>3263100</v>
      </c>
      <c r="G371" s="1">
        <v>719.44</v>
      </c>
      <c r="H371" s="1">
        <f t="shared" si="45"/>
        <v>8.2099999999999227</v>
      </c>
      <c r="I371" s="9">
        <f t="shared" si="52"/>
        <v>1.1431037843557576E-2</v>
      </c>
      <c r="J371" s="1">
        <f t="shared" si="53"/>
        <v>-3.3499999999999091</v>
      </c>
      <c r="K371" s="9">
        <f t="shared" si="46"/>
        <v>-4.6348178585756709E-3</v>
      </c>
      <c r="L371" s="1">
        <f t="shared" si="47"/>
        <v>1</v>
      </c>
      <c r="M371" s="1">
        <f t="shared" si="48"/>
        <v>726.43</v>
      </c>
      <c r="N371" s="1">
        <f t="shared" si="49"/>
        <v>718.22</v>
      </c>
      <c r="O371" s="1">
        <f t="shared" si="50"/>
        <v>717.48</v>
      </c>
      <c r="P371" s="1">
        <f t="shared" si="51"/>
        <v>366.06122448979596</v>
      </c>
    </row>
    <row r="372" spans="1:16">
      <c r="A372" s="2">
        <v>42521</v>
      </c>
      <c r="B372" s="1">
        <v>712.33</v>
      </c>
      <c r="C372" s="1">
        <v>724.23</v>
      </c>
      <c r="D372" s="1">
        <v>711.32</v>
      </c>
      <c r="E372" s="1">
        <v>722.79</v>
      </c>
      <c r="F372" s="1">
        <v>3618300</v>
      </c>
      <c r="G372" s="1">
        <v>722.79</v>
      </c>
      <c r="H372" s="1">
        <f t="shared" si="45"/>
        <v>12.909999999999968</v>
      </c>
      <c r="I372" s="9">
        <f t="shared" si="52"/>
        <v>1.8149356126637754E-2</v>
      </c>
      <c r="J372" s="1">
        <f t="shared" si="53"/>
        <v>10.549999999999955</v>
      </c>
      <c r="K372" s="9">
        <f t="shared" si="46"/>
        <v>1.4812422778838531E-2</v>
      </c>
      <c r="L372" s="1">
        <f t="shared" si="47"/>
        <v>1</v>
      </c>
      <c r="M372" s="1">
        <f t="shared" si="48"/>
        <v>724.23</v>
      </c>
      <c r="N372" s="1">
        <f t="shared" si="49"/>
        <v>711.32</v>
      </c>
      <c r="O372" s="1">
        <f t="shared" si="50"/>
        <v>720.82999999999993</v>
      </c>
      <c r="P372" s="1">
        <f t="shared" si="51"/>
        <v>367.7704081632653</v>
      </c>
    </row>
    <row r="373" spans="1:16">
      <c r="A373" s="2">
        <v>42517</v>
      </c>
      <c r="B373" s="1">
        <v>715</v>
      </c>
      <c r="C373" s="1">
        <v>716.6</v>
      </c>
      <c r="D373" s="1">
        <v>711.1</v>
      </c>
      <c r="E373" s="1">
        <v>712.24</v>
      </c>
      <c r="F373" s="1">
        <v>2249200</v>
      </c>
      <c r="G373" s="1">
        <v>712.24</v>
      </c>
      <c r="H373" s="1">
        <f t="shared" si="45"/>
        <v>5.5</v>
      </c>
      <c r="I373" s="9">
        <f t="shared" si="52"/>
        <v>7.7344958514976797E-3</v>
      </c>
      <c r="J373" s="1">
        <f t="shared" si="53"/>
        <v>-2.6699999999999591</v>
      </c>
      <c r="K373" s="9">
        <f t="shared" si="46"/>
        <v>-3.7347358408750179E-3</v>
      </c>
      <c r="L373" s="1">
        <f t="shared" si="47"/>
        <v>1</v>
      </c>
      <c r="M373" s="1">
        <f t="shared" si="48"/>
        <v>716.6</v>
      </c>
      <c r="N373" s="1">
        <f t="shared" si="49"/>
        <v>711.1</v>
      </c>
      <c r="O373" s="1">
        <f t="shared" si="50"/>
        <v>710.28</v>
      </c>
      <c r="P373" s="1">
        <f t="shared" si="51"/>
        <v>362.38775510204079</v>
      </c>
    </row>
    <row r="374" spans="1:16">
      <c r="A374" s="2">
        <v>42516</v>
      </c>
      <c r="B374" s="1">
        <v>708.33</v>
      </c>
      <c r="C374" s="1">
        <v>715</v>
      </c>
      <c r="D374" s="1">
        <v>707.29</v>
      </c>
      <c r="E374" s="1">
        <v>714.91</v>
      </c>
      <c r="F374" s="1">
        <v>2436800</v>
      </c>
      <c r="G374" s="1">
        <v>714.91</v>
      </c>
      <c r="H374" s="1">
        <f t="shared" si="45"/>
        <v>7.7100000000000364</v>
      </c>
      <c r="I374" s="9">
        <f t="shared" si="52"/>
        <v>1.0900762063651454E-2</v>
      </c>
      <c r="J374" s="1">
        <f t="shared" si="53"/>
        <v>6.5599999999999454</v>
      </c>
      <c r="K374" s="9">
        <f t="shared" si="46"/>
        <v>9.2609585656807294E-3</v>
      </c>
      <c r="L374" s="1">
        <f t="shared" si="47"/>
        <v>1</v>
      </c>
      <c r="M374" s="1">
        <f t="shared" si="48"/>
        <v>715</v>
      </c>
      <c r="N374" s="1">
        <f t="shared" si="49"/>
        <v>707.29</v>
      </c>
      <c r="O374" s="1">
        <f t="shared" si="50"/>
        <v>712.94999999999993</v>
      </c>
      <c r="P374" s="1">
        <f t="shared" si="51"/>
        <v>363.75</v>
      </c>
    </row>
    <row r="375" spans="1:16">
      <c r="A375" s="2">
        <v>42515</v>
      </c>
      <c r="B375" s="1">
        <v>708</v>
      </c>
      <c r="C375" s="1">
        <v>710.86</v>
      </c>
      <c r="D375" s="1">
        <v>705.52</v>
      </c>
      <c r="E375" s="1">
        <v>708.35</v>
      </c>
      <c r="F375" s="1">
        <v>3267700</v>
      </c>
      <c r="G375" s="1">
        <v>708.35</v>
      </c>
      <c r="H375" s="1">
        <f t="shared" si="45"/>
        <v>5.3400000000000318</v>
      </c>
      <c r="I375" s="9">
        <f t="shared" si="52"/>
        <v>7.568885361152103E-3</v>
      </c>
      <c r="J375" s="1">
        <f t="shared" si="53"/>
        <v>4.1499999999999773</v>
      </c>
      <c r="K375" s="9">
        <f t="shared" si="46"/>
        <v>5.8932121556375706E-3</v>
      </c>
      <c r="L375" s="1">
        <f t="shared" si="47"/>
        <v>1</v>
      </c>
      <c r="M375" s="1">
        <f t="shared" si="48"/>
        <v>710.86</v>
      </c>
      <c r="N375" s="1">
        <f t="shared" si="49"/>
        <v>705.52</v>
      </c>
      <c r="O375" s="1">
        <f t="shared" si="50"/>
        <v>706.39</v>
      </c>
      <c r="P375" s="1">
        <f t="shared" si="51"/>
        <v>360.40306122448982</v>
      </c>
    </row>
    <row r="376" spans="1:16">
      <c r="A376" s="2">
        <v>42514</v>
      </c>
      <c r="B376" s="1">
        <v>698.01</v>
      </c>
      <c r="C376" s="1">
        <v>707.5</v>
      </c>
      <c r="D376" s="1">
        <v>698</v>
      </c>
      <c r="E376" s="1">
        <v>704.2</v>
      </c>
      <c r="F376" s="1">
        <v>3033800</v>
      </c>
      <c r="G376" s="1">
        <v>704.2</v>
      </c>
      <c r="H376" s="1">
        <f t="shared" si="45"/>
        <v>9.5</v>
      </c>
      <c r="I376" s="9">
        <f t="shared" si="52"/>
        <v>1.3610315186246419E-2</v>
      </c>
      <c r="J376" s="1">
        <f t="shared" si="53"/>
        <v>7.4500000000000455</v>
      </c>
      <c r="K376" s="9">
        <f t="shared" si="46"/>
        <v>1.0692500897021952E-2</v>
      </c>
      <c r="L376" s="1">
        <f t="shared" si="47"/>
        <v>1</v>
      </c>
      <c r="M376" s="1">
        <f t="shared" si="48"/>
        <v>707.5</v>
      </c>
      <c r="N376" s="1">
        <f t="shared" si="49"/>
        <v>698</v>
      </c>
      <c r="O376" s="1">
        <f t="shared" si="50"/>
        <v>702.24</v>
      </c>
      <c r="P376" s="1">
        <f t="shared" si="51"/>
        <v>358.28571428571428</v>
      </c>
    </row>
    <row r="377" spans="1:16">
      <c r="A377" s="2">
        <v>42513</v>
      </c>
      <c r="B377" s="1">
        <v>704.25</v>
      </c>
      <c r="C377" s="1">
        <v>706</v>
      </c>
      <c r="D377" s="1">
        <v>696.42</v>
      </c>
      <c r="E377" s="1">
        <v>696.75</v>
      </c>
      <c r="F377" s="1">
        <v>2579200</v>
      </c>
      <c r="G377" s="1">
        <v>696.75</v>
      </c>
      <c r="H377" s="1">
        <f t="shared" si="45"/>
        <v>9.5800000000000409</v>
      </c>
      <c r="I377" s="9">
        <f t="shared" si="52"/>
        <v>1.3756066741334312E-2</v>
      </c>
      <c r="J377" s="1">
        <f t="shared" si="53"/>
        <v>-6.0499999999999545</v>
      </c>
      <c r="K377" s="9">
        <f t="shared" si="46"/>
        <v>-8.6084234490608359E-3</v>
      </c>
      <c r="L377" s="1">
        <f t="shared" si="47"/>
        <v>1</v>
      </c>
      <c r="M377" s="1">
        <f t="shared" si="48"/>
        <v>706</v>
      </c>
      <c r="N377" s="1">
        <f t="shared" si="49"/>
        <v>696.42</v>
      </c>
      <c r="O377" s="1">
        <f t="shared" si="50"/>
        <v>694.79</v>
      </c>
      <c r="P377" s="1">
        <f t="shared" si="51"/>
        <v>354.48469387755102</v>
      </c>
    </row>
    <row r="378" spans="1:16">
      <c r="A378" s="2">
        <v>42510</v>
      </c>
      <c r="B378" s="1">
        <v>701.05</v>
      </c>
      <c r="C378" s="1">
        <v>707.24</v>
      </c>
      <c r="D378" s="1">
        <v>700</v>
      </c>
      <c r="E378" s="1">
        <v>702.8</v>
      </c>
      <c r="F378" s="1">
        <v>2916200</v>
      </c>
      <c r="G378" s="1">
        <v>702.8</v>
      </c>
      <c r="H378" s="1">
        <f t="shared" si="45"/>
        <v>7.2400000000000091</v>
      </c>
      <c r="I378" s="9">
        <f t="shared" si="52"/>
        <v>1.0342857142857155E-2</v>
      </c>
      <c r="J378" s="1">
        <f t="shared" si="53"/>
        <v>4.2799999999999727</v>
      </c>
      <c r="K378" s="9">
        <f t="shared" si="46"/>
        <v>6.1272404512397252E-3</v>
      </c>
      <c r="L378" s="1">
        <f t="shared" si="47"/>
        <v>1</v>
      </c>
      <c r="M378" s="1">
        <f t="shared" si="48"/>
        <v>707.24</v>
      </c>
      <c r="N378" s="1">
        <f t="shared" si="49"/>
        <v>700</v>
      </c>
      <c r="O378" s="1">
        <f t="shared" si="50"/>
        <v>700.83999999999992</v>
      </c>
      <c r="P378" s="1">
        <f t="shared" si="51"/>
        <v>357.57142857142856</v>
      </c>
    </row>
    <row r="379" spans="1:16">
      <c r="A379" s="2">
        <v>42509</v>
      </c>
      <c r="B379" s="1">
        <v>691.88</v>
      </c>
      <c r="C379" s="1">
        <v>699.4</v>
      </c>
      <c r="D379" s="1">
        <v>689.56</v>
      </c>
      <c r="E379" s="1">
        <v>698.52</v>
      </c>
      <c r="F379" s="1">
        <v>3025600</v>
      </c>
      <c r="G379" s="1">
        <v>698.52</v>
      </c>
      <c r="H379" s="1">
        <f t="shared" si="45"/>
        <v>9.8400000000000318</v>
      </c>
      <c r="I379" s="9">
        <f t="shared" si="52"/>
        <v>1.4269969255757341E-2</v>
      </c>
      <c r="J379" s="1">
        <f t="shared" si="53"/>
        <v>1.0699999999999363</v>
      </c>
      <c r="K379" s="9">
        <f t="shared" si="46"/>
        <v>1.5341601548497187E-3</v>
      </c>
      <c r="L379" s="1">
        <f t="shared" si="47"/>
        <v>1</v>
      </c>
      <c r="M379" s="1">
        <f t="shared" si="48"/>
        <v>699.4</v>
      </c>
      <c r="N379" s="1">
        <f t="shared" si="49"/>
        <v>689.56</v>
      </c>
      <c r="O379" s="1">
        <f t="shared" si="50"/>
        <v>696.56</v>
      </c>
      <c r="P379" s="1">
        <f t="shared" si="51"/>
        <v>355.38775510204079</v>
      </c>
    </row>
    <row r="380" spans="1:16">
      <c r="A380" s="2">
        <v>42508</v>
      </c>
      <c r="B380" s="1">
        <v>689.56</v>
      </c>
      <c r="C380" s="1">
        <v>702.54</v>
      </c>
      <c r="D380" s="1">
        <v>688.76</v>
      </c>
      <c r="E380" s="1">
        <v>697.45</v>
      </c>
      <c r="F380" s="1">
        <v>4283200</v>
      </c>
      <c r="G380" s="1">
        <v>697.45</v>
      </c>
      <c r="H380" s="1">
        <f t="shared" si="45"/>
        <v>13.779999999999973</v>
      </c>
      <c r="I380" s="9">
        <f t="shared" si="52"/>
        <v>2.0006969045821436E-2</v>
      </c>
      <c r="J380" s="1">
        <f t="shared" si="53"/>
        <v>2.1800000000000637</v>
      </c>
      <c r="K380" s="9">
        <f t="shared" si="46"/>
        <v>3.1354725502323755E-3</v>
      </c>
      <c r="L380" s="1">
        <f t="shared" si="47"/>
        <v>1</v>
      </c>
      <c r="M380" s="1">
        <f t="shared" si="48"/>
        <v>702.54</v>
      </c>
      <c r="N380" s="1">
        <f t="shared" si="49"/>
        <v>688.76</v>
      </c>
      <c r="O380" s="1">
        <f t="shared" si="50"/>
        <v>695.49</v>
      </c>
      <c r="P380" s="1">
        <f t="shared" si="51"/>
        <v>354.84183673469391</v>
      </c>
    </row>
    <row r="381" spans="1:16">
      <c r="A381" s="2">
        <v>42507</v>
      </c>
      <c r="B381" s="1">
        <v>709.9</v>
      </c>
      <c r="C381" s="1">
        <v>714.47</v>
      </c>
      <c r="D381" s="1">
        <v>693.91</v>
      </c>
      <c r="E381" s="1">
        <v>695.27</v>
      </c>
      <c r="F381" s="1">
        <v>5121400</v>
      </c>
      <c r="G381" s="1">
        <v>695.27</v>
      </c>
      <c r="H381" s="1">
        <f t="shared" si="45"/>
        <v>20.560000000000059</v>
      </c>
      <c r="I381" s="9">
        <f t="shared" si="52"/>
        <v>2.9629202634347481E-2</v>
      </c>
      <c r="J381" s="1">
        <f t="shared" si="53"/>
        <v>-15.389999999999986</v>
      </c>
      <c r="K381" s="9">
        <f t="shared" si="46"/>
        <v>-2.1655925477724915E-2</v>
      </c>
      <c r="L381" s="1">
        <f t="shared" si="47"/>
        <v>1</v>
      </c>
      <c r="M381" s="1">
        <f t="shared" si="48"/>
        <v>714.47</v>
      </c>
      <c r="N381" s="1">
        <f t="shared" si="49"/>
        <v>693.91</v>
      </c>
      <c r="O381" s="1">
        <f t="shared" si="50"/>
        <v>693.31</v>
      </c>
      <c r="P381" s="1">
        <f t="shared" si="51"/>
        <v>353.7295918367347</v>
      </c>
    </row>
    <row r="382" spans="1:16">
      <c r="A382" s="2">
        <v>42506</v>
      </c>
      <c r="B382" s="1">
        <v>710.13</v>
      </c>
      <c r="C382" s="1">
        <v>713.25</v>
      </c>
      <c r="D382" s="1">
        <v>700.28</v>
      </c>
      <c r="E382" s="1">
        <v>710.66</v>
      </c>
      <c r="F382" s="1">
        <v>5432900</v>
      </c>
      <c r="G382" s="1">
        <v>710.66</v>
      </c>
      <c r="H382" s="1">
        <f t="shared" si="45"/>
        <v>12.970000000000027</v>
      </c>
      <c r="I382" s="9">
        <f t="shared" si="52"/>
        <v>1.8521162963386115E-2</v>
      </c>
      <c r="J382" s="1">
        <f t="shared" si="53"/>
        <v>0.74000000000000909</v>
      </c>
      <c r="K382" s="9">
        <f t="shared" si="46"/>
        <v>1.0423709713770694E-3</v>
      </c>
      <c r="L382" s="1">
        <f t="shared" si="47"/>
        <v>1</v>
      </c>
      <c r="M382" s="1">
        <f t="shared" si="48"/>
        <v>713.25</v>
      </c>
      <c r="N382" s="1">
        <f t="shared" si="49"/>
        <v>700.28</v>
      </c>
      <c r="O382" s="1">
        <f t="shared" si="50"/>
        <v>708.69999999999993</v>
      </c>
      <c r="P382" s="1">
        <f t="shared" si="51"/>
        <v>361.58163265306121</v>
      </c>
    </row>
    <row r="383" spans="1:16">
      <c r="A383" s="2">
        <v>42503</v>
      </c>
      <c r="B383" s="1">
        <v>714.64</v>
      </c>
      <c r="C383" s="1">
        <v>719.25</v>
      </c>
      <c r="D383" s="1">
        <v>706.51</v>
      </c>
      <c r="E383" s="1">
        <v>709.92</v>
      </c>
      <c r="F383" s="1">
        <v>4763400</v>
      </c>
      <c r="G383" s="1">
        <v>709.92</v>
      </c>
      <c r="H383" s="1">
        <f t="shared" si="45"/>
        <v>12.740000000000009</v>
      </c>
      <c r="I383" s="9">
        <f t="shared" si="52"/>
        <v>1.8032299613593594E-2</v>
      </c>
      <c r="J383" s="1">
        <f t="shared" si="53"/>
        <v>-8.0099999999999909</v>
      </c>
      <c r="K383" s="9">
        <f t="shared" si="46"/>
        <v>-1.1157076595211221E-2</v>
      </c>
      <c r="L383" s="1">
        <f t="shared" si="47"/>
        <v>1</v>
      </c>
      <c r="M383" s="1">
        <f t="shared" si="48"/>
        <v>719.25</v>
      </c>
      <c r="N383" s="1">
        <f t="shared" si="49"/>
        <v>706.51</v>
      </c>
      <c r="O383" s="1">
        <f t="shared" si="50"/>
        <v>707.95999999999992</v>
      </c>
      <c r="P383" s="1">
        <f t="shared" si="51"/>
        <v>361.20408163265301</v>
      </c>
    </row>
    <row r="384" spans="1:16">
      <c r="A384" s="2">
        <v>42502</v>
      </c>
      <c r="B384" s="1">
        <v>717.38</v>
      </c>
      <c r="C384" s="1">
        <v>722.45</v>
      </c>
      <c r="D384" s="1">
        <v>711.51</v>
      </c>
      <c r="E384" s="1">
        <v>717.93</v>
      </c>
      <c r="F384" s="1">
        <v>5048200</v>
      </c>
      <c r="G384" s="1">
        <v>717.93</v>
      </c>
      <c r="H384" s="1">
        <f t="shared" si="45"/>
        <v>10.940000000000055</v>
      </c>
      <c r="I384" s="9">
        <f t="shared" si="52"/>
        <v>1.5375750165141817E-2</v>
      </c>
      <c r="J384" s="1">
        <f t="shared" si="53"/>
        <v>4.6999999999999318</v>
      </c>
      <c r="K384" s="9">
        <f t="shared" si="46"/>
        <v>6.5897396351807013E-3</v>
      </c>
      <c r="L384" s="1">
        <f t="shared" si="47"/>
        <v>1</v>
      </c>
      <c r="M384" s="1">
        <f t="shared" si="48"/>
        <v>722.45</v>
      </c>
      <c r="N384" s="1">
        <f t="shared" si="49"/>
        <v>711.51</v>
      </c>
      <c r="O384" s="1">
        <f t="shared" si="50"/>
        <v>715.96999999999991</v>
      </c>
      <c r="P384" s="1">
        <f t="shared" si="51"/>
        <v>365.2908163265306</v>
      </c>
    </row>
    <row r="385" spans="1:16">
      <c r="A385" s="2">
        <v>42501</v>
      </c>
      <c r="B385" s="1">
        <v>705.79</v>
      </c>
      <c r="C385" s="1">
        <v>719</v>
      </c>
      <c r="D385" s="1">
        <v>701.65</v>
      </c>
      <c r="E385" s="1">
        <v>713.23</v>
      </c>
      <c r="F385" s="1">
        <v>7338200</v>
      </c>
      <c r="G385" s="1">
        <v>713.23</v>
      </c>
      <c r="H385" s="1">
        <f t="shared" si="45"/>
        <v>17.350000000000023</v>
      </c>
      <c r="I385" s="9">
        <f t="shared" si="52"/>
        <v>2.4727428204945518E-2</v>
      </c>
      <c r="J385" s="1">
        <f t="shared" si="53"/>
        <v>10.159999999999968</v>
      </c>
      <c r="K385" s="9">
        <f t="shared" si="46"/>
        <v>1.4450908159927131E-2</v>
      </c>
      <c r="L385" s="1">
        <f t="shared" si="47"/>
        <v>1</v>
      </c>
      <c r="M385" s="1">
        <f t="shared" si="48"/>
        <v>719</v>
      </c>
      <c r="N385" s="1">
        <f t="shared" si="49"/>
        <v>701.65</v>
      </c>
      <c r="O385" s="1">
        <f t="shared" si="50"/>
        <v>711.27</v>
      </c>
      <c r="P385" s="1">
        <f t="shared" si="51"/>
        <v>362.89285714285717</v>
      </c>
    </row>
    <row r="386" spans="1:16">
      <c r="A386" s="2">
        <v>42500</v>
      </c>
      <c r="B386" s="1">
        <v>694</v>
      </c>
      <c r="C386" s="1">
        <v>704.55</v>
      </c>
      <c r="D386" s="1">
        <v>693.5</v>
      </c>
      <c r="E386" s="1">
        <v>703.07</v>
      </c>
      <c r="F386" s="1">
        <v>6087000</v>
      </c>
      <c r="G386" s="1">
        <v>703.07</v>
      </c>
      <c r="H386" s="1">
        <f t="shared" si="45"/>
        <v>11.049999999999955</v>
      </c>
      <c r="I386" s="9">
        <f t="shared" si="52"/>
        <v>1.5933669790915581E-2</v>
      </c>
      <c r="J386" s="1">
        <f t="shared" si="53"/>
        <v>23.32000000000005</v>
      </c>
      <c r="K386" s="9">
        <f t="shared" si="46"/>
        <v>3.4306730415594039E-2</v>
      </c>
      <c r="L386" s="1">
        <f t="shared" si="47"/>
        <v>1</v>
      </c>
      <c r="M386" s="1">
        <f t="shared" si="48"/>
        <v>704.55</v>
      </c>
      <c r="N386" s="1">
        <f t="shared" si="49"/>
        <v>693.5</v>
      </c>
      <c r="O386" s="1">
        <f t="shared" si="50"/>
        <v>701.11</v>
      </c>
      <c r="P386" s="1">
        <f t="shared" si="51"/>
        <v>357.7091836734694</v>
      </c>
    </row>
    <row r="387" spans="1:16">
      <c r="A387" s="2">
        <v>42499</v>
      </c>
      <c r="B387" s="1">
        <v>673.95</v>
      </c>
      <c r="C387" s="1">
        <v>686.98</v>
      </c>
      <c r="D387" s="1">
        <v>671.41</v>
      </c>
      <c r="E387" s="1">
        <v>679.75</v>
      </c>
      <c r="F387" s="1">
        <v>3982200</v>
      </c>
      <c r="G387" s="1">
        <v>679.75</v>
      </c>
      <c r="H387" s="1">
        <f t="shared" ref="H387:H450" si="54">C387-D387</f>
        <v>15.57000000000005</v>
      </c>
      <c r="I387" s="9">
        <f t="shared" si="52"/>
        <v>2.3190003127746162E-2</v>
      </c>
      <c r="J387" s="1">
        <f t="shared" si="53"/>
        <v>5.7999999999999545</v>
      </c>
      <c r="K387" s="9">
        <f t="shared" ref="K387:K450" si="55">(G387-G388)/G388</f>
        <v>8.6059796720824311E-3</v>
      </c>
      <c r="L387" s="1">
        <f t="shared" ref="L387:L450" si="56">G387/E387</f>
        <v>1</v>
      </c>
      <c r="M387" s="1">
        <f t="shared" ref="M387:M450" si="57">L387*C387</f>
        <v>686.98</v>
      </c>
      <c r="N387" s="1">
        <f t="shared" ref="N387:N450" si="58">L387*D387</f>
        <v>671.41</v>
      </c>
      <c r="O387" s="1">
        <f t="shared" ref="O387:O450" si="59">G387-$G$5163</f>
        <v>677.79</v>
      </c>
      <c r="P387" s="1">
        <f t="shared" ref="P387:P450" si="60">(G387-$G$5163)/$G$5163</f>
        <v>345.8112244897959</v>
      </c>
    </row>
    <row r="388" spans="1:16">
      <c r="A388" s="2">
        <v>42496</v>
      </c>
      <c r="B388" s="1">
        <v>656.05</v>
      </c>
      <c r="C388" s="1">
        <v>676.95</v>
      </c>
      <c r="D388" s="1">
        <v>656.01</v>
      </c>
      <c r="E388" s="1">
        <v>673.95</v>
      </c>
      <c r="F388" s="1">
        <v>4365300</v>
      </c>
      <c r="G388" s="1">
        <v>673.95</v>
      </c>
      <c r="H388" s="1">
        <f t="shared" si="54"/>
        <v>20.940000000000055</v>
      </c>
      <c r="I388" s="9">
        <f t="shared" ref="I388:I451" si="61">(C388-D388)/D388</f>
        <v>3.1920245118214743E-2</v>
      </c>
      <c r="J388" s="1">
        <f t="shared" ref="J388:J451" si="62">G388-G389</f>
        <v>14.860000000000014</v>
      </c>
      <c r="K388" s="9">
        <f t="shared" si="55"/>
        <v>2.2546237994811046E-2</v>
      </c>
      <c r="L388" s="1">
        <f t="shared" si="56"/>
        <v>1</v>
      </c>
      <c r="M388" s="1">
        <f t="shared" si="57"/>
        <v>676.95</v>
      </c>
      <c r="N388" s="1">
        <f t="shared" si="58"/>
        <v>656.01</v>
      </c>
      <c r="O388" s="1">
        <f t="shared" si="59"/>
        <v>671.99</v>
      </c>
      <c r="P388" s="1">
        <f t="shared" si="60"/>
        <v>342.85204081632656</v>
      </c>
    </row>
    <row r="389" spans="1:16">
      <c r="A389" s="2">
        <v>42495</v>
      </c>
      <c r="B389" s="1">
        <v>673.31</v>
      </c>
      <c r="C389" s="1">
        <v>676.49</v>
      </c>
      <c r="D389" s="1">
        <v>656</v>
      </c>
      <c r="E389" s="1">
        <v>659.09</v>
      </c>
      <c r="F389" s="1">
        <v>4884100</v>
      </c>
      <c r="G389" s="1">
        <v>659.09</v>
      </c>
      <c r="H389" s="1">
        <f t="shared" si="54"/>
        <v>20.490000000000009</v>
      </c>
      <c r="I389" s="9">
        <f t="shared" si="61"/>
        <v>3.1234756097560989E-2</v>
      </c>
      <c r="J389" s="1">
        <f t="shared" si="62"/>
        <v>-11.809999999999945</v>
      </c>
      <c r="K389" s="9">
        <f t="shared" si="55"/>
        <v>-1.7603219555820459E-2</v>
      </c>
      <c r="L389" s="1">
        <f t="shared" si="56"/>
        <v>1</v>
      </c>
      <c r="M389" s="1">
        <f t="shared" si="57"/>
        <v>676.49</v>
      </c>
      <c r="N389" s="1">
        <f t="shared" si="58"/>
        <v>656</v>
      </c>
      <c r="O389" s="1">
        <f t="shared" si="59"/>
        <v>657.13</v>
      </c>
      <c r="P389" s="1">
        <f t="shared" si="60"/>
        <v>335.2704081632653</v>
      </c>
    </row>
    <row r="390" spans="1:16">
      <c r="A390" s="2">
        <v>42494</v>
      </c>
      <c r="B390" s="1">
        <v>662.59</v>
      </c>
      <c r="C390" s="1">
        <v>674</v>
      </c>
      <c r="D390" s="1">
        <v>662.14</v>
      </c>
      <c r="E390" s="1">
        <v>670.9</v>
      </c>
      <c r="F390" s="1">
        <v>4574500</v>
      </c>
      <c r="G390" s="1">
        <v>670.9</v>
      </c>
      <c r="H390" s="1">
        <f t="shared" si="54"/>
        <v>11.860000000000014</v>
      </c>
      <c r="I390" s="9">
        <f t="shared" si="61"/>
        <v>1.7911619899115012E-2</v>
      </c>
      <c r="J390" s="1">
        <f t="shared" si="62"/>
        <v>-0.42000000000007276</v>
      </c>
      <c r="K390" s="9">
        <f t="shared" si="55"/>
        <v>-6.2563308109407243E-4</v>
      </c>
      <c r="L390" s="1">
        <f t="shared" si="56"/>
        <v>1</v>
      </c>
      <c r="M390" s="1">
        <f t="shared" si="57"/>
        <v>674</v>
      </c>
      <c r="N390" s="1">
        <f t="shared" si="58"/>
        <v>662.14</v>
      </c>
      <c r="O390" s="1">
        <f t="shared" si="59"/>
        <v>668.93999999999994</v>
      </c>
      <c r="P390" s="1">
        <f t="shared" si="60"/>
        <v>341.29591836734693</v>
      </c>
    </row>
    <row r="391" spans="1:16">
      <c r="A391" s="2">
        <v>42493</v>
      </c>
      <c r="B391" s="1">
        <v>677.36</v>
      </c>
      <c r="C391" s="1">
        <v>680.3</v>
      </c>
      <c r="D391" s="1">
        <v>670.43</v>
      </c>
      <c r="E391" s="1">
        <v>671.32</v>
      </c>
      <c r="F391" s="1">
        <v>4923400</v>
      </c>
      <c r="G391" s="1">
        <v>671.32</v>
      </c>
      <c r="H391" s="1">
        <f t="shared" si="54"/>
        <v>9.8700000000000045</v>
      </c>
      <c r="I391" s="9">
        <f t="shared" si="61"/>
        <v>1.4721894903271042E-2</v>
      </c>
      <c r="J391" s="1">
        <f t="shared" si="62"/>
        <v>-12.529999999999973</v>
      </c>
      <c r="K391" s="9">
        <f t="shared" si="55"/>
        <v>-1.83227315931856E-2</v>
      </c>
      <c r="L391" s="1">
        <f t="shared" si="56"/>
        <v>1</v>
      </c>
      <c r="M391" s="1">
        <f t="shared" si="57"/>
        <v>680.3</v>
      </c>
      <c r="N391" s="1">
        <f t="shared" si="58"/>
        <v>670.43</v>
      </c>
      <c r="O391" s="1">
        <f t="shared" si="59"/>
        <v>669.36</v>
      </c>
      <c r="P391" s="1">
        <f t="shared" si="60"/>
        <v>341.51020408163265</v>
      </c>
    </row>
    <row r="392" spans="1:16">
      <c r="A392" s="2">
        <v>42492</v>
      </c>
      <c r="B392" s="1">
        <v>663.92</v>
      </c>
      <c r="C392" s="1">
        <v>685.5</v>
      </c>
      <c r="D392" s="1">
        <v>662.03</v>
      </c>
      <c r="E392" s="1">
        <v>683.85</v>
      </c>
      <c r="F392" s="1">
        <v>6578500</v>
      </c>
      <c r="G392" s="1">
        <v>683.85</v>
      </c>
      <c r="H392" s="1">
        <f t="shared" si="54"/>
        <v>23.470000000000027</v>
      </c>
      <c r="I392" s="9">
        <f t="shared" si="61"/>
        <v>3.5451565639019425E-2</v>
      </c>
      <c r="J392" s="1">
        <f t="shared" si="62"/>
        <v>24.259999999999991</v>
      </c>
      <c r="K392" s="9">
        <f t="shared" si="55"/>
        <v>3.6780424202913914E-2</v>
      </c>
      <c r="L392" s="1">
        <f t="shared" si="56"/>
        <v>1</v>
      </c>
      <c r="M392" s="1">
        <f t="shared" si="57"/>
        <v>685.5</v>
      </c>
      <c r="N392" s="1">
        <f t="shared" si="58"/>
        <v>662.03</v>
      </c>
      <c r="O392" s="1">
        <f t="shared" si="59"/>
        <v>681.89</v>
      </c>
      <c r="P392" s="1">
        <f t="shared" si="60"/>
        <v>347.90306122448982</v>
      </c>
    </row>
    <row r="393" spans="1:16">
      <c r="A393" s="2">
        <v>42489</v>
      </c>
      <c r="B393" s="1">
        <v>666</v>
      </c>
      <c r="C393" s="1">
        <v>669.98</v>
      </c>
      <c r="D393" s="1">
        <v>654</v>
      </c>
      <c r="E393" s="1">
        <v>659.59</v>
      </c>
      <c r="F393" s="1">
        <v>10310700</v>
      </c>
      <c r="G393" s="1">
        <v>659.59</v>
      </c>
      <c r="H393" s="1">
        <f t="shared" si="54"/>
        <v>15.980000000000018</v>
      </c>
      <c r="I393" s="9">
        <f t="shared" si="61"/>
        <v>2.443425076452602E-2</v>
      </c>
      <c r="J393" s="1">
        <f t="shared" si="62"/>
        <v>57.590000000000032</v>
      </c>
      <c r="K393" s="9">
        <f t="shared" si="55"/>
        <v>9.5664451827242578E-2</v>
      </c>
      <c r="L393" s="1">
        <f t="shared" si="56"/>
        <v>1</v>
      </c>
      <c r="M393" s="1">
        <f t="shared" si="57"/>
        <v>669.98</v>
      </c>
      <c r="N393" s="1">
        <f t="shared" si="58"/>
        <v>654</v>
      </c>
      <c r="O393" s="1">
        <f t="shared" si="59"/>
        <v>657.63</v>
      </c>
      <c r="P393" s="1">
        <f t="shared" si="60"/>
        <v>335.52551020408163</v>
      </c>
    </row>
    <row r="394" spans="1:16">
      <c r="A394" s="2">
        <v>42488</v>
      </c>
      <c r="B394" s="1">
        <v>615.54</v>
      </c>
      <c r="C394" s="1">
        <v>626.79999999999995</v>
      </c>
      <c r="D394" s="1">
        <v>599.20000000000005</v>
      </c>
      <c r="E394" s="1">
        <v>602</v>
      </c>
      <c r="F394" s="1">
        <v>7872600</v>
      </c>
      <c r="G394" s="1">
        <v>602</v>
      </c>
      <c r="H394" s="1">
        <f t="shared" si="54"/>
        <v>27.599999999999909</v>
      </c>
      <c r="I394" s="9">
        <f t="shared" si="61"/>
        <v>4.6061415220293569E-2</v>
      </c>
      <c r="J394" s="1">
        <f t="shared" si="62"/>
        <v>-4.57000000000005</v>
      </c>
      <c r="K394" s="9">
        <f t="shared" si="55"/>
        <v>-7.5341675321892766E-3</v>
      </c>
      <c r="L394" s="1">
        <f t="shared" si="56"/>
        <v>1</v>
      </c>
      <c r="M394" s="1">
        <f t="shared" si="57"/>
        <v>626.79999999999995</v>
      </c>
      <c r="N394" s="1">
        <f t="shared" si="58"/>
        <v>599.20000000000005</v>
      </c>
      <c r="O394" s="1">
        <f t="shared" si="59"/>
        <v>600.04</v>
      </c>
      <c r="P394" s="1">
        <f t="shared" si="60"/>
        <v>306.14285714285711</v>
      </c>
    </row>
    <row r="395" spans="1:16">
      <c r="A395" s="2">
        <v>42487</v>
      </c>
      <c r="B395" s="1">
        <v>611.79999999999995</v>
      </c>
      <c r="C395" s="1">
        <v>615.95000000000005</v>
      </c>
      <c r="D395" s="1">
        <v>601.28</v>
      </c>
      <c r="E395" s="1">
        <v>606.57000000000005</v>
      </c>
      <c r="F395" s="1">
        <v>4068800</v>
      </c>
      <c r="G395" s="1">
        <v>606.57000000000005</v>
      </c>
      <c r="H395" s="1">
        <f t="shared" si="54"/>
        <v>14.670000000000073</v>
      </c>
      <c r="I395" s="9">
        <f t="shared" si="61"/>
        <v>2.4397951037786178E-2</v>
      </c>
      <c r="J395" s="1">
        <f t="shared" si="62"/>
        <v>-10.309999999999945</v>
      </c>
      <c r="K395" s="9">
        <f t="shared" si="55"/>
        <v>-1.6713137076903035E-2</v>
      </c>
      <c r="L395" s="1">
        <f t="shared" si="56"/>
        <v>1</v>
      </c>
      <c r="M395" s="1">
        <f t="shared" si="57"/>
        <v>615.95000000000005</v>
      </c>
      <c r="N395" s="1">
        <f t="shared" si="58"/>
        <v>601.28</v>
      </c>
      <c r="O395" s="1">
        <f t="shared" si="59"/>
        <v>604.61</v>
      </c>
      <c r="P395" s="1">
        <f t="shared" si="60"/>
        <v>308.47448979591837</v>
      </c>
    </row>
    <row r="396" spans="1:16">
      <c r="A396" s="2">
        <v>42486</v>
      </c>
      <c r="B396" s="1">
        <v>626.16999999999996</v>
      </c>
      <c r="C396" s="1">
        <v>626.75</v>
      </c>
      <c r="D396" s="1">
        <v>614.88</v>
      </c>
      <c r="E396" s="1">
        <v>616.88</v>
      </c>
      <c r="F396" s="1">
        <v>2521400</v>
      </c>
      <c r="G396" s="1">
        <v>616.88</v>
      </c>
      <c r="H396" s="1">
        <f t="shared" si="54"/>
        <v>11.870000000000005</v>
      </c>
      <c r="I396" s="9">
        <f t="shared" si="61"/>
        <v>1.9304579755399436E-2</v>
      </c>
      <c r="J396" s="1">
        <f t="shared" si="62"/>
        <v>-9.32000000000005</v>
      </c>
      <c r="K396" s="9">
        <f t="shared" si="55"/>
        <v>-1.4883423826253671E-2</v>
      </c>
      <c r="L396" s="1">
        <f t="shared" si="56"/>
        <v>1</v>
      </c>
      <c r="M396" s="1">
        <f t="shared" si="57"/>
        <v>626.75</v>
      </c>
      <c r="N396" s="1">
        <f t="shared" si="58"/>
        <v>614.88</v>
      </c>
      <c r="O396" s="1">
        <f t="shared" si="59"/>
        <v>614.91999999999996</v>
      </c>
      <c r="P396" s="1">
        <f t="shared" si="60"/>
        <v>313.73469387755102</v>
      </c>
    </row>
    <row r="397" spans="1:16">
      <c r="A397" s="2">
        <v>42485</v>
      </c>
      <c r="B397" s="1">
        <v>616.61</v>
      </c>
      <c r="C397" s="1">
        <v>626.98</v>
      </c>
      <c r="D397" s="1">
        <v>616.25</v>
      </c>
      <c r="E397" s="1">
        <v>626.20000000000005</v>
      </c>
      <c r="F397" s="1">
        <v>2682900</v>
      </c>
      <c r="G397" s="1">
        <v>626.20000000000005</v>
      </c>
      <c r="H397" s="1">
        <f t="shared" si="54"/>
        <v>10.730000000000018</v>
      </c>
      <c r="I397" s="9">
        <f t="shared" si="61"/>
        <v>1.7411764705882384E-2</v>
      </c>
      <c r="J397" s="1">
        <f t="shared" si="62"/>
        <v>5.7000000000000455</v>
      </c>
      <c r="K397" s="9">
        <f t="shared" si="55"/>
        <v>9.1861402095085344E-3</v>
      </c>
      <c r="L397" s="1">
        <f t="shared" si="56"/>
        <v>1</v>
      </c>
      <c r="M397" s="1">
        <f t="shared" si="57"/>
        <v>626.98</v>
      </c>
      <c r="N397" s="1">
        <f t="shared" si="58"/>
        <v>616.25</v>
      </c>
      <c r="O397" s="1">
        <f t="shared" si="59"/>
        <v>624.24</v>
      </c>
      <c r="P397" s="1">
        <f t="shared" si="60"/>
        <v>318.48979591836735</v>
      </c>
    </row>
    <row r="398" spans="1:16">
      <c r="A398" s="2">
        <v>42482</v>
      </c>
      <c r="B398" s="1">
        <v>624.47</v>
      </c>
      <c r="C398" s="1">
        <v>628.25</v>
      </c>
      <c r="D398" s="1">
        <v>611.55999999999995</v>
      </c>
      <c r="E398" s="1">
        <v>620.5</v>
      </c>
      <c r="F398" s="1">
        <v>5083900</v>
      </c>
      <c r="G398" s="1">
        <v>620.5</v>
      </c>
      <c r="H398" s="1">
        <f t="shared" si="54"/>
        <v>16.690000000000055</v>
      </c>
      <c r="I398" s="9">
        <f t="shared" si="61"/>
        <v>2.7290862711753641E-2</v>
      </c>
      <c r="J398" s="1">
        <f t="shared" si="62"/>
        <v>-10.5</v>
      </c>
      <c r="K398" s="9">
        <f t="shared" si="55"/>
        <v>-1.664025356576862E-2</v>
      </c>
      <c r="L398" s="1">
        <f t="shared" si="56"/>
        <v>1</v>
      </c>
      <c r="M398" s="1">
        <f t="shared" si="57"/>
        <v>628.25</v>
      </c>
      <c r="N398" s="1">
        <f t="shared" si="58"/>
        <v>611.55999999999995</v>
      </c>
      <c r="O398" s="1">
        <f t="shared" si="59"/>
        <v>618.54</v>
      </c>
      <c r="P398" s="1">
        <f t="shared" si="60"/>
        <v>315.58163265306121</v>
      </c>
    </row>
    <row r="399" spans="1:16">
      <c r="A399" s="2">
        <v>42481</v>
      </c>
      <c r="B399" s="1">
        <v>631</v>
      </c>
      <c r="C399" s="1">
        <v>637.82000000000005</v>
      </c>
      <c r="D399" s="1">
        <v>628.5</v>
      </c>
      <c r="E399" s="1">
        <v>631</v>
      </c>
      <c r="F399" s="1">
        <v>2596300</v>
      </c>
      <c r="G399" s="1">
        <v>631</v>
      </c>
      <c r="H399" s="1">
        <f t="shared" si="54"/>
        <v>9.32000000000005</v>
      </c>
      <c r="I399" s="9">
        <f t="shared" si="61"/>
        <v>1.4828957836117821E-2</v>
      </c>
      <c r="J399" s="1">
        <f t="shared" si="62"/>
        <v>-1.9900000000000091</v>
      </c>
      <c r="K399" s="9">
        <f t="shared" si="55"/>
        <v>-3.1438095388552885E-3</v>
      </c>
      <c r="L399" s="1">
        <f t="shared" si="56"/>
        <v>1</v>
      </c>
      <c r="M399" s="1">
        <f t="shared" si="57"/>
        <v>637.82000000000005</v>
      </c>
      <c r="N399" s="1">
        <f t="shared" si="58"/>
        <v>628.5</v>
      </c>
      <c r="O399" s="1">
        <f t="shared" si="59"/>
        <v>629.04</v>
      </c>
      <c r="P399" s="1">
        <f t="shared" si="60"/>
        <v>320.9387755102041</v>
      </c>
    </row>
    <row r="400" spans="1:16">
      <c r="A400" s="2">
        <v>42480</v>
      </c>
      <c r="B400" s="1">
        <v>630</v>
      </c>
      <c r="C400" s="1">
        <v>636.54999999999995</v>
      </c>
      <c r="D400" s="1">
        <v>623</v>
      </c>
      <c r="E400" s="1">
        <v>632.99</v>
      </c>
      <c r="F400" s="1">
        <v>2609400</v>
      </c>
      <c r="G400" s="1">
        <v>632.99</v>
      </c>
      <c r="H400" s="1">
        <f t="shared" si="54"/>
        <v>13.549999999999955</v>
      </c>
      <c r="I400" s="9">
        <f t="shared" si="61"/>
        <v>2.1749598715890779E-2</v>
      </c>
      <c r="J400" s="1">
        <f t="shared" si="62"/>
        <v>5.0900000000000318</v>
      </c>
      <c r="K400" s="9">
        <f t="shared" si="55"/>
        <v>8.1063863672559827E-3</v>
      </c>
      <c r="L400" s="1">
        <f t="shared" si="56"/>
        <v>1</v>
      </c>
      <c r="M400" s="1">
        <f t="shared" si="57"/>
        <v>636.54999999999995</v>
      </c>
      <c r="N400" s="1">
        <f t="shared" si="58"/>
        <v>623</v>
      </c>
      <c r="O400" s="1">
        <f t="shared" si="59"/>
        <v>631.03</v>
      </c>
      <c r="P400" s="1">
        <f t="shared" si="60"/>
        <v>321.95408163265307</v>
      </c>
    </row>
    <row r="401" spans="1:16">
      <c r="A401" s="2">
        <v>42479</v>
      </c>
      <c r="B401" s="1">
        <v>637.14</v>
      </c>
      <c r="C401" s="1">
        <v>638.01</v>
      </c>
      <c r="D401" s="1">
        <v>620.79999999999995</v>
      </c>
      <c r="E401" s="1">
        <v>627.9</v>
      </c>
      <c r="F401" s="1">
        <v>4055900</v>
      </c>
      <c r="G401" s="1">
        <v>627.9</v>
      </c>
      <c r="H401" s="1">
        <f t="shared" si="54"/>
        <v>17.210000000000036</v>
      </c>
      <c r="I401" s="9">
        <f t="shared" si="61"/>
        <v>2.7722293814433051E-2</v>
      </c>
      <c r="J401" s="1">
        <f t="shared" si="62"/>
        <v>-7.4500000000000455</v>
      </c>
      <c r="K401" s="9">
        <f t="shared" si="55"/>
        <v>-1.172582041394514E-2</v>
      </c>
      <c r="L401" s="1">
        <f t="shared" si="56"/>
        <v>1</v>
      </c>
      <c r="M401" s="1">
        <f t="shared" si="57"/>
        <v>638.01</v>
      </c>
      <c r="N401" s="1">
        <f t="shared" si="58"/>
        <v>620.79999999999995</v>
      </c>
      <c r="O401" s="1">
        <f t="shared" si="59"/>
        <v>625.93999999999994</v>
      </c>
      <c r="P401" s="1">
        <f t="shared" si="60"/>
        <v>319.35714285714283</v>
      </c>
    </row>
    <row r="402" spans="1:16">
      <c r="A402" s="2">
        <v>42478</v>
      </c>
      <c r="B402" s="1">
        <v>625.35</v>
      </c>
      <c r="C402" s="1">
        <v>637.64</v>
      </c>
      <c r="D402" s="1">
        <v>624.96</v>
      </c>
      <c r="E402" s="1">
        <v>635.35</v>
      </c>
      <c r="F402" s="1">
        <v>4336400</v>
      </c>
      <c r="G402" s="1">
        <v>635.35</v>
      </c>
      <c r="H402" s="1">
        <f t="shared" si="54"/>
        <v>12.67999999999995</v>
      </c>
      <c r="I402" s="9">
        <f t="shared" si="61"/>
        <v>2.0289298515104887E-2</v>
      </c>
      <c r="J402" s="1">
        <f t="shared" si="62"/>
        <v>9.4600000000000364</v>
      </c>
      <c r="K402" s="9">
        <f t="shared" si="55"/>
        <v>1.511447698477374E-2</v>
      </c>
      <c r="L402" s="1">
        <f t="shared" si="56"/>
        <v>1</v>
      </c>
      <c r="M402" s="1">
        <f t="shared" si="57"/>
        <v>637.64</v>
      </c>
      <c r="N402" s="1">
        <f t="shared" si="58"/>
        <v>624.96</v>
      </c>
      <c r="O402" s="1">
        <f t="shared" si="59"/>
        <v>633.39</v>
      </c>
      <c r="P402" s="1">
        <f t="shared" si="60"/>
        <v>323.15816326530614</v>
      </c>
    </row>
    <row r="403" spans="1:16">
      <c r="A403" s="2">
        <v>42475</v>
      </c>
      <c r="B403" s="1">
        <v>621.91999999999996</v>
      </c>
      <c r="C403" s="1">
        <v>626.77</v>
      </c>
      <c r="D403" s="1">
        <v>618.11</v>
      </c>
      <c r="E403" s="1">
        <v>625.89</v>
      </c>
      <c r="F403" s="1">
        <v>2887700</v>
      </c>
      <c r="G403" s="1">
        <v>625.89</v>
      </c>
      <c r="H403" s="1">
        <f t="shared" si="54"/>
        <v>8.6599999999999682</v>
      </c>
      <c r="I403" s="9">
        <f t="shared" si="61"/>
        <v>1.4010451214185126E-2</v>
      </c>
      <c r="J403" s="1">
        <f t="shared" si="62"/>
        <v>5.1399999999999864</v>
      </c>
      <c r="K403" s="9">
        <f t="shared" si="55"/>
        <v>8.2803060813531806E-3</v>
      </c>
      <c r="L403" s="1">
        <f t="shared" si="56"/>
        <v>1</v>
      </c>
      <c r="M403" s="1">
        <f t="shared" si="57"/>
        <v>626.77</v>
      </c>
      <c r="N403" s="1">
        <f t="shared" si="58"/>
        <v>618.11</v>
      </c>
      <c r="O403" s="1">
        <f t="shared" si="59"/>
        <v>623.92999999999995</v>
      </c>
      <c r="P403" s="1">
        <f t="shared" si="60"/>
        <v>318.33163265306121</v>
      </c>
    </row>
    <row r="404" spans="1:16">
      <c r="A404" s="2">
        <v>42474</v>
      </c>
      <c r="B404" s="1">
        <v>615.07000000000005</v>
      </c>
      <c r="C404" s="1">
        <v>624.38</v>
      </c>
      <c r="D404" s="1">
        <v>615.07000000000005</v>
      </c>
      <c r="E404" s="1">
        <v>620.75</v>
      </c>
      <c r="F404" s="1">
        <v>3474300</v>
      </c>
      <c r="G404" s="1">
        <v>620.75</v>
      </c>
      <c r="H404" s="1">
        <f t="shared" si="54"/>
        <v>9.3099999999999454</v>
      </c>
      <c r="I404" s="9">
        <f t="shared" si="61"/>
        <v>1.5136488529760751E-2</v>
      </c>
      <c r="J404" s="1">
        <f t="shared" si="62"/>
        <v>5.92999999999995</v>
      </c>
      <c r="K404" s="9">
        <f t="shared" si="55"/>
        <v>9.6450993786798573E-3</v>
      </c>
      <c r="L404" s="1">
        <f t="shared" si="56"/>
        <v>1</v>
      </c>
      <c r="M404" s="1">
        <f t="shared" si="57"/>
        <v>624.38</v>
      </c>
      <c r="N404" s="1">
        <f t="shared" si="58"/>
        <v>615.07000000000005</v>
      </c>
      <c r="O404" s="1">
        <f t="shared" si="59"/>
        <v>618.79</v>
      </c>
      <c r="P404" s="1">
        <f t="shared" si="60"/>
        <v>315.7091836734694</v>
      </c>
    </row>
    <row r="405" spans="1:16">
      <c r="A405" s="2">
        <v>42473</v>
      </c>
      <c r="B405" s="1">
        <v>607.67999999999995</v>
      </c>
      <c r="C405" s="1">
        <v>616.80999999999995</v>
      </c>
      <c r="D405" s="1">
        <v>605.29</v>
      </c>
      <c r="E405" s="1">
        <v>614.82000000000005</v>
      </c>
      <c r="F405" s="1">
        <v>4228300</v>
      </c>
      <c r="G405" s="1">
        <v>614.82000000000005</v>
      </c>
      <c r="H405" s="1">
        <f t="shared" si="54"/>
        <v>11.519999999999982</v>
      </c>
      <c r="I405" s="9">
        <f t="shared" si="61"/>
        <v>1.9032199441589952E-2</v>
      </c>
      <c r="J405" s="1">
        <f t="shared" si="62"/>
        <v>11.650000000000091</v>
      </c>
      <c r="K405" s="9">
        <f t="shared" si="55"/>
        <v>1.9314621085266329E-2</v>
      </c>
      <c r="L405" s="1">
        <f t="shared" si="56"/>
        <v>1</v>
      </c>
      <c r="M405" s="1">
        <f t="shared" si="57"/>
        <v>616.80999999999995</v>
      </c>
      <c r="N405" s="1">
        <f t="shared" si="58"/>
        <v>605.29</v>
      </c>
      <c r="O405" s="1">
        <f t="shared" si="59"/>
        <v>612.86</v>
      </c>
      <c r="P405" s="1">
        <f t="shared" si="60"/>
        <v>312.68367346938777</v>
      </c>
    </row>
    <row r="406" spans="1:16">
      <c r="A406" s="2">
        <v>42472</v>
      </c>
      <c r="B406" s="1">
        <v>598.4</v>
      </c>
      <c r="C406" s="1">
        <v>604.05999999999995</v>
      </c>
      <c r="D406" s="1">
        <v>592.30999999999995</v>
      </c>
      <c r="E406" s="1">
        <v>603.16999999999996</v>
      </c>
      <c r="F406" s="1">
        <v>2636300</v>
      </c>
      <c r="G406" s="1">
        <v>603.16999999999996</v>
      </c>
      <c r="H406" s="1">
        <f t="shared" si="54"/>
        <v>11.75</v>
      </c>
      <c r="I406" s="9">
        <f t="shared" si="61"/>
        <v>1.9837585048369945E-2</v>
      </c>
      <c r="J406" s="1">
        <f t="shared" si="62"/>
        <v>7.2400000000000091</v>
      </c>
      <c r="K406" s="9">
        <f t="shared" si="55"/>
        <v>1.2149077911835299E-2</v>
      </c>
      <c r="L406" s="1">
        <f t="shared" si="56"/>
        <v>1</v>
      </c>
      <c r="M406" s="1">
        <f t="shared" si="57"/>
        <v>604.05999999999995</v>
      </c>
      <c r="N406" s="1">
        <f t="shared" si="58"/>
        <v>592.30999999999995</v>
      </c>
      <c r="O406" s="1">
        <f t="shared" si="59"/>
        <v>601.20999999999992</v>
      </c>
      <c r="P406" s="1">
        <f t="shared" si="60"/>
        <v>306.73979591836729</v>
      </c>
    </row>
    <row r="407" spans="1:16">
      <c r="A407" s="2">
        <v>42471</v>
      </c>
      <c r="B407" s="1">
        <v>596.14</v>
      </c>
      <c r="C407" s="1">
        <v>604</v>
      </c>
      <c r="D407" s="1">
        <v>594.91</v>
      </c>
      <c r="E407" s="1">
        <v>595.92999999999995</v>
      </c>
      <c r="F407" s="1">
        <v>2704300</v>
      </c>
      <c r="G407" s="1">
        <v>595.92999999999995</v>
      </c>
      <c r="H407" s="1">
        <f t="shared" si="54"/>
        <v>9.0900000000000318</v>
      </c>
      <c r="I407" s="9">
        <f t="shared" si="61"/>
        <v>1.5279622127716852E-2</v>
      </c>
      <c r="J407" s="1">
        <f t="shared" si="62"/>
        <v>1.3299999999999272</v>
      </c>
      <c r="K407" s="9">
        <f t="shared" si="55"/>
        <v>2.2367978472921748E-3</v>
      </c>
      <c r="L407" s="1">
        <f t="shared" si="56"/>
        <v>1</v>
      </c>
      <c r="M407" s="1">
        <f t="shared" si="57"/>
        <v>604</v>
      </c>
      <c r="N407" s="1">
        <f t="shared" si="58"/>
        <v>594.91</v>
      </c>
      <c r="O407" s="1">
        <f t="shared" si="59"/>
        <v>593.96999999999991</v>
      </c>
      <c r="P407" s="1">
        <f t="shared" si="60"/>
        <v>303.04591836734693</v>
      </c>
    </row>
    <row r="408" spans="1:16">
      <c r="A408" s="2">
        <v>42468</v>
      </c>
      <c r="B408" s="1">
        <v>594.32000000000005</v>
      </c>
      <c r="C408" s="1">
        <v>597.86</v>
      </c>
      <c r="D408" s="1">
        <v>589</v>
      </c>
      <c r="E408" s="1">
        <v>594.6</v>
      </c>
      <c r="F408" s="1">
        <v>2591900</v>
      </c>
      <c r="G408" s="1">
        <v>594.6</v>
      </c>
      <c r="H408" s="1">
        <f t="shared" si="54"/>
        <v>8.8600000000000136</v>
      </c>
      <c r="I408" s="9">
        <f t="shared" si="61"/>
        <v>1.5042444821731771E-2</v>
      </c>
      <c r="J408" s="1">
        <f t="shared" si="62"/>
        <v>3.1700000000000728</v>
      </c>
      <c r="K408" s="9">
        <f t="shared" si="55"/>
        <v>5.3598904350473818E-3</v>
      </c>
      <c r="L408" s="1">
        <f t="shared" si="56"/>
        <v>1</v>
      </c>
      <c r="M408" s="1">
        <f t="shared" si="57"/>
        <v>597.86</v>
      </c>
      <c r="N408" s="1">
        <f t="shared" si="58"/>
        <v>589</v>
      </c>
      <c r="O408" s="1">
        <f t="shared" si="59"/>
        <v>592.64</v>
      </c>
      <c r="P408" s="1">
        <f t="shared" si="60"/>
        <v>302.36734693877548</v>
      </c>
    </row>
    <row r="409" spans="1:16">
      <c r="A409" s="2">
        <v>42467</v>
      </c>
      <c r="B409" s="1">
        <v>598.76</v>
      </c>
      <c r="C409" s="1">
        <v>599.6</v>
      </c>
      <c r="D409" s="1">
        <v>589.08000000000004</v>
      </c>
      <c r="E409" s="1">
        <v>591.42999999999995</v>
      </c>
      <c r="F409" s="1">
        <v>3189000</v>
      </c>
      <c r="G409" s="1">
        <v>591.42999999999995</v>
      </c>
      <c r="H409" s="1">
        <f t="shared" si="54"/>
        <v>10.519999999999982</v>
      </c>
      <c r="I409" s="9">
        <f t="shared" si="61"/>
        <v>1.7858355401643208E-2</v>
      </c>
      <c r="J409" s="1">
        <f t="shared" si="62"/>
        <v>-10.650000000000091</v>
      </c>
      <c r="K409" s="9">
        <f t="shared" si="55"/>
        <v>-1.7688679245283168E-2</v>
      </c>
      <c r="L409" s="1">
        <f t="shared" si="56"/>
        <v>1</v>
      </c>
      <c r="M409" s="1">
        <f t="shared" si="57"/>
        <v>599.6</v>
      </c>
      <c r="N409" s="1">
        <f t="shared" si="58"/>
        <v>589.08000000000004</v>
      </c>
      <c r="O409" s="1">
        <f t="shared" si="59"/>
        <v>589.46999999999991</v>
      </c>
      <c r="P409" s="1">
        <f t="shared" si="60"/>
        <v>300.74999999999994</v>
      </c>
    </row>
    <row r="410" spans="1:16">
      <c r="A410" s="2">
        <v>42466</v>
      </c>
      <c r="B410" s="1">
        <v>587.52</v>
      </c>
      <c r="C410" s="1">
        <v>602.39</v>
      </c>
      <c r="D410" s="1">
        <v>587.5</v>
      </c>
      <c r="E410" s="1">
        <v>602.08000000000004</v>
      </c>
      <c r="F410" s="1">
        <v>2833500</v>
      </c>
      <c r="G410" s="1">
        <v>602.08000000000004</v>
      </c>
      <c r="H410" s="1">
        <f t="shared" si="54"/>
        <v>14.889999999999986</v>
      </c>
      <c r="I410" s="9">
        <f t="shared" si="61"/>
        <v>2.5344680851063808E-2</v>
      </c>
      <c r="J410" s="1">
        <f t="shared" si="62"/>
        <v>15.940000000000055</v>
      </c>
      <c r="K410" s="9">
        <f t="shared" si="55"/>
        <v>2.7194868120244405E-2</v>
      </c>
      <c r="L410" s="1">
        <f t="shared" si="56"/>
        <v>1</v>
      </c>
      <c r="M410" s="1">
        <f t="shared" si="57"/>
        <v>602.39</v>
      </c>
      <c r="N410" s="1">
        <f t="shared" si="58"/>
        <v>587.5</v>
      </c>
      <c r="O410" s="1">
        <f t="shared" si="59"/>
        <v>600.12</v>
      </c>
      <c r="P410" s="1">
        <f t="shared" si="60"/>
        <v>306.18367346938777</v>
      </c>
    </row>
    <row r="411" spans="1:16">
      <c r="A411" s="2">
        <v>42465</v>
      </c>
      <c r="B411" s="1">
        <v>590.77</v>
      </c>
      <c r="C411" s="1">
        <v>593.47</v>
      </c>
      <c r="D411" s="1">
        <v>585.25</v>
      </c>
      <c r="E411" s="1">
        <v>586.14</v>
      </c>
      <c r="F411" s="1">
        <v>2308900</v>
      </c>
      <c r="G411" s="1">
        <v>586.14</v>
      </c>
      <c r="H411" s="1">
        <f t="shared" si="54"/>
        <v>8.2200000000000273</v>
      </c>
      <c r="I411" s="9">
        <f t="shared" si="61"/>
        <v>1.4045279794959465E-2</v>
      </c>
      <c r="J411" s="1">
        <f t="shared" si="62"/>
        <v>-7.0500000000000682</v>
      </c>
      <c r="K411" s="9">
        <f t="shared" si="55"/>
        <v>-1.188489354169839E-2</v>
      </c>
      <c r="L411" s="1">
        <f t="shared" si="56"/>
        <v>1</v>
      </c>
      <c r="M411" s="1">
        <f t="shared" si="57"/>
        <v>593.47</v>
      </c>
      <c r="N411" s="1">
        <f t="shared" si="58"/>
        <v>585.25</v>
      </c>
      <c r="O411" s="1">
        <f t="shared" si="59"/>
        <v>584.17999999999995</v>
      </c>
      <c r="P411" s="1">
        <f t="shared" si="60"/>
        <v>298.05102040816325</v>
      </c>
    </row>
    <row r="412" spans="1:16">
      <c r="A412" s="2">
        <v>42464</v>
      </c>
      <c r="B412" s="1">
        <v>599</v>
      </c>
      <c r="C412" s="1">
        <v>599.5</v>
      </c>
      <c r="D412" s="1">
        <v>590.54999999999995</v>
      </c>
      <c r="E412" s="1">
        <v>593.19000000000005</v>
      </c>
      <c r="F412" s="1">
        <v>2470800</v>
      </c>
      <c r="G412" s="1">
        <v>593.19000000000005</v>
      </c>
      <c r="H412" s="1">
        <f t="shared" si="54"/>
        <v>8.9500000000000455</v>
      </c>
      <c r="I412" s="9">
        <f t="shared" si="61"/>
        <v>1.51553636440607E-2</v>
      </c>
      <c r="J412" s="1">
        <f t="shared" si="62"/>
        <v>-5.3099999999999454</v>
      </c>
      <c r="K412" s="9">
        <f t="shared" si="55"/>
        <v>-8.8721804511277275E-3</v>
      </c>
      <c r="L412" s="1">
        <f t="shared" si="56"/>
        <v>1</v>
      </c>
      <c r="M412" s="1">
        <f t="shared" si="57"/>
        <v>599.5</v>
      </c>
      <c r="N412" s="1">
        <f t="shared" si="58"/>
        <v>590.54999999999995</v>
      </c>
      <c r="O412" s="1">
        <f t="shared" si="59"/>
        <v>591.23</v>
      </c>
      <c r="P412" s="1">
        <f t="shared" si="60"/>
        <v>301.64795918367349</v>
      </c>
    </row>
    <row r="413" spans="1:16">
      <c r="A413" s="2">
        <v>42461</v>
      </c>
      <c r="B413" s="1">
        <v>590.49</v>
      </c>
      <c r="C413" s="1">
        <v>599.03</v>
      </c>
      <c r="D413" s="1">
        <v>588.29999999999995</v>
      </c>
      <c r="E413" s="1">
        <v>598.5</v>
      </c>
      <c r="F413" s="1">
        <v>2917400</v>
      </c>
      <c r="G413" s="1">
        <v>598.5</v>
      </c>
      <c r="H413" s="1">
        <f t="shared" si="54"/>
        <v>10.730000000000018</v>
      </c>
      <c r="I413" s="9">
        <f t="shared" si="61"/>
        <v>1.8238993710691855E-2</v>
      </c>
      <c r="J413" s="1">
        <f t="shared" si="62"/>
        <v>4.8600000000000136</v>
      </c>
      <c r="K413" s="9">
        <f t="shared" si="55"/>
        <v>8.1867798665858325E-3</v>
      </c>
      <c r="L413" s="1">
        <f t="shared" si="56"/>
        <v>1</v>
      </c>
      <c r="M413" s="1">
        <f t="shared" si="57"/>
        <v>599.03</v>
      </c>
      <c r="N413" s="1">
        <f t="shared" si="58"/>
        <v>588.29999999999995</v>
      </c>
      <c r="O413" s="1">
        <f t="shared" si="59"/>
        <v>596.54</v>
      </c>
      <c r="P413" s="1">
        <f t="shared" si="60"/>
        <v>304.35714285714283</v>
      </c>
    </row>
    <row r="414" spans="1:16">
      <c r="A414" s="2">
        <v>42460</v>
      </c>
      <c r="B414" s="1">
        <v>599.28</v>
      </c>
      <c r="C414" s="1">
        <v>600.75</v>
      </c>
      <c r="D414" s="1">
        <v>592.21</v>
      </c>
      <c r="E414" s="1">
        <v>593.64</v>
      </c>
      <c r="F414" s="1">
        <v>2681800</v>
      </c>
      <c r="G414" s="1">
        <v>593.64</v>
      </c>
      <c r="H414" s="1">
        <f t="shared" si="54"/>
        <v>8.5399999999999636</v>
      </c>
      <c r="I414" s="9">
        <f t="shared" si="61"/>
        <v>1.4420560274226986E-2</v>
      </c>
      <c r="J414" s="1">
        <f t="shared" si="62"/>
        <v>-5.0500000000000682</v>
      </c>
      <c r="K414" s="9">
        <f t="shared" si="55"/>
        <v>-8.4350832651289773E-3</v>
      </c>
      <c r="L414" s="1">
        <f t="shared" si="56"/>
        <v>1</v>
      </c>
      <c r="M414" s="1">
        <f t="shared" si="57"/>
        <v>600.75</v>
      </c>
      <c r="N414" s="1">
        <f t="shared" si="58"/>
        <v>592.21</v>
      </c>
      <c r="O414" s="1">
        <f t="shared" si="59"/>
        <v>591.67999999999995</v>
      </c>
      <c r="P414" s="1">
        <f t="shared" si="60"/>
        <v>301.87755102040813</v>
      </c>
    </row>
    <row r="415" spans="1:16">
      <c r="A415" s="2">
        <v>42459</v>
      </c>
      <c r="B415" s="1">
        <v>596.71</v>
      </c>
      <c r="C415" s="1">
        <v>603.24</v>
      </c>
      <c r="D415" s="1">
        <v>595</v>
      </c>
      <c r="E415" s="1">
        <v>598.69000000000005</v>
      </c>
      <c r="F415" s="1">
        <v>3890500</v>
      </c>
      <c r="G415" s="1">
        <v>598.69000000000005</v>
      </c>
      <c r="H415" s="1">
        <f t="shared" si="54"/>
        <v>8.2400000000000091</v>
      </c>
      <c r="I415" s="9">
        <f t="shared" si="61"/>
        <v>1.3848739495798335E-2</v>
      </c>
      <c r="J415" s="1">
        <f t="shared" si="62"/>
        <v>4.8300000000000409</v>
      </c>
      <c r="K415" s="9">
        <f t="shared" si="55"/>
        <v>8.1332300542216029E-3</v>
      </c>
      <c r="L415" s="1">
        <f t="shared" si="56"/>
        <v>1</v>
      </c>
      <c r="M415" s="1">
        <f t="shared" si="57"/>
        <v>603.24</v>
      </c>
      <c r="N415" s="1">
        <f t="shared" si="58"/>
        <v>595</v>
      </c>
      <c r="O415" s="1">
        <f t="shared" si="59"/>
        <v>596.73</v>
      </c>
      <c r="P415" s="1">
        <f t="shared" si="60"/>
        <v>304.45408163265307</v>
      </c>
    </row>
    <row r="416" spans="1:16">
      <c r="A416" s="2">
        <v>42458</v>
      </c>
      <c r="B416" s="1">
        <v>580.15</v>
      </c>
      <c r="C416" s="1">
        <v>595.85</v>
      </c>
      <c r="D416" s="1">
        <v>576.5</v>
      </c>
      <c r="E416" s="1">
        <v>593.86</v>
      </c>
      <c r="F416" s="1">
        <v>4167100</v>
      </c>
      <c r="G416" s="1">
        <v>593.86</v>
      </c>
      <c r="H416" s="1">
        <f t="shared" si="54"/>
        <v>19.350000000000023</v>
      </c>
      <c r="I416" s="9">
        <f t="shared" si="61"/>
        <v>3.3564614050303594E-2</v>
      </c>
      <c r="J416" s="1">
        <f t="shared" si="62"/>
        <v>13.990000000000009</v>
      </c>
      <c r="K416" s="9">
        <f t="shared" si="55"/>
        <v>2.4126097228689206E-2</v>
      </c>
      <c r="L416" s="1">
        <f t="shared" si="56"/>
        <v>1</v>
      </c>
      <c r="M416" s="1">
        <f t="shared" si="57"/>
        <v>595.85</v>
      </c>
      <c r="N416" s="1">
        <f t="shared" si="58"/>
        <v>576.5</v>
      </c>
      <c r="O416" s="1">
        <f t="shared" si="59"/>
        <v>591.9</v>
      </c>
      <c r="P416" s="1">
        <f t="shared" si="60"/>
        <v>301.98979591836735</v>
      </c>
    </row>
    <row r="417" spans="1:16">
      <c r="A417" s="2">
        <v>42457</v>
      </c>
      <c r="B417" s="1">
        <v>584.4</v>
      </c>
      <c r="C417" s="1">
        <v>584.75</v>
      </c>
      <c r="D417" s="1">
        <v>575.55999999999995</v>
      </c>
      <c r="E417" s="1">
        <v>579.87</v>
      </c>
      <c r="F417" s="1">
        <v>3121500</v>
      </c>
      <c r="G417" s="1">
        <v>579.87</v>
      </c>
      <c r="H417" s="1">
        <f t="shared" si="54"/>
        <v>9.1900000000000546</v>
      </c>
      <c r="I417" s="9">
        <f t="shared" si="61"/>
        <v>1.596705816943508E-2</v>
      </c>
      <c r="J417" s="1">
        <f t="shared" si="62"/>
        <v>-3.0800000000000409</v>
      </c>
      <c r="K417" s="9">
        <f t="shared" si="55"/>
        <v>-5.2834719958830788E-3</v>
      </c>
      <c r="L417" s="1">
        <f t="shared" si="56"/>
        <v>1</v>
      </c>
      <c r="M417" s="1">
        <f t="shared" si="57"/>
        <v>584.75</v>
      </c>
      <c r="N417" s="1">
        <f t="shared" si="58"/>
        <v>575.55999999999995</v>
      </c>
      <c r="O417" s="1">
        <f t="shared" si="59"/>
        <v>577.91</v>
      </c>
      <c r="P417" s="1">
        <f t="shared" si="60"/>
        <v>294.85204081632651</v>
      </c>
    </row>
    <row r="418" spans="1:16">
      <c r="A418" s="2">
        <v>42453</v>
      </c>
      <c r="B418" s="1">
        <v>567.11</v>
      </c>
      <c r="C418" s="1">
        <v>583.54999999999995</v>
      </c>
      <c r="D418" s="1">
        <v>567.08000000000004</v>
      </c>
      <c r="E418" s="1">
        <v>582.95000000000005</v>
      </c>
      <c r="F418" s="1">
        <v>5185500</v>
      </c>
      <c r="G418" s="1">
        <v>582.95000000000005</v>
      </c>
      <c r="H418" s="1">
        <f t="shared" si="54"/>
        <v>16.469999999999914</v>
      </c>
      <c r="I418" s="9">
        <f t="shared" si="61"/>
        <v>2.9043521196303719E-2</v>
      </c>
      <c r="J418" s="1">
        <f t="shared" si="62"/>
        <v>13.32000000000005</v>
      </c>
      <c r="K418" s="9">
        <f t="shared" si="55"/>
        <v>2.3383599880624353E-2</v>
      </c>
      <c r="L418" s="1">
        <f t="shared" si="56"/>
        <v>1</v>
      </c>
      <c r="M418" s="1">
        <f t="shared" si="57"/>
        <v>583.54999999999995</v>
      </c>
      <c r="N418" s="1">
        <f t="shared" si="58"/>
        <v>567.08000000000004</v>
      </c>
      <c r="O418" s="1">
        <f t="shared" si="59"/>
        <v>580.99</v>
      </c>
      <c r="P418" s="1">
        <f t="shared" si="60"/>
        <v>296.42346938775512</v>
      </c>
    </row>
    <row r="419" spans="1:16">
      <c r="A419" s="2">
        <v>42452</v>
      </c>
      <c r="B419" s="1">
        <v>561</v>
      </c>
      <c r="C419" s="1">
        <v>572.48</v>
      </c>
      <c r="D419" s="1">
        <v>558.1</v>
      </c>
      <c r="E419" s="1">
        <v>569.63</v>
      </c>
      <c r="F419" s="1">
        <v>3983700</v>
      </c>
      <c r="G419" s="1">
        <v>569.63</v>
      </c>
      <c r="H419" s="1">
        <f t="shared" si="54"/>
        <v>14.379999999999995</v>
      </c>
      <c r="I419" s="9">
        <f t="shared" si="61"/>
        <v>2.5765991757749497E-2</v>
      </c>
      <c r="J419" s="1">
        <f t="shared" si="62"/>
        <v>9.1499999999999773</v>
      </c>
      <c r="K419" s="9">
        <f t="shared" si="55"/>
        <v>1.6325292606337385E-2</v>
      </c>
      <c r="L419" s="1">
        <f t="shared" si="56"/>
        <v>1</v>
      </c>
      <c r="M419" s="1">
        <f t="shared" si="57"/>
        <v>572.48</v>
      </c>
      <c r="N419" s="1">
        <f t="shared" si="58"/>
        <v>558.1</v>
      </c>
      <c r="O419" s="1">
        <f t="shared" si="59"/>
        <v>567.66999999999996</v>
      </c>
      <c r="P419" s="1">
        <f t="shared" si="60"/>
        <v>289.62755102040813</v>
      </c>
    </row>
    <row r="420" spans="1:16">
      <c r="A420" s="2">
        <v>42451</v>
      </c>
      <c r="B420" s="1">
        <v>545.11</v>
      </c>
      <c r="C420" s="1">
        <v>562.76</v>
      </c>
      <c r="D420" s="1">
        <v>545.04999999999995</v>
      </c>
      <c r="E420" s="1">
        <v>560.48</v>
      </c>
      <c r="F420" s="1">
        <v>4000600</v>
      </c>
      <c r="G420" s="1">
        <v>560.48</v>
      </c>
      <c r="H420" s="1">
        <f t="shared" si="54"/>
        <v>17.710000000000036</v>
      </c>
      <c r="I420" s="9">
        <f t="shared" si="61"/>
        <v>3.2492431886982913E-2</v>
      </c>
      <c r="J420" s="1">
        <f t="shared" si="62"/>
        <v>6.5</v>
      </c>
      <c r="K420" s="9">
        <f t="shared" si="55"/>
        <v>1.1733275569515145E-2</v>
      </c>
      <c r="L420" s="1">
        <f t="shared" si="56"/>
        <v>1</v>
      </c>
      <c r="M420" s="1">
        <f t="shared" si="57"/>
        <v>562.76</v>
      </c>
      <c r="N420" s="1">
        <f t="shared" si="58"/>
        <v>545.04999999999995</v>
      </c>
      <c r="O420" s="1">
        <f t="shared" si="59"/>
        <v>558.52</v>
      </c>
      <c r="P420" s="1">
        <f t="shared" si="60"/>
        <v>284.9591836734694</v>
      </c>
    </row>
    <row r="421" spans="1:16">
      <c r="A421" s="2">
        <v>42450</v>
      </c>
      <c r="B421" s="1">
        <v>548.91</v>
      </c>
      <c r="C421" s="1">
        <v>555.24</v>
      </c>
      <c r="D421" s="1">
        <v>538.58000000000004</v>
      </c>
      <c r="E421" s="1">
        <v>553.98</v>
      </c>
      <c r="F421" s="1">
        <v>5155700</v>
      </c>
      <c r="G421" s="1">
        <v>553.98</v>
      </c>
      <c r="H421" s="1">
        <f t="shared" si="54"/>
        <v>16.659999999999968</v>
      </c>
      <c r="I421" s="9">
        <f t="shared" si="61"/>
        <v>3.0933194697166561E-2</v>
      </c>
      <c r="J421" s="1">
        <f t="shared" si="62"/>
        <v>1.8999999999999773</v>
      </c>
      <c r="K421" s="9">
        <f t="shared" si="55"/>
        <v>3.4415302130125654E-3</v>
      </c>
      <c r="L421" s="1">
        <f t="shared" si="56"/>
        <v>1</v>
      </c>
      <c r="M421" s="1">
        <f t="shared" si="57"/>
        <v>555.24</v>
      </c>
      <c r="N421" s="1">
        <f t="shared" si="58"/>
        <v>538.58000000000004</v>
      </c>
      <c r="O421" s="1">
        <f t="shared" si="59"/>
        <v>552.02</v>
      </c>
      <c r="P421" s="1">
        <f t="shared" si="60"/>
        <v>281.64285714285711</v>
      </c>
    </row>
    <row r="422" spans="1:16">
      <c r="A422" s="2">
        <v>42447</v>
      </c>
      <c r="B422" s="1">
        <v>560.94000000000005</v>
      </c>
      <c r="C422" s="1">
        <v>562.33000000000004</v>
      </c>
      <c r="D422" s="1">
        <v>546.09</v>
      </c>
      <c r="E422" s="1">
        <v>552.08000000000004</v>
      </c>
      <c r="F422" s="1">
        <v>7296900</v>
      </c>
      <c r="G422" s="1">
        <v>552.08000000000004</v>
      </c>
      <c r="H422" s="1">
        <f t="shared" si="54"/>
        <v>16.240000000000009</v>
      </c>
      <c r="I422" s="9">
        <f t="shared" si="61"/>
        <v>2.9738687762090512E-2</v>
      </c>
      <c r="J422" s="1">
        <f t="shared" si="62"/>
        <v>-7.3600000000000136</v>
      </c>
      <c r="K422" s="9">
        <f t="shared" si="55"/>
        <v>-1.3156013156013179E-2</v>
      </c>
      <c r="L422" s="1">
        <f t="shared" si="56"/>
        <v>1</v>
      </c>
      <c r="M422" s="1">
        <f t="shared" si="57"/>
        <v>562.33000000000004</v>
      </c>
      <c r="N422" s="1">
        <f t="shared" si="58"/>
        <v>546.09</v>
      </c>
      <c r="O422" s="1">
        <f t="shared" si="59"/>
        <v>550.12</v>
      </c>
      <c r="P422" s="1">
        <f t="shared" si="60"/>
        <v>280.67346938775512</v>
      </c>
    </row>
    <row r="423" spans="1:16">
      <c r="A423" s="2">
        <v>42446</v>
      </c>
      <c r="B423" s="1">
        <v>569.51</v>
      </c>
      <c r="C423" s="1">
        <v>571.4</v>
      </c>
      <c r="D423" s="1">
        <v>555.01</v>
      </c>
      <c r="E423" s="1">
        <v>559.44000000000005</v>
      </c>
      <c r="F423" s="1">
        <v>5928100</v>
      </c>
      <c r="G423" s="1">
        <v>559.44000000000005</v>
      </c>
      <c r="H423" s="1">
        <f t="shared" si="54"/>
        <v>16.389999999999986</v>
      </c>
      <c r="I423" s="9">
        <f t="shared" si="61"/>
        <v>2.9530999441451482E-2</v>
      </c>
      <c r="J423" s="1">
        <f t="shared" si="62"/>
        <v>-14.829999999999927</v>
      </c>
      <c r="K423" s="9">
        <f t="shared" si="55"/>
        <v>-2.5824089713897519E-2</v>
      </c>
      <c r="L423" s="1">
        <f t="shared" si="56"/>
        <v>1</v>
      </c>
      <c r="M423" s="1">
        <f t="shared" si="57"/>
        <v>571.4</v>
      </c>
      <c r="N423" s="1">
        <f t="shared" si="58"/>
        <v>555.01</v>
      </c>
      <c r="O423" s="1">
        <f t="shared" si="59"/>
        <v>557.48</v>
      </c>
      <c r="P423" s="1">
        <f t="shared" si="60"/>
        <v>284.42857142857144</v>
      </c>
    </row>
    <row r="424" spans="1:16">
      <c r="A424" s="2">
        <v>42445</v>
      </c>
      <c r="B424" s="1">
        <v>576.64</v>
      </c>
      <c r="C424" s="1">
        <v>581.32000000000005</v>
      </c>
      <c r="D424" s="1">
        <v>571.14</v>
      </c>
      <c r="E424" s="1">
        <v>574.27</v>
      </c>
      <c r="F424" s="1">
        <v>3537700</v>
      </c>
      <c r="G424" s="1">
        <v>574.27</v>
      </c>
      <c r="H424" s="1">
        <f t="shared" si="54"/>
        <v>10.180000000000064</v>
      </c>
      <c r="I424" s="9">
        <f t="shared" si="61"/>
        <v>1.7824001120565997E-2</v>
      </c>
      <c r="J424" s="1">
        <f t="shared" si="62"/>
        <v>-2.75</v>
      </c>
      <c r="K424" s="9">
        <f t="shared" si="55"/>
        <v>-4.7658660011784685E-3</v>
      </c>
      <c r="L424" s="1">
        <f t="shared" si="56"/>
        <v>1</v>
      </c>
      <c r="M424" s="1">
        <f t="shared" si="57"/>
        <v>581.32000000000005</v>
      </c>
      <c r="N424" s="1">
        <f t="shared" si="58"/>
        <v>571.14</v>
      </c>
      <c r="O424" s="1">
        <f t="shared" si="59"/>
        <v>572.30999999999995</v>
      </c>
      <c r="P424" s="1">
        <f t="shared" si="60"/>
        <v>291.99489795918367</v>
      </c>
    </row>
    <row r="425" spans="1:16">
      <c r="A425" s="2">
        <v>42444</v>
      </c>
      <c r="B425" s="1">
        <v>571</v>
      </c>
      <c r="C425" s="1">
        <v>581.52</v>
      </c>
      <c r="D425" s="1">
        <v>567</v>
      </c>
      <c r="E425" s="1">
        <v>577.02</v>
      </c>
      <c r="F425" s="1">
        <v>3876800</v>
      </c>
      <c r="G425" s="1">
        <v>577.02</v>
      </c>
      <c r="H425" s="1">
        <f t="shared" si="54"/>
        <v>14.519999999999982</v>
      </c>
      <c r="I425" s="9">
        <f t="shared" si="61"/>
        <v>2.5608465608465577E-2</v>
      </c>
      <c r="J425" s="1">
        <f t="shared" si="62"/>
        <v>3.6499999999999773</v>
      </c>
      <c r="K425" s="9">
        <f t="shared" si="55"/>
        <v>6.3658719500496661E-3</v>
      </c>
      <c r="L425" s="1">
        <f t="shared" si="56"/>
        <v>1</v>
      </c>
      <c r="M425" s="1">
        <f t="shared" si="57"/>
        <v>581.52</v>
      </c>
      <c r="N425" s="1">
        <f t="shared" si="58"/>
        <v>567</v>
      </c>
      <c r="O425" s="1">
        <f t="shared" si="59"/>
        <v>575.05999999999995</v>
      </c>
      <c r="P425" s="1">
        <f t="shared" si="60"/>
        <v>293.39795918367344</v>
      </c>
    </row>
    <row r="426" spans="1:16">
      <c r="A426" s="2">
        <v>42443</v>
      </c>
      <c r="B426" s="1">
        <v>567</v>
      </c>
      <c r="C426" s="1">
        <v>576.89</v>
      </c>
      <c r="D426" s="1">
        <v>563.04999999999995</v>
      </c>
      <c r="E426" s="1">
        <v>573.37</v>
      </c>
      <c r="F426" s="1">
        <v>3454200</v>
      </c>
      <c r="G426" s="1">
        <v>573.37</v>
      </c>
      <c r="H426" s="1">
        <f t="shared" si="54"/>
        <v>13.840000000000032</v>
      </c>
      <c r="I426" s="9">
        <f t="shared" si="61"/>
        <v>2.4580410265518219E-2</v>
      </c>
      <c r="J426" s="1">
        <f t="shared" si="62"/>
        <v>3.7599999999999909</v>
      </c>
      <c r="K426" s="9">
        <f t="shared" si="55"/>
        <v>6.6010077070275995E-3</v>
      </c>
      <c r="L426" s="1">
        <f t="shared" si="56"/>
        <v>1</v>
      </c>
      <c r="M426" s="1">
        <f t="shared" si="57"/>
        <v>576.89</v>
      </c>
      <c r="N426" s="1">
        <f t="shared" si="58"/>
        <v>563.04999999999995</v>
      </c>
      <c r="O426" s="1">
        <f t="shared" si="59"/>
        <v>571.41</v>
      </c>
      <c r="P426" s="1">
        <f t="shared" si="60"/>
        <v>291.53571428571428</v>
      </c>
    </row>
    <row r="427" spans="1:16">
      <c r="A427" s="2">
        <v>42440</v>
      </c>
      <c r="B427" s="1">
        <v>566.95000000000005</v>
      </c>
      <c r="C427" s="1">
        <v>570.05999999999995</v>
      </c>
      <c r="D427" s="1">
        <v>562.73</v>
      </c>
      <c r="E427" s="1">
        <v>569.61</v>
      </c>
      <c r="F427" s="1">
        <v>3771300</v>
      </c>
      <c r="G427" s="1">
        <v>569.61</v>
      </c>
      <c r="H427" s="1">
        <f t="shared" si="54"/>
        <v>7.3299999999999272</v>
      </c>
      <c r="I427" s="9">
        <f t="shared" si="61"/>
        <v>1.3025785012350376E-2</v>
      </c>
      <c r="J427" s="1">
        <f t="shared" si="62"/>
        <v>10.680000000000064</v>
      </c>
      <c r="K427" s="9">
        <f t="shared" si="55"/>
        <v>1.910793838226623E-2</v>
      </c>
      <c r="L427" s="1">
        <f t="shared" si="56"/>
        <v>1</v>
      </c>
      <c r="M427" s="1">
        <f t="shared" si="57"/>
        <v>570.05999999999995</v>
      </c>
      <c r="N427" s="1">
        <f t="shared" si="58"/>
        <v>562.73</v>
      </c>
      <c r="O427" s="1">
        <f t="shared" si="59"/>
        <v>567.65</v>
      </c>
      <c r="P427" s="1">
        <f t="shared" si="60"/>
        <v>289.61734693877548</v>
      </c>
    </row>
    <row r="428" spans="1:16">
      <c r="A428" s="2">
        <v>42439</v>
      </c>
      <c r="B428" s="1">
        <v>566.74</v>
      </c>
      <c r="C428" s="1">
        <v>567</v>
      </c>
      <c r="D428" s="1">
        <v>547.9</v>
      </c>
      <c r="E428" s="1">
        <v>558.92999999999995</v>
      </c>
      <c r="F428" s="1">
        <v>3914300</v>
      </c>
      <c r="G428" s="1">
        <v>558.92999999999995</v>
      </c>
      <c r="H428" s="1">
        <f t="shared" si="54"/>
        <v>19.100000000000023</v>
      </c>
      <c r="I428" s="9">
        <f t="shared" si="61"/>
        <v>3.4860375981018474E-2</v>
      </c>
      <c r="J428" s="1">
        <f t="shared" si="62"/>
        <v>-0.54000000000007731</v>
      </c>
      <c r="K428" s="9">
        <f t="shared" si="55"/>
        <v>-9.6519920639190175E-4</v>
      </c>
      <c r="L428" s="1">
        <f t="shared" si="56"/>
        <v>1</v>
      </c>
      <c r="M428" s="1">
        <f t="shared" si="57"/>
        <v>567</v>
      </c>
      <c r="N428" s="1">
        <f t="shared" si="58"/>
        <v>547.9</v>
      </c>
      <c r="O428" s="1">
        <f t="shared" si="59"/>
        <v>556.96999999999991</v>
      </c>
      <c r="P428" s="1">
        <f t="shared" si="60"/>
        <v>284.16836734693874</v>
      </c>
    </row>
    <row r="429" spans="1:16">
      <c r="A429" s="2">
        <v>42438</v>
      </c>
      <c r="B429" s="1">
        <v>559.55999999999995</v>
      </c>
      <c r="C429" s="1">
        <v>560.35</v>
      </c>
      <c r="D429" s="1">
        <v>550.13</v>
      </c>
      <c r="E429" s="1">
        <v>559.47</v>
      </c>
      <c r="F429" s="1">
        <v>4377300</v>
      </c>
      <c r="G429" s="1">
        <v>559.47</v>
      </c>
      <c r="H429" s="1">
        <f t="shared" si="54"/>
        <v>10.220000000000027</v>
      </c>
      <c r="I429" s="9">
        <f t="shared" si="61"/>
        <v>1.8577427153581929E-2</v>
      </c>
      <c r="J429" s="1">
        <f t="shared" si="62"/>
        <v>-0.78999999999996362</v>
      </c>
      <c r="K429" s="9">
        <f t="shared" si="55"/>
        <v>-1.410059615178602E-3</v>
      </c>
      <c r="L429" s="1">
        <f t="shared" si="56"/>
        <v>1</v>
      </c>
      <c r="M429" s="1">
        <f t="shared" si="57"/>
        <v>560.35</v>
      </c>
      <c r="N429" s="1">
        <f t="shared" si="58"/>
        <v>550.13</v>
      </c>
      <c r="O429" s="1">
        <f t="shared" si="59"/>
        <v>557.51</v>
      </c>
      <c r="P429" s="1">
        <f t="shared" si="60"/>
        <v>284.44387755102042</v>
      </c>
    </row>
    <row r="430" spans="1:16">
      <c r="A430" s="2">
        <v>42437</v>
      </c>
      <c r="B430" s="1">
        <v>557.87</v>
      </c>
      <c r="C430" s="1">
        <v>571.35</v>
      </c>
      <c r="D430" s="1">
        <v>554.74</v>
      </c>
      <c r="E430" s="1">
        <v>560.26</v>
      </c>
      <c r="F430" s="1">
        <v>4730000</v>
      </c>
      <c r="G430" s="1">
        <v>560.26</v>
      </c>
      <c r="H430" s="1">
        <f t="shared" si="54"/>
        <v>16.610000000000014</v>
      </c>
      <c r="I430" s="9">
        <f t="shared" si="61"/>
        <v>2.9941954789631204E-2</v>
      </c>
      <c r="J430" s="1">
        <f t="shared" si="62"/>
        <v>-2.5399999999999636</v>
      </c>
      <c r="K430" s="9">
        <f t="shared" si="55"/>
        <v>-4.5131485429992253E-3</v>
      </c>
      <c r="L430" s="1">
        <f t="shared" si="56"/>
        <v>1</v>
      </c>
      <c r="M430" s="1">
        <f t="shared" si="57"/>
        <v>571.35</v>
      </c>
      <c r="N430" s="1">
        <f t="shared" si="58"/>
        <v>554.74</v>
      </c>
      <c r="O430" s="1">
        <f t="shared" si="59"/>
        <v>558.29999999999995</v>
      </c>
      <c r="P430" s="1">
        <f t="shared" si="60"/>
        <v>284.84693877551018</v>
      </c>
    </row>
    <row r="431" spans="1:16">
      <c r="A431" s="2">
        <v>42436</v>
      </c>
      <c r="B431" s="1">
        <v>573.54</v>
      </c>
      <c r="C431" s="1">
        <v>573.63</v>
      </c>
      <c r="D431" s="1">
        <v>555.54999999999995</v>
      </c>
      <c r="E431" s="1">
        <v>562.79999999999995</v>
      </c>
      <c r="F431" s="1">
        <v>4926900</v>
      </c>
      <c r="G431" s="1">
        <v>562.79999999999995</v>
      </c>
      <c r="H431" s="1">
        <f t="shared" si="54"/>
        <v>18.080000000000041</v>
      </c>
      <c r="I431" s="9">
        <f t="shared" si="61"/>
        <v>3.2544325443254508E-2</v>
      </c>
      <c r="J431" s="1">
        <f t="shared" si="62"/>
        <v>-12.340000000000032</v>
      </c>
      <c r="K431" s="9">
        <f t="shared" si="55"/>
        <v>-2.1455645581945321E-2</v>
      </c>
      <c r="L431" s="1">
        <f t="shared" si="56"/>
        <v>1</v>
      </c>
      <c r="M431" s="1">
        <f t="shared" si="57"/>
        <v>573.63</v>
      </c>
      <c r="N431" s="1">
        <f t="shared" si="58"/>
        <v>555.54999999999995</v>
      </c>
      <c r="O431" s="1">
        <f t="shared" si="59"/>
        <v>560.83999999999992</v>
      </c>
      <c r="P431" s="1">
        <f t="shared" si="60"/>
        <v>286.14285714285711</v>
      </c>
    </row>
    <row r="432" spans="1:16">
      <c r="A432" s="2">
        <v>42433</v>
      </c>
      <c r="B432" s="1">
        <v>581.07000000000005</v>
      </c>
      <c r="C432" s="1">
        <v>581.4</v>
      </c>
      <c r="D432" s="1">
        <v>571.07000000000005</v>
      </c>
      <c r="E432" s="1">
        <v>575.14</v>
      </c>
      <c r="F432" s="1">
        <v>3416500</v>
      </c>
      <c r="G432" s="1">
        <v>575.14</v>
      </c>
      <c r="H432" s="1">
        <f t="shared" si="54"/>
        <v>10.329999999999927</v>
      </c>
      <c r="I432" s="9">
        <f t="shared" si="61"/>
        <v>1.8088850753847911E-2</v>
      </c>
      <c r="J432" s="1">
        <f t="shared" si="62"/>
        <v>-2.3500000000000227</v>
      </c>
      <c r="K432" s="9">
        <f t="shared" si="55"/>
        <v>-4.0693345339313626E-3</v>
      </c>
      <c r="L432" s="1">
        <f t="shared" si="56"/>
        <v>1</v>
      </c>
      <c r="M432" s="1">
        <f t="shared" si="57"/>
        <v>581.4</v>
      </c>
      <c r="N432" s="1">
        <f t="shared" si="58"/>
        <v>571.07000000000005</v>
      </c>
      <c r="O432" s="1">
        <f t="shared" si="59"/>
        <v>573.17999999999995</v>
      </c>
      <c r="P432" s="1">
        <f t="shared" si="60"/>
        <v>292.43877551020404</v>
      </c>
    </row>
    <row r="433" spans="1:16">
      <c r="A433" s="2">
        <v>42432</v>
      </c>
      <c r="B433" s="1">
        <v>577.96</v>
      </c>
      <c r="C433" s="1">
        <v>579.87</v>
      </c>
      <c r="D433" s="1">
        <v>573.11</v>
      </c>
      <c r="E433" s="1">
        <v>577.49</v>
      </c>
      <c r="F433" s="1">
        <v>2736700</v>
      </c>
      <c r="G433" s="1">
        <v>577.49</v>
      </c>
      <c r="H433" s="1">
        <f t="shared" si="54"/>
        <v>6.7599999999999909</v>
      </c>
      <c r="I433" s="9">
        <f t="shared" si="61"/>
        <v>1.1795292352253479E-2</v>
      </c>
      <c r="J433" s="1">
        <f t="shared" si="62"/>
        <v>-2.7200000000000273</v>
      </c>
      <c r="K433" s="9">
        <f t="shared" si="55"/>
        <v>-4.6879578083797715E-3</v>
      </c>
      <c r="L433" s="1">
        <f t="shared" si="56"/>
        <v>1</v>
      </c>
      <c r="M433" s="1">
        <f t="shared" si="57"/>
        <v>579.87</v>
      </c>
      <c r="N433" s="1">
        <f t="shared" si="58"/>
        <v>573.11</v>
      </c>
      <c r="O433" s="1">
        <f t="shared" si="59"/>
        <v>575.53</v>
      </c>
      <c r="P433" s="1">
        <f t="shared" si="60"/>
        <v>293.63775510204079</v>
      </c>
    </row>
    <row r="434" spans="1:16">
      <c r="A434" s="2">
        <v>42431</v>
      </c>
      <c r="B434" s="1">
        <v>581.75</v>
      </c>
      <c r="C434" s="1">
        <v>585</v>
      </c>
      <c r="D434" s="1">
        <v>573.70000000000005</v>
      </c>
      <c r="E434" s="1">
        <v>580.21</v>
      </c>
      <c r="F434" s="1">
        <v>4582200</v>
      </c>
      <c r="G434" s="1">
        <v>580.21</v>
      </c>
      <c r="H434" s="1">
        <f t="shared" si="54"/>
        <v>11.299999999999955</v>
      </c>
      <c r="I434" s="9">
        <f t="shared" si="61"/>
        <v>1.9696705595258764E-2</v>
      </c>
      <c r="J434" s="1">
        <f t="shared" si="62"/>
        <v>1.1700000000000728</v>
      </c>
      <c r="K434" s="9">
        <f t="shared" si="55"/>
        <v>2.0205857971816676E-3</v>
      </c>
      <c r="L434" s="1">
        <f t="shared" si="56"/>
        <v>1</v>
      </c>
      <c r="M434" s="1">
        <f t="shared" si="57"/>
        <v>585</v>
      </c>
      <c r="N434" s="1">
        <f t="shared" si="58"/>
        <v>573.70000000000005</v>
      </c>
      <c r="O434" s="1">
        <f t="shared" si="59"/>
        <v>578.25</v>
      </c>
      <c r="P434" s="1">
        <f t="shared" si="60"/>
        <v>295.02551020408163</v>
      </c>
    </row>
    <row r="435" spans="1:16">
      <c r="A435" s="2">
        <v>42430</v>
      </c>
      <c r="B435" s="1">
        <v>556.29</v>
      </c>
      <c r="C435" s="1">
        <v>579.25</v>
      </c>
      <c r="D435" s="1">
        <v>556</v>
      </c>
      <c r="E435" s="1">
        <v>579.04</v>
      </c>
      <c r="F435" s="1">
        <v>5038500</v>
      </c>
      <c r="G435" s="1">
        <v>579.04</v>
      </c>
      <c r="H435" s="1">
        <f t="shared" si="54"/>
        <v>23.25</v>
      </c>
      <c r="I435" s="9">
        <f t="shared" si="61"/>
        <v>4.1816546762589925E-2</v>
      </c>
      <c r="J435" s="1">
        <f t="shared" si="62"/>
        <v>26.519999999999982</v>
      </c>
      <c r="K435" s="9">
        <f t="shared" si="55"/>
        <v>4.7998262506334578E-2</v>
      </c>
      <c r="L435" s="1">
        <f t="shared" si="56"/>
        <v>1</v>
      </c>
      <c r="M435" s="1">
        <f t="shared" si="57"/>
        <v>579.25</v>
      </c>
      <c r="N435" s="1">
        <f t="shared" si="58"/>
        <v>556</v>
      </c>
      <c r="O435" s="1">
        <f t="shared" si="59"/>
        <v>577.07999999999993</v>
      </c>
      <c r="P435" s="1">
        <f t="shared" si="60"/>
        <v>294.42857142857139</v>
      </c>
    </row>
    <row r="436" spans="1:16">
      <c r="A436" s="2">
        <v>42429</v>
      </c>
      <c r="B436" s="1">
        <v>554</v>
      </c>
      <c r="C436" s="1">
        <v>564.80999999999995</v>
      </c>
      <c r="D436" s="1">
        <v>552.51</v>
      </c>
      <c r="E436" s="1">
        <v>552.52</v>
      </c>
      <c r="F436" s="1">
        <v>4145400</v>
      </c>
      <c r="G436" s="1">
        <v>552.52</v>
      </c>
      <c r="H436" s="1">
        <f t="shared" si="54"/>
        <v>12.299999999999955</v>
      </c>
      <c r="I436" s="9">
        <f t="shared" si="61"/>
        <v>2.2262040506054109E-2</v>
      </c>
      <c r="J436" s="1">
        <f t="shared" si="62"/>
        <v>-2.7100000000000364</v>
      </c>
      <c r="K436" s="9">
        <f t="shared" si="55"/>
        <v>-4.8808601840679292E-3</v>
      </c>
      <c r="L436" s="1">
        <f t="shared" si="56"/>
        <v>1</v>
      </c>
      <c r="M436" s="1">
        <f t="shared" si="57"/>
        <v>564.80999999999995</v>
      </c>
      <c r="N436" s="1">
        <f t="shared" si="58"/>
        <v>552.51</v>
      </c>
      <c r="O436" s="1">
        <f t="shared" si="59"/>
        <v>550.55999999999995</v>
      </c>
      <c r="P436" s="1">
        <f t="shared" si="60"/>
        <v>280.89795918367344</v>
      </c>
    </row>
    <row r="437" spans="1:16">
      <c r="A437" s="2">
        <v>42426</v>
      </c>
      <c r="B437" s="1">
        <v>560.12</v>
      </c>
      <c r="C437" s="1">
        <v>562.5</v>
      </c>
      <c r="D437" s="1">
        <v>553.16999999999996</v>
      </c>
      <c r="E437" s="1">
        <v>555.23</v>
      </c>
      <c r="F437" s="1">
        <v>4877000</v>
      </c>
      <c r="G437" s="1">
        <v>555.23</v>
      </c>
      <c r="H437" s="1">
        <f t="shared" si="54"/>
        <v>9.3300000000000409</v>
      </c>
      <c r="I437" s="9">
        <f t="shared" si="61"/>
        <v>1.6866424426487413E-2</v>
      </c>
      <c r="J437" s="1">
        <f t="shared" si="62"/>
        <v>8.0000000000040927E-2</v>
      </c>
      <c r="K437" s="9">
        <f t="shared" si="55"/>
        <v>1.4410519679373309E-4</v>
      </c>
      <c r="L437" s="1">
        <f t="shared" si="56"/>
        <v>1</v>
      </c>
      <c r="M437" s="1">
        <f t="shared" si="57"/>
        <v>562.5</v>
      </c>
      <c r="N437" s="1">
        <f t="shared" si="58"/>
        <v>553.16999999999996</v>
      </c>
      <c r="O437" s="1">
        <f t="shared" si="59"/>
        <v>553.27</v>
      </c>
      <c r="P437" s="1">
        <f t="shared" si="60"/>
        <v>282.28061224489795</v>
      </c>
    </row>
    <row r="438" spans="1:16">
      <c r="A438" s="2">
        <v>42425</v>
      </c>
      <c r="B438" s="1">
        <v>555.52</v>
      </c>
      <c r="C438" s="1">
        <v>559.39</v>
      </c>
      <c r="D438" s="1">
        <v>545.29</v>
      </c>
      <c r="E438" s="1">
        <v>555.15</v>
      </c>
      <c r="F438" s="1">
        <v>4510500</v>
      </c>
      <c r="G438" s="1">
        <v>555.15</v>
      </c>
      <c r="H438" s="1">
        <f t="shared" si="54"/>
        <v>14.100000000000023</v>
      </c>
      <c r="I438" s="9">
        <f t="shared" si="61"/>
        <v>2.5857800436465045E-2</v>
      </c>
      <c r="J438" s="1">
        <f t="shared" si="62"/>
        <v>1.1100000000000136</v>
      </c>
      <c r="K438" s="9">
        <f t="shared" si="55"/>
        <v>2.0034654537578762E-3</v>
      </c>
      <c r="L438" s="1">
        <f t="shared" si="56"/>
        <v>1</v>
      </c>
      <c r="M438" s="1">
        <f t="shared" si="57"/>
        <v>559.39</v>
      </c>
      <c r="N438" s="1">
        <f t="shared" si="58"/>
        <v>545.29</v>
      </c>
      <c r="O438" s="1">
        <f t="shared" si="59"/>
        <v>553.18999999999994</v>
      </c>
      <c r="P438" s="1">
        <f t="shared" si="60"/>
        <v>282.23979591836735</v>
      </c>
    </row>
    <row r="439" spans="1:16">
      <c r="A439" s="2">
        <v>42424</v>
      </c>
      <c r="B439" s="1">
        <v>545.75</v>
      </c>
      <c r="C439" s="1">
        <v>554.27</v>
      </c>
      <c r="D439" s="1">
        <v>533.15</v>
      </c>
      <c r="E439" s="1">
        <v>554.04</v>
      </c>
      <c r="F439" s="1">
        <v>6231700</v>
      </c>
      <c r="G439" s="1">
        <v>554.04</v>
      </c>
      <c r="H439" s="1">
        <f t="shared" si="54"/>
        <v>21.120000000000005</v>
      </c>
      <c r="I439" s="9">
        <f t="shared" si="61"/>
        <v>3.9613617180905947E-2</v>
      </c>
      <c r="J439" s="1">
        <f t="shared" si="62"/>
        <v>1.0999999999999091</v>
      </c>
      <c r="K439" s="9">
        <f t="shared" si="55"/>
        <v>1.9893659348209731E-3</v>
      </c>
      <c r="L439" s="1">
        <f t="shared" si="56"/>
        <v>1</v>
      </c>
      <c r="M439" s="1">
        <f t="shared" si="57"/>
        <v>554.27</v>
      </c>
      <c r="N439" s="1">
        <f t="shared" si="58"/>
        <v>533.15</v>
      </c>
      <c r="O439" s="1">
        <f t="shared" si="59"/>
        <v>552.07999999999993</v>
      </c>
      <c r="P439" s="1">
        <f t="shared" si="60"/>
        <v>281.67346938775506</v>
      </c>
    </row>
    <row r="440" spans="1:16">
      <c r="A440" s="2">
        <v>42423</v>
      </c>
      <c r="B440" s="1">
        <v>555.54999999999995</v>
      </c>
      <c r="C440" s="1">
        <v>556.91</v>
      </c>
      <c r="D440" s="1">
        <v>545.33000000000004</v>
      </c>
      <c r="E440" s="1">
        <v>552.94000000000005</v>
      </c>
      <c r="F440" s="1">
        <v>4050800</v>
      </c>
      <c r="G440" s="1">
        <v>552.94000000000005</v>
      </c>
      <c r="H440" s="1">
        <f t="shared" si="54"/>
        <v>11.579999999999927</v>
      </c>
      <c r="I440" s="9">
        <f t="shared" si="61"/>
        <v>2.1234848623768957E-2</v>
      </c>
      <c r="J440" s="1">
        <f t="shared" si="62"/>
        <v>-6.5599999999999454</v>
      </c>
      <c r="K440" s="9">
        <f t="shared" si="55"/>
        <v>-1.1724754244861387E-2</v>
      </c>
      <c r="L440" s="1">
        <f t="shared" si="56"/>
        <v>1</v>
      </c>
      <c r="M440" s="1">
        <f t="shared" si="57"/>
        <v>556.91</v>
      </c>
      <c r="N440" s="1">
        <f t="shared" si="58"/>
        <v>545.33000000000004</v>
      </c>
      <c r="O440" s="1">
        <f t="shared" si="59"/>
        <v>550.98</v>
      </c>
      <c r="P440" s="1">
        <f t="shared" si="60"/>
        <v>281.11224489795921</v>
      </c>
    </row>
    <row r="441" spans="1:16">
      <c r="A441" s="2">
        <v>42422</v>
      </c>
      <c r="B441" s="1">
        <v>542.20000000000005</v>
      </c>
      <c r="C441" s="1">
        <v>560.65</v>
      </c>
      <c r="D441" s="1">
        <v>541.08000000000004</v>
      </c>
      <c r="E441" s="1">
        <v>559.5</v>
      </c>
      <c r="F441" s="1">
        <v>5566600</v>
      </c>
      <c r="G441" s="1">
        <v>559.5</v>
      </c>
      <c r="H441" s="1">
        <f t="shared" si="54"/>
        <v>19.569999999999936</v>
      </c>
      <c r="I441" s="9">
        <f t="shared" si="61"/>
        <v>3.6168403932874869E-2</v>
      </c>
      <c r="J441" s="1">
        <f t="shared" si="62"/>
        <v>24.600000000000023</v>
      </c>
      <c r="K441" s="9">
        <f t="shared" si="55"/>
        <v>4.5989904655075763E-2</v>
      </c>
      <c r="L441" s="1">
        <f t="shared" si="56"/>
        <v>1</v>
      </c>
      <c r="M441" s="1">
        <f t="shared" si="57"/>
        <v>560.65</v>
      </c>
      <c r="N441" s="1">
        <f t="shared" si="58"/>
        <v>541.08000000000004</v>
      </c>
      <c r="O441" s="1">
        <f t="shared" si="59"/>
        <v>557.54</v>
      </c>
      <c r="P441" s="1">
        <f t="shared" si="60"/>
        <v>284.4591836734694</v>
      </c>
    </row>
    <row r="442" spans="1:16">
      <c r="A442" s="2">
        <v>42419</v>
      </c>
      <c r="B442" s="1">
        <v>520.71</v>
      </c>
      <c r="C442" s="1">
        <v>535.95000000000005</v>
      </c>
      <c r="D442" s="1">
        <v>515.35</v>
      </c>
      <c r="E442" s="1">
        <v>534.9</v>
      </c>
      <c r="F442" s="1">
        <v>4974700</v>
      </c>
      <c r="G442" s="1">
        <v>534.9</v>
      </c>
      <c r="H442" s="1">
        <f t="shared" si="54"/>
        <v>20.600000000000023</v>
      </c>
      <c r="I442" s="9">
        <f t="shared" si="61"/>
        <v>3.9972833996313226E-2</v>
      </c>
      <c r="J442" s="1">
        <f t="shared" si="62"/>
        <v>9.8999999999999773</v>
      </c>
      <c r="K442" s="9">
        <f t="shared" si="55"/>
        <v>1.8857142857142815E-2</v>
      </c>
      <c r="L442" s="1">
        <f t="shared" si="56"/>
        <v>1</v>
      </c>
      <c r="M442" s="1">
        <f t="shared" si="57"/>
        <v>535.95000000000005</v>
      </c>
      <c r="N442" s="1">
        <f t="shared" si="58"/>
        <v>515.35</v>
      </c>
      <c r="O442" s="1">
        <f t="shared" si="59"/>
        <v>532.93999999999994</v>
      </c>
      <c r="P442" s="1">
        <f t="shared" si="60"/>
        <v>271.90816326530609</v>
      </c>
    </row>
    <row r="443" spans="1:16">
      <c r="A443" s="2">
        <v>42418</v>
      </c>
      <c r="B443" s="1">
        <v>541.19000000000005</v>
      </c>
      <c r="C443" s="1">
        <v>541.20000000000005</v>
      </c>
      <c r="D443" s="1">
        <v>523.73</v>
      </c>
      <c r="E443" s="1">
        <v>525</v>
      </c>
      <c r="F443" s="1">
        <v>4735000</v>
      </c>
      <c r="G443" s="1">
        <v>525</v>
      </c>
      <c r="H443" s="1">
        <f t="shared" si="54"/>
        <v>17.470000000000027</v>
      </c>
      <c r="I443" s="9">
        <f t="shared" si="61"/>
        <v>3.3356882363049713E-2</v>
      </c>
      <c r="J443" s="1">
        <f t="shared" si="62"/>
        <v>-9.1000000000000227</v>
      </c>
      <c r="K443" s="9">
        <f t="shared" si="55"/>
        <v>-1.703800786369598E-2</v>
      </c>
      <c r="L443" s="1">
        <f t="shared" si="56"/>
        <v>1</v>
      </c>
      <c r="M443" s="1">
        <f t="shared" si="57"/>
        <v>541.20000000000005</v>
      </c>
      <c r="N443" s="1">
        <f t="shared" si="58"/>
        <v>523.73</v>
      </c>
      <c r="O443" s="1">
        <f t="shared" si="59"/>
        <v>523.04</v>
      </c>
      <c r="P443" s="1">
        <f t="shared" si="60"/>
        <v>266.85714285714283</v>
      </c>
    </row>
    <row r="444" spans="1:16">
      <c r="A444" s="2">
        <v>42417</v>
      </c>
      <c r="B444" s="1">
        <v>528.74</v>
      </c>
      <c r="C444" s="1">
        <v>537.48</v>
      </c>
      <c r="D444" s="1">
        <v>519.39</v>
      </c>
      <c r="E444" s="1">
        <v>534.1</v>
      </c>
      <c r="F444" s="1">
        <v>4824000</v>
      </c>
      <c r="G444" s="1">
        <v>534.1</v>
      </c>
      <c r="H444" s="1">
        <f t="shared" si="54"/>
        <v>18.090000000000032</v>
      </c>
      <c r="I444" s="9">
        <f t="shared" si="61"/>
        <v>3.4829319008837352E-2</v>
      </c>
      <c r="J444" s="1">
        <f t="shared" si="62"/>
        <v>13</v>
      </c>
      <c r="K444" s="9">
        <f t="shared" si="55"/>
        <v>2.4947227019765879E-2</v>
      </c>
      <c r="L444" s="1">
        <f t="shared" si="56"/>
        <v>1</v>
      </c>
      <c r="M444" s="1">
        <f t="shared" si="57"/>
        <v>537.48</v>
      </c>
      <c r="N444" s="1">
        <f t="shared" si="58"/>
        <v>519.39</v>
      </c>
      <c r="O444" s="1">
        <f t="shared" si="59"/>
        <v>532.14</v>
      </c>
      <c r="P444" s="1">
        <f t="shared" si="60"/>
        <v>271.5</v>
      </c>
    </row>
    <row r="445" spans="1:16">
      <c r="A445" s="2">
        <v>42416</v>
      </c>
      <c r="B445" s="1">
        <v>519.48</v>
      </c>
      <c r="C445" s="1">
        <v>524.45000000000005</v>
      </c>
      <c r="D445" s="1">
        <v>511.66</v>
      </c>
      <c r="E445" s="1">
        <v>521.1</v>
      </c>
      <c r="F445" s="1">
        <v>5118500</v>
      </c>
      <c r="G445" s="1">
        <v>521.1</v>
      </c>
      <c r="H445" s="1">
        <f t="shared" si="54"/>
        <v>12.79000000000002</v>
      </c>
      <c r="I445" s="9">
        <f t="shared" si="61"/>
        <v>2.4997068365711646E-2</v>
      </c>
      <c r="J445" s="1">
        <f t="shared" si="62"/>
        <v>14.020000000000039</v>
      </c>
      <c r="K445" s="9">
        <f t="shared" si="55"/>
        <v>2.7648497278536008E-2</v>
      </c>
      <c r="L445" s="1">
        <f t="shared" si="56"/>
        <v>1</v>
      </c>
      <c r="M445" s="1">
        <f t="shared" si="57"/>
        <v>524.45000000000005</v>
      </c>
      <c r="N445" s="1">
        <f t="shared" si="58"/>
        <v>511.66</v>
      </c>
      <c r="O445" s="1">
        <f t="shared" si="59"/>
        <v>519.14</v>
      </c>
      <c r="P445" s="1">
        <f t="shared" si="60"/>
        <v>264.86734693877548</v>
      </c>
    </row>
    <row r="446" spans="1:16">
      <c r="A446" s="2">
        <v>42412</v>
      </c>
      <c r="B446" s="1">
        <v>510.7</v>
      </c>
      <c r="C446" s="1">
        <v>516.75</v>
      </c>
      <c r="D446" s="1">
        <v>501.49</v>
      </c>
      <c r="E446" s="1">
        <v>507.08</v>
      </c>
      <c r="F446" s="1">
        <v>5384800</v>
      </c>
      <c r="G446" s="1">
        <v>507.08</v>
      </c>
      <c r="H446" s="1">
        <f t="shared" si="54"/>
        <v>15.259999999999991</v>
      </c>
      <c r="I446" s="9">
        <f t="shared" si="61"/>
        <v>3.0429320624538854E-2</v>
      </c>
      <c r="J446" s="1">
        <f t="shared" si="62"/>
        <v>3.2599999999999909</v>
      </c>
      <c r="K446" s="9">
        <f t="shared" si="55"/>
        <v>6.4705648842840521E-3</v>
      </c>
      <c r="L446" s="1">
        <f t="shared" si="56"/>
        <v>1</v>
      </c>
      <c r="M446" s="1">
        <f t="shared" si="57"/>
        <v>516.75</v>
      </c>
      <c r="N446" s="1">
        <f t="shared" si="58"/>
        <v>501.49</v>
      </c>
      <c r="O446" s="1">
        <f t="shared" si="59"/>
        <v>505.12</v>
      </c>
      <c r="P446" s="1">
        <f t="shared" si="60"/>
        <v>257.71428571428572</v>
      </c>
    </row>
    <row r="447" spans="1:16">
      <c r="A447" s="2">
        <v>42411</v>
      </c>
      <c r="B447" s="1">
        <v>491.17</v>
      </c>
      <c r="C447" s="1">
        <v>509.3</v>
      </c>
      <c r="D447" s="1">
        <v>484</v>
      </c>
      <c r="E447" s="1">
        <v>503.82</v>
      </c>
      <c r="F447" s="1">
        <v>7397400</v>
      </c>
      <c r="G447" s="1">
        <v>503.82</v>
      </c>
      <c r="H447" s="1">
        <f t="shared" si="54"/>
        <v>25.300000000000011</v>
      </c>
      <c r="I447" s="9">
        <f t="shared" si="61"/>
        <v>5.2272727272727297E-2</v>
      </c>
      <c r="J447" s="1">
        <f t="shared" si="62"/>
        <v>13.339999999999975</v>
      </c>
      <c r="K447" s="9">
        <f t="shared" si="55"/>
        <v>2.7197847007013484E-2</v>
      </c>
      <c r="L447" s="1">
        <f t="shared" si="56"/>
        <v>1</v>
      </c>
      <c r="M447" s="1">
        <f t="shared" si="57"/>
        <v>509.3</v>
      </c>
      <c r="N447" s="1">
        <f t="shared" si="58"/>
        <v>484</v>
      </c>
      <c r="O447" s="1">
        <f t="shared" si="59"/>
        <v>501.86</v>
      </c>
      <c r="P447" s="1">
        <f t="shared" si="60"/>
        <v>256.05102040816325</v>
      </c>
    </row>
    <row r="448" spans="1:16">
      <c r="A448" s="2">
        <v>42410</v>
      </c>
      <c r="B448" s="1">
        <v>491.76</v>
      </c>
      <c r="C448" s="1">
        <v>504.66</v>
      </c>
      <c r="D448" s="1">
        <v>486</v>
      </c>
      <c r="E448" s="1">
        <v>490.48</v>
      </c>
      <c r="F448" s="1">
        <v>6786200</v>
      </c>
      <c r="G448" s="1">
        <v>490.48</v>
      </c>
      <c r="H448" s="1">
        <f t="shared" si="54"/>
        <v>18.660000000000025</v>
      </c>
      <c r="I448" s="9">
        <f t="shared" si="61"/>
        <v>3.8395061728395116E-2</v>
      </c>
      <c r="J448" s="1">
        <f t="shared" si="62"/>
        <v>8.410000000000025</v>
      </c>
      <c r="K448" s="9">
        <f t="shared" si="55"/>
        <v>1.7445599186840136E-2</v>
      </c>
      <c r="L448" s="1">
        <f t="shared" si="56"/>
        <v>1</v>
      </c>
      <c r="M448" s="1">
        <f t="shared" si="57"/>
        <v>504.66</v>
      </c>
      <c r="N448" s="1">
        <f t="shared" si="58"/>
        <v>486</v>
      </c>
      <c r="O448" s="1">
        <f t="shared" si="59"/>
        <v>488.52000000000004</v>
      </c>
      <c r="P448" s="1">
        <f t="shared" si="60"/>
        <v>249.2448979591837</v>
      </c>
    </row>
    <row r="449" spans="1:16">
      <c r="A449" s="2">
        <v>42409</v>
      </c>
      <c r="B449" s="1">
        <v>478.01</v>
      </c>
      <c r="C449" s="1">
        <v>498.38</v>
      </c>
      <c r="D449" s="1">
        <v>474</v>
      </c>
      <c r="E449" s="1">
        <v>482.07</v>
      </c>
      <c r="F449" s="1">
        <v>7045900</v>
      </c>
      <c r="G449" s="1">
        <v>482.07</v>
      </c>
      <c r="H449" s="1">
        <f t="shared" si="54"/>
        <v>24.379999999999995</v>
      </c>
      <c r="I449" s="9">
        <f t="shared" si="61"/>
        <v>5.1434599156118137E-2</v>
      </c>
      <c r="J449" s="1">
        <f t="shared" si="62"/>
        <v>-6.0300000000000296</v>
      </c>
      <c r="K449" s="9">
        <f t="shared" si="55"/>
        <v>-1.235402581438236E-2</v>
      </c>
      <c r="L449" s="1">
        <f t="shared" si="56"/>
        <v>1</v>
      </c>
      <c r="M449" s="1">
        <f t="shared" si="57"/>
        <v>498.38</v>
      </c>
      <c r="N449" s="1">
        <f t="shared" si="58"/>
        <v>474</v>
      </c>
      <c r="O449" s="1">
        <f t="shared" si="59"/>
        <v>480.11</v>
      </c>
      <c r="P449" s="1">
        <f t="shared" si="60"/>
        <v>244.95408163265307</v>
      </c>
    </row>
    <row r="450" spans="1:16">
      <c r="A450" s="2">
        <v>42408</v>
      </c>
      <c r="B450" s="1">
        <v>486.47</v>
      </c>
      <c r="C450" s="1">
        <v>493.5</v>
      </c>
      <c r="D450" s="1">
        <v>475.21</v>
      </c>
      <c r="E450" s="1">
        <v>488.1</v>
      </c>
      <c r="F450" s="1">
        <v>9825500</v>
      </c>
      <c r="G450" s="1">
        <v>488.1</v>
      </c>
      <c r="H450" s="1">
        <f t="shared" si="54"/>
        <v>18.29000000000002</v>
      </c>
      <c r="I450" s="9">
        <f t="shared" si="61"/>
        <v>3.8488247301193199E-2</v>
      </c>
      <c r="J450" s="1">
        <f t="shared" si="62"/>
        <v>-14.029999999999973</v>
      </c>
      <c r="K450" s="9">
        <f t="shared" si="55"/>
        <v>-2.7940971461573642E-2</v>
      </c>
      <c r="L450" s="1">
        <f t="shared" si="56"/>
        <v>1</v>
      </c>
      <c r="M450" s="1">
        <f t="shared" si="57"/>
        <v>493.5</v>
      </c>
      <c r="N450" s="1">
        <f t="shared" si="58"/>
        <v>475.21</v>
      </c>
      <c r="O450" s="1">
        <f t="shared" si="59"/>
        <v>486.14000000000004</v>
      </c>
      <c r="P450" s="1">
        <f t="shared" si="60"/>
        <v>248.03061224489798</v>
      </c>
    </row>
    <row r="451" spans="1:16">
      <c r="A451" s="2">
        <v>42405</v>
      </c>
      <c r="B451" s="1">
        <v>529.28</v>
      </c>
      <c r="C451" s="1">
        <v>529.45000000000005</v>
      </c>
      <c r="D451" s="1">
        <v>499.19</v>
      </c>
      <c r="E451" s="1">
        <v>502.13</v>
      </c>
      <c r="F451" s="1">
        <v>9708900</v>
      </c>
      <c r="G451" s="1">
        <v>502.13</v>
      </c>
      <c r="H451" s="1">
        <f t="shared" ref="H451:H514" si="63">C451-D451</f>
        <v>30.260000000000048</v>
      </c>
      <c r="I451" s="9">
        <f t="shared" si="61"/>
        <v>6.0618201486408077E-2</v>
      </c>
      <c r="J451" s="1">
        <f t="shared" si="62"/>
        <v>-34.129999999999995</v>
      </c>
      <c r="K451" s="9">
        <f t="shared" ref="K451:K514" si="64">(G451-G452)/G452</f>
        <v>-6.3644500801849843E-2</v>
      </c>
      <c r="L451" s="1">
        <f t="shared" ref="L451:L514" si="65">G451/E451</f>
        <v>1</v>
      </c>
      <c r="M451" s="1">
        <f t="shared" ref="M451:M514" si="66">L451*C451</f>
        <v>529.45000000000005</v>
      </c>
      <c r="N451" s="1">
        <f t="shared" ref="N451:N514" si="67">L451*D451</f>
        <v>499.19</v>
      </c>
      <c r="O451" s="1">
        <f t="shared" ref="O451:O514" si="68">G451-$G$5163</f>
        <v>500.17</v>
      </c>
      <c r="P451" s="1">
        <f t="shared" ref="P451:P514" si="69">(G451-$G$5163)/$G$5163</f>
        <v>255.1887755102041</v>
      </c>
    </row>
    <row r="452" spans="1:16">
      <c r="A452" s="2">
        <v>42404</v>
      </c>
      <c r="B452" s="1">
        <v>525</v>
      </c>
      <c r="C452" s="1">
        <v>538.99</v>
      </c>
      <c r="D452" s="1">
        <v>519.22</v>
      </c>
      <c r="E452" s="1">
        <v>536.26</v>
      </c>
      <c r="F452" s="1">
        <v>6176600</v>
      </c>
      <c r="G452" s="1">
        <v>536.26</v>
      </c>
      <c r="H452" s="1">
        <f t="shared" si="63"/>
        <v>19.769999999999982</v>
      </c>
      <c r="I452" s="9">
        <f t="shared" ref="I452:I515" si="70">(C452-D452)/D452</f>
        <v>3.8076345287161473E-2</v>
      </c>
      <c r="J452" s="1">
        <f t="shared" ref="J452:J515" si="71">G452-G453</f>
        <v>5.1899999999999409</v>
      </c>
      <c r="K452" s="9">
        <f t="shared" si="64"/>
        <v>9.7727229932022906E-3</v>
      </c>
      <c r="L452" s="1">
        <f t="shared" si="65"/>
        <v>1</v>
      </c>
      <c r="M452" s="1">
        <f t="shared" si="66"/>
        <v>538.99</v>
      </c>
      <c r="N452" s="1">
        <f t="shared" si="67"/>
        <v>519.22</v>
      </c>
      <c r="O452" s="1">
        <f t="shared" si="68"/>
        <v>534.29999999999995</v>
      </c>
      <c r="P452" s="1">
        <f t="shared" si="69"/>
        <v>272.60204081632651</v>
      </c>
    </row>
    <row r="453" spans="1:16">
      <c r="A453" s="2">
        <v>42403</v>
      </c>
      <c r="B453" s="1">
        <v>553.5</v>
      </c>
      <c r="C453" s="1">
        <v>556</v>
      </c>
      <c r="D453" s="1">
        <v>521.9</v>
      </c>
      <c r="E453" s="1">
        <v>531.07000000000005</v>
      </c>
      <c r="F453" s="1">
        <v>10048700</v>
      </c>
      <c r="G453" s="1">
        <v>531.07000000000005</v>
      </c>
      <c r="H453" s="1">
        <f t="shared" si="63"/>
        <v>34.100000000000023</v>
      </c>
      <c r="I453" s="9">
        <f t="shared" si="70"/>
        <v>6.5338187392220776E-2</v>
      </c>
      <c r="J453" s="1">
        <f t="shared" si="71"/>
        <v>-21.029999999999973</v>
      </c>
      <c r="K453" s="9">
        <f t="shared" si="64"/>
        <v>-3.8090925556964264E-2</v>
      </c>
      <c r="L453" s="1">
        <f t="shared" si="65"/>
        <v>1</v>
      </c>
      <c r="M453" s="1">
        <f t="shared" si="66"/>
        <v>556</v>
      </c>
      <c r="N453" s="1">
        <f t="shared" si="67"/>
        <v>521.9</v>
      </c>
      <c r="O453" s="1">
        <f t="shared" si="68"/>
        <v>529.11</v>
      </c>
      <c r="P453" s="1">
        <f t="shared" si="69"/>
        <v>269.95408163265307</v>
      </c>
    </row>
    <row r="454" spans="1:16">
      <c r="A454" s="2">
        <v>42402</v>
      </c>
      <c r="B454" s="1">
        <v>570</v>
      </c>
      <c r="C454" s="1">
        <v>571.55999999999995</v>
      </c>
      <c r="D454" s="1">
        <v>550.09</v>
      </c>
      <c r="E454" s="1">
        <v>552.1</v>
      </c>
      <c r="F454" s="1">
        <v>6312000</v>
      </c>
      <c r="G454" s="1">
        <v>552.1</v>
      </c>
      <c r="H454" s="1">
        <f t="shared" si="63"/>
        <v>21.469999999999914</v>
      </c>
      <c r="I454" s="9">
        <f t="shared" si="70"/>
        <v>3.9029976912868643E-2</v>
      </c>
      <c r="J454" s="1">
        <f t="shared" si="71"/>
        <v>-22.709999999999923</v>
      </c>
      <c r="K454" s="9">
        <f t="shared" si="64"/>
        <v>-3.9508707224995956E-2</v>
      </c>
      <c r="L454" s="1">
        <f t="shared" si="65"/>
        <v>1</v>
      </c>
      <c r="M454" s="1">
        <f t="shared" si="66"/>
        <v>571.55999999999995</v>
      </c>
      <c r="N454" s="1">
        <f t="shared" si="67"/>
        <v>550.09</v>
      </c>
      <c r="O454" s="1">
        <f t="shared" si="68"/>
        <v>550.14</v>
      </c>
      <c r="P454" s="1">
        <f t="shared" si="69"/>
        <v>280.68367346938777</v>
      </c>
    </row>
    <row r="455" spans="1:16">
      <c r="A455" s="2">
        <v>42401</v>
      </c>
      <c r="B455" s="1">
        <v>578.15</v>
      </c>
      <c r="C455" s="1">
        <v>581.79999999999995</v>
      </c>
      <c r="D455" s="1">
        <v>570.30999999999995</v>
      </c>
      <c r="E455" s="1">
        <v>574.80999999999995</v>
      </c>
      <c r="F455" s="1">
        <v>6355100</v>
      </c>
      <c r="G455" s="1">
        <v>574.80999999999995</v>
      </c>
      <c r="H455" s="1">
        <f t="shared" si="63"/>
        <v>11.490000000000009</v>
      </c>
      <c r="I455" s="9">
        <f t="shared" si="70"/>
        <v>2.014693763041155E-2</v>
      </c>
      <c r="J455" s="1">
        <f t="shared" si="71"/>
        <v>-12.190000000000055</v>
      </c>
      <c r="K455" s="9">
        <f t="shared" si="64"/>
        <v>-2.0766609880749666E-2</v>
      </c>
      <c r="L455" s="1">
        <f t="shared" si="65"/>
        <v>1</v>
      </c>
      <c r="M455" s="1">
        <f t="shared" si="66"/>
        <v>581.79999999999995</v>
      </c>
      <c r="N455" s="1">
        <f t="shared" si="67"/>
        <v>570.30999999999995</v>
      </c>
      <c r="O455" s="1">
        <f t="shared" si="68"/>
        <v>572.84999999999991</v>
      </c>
      <c r="P455" s="1">
        <f t="shared" si="69"/>
        <v>292.27040816326524</v>
      </c>
    </row>
    <row r="456" spans="1:16">
      <c r="A456" s="2">
        <v>42398</v>
      </c>
      <c r="B456" s="1">
        <v>571.98</v>
      </c>
      <c r="C456" s="1">
        <v>593</v>
      </c>
      <c r="D456" s="1">
        <v>570</v>
      </c>
      <c r="E456" s="1">
        <v>587</v>
      </c>
      <c r="F456" s="1">
        <v>14677600</v>
      </c>
      <c r="G456" s="1">
        <v>587</v>
      </c>
      <c r="H456" s="1">
        <f t="shared" si="63"/>
        <v>23</v>
      </c>
      <c r="I456" s="9">
        <f t="shared" si="70"/>
        <v>4.0350877192982457E-2</v>
      </c>
      <c r="J456" s="1">
        <f t="shared" si="71"/>
        <v>-48.350000000000023</v>
      </c>
      <c r="K456" s="9">
        <f t="shared" si="64"/>
        <v>-7.6099787518690523E-2</v>
      </c>
      <c r="L456" s="1">
        <f t="shared" si="65"/>
        <v>1</v>
      </c>
      <c r="M456" s="1">
        <f t="shared" si="66"/>
        <v>593</v>
      </c>
      <c r="N456" s="1">
        <f t="shared" si="67"/>
        <v>570</v>
      </c>
      <c r="O456" s="1">
        <f t="shared" si="68"/>
        <v>585.04</v>
      </c>
      <c r="P456" s="1">
        <f t="shared" si="69"/>
        <v>298.48979591836735</v>
      </c>
    </row>
    <row r="457" spans="1:16">
      <c r="A457" s="2">
        <v>42397</v>
      </c>
      <c r="B457" s="1">
        <v>608.37</v>
      </c>
      <c r="C457" s="1">
        <v>638.05999999999995</v>
      </c>
      <c r="D457" s="1">
        <v>597.54999999999995</v>
      </c>
      <c r="E457" s="1">
        <v>635.35</v>
      </c>
      <c r="F457" s="1">
        <v>14015200</v>
      </c>
      <c r="G457" s="1">
        <v>635.35</v>
      </c>
      <c r="H457" s="1">
        <f t="shared" si="63"/>
        <v>40.509999999999991</v>
      </c>
      <c r="I457" s="9">
        <f t="shared" si="70"/>
        <v>6.7793490084511743E-2</v>
      </c>
      <c r="J457" s="1">
        <f t="shared" si="71"/>
        <v>52</v>
      </c>
      <c r="K457" s="9">
        <f t="shared" si="64"/>
        <v>8.9140310276849224E-2</v>
      </c>
      <c r="L457" s="1">
        <f t="shared" si="65"/>
        <v>1</v>
      </c>
      <c r="M457" s="1">
        <f t="shared" si="66"/>
        <v>638.05999999999995</v>
      </c>
      <c r="N457" s="1">
        <f t="shared" si="67"/>
        <v>597.54999999999995</v>
      </c>
      <c r="O457" s="1">
        <f t="shared" si="68"/>
        <v>633.39</v>
      </c>
      <c r="P457" s="1">
        <f t="shared" si="69"/>
        <v>323.15816326530614</v>
      </c>
    </row>
    <row r="458" spans="1:16">
      <c r="A458" s="2">
        <v>42396</v>
      </c>
      <c r="B458" s="1">
        <v>601.99</v>
      </c>
      <c r="C458" s="1">
        <v>603.39</v>
      </c>
      <c r="D458" s="1">
        <v>578.78</v>
      </c>
      <c r="E458" s="1">
        <v>583.35</v>
      </c>
      <c r="F458" s="1">
        <v>5152900</v>
      </c>
      <c r="G458" s="1">
        <v>583.35</v>
      </c>
      <c r="H458" s="1">
        <f t="shared" si="63"/>
        <v>24.610000000000014</v>
      </c>
      <c r="I458" s="9">
        <f t="shared" si="70"/>
        <v>4.2520474100694587E-2</v>
      </c>
      <c r="J458" s="1">
        <f t="shared" si="71"/>
        <v>-17.899999999999977</v>
      </c>
      <c r="K458" s="9">
        <f t="shared" si="64"/>
        <v>-2.9771309771309734E-2</v>
      </c>
      <c r="L458" s="1">
        <f t="shared" si="65"/>
        <v>1</v>
      </c>
      <c r="M458" s="1">
        <f t="shared" si="66"/>
        <v>603.39</v>
      </c>
      <c r="N458" s="1">
        <f t="shared" si="67"/>
        <v>578.78</v>
      </c>
      <c r="O458" s="1">
        <f t="shared" si="68"/>
        <v>581.39</v>
      </c>
      <c r="P458" s="1">
        <f t="shared" si="69"/>
        <v>296.62755102040813</v>
      </c>
    </row>
    <row r="459" spans="1:16">
      <c r="A459" s="2">
        <v>42395</v>
      </c>
      <c r="B459" s="1">
        <v>603.45000000000005</v>
      </c>
      <c r="C459" s="1">
        <v>604.5</v>
      </c>
      <c r="D459" s="1">
        <v>590.38</v>
      </c>
      <c r="E459" s="1">
        <v>601.25</v>
      </c>
      <c r="F459" s="1">
        <v>3743200</v>
      </c>
      <c r="G459" s="1">
        <v>601.25</v>
      </c>
      <c r="H459" s="1">
        <f t="shared" si="63"/>
        <v>14.120000000000005</v>
      </c>
      <c r="I459" s="9">
        <f t="shared" si="70"/>
        <v>2.3916799349571471E-2</v>
      </c>
      <c r="J459" s="1">
        <f t="shared" si="71"/>
        <v>4.7200000000000273</v>
      </c>
      <c r="K459" s="9">
        <f t="shared" si="64"/>
        <v>7.9124268687241674E-3</v>
      </c>
      <c r="L459" s="1">
        <f t="shared" si="65"/>
        <v>1</v>
      </c>
      <c r="M459" s="1">
        <f t="shared" si="66"/>
        <v>604.5</v>
      </c>
      <c r="N459" s="1">
        <f t="shared" si="67"/>
        <v>590.38</v>
      </c>
      <c r="O459" s="1">
        <f t="shared" si="68"/>
        <v>599.29</v>
      </c>
      <c r="P459" s="1">
        <f t="shared" si="69"/>
        <v>305.76020408163265</v>
      </c>
    </row>
    <row r="460" spans="1:16">
      <c r="A460" s="2">
        <v>42394</v>
      </c>
      <c r="B460" s="1">
        <v>597.99</v>
      </c>
      <c r="C460" s="1">
        <v>608.5</v>
      </c>
      <c r="D460" s="1">
        <v>594.55999999999995</v>
      </c>
      <c r="E460" s="1">
        <v>596.53</v>
      </c>
      <c r="F460" s="1">
        <v>4396100</v>
      </c>
      <c r="G460" s="1">
        <v>596.53</v>
      </c>
      <c r="H460" s="1">
        <f t="shared" si="63"/>
        <v>13.940000000000055</v>
      </c>
      <c r="I460" s="9">
        <f t="shared" si="70"/>
        <v>2.3445909580193852E-2</v>
      </c>
      <c r="J460" s="1">
        <f t="shared" si="71"/>
        <v>0.14999999999997726</v>
      </c>
      <c r="K460" s="9">
        <f t="shared" si="64"/>
        <v>2.5151748884935318E-4</v>
      </c>
      <c r="L460" s="1">
        <f t="shared" si="65"/>
        <v>1</v>
      </c>
      <c r="M460" s="1">
        <f t="shared" si="66"/>
        <v>608.5</v>
      </c>
      <c r="N460" s="1">
        <f t="shared" si="67"/>
        <v>594.55999999999995</v>
      </c>
      <c r="O460" s="1">
        <f t="shared" si="68"/>
        <v>594.56999999999994</v>
      </c>
      <c r="P460" s="1">
        <f t="shared" si="69"/>
        <v>303.35204081632651</v>
      </c>
    </row>
    <row r="461" spans="1:16">
      <c r="A461" s="2">
        <v>42391</v>
      </c>
      <c r="B461" s="1">
        <v>588.73</v>
      </c>
      <c r="C461" s="1">
        <v>600.1</v>
      </c>
      <c r="D461" s="1">
        <v>584.11</v>
      </c>
      <c r="E461" s="1">
        <v>596.38</v>
      </c>
      <c r="F461" s="1">
        <v>5120100</v>
      </c>
      <c r="G461" s="1">
        <v>596.38</v>
      </c>
      <c r="H461" s="1">
        <f t="shared" si="63"/>
        <v>15.990000000000009</v>
      </c>
      <c r="I461" s="9">
        <f t="shared" si="70"/>
        <v>2.7374980739929139E-2</v>
      </c>
      <c r="J461" s="1">
        <f t="shared" si="71"/>
        <v>21.360000000000014</v>
      </c>
      <c r="K461" s="9">
        <f t="shared" si="64"/>
        <v>3.7146534033598855E-2</v>
      </c>
      <c r="L461" s="1">
        <f t="shared" si="65"/>
        <v>1</v>
      </c>
      <c r="M461" s="1">
        <f t="shared" si="66"/>
        <v>600.1</v>
      </c>
      <c r="N461" s="1">
        <f t="shared" si="67"/>
        <v>584.11</v>
      </c>
      <c r="O461" s="1">
        <f t="shared" si="68"/>
        <v>594.41999999999996</v>
      </c>
      <c r="P461" s="1">
        <f t="shared" si="69"/>
        <v>303.27551020408163</v>
      </c>
    </row>
    <row r="462" spans="1:16">
      <c r="A462" s="2">
        <v>42390</v>
      </c>
      <c r="B462" s="1">
        <v>573.58000000000004</v>
      </c>
      <c r="C462" s="1">
        <v>588.80999999999995</v>
      </c>
      <c r="D462" s="1">
        <v>568.22</v>
      </c>
      <c r="E462" s="1">
        <v>575.02</v>
      </c>
      <c r="F462" s="1">
        <v>4952200</v>
      </c>
      <c r="G462" s="1">
        <v>575.02</v>
      </c>
      <c r="H462" s="1">
        <f t="shared" si="63"/>
        <v>20.589999999999918</v>
      </c>
      <c r="I462" s="9">
        <f t="shared" si="70"/>
        <v>3.6235964943155674E-2</v>
      </c>
      <c r="J462" s="1">
        <f t="shared" si="71"/>
        <v>3.25</v>
      </c>
      <c r="K462" s="9">
        <f t="shared" si="64"/>
        <v>5.6841037480105635E-3</v>
      </c>
      <c r="L462" s="1">
        <f t="shared" si="65"/>
        <v>1</v>
      </c>
      <c r="M462" s="1">
        <f t="shared" si="66"/>
        <v>588.80999999999995</v>
      </c>
      <c r="N462" s="1">
        <f t="shared" si="67"/>
        <v>568.22</v>
      </c>
      <c r="O462" s="1">
        <f t="shared" si="68"/>
        <v>573.05999999999995</v>
      </c>
      <c r="P462" s="1">
        <f t="shared" si="69"/>
        <v>292.37755102040813</v>
      </c>
    </row>
    <row r="463" spans="1:16">
      <c r="A463" s="2">
        <v>42389</v>
      </c>
      <c r="B463" s="1">
        <v>564.36</v>
      </c>
      <c r="C463" s="1">
        <v>578.45000000000005</v>
      </c>
      <c r="D463" s="1">
        <v>547.17999999999995</v>
      </c>
      <c r="E463" s="1">
        <v>571.77</v>
      </c>
      <c r="F463" s="1">
        <v>7966400</v>
      </c>
      <c r="G463" s="1">
        <v>571.77</v>
      </c>
      <c r="H463" s="1">
        <f t="shared" si="63"/>
        <v>31.270000000000095</v>
      </c>
      <c r="I463" s="9">
        <f t="shared" si="70"/>
        <v>5.7147556562740044E-2</v>
      </c>
      <c r="J463" s="1">
        <f t="shared" si="71"/>
        <v>-2.7100000000000364</v>
      </c>
      <c r="K463" s="9">
        <f t="shared" si="64"/>
        <v>-4.7173095669127496E-3</v>
      </c>
      <c r="L463" s="1">
        <f t="shared" si="65"/>
        <v>1</v>
      </c>
      <c r="M463" s="1">
        <f t="shared" si="66"/>
        <v>578.45000000000005</v>
      </c>
      <c r="N463" s="1">
        <f t="shared" si="67"/>
        <v>547.17999999999995</v>
      </c>
      <c r="O463" s="1">
        <f t="shared" si="68"/>
        <v>569.80999999999995</v>
      </c>
      <c r="P463" s="1">
        <f t="shared" si="69"/>
        <v>290.71938775510199</v>
      </c>
    </row>
    <row r="464" spans="1:16">
      <c r="A464" s="2">
        <v>42388</v>
      </c>
      <c r="B464" s="1">
        <v>577.09</v>
      </c>
      <c r="C464" s="1">
        <v>584</v>
      </c>
      <c r="D464" s="1">
        <v>566.45000000000005</v>
      </c>
      <c r="E464" s="1">
        <v>574.48</v>
      </c>
      <c r="F464" s="1">
        <v>4807200</v>
      </c>
      <c r="G464" s="1">
        <v>574.48</v>
      </c>
      <c r="H464" s="1">
        <f t="shared" si="63"/>
        <v>17.549999999999955</v>
      </c>
      <c r="I464" s="9">
        <f t="shared" si="70"/>
        <v>3.0982434460234715E-2</v>
      </c>
      <c r="J464" s="1">
        <f t="shared" si="71"/>
        <v>4.3000000000000682</v>
      </c>
      <c r="K464" s="9">
        <f t="shared" si="64"/>
        <v>7.5414781297135445E-3</v>
      </c>
      <c r="L464" s="1">
        <f t="shared" si="65"/>
        <v>1</v>
      </c>
      <c r="M464" s="1">
        <f t="shared" si="66"/>
        <v>584</v>
      </c>
      <c r="N464" s="1">
        <f t="shared" si="67"/>
        <v>566.45000000000005</v>
      </c>
      <c r="O464" s="1">
        <f t="shared" si="68"/>
        <v>572.52</v>
      </c>
      <c r="P464" s="1">
        <f t="shared" si="69"/>
        <v>292.10204081632651</v>
      </c>
    </row>
    <row r="465" spans="1:16">
      <c r="A465" s="2">
        <v>42384</v>
      </c>
      <c r="B465" s="1">
        <v>572.24</v>
      </c>
      <c r="C465" s="1">
        <v>584.62</v>
      </c>
      <c r="D465" s="1">
        <v>565.29999999999995</v>
      </c>
      <c r="E465" s="1">
        <v>570.17999999999995</v>
      </c>
      <c r="F465" s="1">
        <v>7784500</v>
      </c>
      <c r="G465" s="1">
        <v>570.17999999999995</v>
      </c>
      <c r="H465" s="1">
        <f t="shared" si="63"/>
        <v>19.32000000000005</v>
      </c>
      <c r="I465" s="9">
        <f t="shared" si="70"/>
        <v>3.4176543428268265E-2</v>
      </c>
      <c r="J465" s="1">
        <f t="shared" si="71"/>
        <v>-22.82000000000005</v>
      </c>
      <c r="K465" s="9">
        <f t="shared" si="64"/>
        <v>-3.8482293423271585E-2</v>
      </c>
      <c r="L465" s="1">
        <f t="shared" si="65"/>
        <v>1</v>
      </c>
      <c r="M465" s="1">
        <f t="shared" si="66"/>
        <v>584.62</v>
      </c>
      <c r="N465" s="1">
        <f t="shared" si="67"/>
        <v>565.29999999999995</v>
      </c>
      <c r="O465" s="1">
        <f t="shared" si="68"/>
        <v>568.21999999999991</v>
      </c>
      <c r="P465" s="1">
        <f t="shared" si="69"/>
        <v>289.90816326530609</v>
      </c>
    </row>
    <row r="466" spans="1:16">
      <c r="A466" s="2">
        <v>42383</v>
      </c>
      <c r="B466" s="1">
        <v>580.25</v>
      </c>
      <c r="C466" s="1">
        <v>602.25</v>
      </c>
      <c r="D466" s="1">
        <v>569.88</v>
      </c>
      <c r="E466" s="1">
        <v>593</v>
      </c>
      <c r="F466" s="1">
        <v>7238000</v>
      </c>
      <c r="G466" s="1">
        <v>593</v>
      </c>
      <c r="H466" s="1">
        <f t="shared" si="63"/>
        <v>32.370000000000005</v>
      </c>
      <c r="I466" s="9">
        <f t="shared" si="70"/>
        <v>5.6801431880395881E-2</v>
      </c>
      <c r="J466" s="1">
        <f t="shared" si="71"/>
        <v>11.190000000000055</v>
      </c>
      <c r="K466" s="9">
        <f t="shared" si="64"/>
        <v>1.9233082965229294E-2</v>
      </c>
      <c r="L466" s="1">
        <f t="shared" si="65"/>
        <v>1</v>
      </c>
      <c r="M466" s="1">
        <f t="shared" si="66"/>
        <v>602.25</v>
      </c>
      <c r="N466" s="1">
        <f t="shared" si="67"/>
        <v>569.88</v>
      </c>
      <c r="O466" s="1">
        <f t="shared" si="68"/>
        <v>591.04</v>
      </c>
      <c r="P466" s="1">
        <f t="shared" si="69"/>
        <v>301.55102040816325</v>
      </c>
    </row>
    <row r="467" spans="1:16">
      <c r="A467" s="2">
        <v>42382</v>
      </c>
      <c r="B467" s="1">
        <v>620.88</v>
      </c>
      <c r="C467" s="1">
        <v>620.88</v>
      </c>
      <c r="D467" s="1">
        <v>579.16</v>
      </c>
      <c r="E467" s="1">
        <v>581.80999999999995</v>
      </c>
      <c r="F467" s="1">
        <v>7655200</v>
      </c>
      <c r="G467" s="1">
        <v>581.80999999999995</v>
      </c>
      <c r="H467" s="1">
        <f t="shared" si="63"/>
        <v>41.720000000000027</v>
      </c>
      <c r="I467" s="9">
        <f t="shared" si="70"/>
        <v>7.203536155811871E-2</v>
      </c>
      <c r="J467" s="1">
        <f t="shared" si="71"/>
        <v>-36.080000000000041</v>
      </c>
      <c r="K467" s="9">
        <f t="shared" si="64"/>
        <v>-5.8392270468853744E-2</v>
      </c>
      <c r="L467" s="1">
        <f t="shared" si="65"/>
        <v>1</v>
      </c>
      <c r="M467" s="1">
        <f t="shared" si="66"/>
        <v>620.88</v>
      </c>
      <c r="N467" s="1">
        <f t="shared" si="67"/>
        <v>579.16</v>
      </c>
      <c r="O467" s="1">
        <f t="shared" si="68"/>
        <v>579.84999999999991</v>
      </c>
      <c r="P467" s="1">
        <f t="shared" si="69"/>
        <v>295.84183673469386</v>
      </c>
    </row>
    <row r="468" spans="1:16">
      <c r="A468" s="2">
        <v>42381</v>
      </c>
      <c r="B468" s="1">
        <v>625.25</v>
      </c>
      <c r="C468" s="1">
        <v>625.99</v>
      </c>
      <c r="D468" s="1">
        <v>612.24</v>
      </c>
      <c r="E468" s="1">
        <v>617.89</v>
      </c>
      <c r="F468" s="1">
        <v>4724100</v>
      </c>
      <c r="G468" s="1">
        <v>617.89</v>
      </c>
      <c r="H468" s="1">
        <f t="shared" si="63"/>
        <v>13.75</v>
      </c>
      <c r="I468" s="9">
        <f t="shared" si="70"/>
        <v>2.2458513001437346E-2</v>
      </c>
      <c r="J468" s="1">
        <f t="shared" si="71"/>
        <v>0.14999999999997726</v>
      </c>
      <c r="K468" s="9">
        <f t="shared" si="64"/>
        <v>2.4282060413762627E-4</v>
      </c>
      <c r="L468" s="1">
        <f t="shared" si="65"/>
        <v>1</v>
      </c>
      <c r="M468" s="1">
        <f t="shared" si="66"/>
        <v>625.99</v>
      </c>
      <c r="N468" s="1">
        <f t="shared" si="67"/>
        <v>612.24</v>
      </c>
      <c r="O468" s="1">
        <f t="shared" si="68"/>
        <v>615.92999999999995</v>
      </c>
      <c r="P468" s="1">
        <f t="shared" si="69"/>
        <v>314.25</v>
      </c>
    </row>
    <row r="469" spans="1:16">
      <c r="A469" s="2">
        <v>42380</v>
      </c>
      <c r="B469" s="1">
        <v>612.48</v>
      </c>
      <c r="C469" s="1">
        <v>619.85</v>
      </c>
      <c r="D469" s="1">
        <v>598.57000000000005</v>
      </c>
      <c r="E469" s="1">
        <v>617.74</v>
      </c>
      <c r="F469" s="1">
        <v>4869200</v>
      </c>
      <c r="G469" s="1">
        <v>617.74</v>
      </c>
      <c r="H469" s="1">
        <f t="shared" si="63"/>
        <v>21.279999999999973</v>
      </c>
      <c r="I469" s="9">
        <f t="shared" si="70"/>
        <v>3.5551397497368679E-2</v>
      </c>
      <c r="J469" s="1">
        <f t="shared" si="71"/>
        <v>10.690000000000055</v>
      </c>
      <c r="K469" s="9">
        <f t="shared" si="64"/>
        <v>1.7609752079729934E-2</v>
      </c>
      <c r="L469" s="1">
        <f t="shared" si="65"/>
        <v>1</v>
      </c>
      <c r="M469" s="1">
        <f t="shared" si="66"/>
        <v>619.85</v>
      </c>
      <c r="N469" s="1">
        <f t="shared" si="67"/>
        <v>598.57000000000005</v>
      </c>
      <c r="O469" s="1">
        <f t="shared" si="68"/>
        <v>615.78</v>
      </c>
      <c r="P469" s="1">
        <f t="shared" si="69"/>
        <v>314.17346938775512</v>
      </c>
    </row>
    <row r="470" spans="1:16">
      <c r="A470" s="2">
        <v>42377</v>
      </c>
      <c r="B470" s="1">
        <v>619.66</v>
      </c>
      <c r="C470" s="1">
        <v>624.14</v>
      </c>
      <c r="D470" s="1">
        <v>606</v>
      </c>
      <c r="E470" s="1">
        <v>607.04999999999995</v>
      </c>
      <c r="F470" s="1">
        <v>5512900</v>
      </c>
      <c r="G470" s="1">
        <v>607.04999999999995</v>
      </c>
      <c r="H470" s="1">
        <f t="shared" si="63"/>
        <v>18.139999999999986</v>
      </c>
      <c r="I470" s="9">
        <f t="shared" si="70"/>
        <v>2.9933993399339911E-2</v>
      </c>
      <c r="J470" s="1">
        <f t="shared" si="71"/>
        <v>-0.89000000000010004</v>
      </c>
      <c r="K470" s="9">
        <f t="shared" si="64"/>
        <v>-1.4639602592362733E-3</v>
      </c>
      <c r="L470" s="1">
        <f t="shared" si="65"/>
        <v>1</v>
      </c>
      <c r="M470" s="1">
        <f t="shared" si="66"/>
        <v>624.14</v>
      </c>
      <c r="N470" s="1">
        <f t="shared" si="67"/>
        <v>606</v>
      </c>
      <c r="O470" s="1">
        <f t="shared" si="68"/>
        <v>605.08999999999992</v>
      </c>
      <c r="P470" s="1">
        <f t="shared" si="69"/>
        <v>308.71938775510199</v>
      </c>
    </row>
    <row r="471" spans="1:16">
      <c r="A471" s="2">
        <v>42376</v>
      </c>
      <c r="B471" s="1">
        <v>621.79999999999995</v>
      </c>
      <c r="C471" s="1">
        <v>630</v>
      </c>
      <c r="D471" s="1">
        <v>605.21</v>
      </c>
      <c r="E471" s="1">
        <v>607.94000000000005</v>
      </c>
      <c r="F471" s="1">
        <v>7074900</v>
      </c>
      <c r="G471" s="1">
        <v>607.94000000000005</v>
      </c>
      <c r="H471" s="1">
        <f t="shared" si="63"/>
        <v>24.789999999999964</v>
      </c>
      <c r="I471" s="9">
        <f t="shared" si="70"/>
        <v>4.0960988747707344E-2</v>
      </c>
      <c r="J471" s="1">
        <f t="shared" si="71"/>
        <v>-24.709999999999923</v>
      </c>
      <c r="K471" s="9">
        <f t="shared" si="64"/>
        <v>-3.9057930925472099E-2</v>
      </c>
      <c r="L471" s="1">
        <f t="shared" si="65"/>
        <v>1</v>
      </c>
      <c r="M471" s="1">
        <f t="shared" si="66"/>
        <v>630</v>
      </c>
      <c r="N471" s="1">
        <f t="shared" si="67"/>
        <v>605.21</v>
      </c>
      <c r="O471" s="1">
        <f t="shared" si="68"/>
        <v>605.98</v>
      </c>
      <c r="P471" s="1">
        <f t="shared" si="69"/>
        <v>309.17346938775512</v>
      </c>
    </row>
    <row r="472" spans="1:16">
      <c r="A472" s="2">
        <v>42375</v>
      </c>
      <c r="B472" s="1">
        <v>622</v>
      </c>
      <c r="C472" s="1">
        <v>639.79</v>
      </c>
      <c r="D472" s="1">
        <v>620.30999999999995</v>
      </c>
      <c r="E472" s="1">
        <v>632.65</v>
      </c>
      <c r="F472" s="1">
        <v>5329200</v>
      </c>
      <c r="G472" s="1">
        <v>632.65</v>
      </c>
      <c r="H472" s="1">
        <f t="shared" si="63"/>
        <v>19.480000000000018</v>
      </c>
      <c r="I472" s="9">
        <f t="shared" si="70"/>
        <v>3.140365301220361E-2</v>
      </c>
      <c r="J472" s="1">
        <f t="shared" si="71"/>
        <v>-1.1399999999999864</v>
      </c>
      <c r="K472" s="9">
        <f t="shared" si="64"/>
        <v>-1.7987030404392407E-3</v>
      </c>
      <c r="L472" s="1">
        <f t="shared" si="65"/>
        <v>1</v>
      </c>
      <c r="M472" s="1">
        <f t="shared" si="66"/>
        <v>639.79</v>
      </c>
      <c r="N472" s="1">
        <f t="shared" si="67"/>
        <v>620.30999999999995</v>
      </c>
      <c r="O472" s="1">
        <f t="shared" si="68"/>
        <v>630.68999999999994</v>
      </c>
      <c r="P472" s="1">
        <f t="shared" si="69"/>
        <v>321.78061224489795</v>
      </c>
    </row>
    <row r="473" spans="1:16">
      <c r="A473" s="2">
        <v>42374</v>
      </c>
      <c r="B473" s="1">
        <v>646.86</v>
      </c>
      <c r="C473" s="1">
        <v>646.91</v>
      </c>
      <c r="D473" s="1">
        <v>627.65</v>
      </c>
      <c r="E473" s="1">
        <v>633.79</v>
      </c>
      <c r="F473" s="1">
        <v>5822600</v>
      </c>
      <c r="G473" s="1">
        <v>633.79</v>
      </c>
      <c r="H473" s="1">
        <f t="shared" si="63"/>
        <v>19.259999999999991</v>
      </c>
      <c r="I473" s="9">
        <f t="shared" si="70"/>
        <v>3.0685891818688745E-2</v>
      </c>
      <c r="J473" s="1">
        <f t="shared" si="71"/>
        <v>-3.2000000000000455</v>
      </c>
      <c r="K473" s="9">
        <f t="shared" si="64"/>
        <v>-5.0236267445329524E-3</v>
      </c>
      <c r="L473" s="1">
        <f t="shared" si="65"/>
        <v>1</v>
      </c>
      <c r="M473" s="1">
        <f t="shared" si="66"/>
        <v>646.91</v>
      </c>
      <c r="N473" s="1">
        <f t="shared" si="67"/>
        <v>627.65</v>
      </c>
      <c r="O473" s="1">
        <f t="shared" si="68"/>
        <v>631.82999999999993</v>
      </c>
      <c r="P473" s="1">
        <f t="shared" si="69"/>
        <v>322.36224489795916</v>
      </c>
    </row>
    <row r="474" spans="1:16">
      <c r="A474" s="2">
        <v>42373</v>
      </c>
      <c r="B474" s="1">
        <v>656.29</v>
      </c>
      <c r="C474" s="1">
        <v>657.72</v>
      </c>
      <c r="D474" s="1">
        <v>627.51</v>
      </c>
      <c r="E474" s="1">
        <v>636.99</v>
      </c>
      <c r="F474" s="1">
        <v>9314500</v>
      </c>
      <c r="G474" s="1">
        <v>636.99</v>
      </c>
      <c r="H474" s="1">
        <f t="shared" si="63"/>
        <v>30.210000000000036</v>
      </c>
      <c r="I474" s="9">
        <f t="shared" si="70"/>
        <v>4.8142659081130239E-2</v>
      </c>
      <c r="J474" s="1">
        <f t="shared" si="71"/>
        <v>-38.899999999999977</v>
      </c>
      <c r="K474" s="9">
        <f t="shared" si="64"/>
        <v>-5.755374395241826E-2</v>
      </c>
      <c r="L474" s="1">
        <f t="shared" si="65"/>
        <v>1</v>
      </c>
      <c r="M474" s="1">
        <f t="shared" si="66"/>
        <v>657.72</v>
      </c>
      <c r="N474" s="1">
        <f t="shared" si="67"/>
        <v>627.51</v>
      </c>
      <c r="O474" s="1">
        <f t="shared" si="68"/>
        <v>635.03</v>
      </c>
      <c r="P474" s="1">
        <f t="shared" si="69"/>
        <v>323.99489795918367</v>
      </c>
    </row>
    <row r="475" spans="1:16">
      <c r="A475" s="2">
        <v>42369</v>
      </c>
      <c r="B475" s="1">
        <v>686.08</v>
      </c>
      <c r="C475" s="1">
        <v>687.75</v>
      </c>
      <c r="D475" s="1">
        <v>675.89</v>
      </c>
      <c r="E475" s="1">
        <v>675.89</v>
      </c>
      <c r="F475" s="1">
        <v>3749600</v>
      </c>
      <c r="G475" s="1">
        <v>675.89</v>
      </c>
      <c r="H475" s="1">
        <f t="shared" si="63"/>
        <v>11.860000000000014</v>
      </c>
      <c r="I475" s="9">
        <f t="shared" si="70"/>
        <v>1.7547234017369712E-2</v>
      </c>
      <c r="J475" s="1">
        <f t="shared" si="71"/>
        <v>-13.180000000000064</v>
      </c>
      <c r="K475" s="9">
        <f t="shared" si="64"/>
        <v>-1.9127229454191971E-2</v>
      </c>
      <c r="L475" s="1">
        <f t="shared" si="65"/>
        <v>1</v>
      </c>
      <c r="M475" s="1">
        <f t="shared" si="66"/>
        <v>687.75</v>
      </c>
      <c r="N475" s="1">
        <f t="shared" si="67"/>
        <v>675.89</v>
      </c>
      <c r="O475" s="1">
        <f t="shared" si="68"/>
        <v>673.93</v>
      </c>
      <c r="P475" s="1">
        <f t="shared" si="69"/>
        <v>343.84183673469386</v>
      </c>
    </row>
    <row r="476" spans="1:16">
      <c r="A476" s="2">
        <v>42368</v>
      </c>
      <c r="B476" s="1">
        <v>691.89</v>
      </c>
      <c r="C476" s="1">
        <v>695.49</v>
      </c>
      <c r="D476" s="1">
        <v>686.38</v>
      </c>
      <c r="E476" s="1">
        <v>689.07</v>
      </c>
      <c r="F476" s="1">
        <v>3519000</v>
      </c>
      <c r="G476" s="1">
        <v>689.07</v>
      </c>
      <c r="H476" s="1">
        <f t="shared" si="63"/>
        <v>9.1100000000000136</v>
      </c>
      <c r="I476" s="9">
        <f t="shared" si="70"/>
        <v>1.3272531250910595E-2</v>
      </c>
      <c r="J476" s="1">
        <f t="shared" si="71"/>
        <v>-4.8999999999999773</v>
      </c>
      <c r="K476" s="9">
        <f t="shared" si="64"/>
        <v>-7.0608239549259724E-3</v>
      </c>
      <c r="L476" s="1">
        <f t="shared" si="65"/>
        <v>1</v>
      </c>
      <c r="M476" s="1">
        <f t="shared" si="66"/>
        <v>695.49</v>
      </c>
      <c r="N476" s="1">
        <f t="shared" si="67"/>
        <v>686.38</v>
      </c>
      <c r="O476" s="1">
        <f t="shared" si="68"/>
        <v>687.11</v>
      </c>
      <c r="P476" s="1">
        <f t="shared" si="69"/>
        <v>350.56632653061223</v>
      </c>
    </row>
    <row r="477" spans="1:16">
      <c r="A477" s="2">
        <v>42367</v>
      </c>
      <c r="B477" s="1">
        <v>677.98</v>
      </c>
      <c r="C477" s="1">
        <v>696.44</v>
      </c>
      <c r="D477" s="1">
        <v>677.89</v>
      </c>
      <c r="E477" s="1">
        <v>693.97</v>
      </c>
      <c r="F477" s="1">
        <v>5735000</v>
      </c>
      <c r="G477" s="1">
        <v>693.97</v>
      </c>
      <c r="H477" s="1">
        <f t="shared" si="63"/>
        <v>18.550000000000068</v>
      </c>
      <c r="I477" s="9">
        <f t="shared" si="70"/>
        <v>2.7364321645104765E-2</v>
      </c>
      <c r="J477" s="1">
        <f t="shared" si="71"/>
        <v>18.769999999999982</v>
      </c>
      <c r="K477" s="9">
        <f t="shared" si="64"/>
        <v>2.7799170616113714E-2</v>
      </c>
      <c r="L477" s="1">
        <f t="shared" si="65"/>
        <v>1</v>
      </c>
      <c r="M477" s="1">
        <f t="shared" si="66"/>
        <v>696.44</v>
      </c>
      <c r="N477" s="1">
        <f t="shared" si="67"/>
        <v>677.89</v>
      </c>
      <c r="O477" s="1">
        <f t="shared" si="68"/>
        <v>692.01</v>
      </c>
      <c r="P477" s="1">
        <f t="shared" si="69"/>
        <v>353.06632653061223</v>
      </c>
    </row>
    <row r="478" spans="1:16">
      <c r="A478" s="2">
        <v>42366</v>
      </c>
      <c r="B478" s="1">
        <v>665.56</v>
      </c>
      <c r="C478" s="1">
        <v>675.5</v>
      </c>
      <c r="D478" s="1">
        <v>665.5</v>
      </c>
      <c r="E478" s="1">
        <v>675.2</v>
      </c>
      <c r="F478" s="1">
        <v>3775800</v>
      </c>
      <c r="G478" s="1">
        <v>675.2</v>
      </c>
      <c r="H478" s="1">
        <f t="shared" si="63"/>
        <v>10</v>
      </c>
      <c r="I478" s="9">
        <f t="shared" si="70"/>
        <v>1.5026296018031555E-2</v>
      </c>
      <c r="J478" s="1">
        <f t="shared" si="71"/>
        <v>12.410000000000082</v>
      </c>
      <c r="K478" s="9">
        <f t="shared" si="64"/>
        <v>1.8723879358469624E-2</v>
      </c>
      <c r="L478" s="1">
        <f t="shared" si="65"/>
        <v>1</v>
      </c>
      <c r="M478" s="1">
        <f t="shared" si="66"/>
        <v>675.5</v>
      </c>
      <c r="N478" s="1">
        <f t="shared" si="67"/>
        <v>665.5</v>
      </c>
      <c r="O478" s="1">
        <f t="shared" si="68"/>
        <v>673.24</v>
      </c>
      <c r="P478" s="1">
        <f t="shared" si="69"/>
        <v>343.48979591836735</v>
      </c>
    </row>
    <row r="479" spans="1:16">
      <c r="A479" s="2">
        <v>42362</v>
      </c>
      <c r="B479" s="1">
        <v>663.35</v>
      </c>
      <c r="C479" s="1">
        <v>664.68</v>
      </c>
      <c r="D479" s="1">
        <v>660.6</v>
      </c>
      <c r="E479" s="1">
        <v>662.79</v>
      </c>
      <c r="F479" s="1">
        <v>1093000</v>
      </c>
      <c r="G479" s="1">
        <v>662.79</v>
      </c>
      <c r="H479" s="1">
        <f t="shared" si="63"/>
        <v>4.0799999999999272</v>
      </c>
      <c r="I479" s="9">
        <f t="shared" si="70"/>
        <v>6.1762034514077011E-3</v>
      </c>
      <c r="J479" s="1">
        <f t="shared" si="71"/>
        <v>-0.91000000000008185</v>
      </c>
      <c r="K479" s="9">
        <f t="shared" si="64"/>
        <v>-1.3711014012356211E-3</v>
      </c>
      <c r="L479" s="1">
        <f t="shared" si="65"/>
        <v>1</v>
      </c>
      <c r="M479" s="1">
        <f t="shared" si="66"/>
        <v>664.68</v>
      </c>
      <c r="N479" s="1">
        <f t="shared" si="67"/>
        <v>660.6</v>
      </c>
      <c r="O479" s="1">
        <f t="shared" si="68"/>
        <v>660.82999999999993</v>
      </c>
      <c r="P479" s="1">
        <f t="shared" si="69"/>
        <v>337.15816326530609</v>
      </c>
    </row>
    <row r="480" spans="1:16">
      <c r="A480" s="2">
        <v>42361</v>
      </c>
      <c r="B480" s="1">
        <v>666.5</v>
      </c>
      <c r="C480" s="1">
        <v>666.6</v>
      </c>
      <c r="D480" s="1">
        <v>656.63</v>
      </c>
      <c r="E480" s="1">
        <v>663.7</v>
      </c>
      <c r="F480" s="1">
        <v>2722900</v>
      </c>
      <c r="G480" s="1">
        <v>663.7</v>
      </c>
      <c r="H480" s="1">
        <f t="shared" si="63"/>
        <v>9.9700000000000273</v>
      </c>
      <c r="I480" s="9">
        <f t="shared" si="70"/>
        <v>1.518358893136169E-2</v>
      </c>
      <c r="J480" s="1">
        <f t="shared" si="71"/>
        <v>0.55000000000006821</v>
      </c>
      <c r="K480" s="9">
        <f t="shared" si="64"/>
        <v>8.2937495287652607E-4</v>
      </c>
      <c r="L480" s="1">
        <f t="shared" si="65"/>
        <v>1</v>
      </c>
      <c r="M480" s="1">
        <f t="shared" si="66"/>
        <v>666.6</v>
      </c>
      <c r="N480" s="1">
        <f t="shared" si="67"/>
        <v>656.63</v>
      </c>
      <c r="O480" s="1">
        <f t="shared" si="68"/>
        <v>661.74</v>
      </c>
      <c r="P480" s="1">
        <f t="shared" si="69"/>
        <v>337.62244897959187</v>
      </c>
    </row>
    <row r="481" spans="1:16">
      <c r="A481" s="2">
        <v>42360</v>
      </c>
      <c r="B481" s="1">
        <v>666.83</v>
      </c>
      <c r="C481" s="1">
        <v>668.49</v>
      </c>
      <c r="D481" s="1">
        <v>659.26</v>
      </c>
      <c r="E481" s="1">
        <v>663.15</v>
      </c>
      <c r="F481" s="1">
        <v>2664000</v>
      </c>
      <c r="G481" s="1">
        <v>663.15</v>
      </c>
      <c r="H481" s="1">
        <f t="shared" si="63"/>
        <v>9.2300000000000182</v>
      </c>
      <c r="I481" s="9">
        <f t="shared" si="70"/>
        <v>1.40005460668022E-2</v>
      </c>
      <c r="J481" s="1">
        <f t="shared" si="71"/>
        <v>-1.3600000000000136</v>
      </c>
      <c r="K481" s="9">
        <f t="shared" si="64"/>
        <v>-2.0466208183473741E-3</v>
      </c>
      <c r="L481" s="1">
        <f t="shared" si="65"/>
        <v>1</v>
      </c>
      <c r="M481" s="1">
        <f t="shared" si="66"/>
        <v>668.49</v>
      </c>
      <c r="N481" s="1">
        <f t="shared" si="67"/>
        <v>659.26</v>
      </c>
      <c r="O481" s="1">
        <f t="shared" si="68"/>
        <v>661.18999999999994</v>
      </c>
      <c r="P481" s="1">
        <f t="shared" si="69"/>
        <v>337.34183673469386</v>
      </c>
    </row>
    <row r="482" spans="1:16">
      <c r="A482" s="2">
        <v>42359</v>
      </c>
      <c r="B482" s="1">
        <v>668.5</v>
      </c>
      <c r="C482" s="1">
        <v>669.9</v>
      </c>
      <c r="D482" s="1">
        <v>658.93</v>
      </c>
      <c r="E482" s="1">
        <v>664.51</v>
      </c>
      <c r="F482" s="1">
        <v>3250900</v>
      </c>
      <c r="G482" s="1">
        <v>664.51</v>
      </c>
      <c r="H482" s="1">
        <f t="shared" si="63"/>
        <v>10.970000000000027</v>
      </c>
      <c r="I482" s="9">
        <f t="shared" si="70"/>
        <v>1.664820238872115E-2</v>
      </c>
      <c r="J482" s="1">
        <f t="shared" si="71"/>
        <v>0.37000000000000455</v>
      </c>
      <c r="K482" s="9">
        <f t="shared" si="64"/>
        <v>5.5711145240462038E-4</v>
      </c>
      <c r="L482" s="1">
        <f t="shared" si="65"/>
        <v>1</v>
      </c>
      <c r="M482" s="1">
        <f t="shared" si="66"/>
        <v>669.9</v>
      </c>
      <c r="N482" s="1">
        <f t="shared" si="67"/>
        <v>658.93</v>
      </c>
      <c r="O482" s="1">
        <f t="shared" si="68"/>
        <v>662.55</v>
      </c>
      <c r="P482" s="1">
        <f t="shared" si="69"/>
        <v>338.03571428571428</v>
      </c>
    </row>
    <row r="483" spans="1:16">
      <c r="A483" s="2">
        <v>42356</v>
      </c>
      <c r="B483" s="1">
        <v>668.65</v>
      </c>
      <c r="C483" s="1">
        <v>676.84</v>
      </c>
      <c r="D483" s="1">
        <v>664.13</v>
      </c>
      <c r="E483" s="1">
        <v>664.14</v>
      </c>
      <c r="F483" s="1">
        <v>6841300</v>
      </c>
      <c r="G483" s="1">
        <v>664.14</v>
      </c>
      <c r="H483" s="1">
        <f t="shared" si="63"/>
        <v>12.710000000000036</v>
      </c>
      <c r="I483" s="9">
        <f t="shared" si="70"/>
        <v>1.9137819402827813E-2</v>
      </c>
      <c r="J483" s="1">
        <f t="shared" si="71"/>
        <v>-6.5099999999999909</v>
      </c>
      <c r="K483" s="9">
        <f t="shared" si="64"/>
        <v>-9.7070006709908171E-3</v>
      </c>
      <c r="L483" s="1">
        <f t="shared" si="65"/>
        <v>1</v>
      </c>
      <c r="M483" s="1">
        <f t="shared" si="66"/>
        <v>676.84</v>
      </c>
      <c r="N483" s="1">
        <f t="shared" si="67"/>
        <v>664.13</v>
      </c>
      <c r="O483" s="1">
        <f t="shared" si="68"/>
        <v>662.18</v>
      </c>
      <c r="P483" s="1">
        <f t="shared" si="69"/>
        <v>337.84693877551018</v>
      </c>
    </row>
    <row r="484" spans="1:16">
      <c r="A484" s="2">
        <v>42355</v>
      </c>
      <c r="B484" s="1">
        <v>680</v>
      </c>
      <c r="C484" s="1">
        <v>682.5</v>
      </c>
      <c r="D484" s="1">
        <v>670.65</v>
      </c>
      <c r="E484" s="1">
        <v>670.65</v>
      </c>
      <c r="F484" s="1">
        <v>3681600</v>
      </c>
      <c r="G484" s="1">
        <v>670.65</v>
      </c>
      <c r="H484" s="1">
        <f t="shared" si="63"/>
        <v>11.850000000000023</v>
      </c>
      <c r="I484" s="9">
        <f t="shared" si="70"/>
        <v>1.7669425184522514E-2</v>
      </c>
      <c r="J484" s="1">
        <f t="shared" si="71"/>
        <v>-5.1200000000000045</v>
      </c>
      <c r="K484" s="9">
        <f t="shared" si="64"/>
        <v>-7.5765423146928754E-3</v>
      </c>
      <c r="L484" s="1">
        <f t="shared" si="65"/>
        <v>1</v>
      </c>
      <c r="M484" s="1">
        <f t="shared" si="66"/>
        <v>682.5</v>
      </c>
      <c r="N484" s="1">
        <f t="shared" si="67"/>
        <v>670.65</v>
      </c>
      <c r="O484" s="1">
        <f t="shared" si="68"/>
        <v>668.68999999999994</v>
      </c>
      <c r="P484" s="1">
        <f t="shared" si="69"/>
        <v>341.16836734693874</v>
      </c>
    </row>
    <row r="485" spans="1:16">
      <c r="A485" s="2">
        <v>42354</v>
      </c>
      <c r="B485" s="1">
        <v>663.56</v>
      </c>
      <c r="C485" s="1">
        <v>677.35</v>
      </c>
      <c r="D485" s="1">
        <v>659.32</v>
      </c>
      <c r="E485" s="1">
        <v>675.77</v>
      </c>
      <c r="F485" s="1">
        <v>3964500</v>
      </c>
      <c r="G485" s="1">
        <v>675.77</v>
      </c>
      <c r="H485" s="1">
        <f t="shared" si="63"/>
        <v>18.029999999999973</v>
      </c>
      <c r="I485" s="9">
        <f t="shared" si="70"/>
        <v>2.7346356852514669E-2</v>
      </c>
      <c r="J485" s="1">
        <f t="shared" si="71"/>
        <v>17.129999999999995</v>
      </c>
      <c r="K485" s="9">
        <f t="shared" si="64"/>
        <v>2.6008137981294782E-2</v>
      </c>
      <c r="L485" s="1">
        <f t="shared" si="65"/>
        <v>1</v>
      </c>
      <c r="M485" s="1">
        <f t="shared" si="66"/>
        <v>677.35</v>
      </c>
      <c r="N485" s="1">
        <f t="shared" si="67"/>
        <v>659.32</v>
      </c>
      <c r="O485" s="1">
        <f t="shared" si="68"/>
        <v>673.81</v>
      </c>
      <c r="P485" s="1">
        <f t="shared" si="69"/>
        <v>343.78061224489795</v>
      </c>
    </row>
    <row r="486" spans="1:16">
      <c r="A486" s="2">
        <v>42353</v>
      </c>
      <c r="B486" s="1">
        <v>665.03</v>
      </c>
      <c r="C486" s="1">
        <v>671.5</v>
      </c>
      <c r="D486" s="1">
        <v>657.35</v>
      </c>
      <c r="E486" s="1">
        <v>658.64</v>
      </c>
      <c r="F486" s="1">
        <v>4753400</v>
      </c>
      <c r="G486" s="1">
        <v>658.64</v>
      </c>
      <c r="H486" s="1">
        <f t="shared" si="63"/>
        <v>14.149999999999977</v>
      </c>
      <c r="I486" s="9">
        <f t="shared" si="70"/>
        <v>2.1525823381760061E-2</v>
      </c>
      <c r="J486" s="1">
        <f t="shared" si="71"/>
        <v>0.73000000000001819</v>
      </c>
      <c r="K486" s="9">
        <f t="shared" si="64"/>
        <v>1.1095742578772451E-3</v>
      </c>
      <c r="L486" s="1">
        <f t="shared" si="65"/>
        <v>1</v>
      </c>
      <c r="M486" s="1">
        <f t="shared" si="66"/>
        <v>671.5</v>
      </c>
      <c r="N486" s="1">
        <f t="shared" si="67"/>
        <v>657.35</v>
      </c>
      <c r="O486" s="1">
        <f t="shared" si="68"/>
        <v>656.68</v>
      </c>
      <c r="P486" s="1">
        <f t="shared" si="69"/>
        <v>335.0408163265306</v>
      </c>
    </row>
    <row r="487" spans="1:16">
      <c r="A487" s="2">
        <v>42352</v>
      </c>
      <c r="B487" s="1">
        <v>641.75</v>
      </c>
      <c r="C487" s="1">
        <v>658.59</v>
      </c>
      <c r="D487" s="1">
        <v>635.27</v>
      </c>
      <c r="E487" s="1">
        <v>657.91</v>
      </c>
      <c r="F487" s="1">
        <v>4329700</v>
      </c>
      <c r="G487" s="1">
        <v>657.91</v>
      </c>
      <c r="H487" s="1">
        <f t="shared" si="63"/>
        <v>23.32000000000005</v>
      </c>
      <c r="I487" s="9">
        <f t="shared" si="70"/>
        <v>3.6708800982259593E-2</v>
      </c>
      <c r="J487" s="1">
        <f t="shared" si="71"/>
        <v>17.759999999999991</v>
      </c>
      <c r="K487" s="9">
        <f t="shared" si="64"/>
        <v>2.7743497617745829E-2</v>
      </c>
      <c r="L487" s="1">
        <f t="shared" si="65"/>
        <v>1</v>
      </c>
      <c r="M487" s="1">
        <f t="shared" si="66"/>
        <v>658.59</v>
      </c>
      <c r="N487" s="1">
        <f t="shared" si="67"/>
        <v>635.27</v>
      </c>
      <c r="O487" s="1">
        <f t="shared" si="68"/>
        <v>655.94999999999993</v>
      </c>
      <c r="P487" s="1">
        <f t="shared" si="69"/>
        <v>334.66836734693874</v>
      </c>
    </row>
    <row r="488" spans="1:16">
      <c r="A488" s="2">
        <v>42349</v>
      </c>
      <c r="B488" s="1">
        <v>651.23</v>
      </c>
      <c r="C488" s="1">
        <v>657.88</v>
      </c>
      <c r="D488" s="1">
        <v>639.62</v>
      </c>
      <c r="E488" s="1">
        <v>640.15</v>
      </c>
      <c r="F488" s="1">
        <v>5474400</v>
      </c>
      <c r="G488" s="1">
        <v>640.15</v>
      </c>
      <c r="H488" s="1">
        <f t="shared" si="63"/>
        <v>18.259999999999991</v>
      </c>
      <c r="I488" s="9">
        <f t="shared" si="70"/>
        <v>2.8548200494043323E-2</v>
      </c>
      <c r="J488" s="1">
        <f t="shared" si="71"/>
        <v>-22.170000000000073</v>
      </c>
      <c r="K488" s="9">
        <f t="shared" si="64"/>
        <v>-3.3473245561058206E-2</v>
      </c>
      <c r="L488" s="1">
        <f t="shared" si="65"/>
        <v>1</v>
      </c>
      <c r="M488" s="1">
        <f t="shared" si="66"/>
        <v>657.88</v>
      </c>
      <c r="N488" s="1">
        <f t="shared" si="67"/>
        <v>639.62</v>
      </c>
      <c r="O488" s="1">
        <f t="shared" si="68"/>
        <v>638.18999999999994</v>
      </c>
      <c r="P488" s="1">
        <f t="shared" si="69"/>
        <v>325.60714285714283</v>
      </c>
    </row>
    <row r="489" spans="1:16">
      <c r="A489" s="2">
        <v>42348</v>
      </c>
      <c r="B489" s="1">
        <v>665.59</v>
      </c>
      <c r="C489" s="1">
        <v>668.53</v>
      </c>
      <c r="D489" s="1">
        <v>659.56</v>
      </c>
      <c r="E489" s="1">
        <v>662.32</v>
      </c>
      <c r="F489" s="1">
        <v>3440200</v>
      </c>
      <c r="G489" s="1">
        <v>662.32</v>
      </c>
      <c r="H489" s="1">
        <f t="shared" si="63"/>
        <v>8.9700000000000273</v>
      </c>
      <c r="I489" s="9">
        <f t="shared" si="70"/>
        <v>1.3599975741403402E-2</v>
      </c>
      <c r="J489" s="1">
        <f t="shared" si="71"/>
        <v>-2.4699999999999136</v>
      </c>
      <c r="K489" s="9">
        <f t="shared" si="64"/>
        <v>-3.7154590171331004E-3</v>
      </c>
      <c r="L489" s="1">
        <f t="shared" si="65"/>
        <v>1</v>
      </c>
      <c r="M489" s="1">
        <f t="shared" si="66"/>
        <v>668.53</v>
      </c>
      <c r="N489" s="1">
        <f t="shared" si="67"/>
        <v>659.56</v>
      </c>
      <c r="O489" s="1">
        <f t="shared" si="68"/>
        <v>660.36</v>
      </c>
      <c r="P489" s="1">
        <f t="shared" si="69"/>
        <v>336.91836734693879</v>
      </c>
    </row>
    <row r="490" spans="1:16">
      <c r="A490" s="2">
        <v>42347</v>
      </c>
      <c r="B490" s="1">
        <v>678</v>
      </c>
      <c r="C490" s="1">
        <v>679</v>
      </c>
      <c r="D490" s="1">
        <v>655.68</v>
      </c>
      <c r="E490" s="1">
        <v>664.79</v>
      </c>
      <c r="F490" s="1">
        <v>5158200</v>
      </c>
      <c r="G490" s="1">
        <v>664.79</v>
      </c>
      <c r="H490" s="1">
        <f t="shared" si="63"/>
        <v>23.32000000000005</v>
      </c>
      <c r="I490" s="9">
        <f t="shared" si="70"/>
        <v>3.556612981942419E-2</v>
      </c>
      <c r="J490" s="1">
        <f t="shared" si="71"/>
        <v>-12.540000000000077</v>
      </c>
      <c r="K490" s="9">
        <f t="shared" si="64"/>
        <v>-1.8513870639127274E-2</v>
      </c>
      <c r="L490" s="1">
        <f t="shared" si="65"/>
        <v>1</v>
      </c>
      <c r="M490" s="1">
        <f t="shared" si="66"/>
        <v>679</v>
      </c>
      <c r="N490" s="1">
        <f t="shared" si="67"/>
        <v>655.68</v>
      </c>
      <c r="O490" s="1">
        <f t="shared" si="68"/>
        <v>662.82999999999993</v>
      </c>
      <c r="P490" s="1">
        <f t="shared" si="69"/>
        <v>338.17857142857139</v>
      </c>
    </row>
    <row r="491" spans="1:16">
      <c r="A491" s="2">
        <v>42346</v>
      </c>
      <c r="B491" s="1">
        <v>663.13</v>
      </c>
      <c r="C491" s="1">
        <v>679.99</v>
      </c>
      <c r="D491" s="1">
        <v>659.79</v>
      </c>
      <c r="E491" s="1">
        <v>677.33</v>
      </c>
      <c r="F491" s="1">
        <v>3651900</v>
      </c>
      <c r="G491" s="1">
        <v>677.33</v>
      </c>
      <c r="H491" s="1">
        <f t="shared" si="63"/>
        <v>20.200000000000045</v>
      </c>
      <c r="I491" s="9">
        <f t="shared" si="70"/>
        <v>3.0615801997605368E-2</v>
      </c>
      <c r="J491" s="1">
        <f t="shared" si="71"/>
        <v>7.5</v>
      </c>
      <c r="K491" s="9">
        <f t="shared" si="64"/>
        <v>1.119687084782706E-2</v>
      </c>
      <c r="L491" s="1">
        <f t="shared" si="65"/>
        <v>1</v>
      </c>
      <c r="M491" s="1">
        <f t="shared" si="66"/>
        <v>679.99</v>
      </c>
      <c r="N491" s="1">
        <f t="shared" si="67"/>
        <v>659.79</v>
      </c>
      <c r="O491" s="1">
        <f t="shared" si="68"/>
        <v>675.37</v>
      </c>
      <c r="P491" s="1">
        <f t="shared" si="69"/>
        <v>344.57653061224488</v>
      </c>
    </row>
    <row r="492" spans="1:16">
      <c r="A492" s="2">
        <v>42345</v>
      </c>
      <c r="B492" s="1">
        <v>674.74</v>
      </c>
      <c r="C492" s="1">
        <v>675.46</v>
      </c>
      <c r="D492" s="1">
        <v>660.5</v>
      </c>
      <c r="E492" s="1">
        <v>669.83</v>
      </c>
      <c r="F492" s="1">
        <v>3732800</v>
      </c>
      <c r="G492" s="1">
        <v>669.83</v>
      </c>
      <c r="H492" s="1">
        <f t="shared" si="63"/>
        <v>14.960000000000036</v>
      </c>
      <c r="I492" s="9">
        <f t="shared" si="70"/>
        <v>2.2649507948523901E-2</v>
      </c>
      <c r="J492" s="1">
        <f t="shared" si="71"/>
        <v>-2.8099999999999454</v>
      </c>
      <c r="K492" s="9">
        <f t="shared" si="64"/>
        <v>-4.1775689819218984E-3</v>
      </c>
      <c r="L492" s="1">
        <f t="shared" si="65"/>
        <v>1</v>
      </c>
      <c r="M492" s="1">
        <f t="shared" si="66"/>
        <v>675.46</v>
      </c>
      <c r="N492" s="1">
        <f t="shared" si="67"/>
        <v>660.5</v>
      </c>
      <c r="O492" s="1">
        <f t="shared" si="68"/>
        <v>667.87</v>
      </c>
      <c r="P492" s="1">
        <f t="shared" si="69"/>
        <v>340.75</v>
      </c>
    </row>
    <row r="493" spans="1:16">
      <c r="A493" s="2">
        <v>42342</v>
      </c>
      <c r="B493" s="1">
        <v>666</v>
      </c>
      <c r="C493" s="1">
        <v>674.78</v>
      </c>
      <c r="D493" s="1">
        <v>661.4</v>
      </c>
      <c r="E493" s="1">
        <v>672.64</v>
      </c>
      <c r="F493" s="1">
        <v>4534800</v>
      </c>
      <c r="G493" s="1">
        <v>672.64</v>
      </c>
      <c r="H493" s="1">
        <f t="shared" si="63"/>
        <v>13.379999999999995</v>
      </c>
      <c r="I493" s="9">
        <f t="shared" si="70"/>
        <v>2.0229815542788018E-2</v>
      </c>
      <c r="J493" s="1">
        <f t="shared" si="71"/>
        <v>6.3899999999999864</v>
      </c>
      <c r="K493" s="9">
        <f t="shared" si="64"/>
        <v>9.5909943714821561E-3</v>
      </c>
      <c r="L493" s="1">
        <f t="shared" si="65"/>
        <v>1</v>
      </c>
      <c r="M493" s="1">
        <f t="shared" si="66"/>
        <v>674.78</v>
      </c>
      <c r="N493" s="1">
        <f t="shared" si="67"/>
        <v>661.4</v>
      </c>
      <c r="O493" s="1">
        <f t="shared" si="68"/>
        <v>670.68</v>
      </c>
      <c r="P493" s="1">
        <f t="shared" si="69"/>
        <v>342.18367346938771</v>
      </c>
    </row>
    <row r="494" spans="1:16">
      <c r="A494" s="2">
        <v>42341</v>
      </c>
      <c r="B494" s="1">
        <v>679.44</v>
      </c>
      <c r="C494" s="1">
        <v>682.79</v>
      </c>
      <c r="D494" s="1">
        <v>661.48</v>
      </c>
      <c r="E494" s="1">
        <v>666.25</v>
      </c>
      <c r="F494" s="1">
        <v>5064700</v>
      </c>
      <c r="G494" s="1">
        <v>666.25</v>
      </c>
      <c r="H494" s="1">
        <f t="shared" si="63"/>
        <v>21.309999999999945</v>
      </c>
      <c r="I494" s="9">
        <f t="shared" si="70"/>
        <v>3.2215637661002515E-2</v>
      </c>
      <c r="J494" s="1">
        <f t="shared" si="71"/>
        <v>-9.7599999999999909</v>
      </c>
      <c r="K494" s="9">
        <f t="shared" si="64"/>
        <v>-1.443765624768863E-2</v>
      </c>
      <c r="L494" s="1">
        <f t="shared" si="65"/>
        <v>1</v>
      </c>
      <c r="M494" s="1">
        <f t="shared" si="66"/>
        <v>682.79</v>
      </c>
      <c r="N494" s="1">
        <f t="shared" si="67"/>
        <v>661.48</v>
      </c>
      <c r="O494" s="1">
        <f t="shared" si="68"/>
        <v>664.29</v>
      </c>
      <c r="P494" s="1">
        <f t="shared" si="69"/>
        <v>338.92346938775506</v>
      </c>
    </row>
    <row r="495" spans="1:16">
      <c r="A495" s="2">
        <v>42340</v>
      </c>
      <c r="B495" s="1">
        <v>681</v>
      </c>
      <c r="C495" s="1">
        <v>684.82</v>
      </c>
      <c r="D495" s="1">
        <v>674.25</v>
      </c>
      <c r="E495" s="1">
        <v>676.01</v>
      </c>
      <c r="F495" s="1">
        <v>4273500</v>
      </c>
      <c r="G495" s="1">
        <v>676.01</v>
      </c>
      <c r="H495" s="1">
        <f t="shared" si="63"/>
        <v>10.57000000000005</v>
      </c>
      <c r="I495" s="9">
        <f t="shared" si="70"/>
        <v>1.5676677790137265E-2</v>
      </c>
      <c r="J495" s="1">
        <f t="shared" si="71"/>
        <v>-3.0499999999999545</v>
      </c>
      <c r="K495" s="9">
        <f t="shared" si="64"/>
        <v>-4.4915029599740149E-3</v>
      </c>
      <c r="L495" s="1">
        <f t="shared" si="65"/>
        <v>1</v>
      </c>
      <c r="M495" s="1">
        <f t="shared" si="66"/>
        <v>684.82</v>
      </c>
      <c r="N495" s="1">
        <f t="shared" si="67"/>
        <v>674.25</v>
      </c>
      <c r="O495" s="1">
        <f t="shared" si="68"/>
        <v>674.05</v>
      </c>
      <c r="P495" s="1">
        <f t="shared" si="69"/>
        <v>343.90306122448976</v>
      </c>
    </row>
    <row r="496" spans="1:16">
      <c r="A496" s="2">
        <v>42339</v>
      </c>
      <c r="B496" s="1">
        <v>673.75</v>
      </c>
      <c r="C496" s="1">
        <v>681</v>
      </c>
      <c r="D496" s="1">
        <v>667.86</v>
      </c>
      <c r="E496" s="1">
        <v>679.06</v>
      </c>
      <c r="F496" s="1">
        <v>4751200</v>
      </c>
      <c r="G496" s="1">
        <v>679.06</v>
      </c>
      <c r="H496" s="1">
        <f t="shared" si="63"/>
        <v>13.139999999999986</v>
      </c>
      <c r="I496" s="9">
        <f t="shared" si="70"/>
        <v>1.9674782139969434E-2</v>
      </c>
      <c r="J496" s="1">
        <f t="shared" si="71"/>
        <v>14.259999999999991</v>
      </c>
      <c r="K496" s="9">
        <f t="shared" si="64"/>
        <v>2.1450060168471709E-2</v>
      </c>
      <c r="L496" s="1">
        <f t="shared" si="65"/>
        <v>1</v>
      </c>
      <c r="M496" s="1">
        <f t="shared" si="66"/>
        <v>681</v>
      </c>
      <c r="N496" s="1">
        <f t="shared" si="67"/>
        <v>667.86</v>
      </c>
      <c r="O496" s="1">
        <f t="shared" si="68"/>
        <v>677.09999999999991</v>
      </c>
      <c r="P496" s="1">
        <f t="shared" si="69"/>
        <v>345.45918367346934</v>
      </c>
    </row>
    <row r="497" spans="1:16">
      <c r="A497" s="2">
        <v>42338</v>
      </c>
      <c r="B497" s="1">
        <v>675.9</v>
      </c>
      <c r="C497" s="1">
        <v>681.29</v>
      </c>
      <c r="D497" s="1">
        <v>664.6</v>
      </c>
      <c r="E497" s="1">
        <v>664.8</v>
      </c>
      <c r="F497" s="1">
        <v>5693200</v>
      </c>
      <c r="G497" s="1">
        <v>664.8</v>
      </c>
      <c r="H497" s="1">
        <f t="shared" si="63"/>
        <v>16.689999999999941</v>
      </c>
      <c r="I497" s="9">
        <f t="shared" si="70"/>
        <v>2.511284983448682E-2</v>
      </c>
      <c r="J497" s="1">
        <f t="shared" si="71"/>
        <v>-8.4600000000000364</v>
      </c>
      <c r="K497" s="9">
        <f t="shared" si="64"/>
        <v>-1.2565724979948366E-2</v>
      </c>
      <c r="L497" s="1">
        <f t="shared" si="65"/>
        <v>1</v>
      </c>
      <c r="M497" s="1">
        <f t="shared" si="66"/>
        <v>681.29</v>
      </c>
      <c r="N497" s="1">
        <f t="shared" si="67"/>
        <v>664.6</v>
      </c>
      <c r="O497" s="1">
        <f t="shared" si="68"/>
        <v>662.83999999999992</v>
      </c>
      <c r="P497" s="1">
        <f t="shared" si="69"/>
        <v>338.18367346938771</v>
      </c>
    </row>
    <row r="498" spans="1:16">
      <c r="A498" s="2">
        <v>42335</v>
      </c>
      <c r="B498" s="1">
        <v>680.8</v>
      </c>
      <c r="C498" s="1">
        <v>680.99</v>
      </c>
      <c r="D498" s="1">
        <v>672.1</v>
      </c>
      <c r="E498" s="1">
        <v>673.26</v>
      </c>
      <c r="F498" s="1">
        <v>1966800</v>
      </c>
      <c r="G498" s="1">
        <v>673.26</v>
      </c>
      <c r="H498" s="1">
        <f t="shared" si="63"/>
        <v>8.8899999999999864</v>
      </c>
      <c r="I498" s="9">
        <f t="shared" si="70"/>
        <v>1.3227198333581292E-2</v>
      </c>
      <c r="J498" s="1">
        <f t="shared" si="71"/>
        <v>-2.0800000000000409</v>
      </c>
      <c r="K498" s="9">
        <f t="shared" si="64"/>
        <v>-3.0799301092783501E-3</v>
      </c>
      <c r="L498" s="1">
        <f t="shared" si="65"/>
        <v>1</v>
      </c>
      <c r="M498" s="1">
        <f t="shared" si="66"/>
        <v>680.99</v>
      </c>
      <c r="N498" s="1">
        <f t="shared" si="67"/>
        <v>672.1</v>
      </c>
      <c r="O498" s="1">
        <f t="shared" si="68"/>
        <v>671.3</v>
      </c>
      <c r="P498" s="1">
        <f t="shared" si="69"/>
        <v>342.5</v>
      </c>
    </row>
    <row r="499" spans="1:16">
      <c r="A499" s="2">
        <v>42333</v>
      </c>
      <c r="B499" s="1">
        <v>675</v>
      </c>
      <c r="C499" s="1">
        <v>679.7</v>
      </c>
      <c r="D499" s="1">
        <v>671.24</v>
      </c>
      <c r="E499" s="1">
        <v>675.34</v>
      </c>
      <c r="F499" s="1">
        <v>2697900</v>
      </c>
      <c r="G499" s="1">
        <v>675.34</v>
      </c>
      <c r="H499" s="1">
        <f t="shared" si="63"/>
        <v>8.4600000000000364</v>
      </c>
      <c r="I499" s="9">
        <f t="shared" si="70"/>
        <v>1.2603539717537745E-2</v>
      </c>
      <c r="J499" s="1">
        <f t="shared" si="71"/>
        <v>4.1900000000000546</v>
      </c>
      <c r="K499" s="9">
        <f t="shared" si="64"/>
        <v>6.2430157192878708E-3</v>
      </c>
      <c r="L499" s="1">
        <f t="shared" si="65"/>
        <v>1</v>
      </c>
      <c r="M499" s="1">
        <f t="shared" si="66"/>
        <v>679.7</v>
      </c>
      <c r="N499" s="1">
        <f t="shared" si="67"/>
        <v>671.24</v>
      </c>
      <c r="O499" s="1">
        <f t="shared" si="68"/>
        <v>673.38</v>
      </c>
      <c r="P499" s="1">
        <f t="shared" si="69"/>
        <v>343.5612244897959</v>
      </c>
    </row>
    <row r="500" spans="1:16">
      <c r="A500" s="2">
        <v>42332</v>
      </c>
      <c r="B500" s="1">
        <v>674.14</v>
      </c>
      <c r="C500" s="1">
        <v>675.8</v>
      </c>
      <c r="D500" s="1">
        <v>661.21</v>
      </c>
      <c r="E500" s="1">
        <v>671.15</v>
      </c>
      <c r="F500" s="1">
        <v>4543400</v>
      </c>
      <c r="G500" s="1">
        <v>671.15</v>
      </c>
      <c r="H500" s="1">
        <f t="shared" si="63"/>
        <v>14.589999999999918</v>
      </c>
      <c r="I500" s="9">
        <f t="shared" si="70"/>
        <v>2.2065606993239541E-2</v>
      </c>
      <c r="J500" s="1">
        <f t="shared" si="71"/>
        <v>-7.8400000000000318</v>
      </c>
      <c r="K500" s="9">
        <f t="shared" si="64"/>
        <v>-1.1546561805033995E-2</v>
      </c>
      <c r="L500" s="1">
        <f t="shared" si="65"/>
        <v>1</v>
      </c>
      <c r="M500" s="1">
        <f t="shared" si="66"/>
        <v>675.8</v>
      </c>
      <c r="N500" s="1">
        <f t="shared" si="67"/>
        <v>661.21</v>
      </c>
      <c r="O500" s="1">
        <f t="shared" si="68"/>
        <v>669.18999999999994</v>
      </c>
      <c r="P500" s="1">
        <f t="shared" si="69"/>
        <v>341.42346938775506</v>
      </c>
    </row>
    <row r="501" spans="1:16">
      <c r="A501" s="2">
        <v>42331</v>
      </c>
      <c r="B501" s="1">
        <v>671.5</v>
      </c>
      <c r="C501" s="1">
        <v>682.77</v>
      </c>
      <c r="D501" s="1">
        <v>670.12</v>
      </c>
      <c r="E501" s="1">
        <v>678.99</v>
      </c>
      <c r="F501" s="1">
        <v>4385100</v>
      </c>
      <c r="G501" s="1">
        <v>678.99</v>
      </c>
      <c r="H501" s="1">
        <f t="shared" si="63"/>
        <v>12.649999999999977</v>
      </c>
      <c r="I501" s="9">
        <f t="shared" si="70"/>
        <v>1.8877216021011129E-2</v>
      </c>
      <c r="J501" s="1">
        <f t="shared" si="71"/>
        <v>10.539999999999964</v>
      </c>
      <c r="K501" s="9">
        <f t="shared" si="64"/>
        <v>1.5767821078614651E-2</v>
      </c>
      <c r="L501" s="1">
        <f t="shared" si="65"/>
        <v>1</v>
      </c>
      <c r="M501" s="1">
        <f t="shared" si="66"/>
        <v>682.77</v>
      </c>
      <c r="N501" s="1">
        <f t="shared" si="67"/>
        <v>670.12</v>
      </c>
      <c r="O501" s="1">
        <f t="shared" si="68"/>
        <v>677.03</v>
      </c>
      <c r="P501" s="1">
        <f t="shared" si="69"/>
        <v>345.42346938775512</v>
      </c>
    </row>
    <row r="502" spans="1:16">
      <c r="A502" s="2">
        <v>42328</v>
      </c>
      <c r="B502" s="1">
        <v>667.94</v>
      </c>
      <c r="C502" s="1">
        <v>668.87</v>
      </c>
      <c r="D502" s="1">
        <v>657.57</v>
      </c>
      <c r="E502" s="1">
        <v>668.45</v>
      </c>
      <c r="F502" s="1">
        <v>3896100</v>
      </c>
      <c r="G502" s="1">
        <v>668.45</v>
      </c>
      <c r="H502" s="1">
        <f t="shared" si="63"/>
        <v>11.299999999999955</v>
      </c>
      <c r="I502" s="9">
        <f t="shared" si="70"/>
        <v>1.7184482260443685E-2</v>
      </c>
      <c r="J502" s="1">
        <f t="shared" si="71"/>
        <v>7.1800000000000637</v>
      </c>
      <c r="K502" s="9">
        <f t="shared" si="64"/>
        <v>1.0857894657250539E-2</v>
      </c>
      <c r="L502" s="1">
        <f t="shared" si="65"/>
        <v>1</v>
      </c>
      <c r="M502" s="1">
        <f t="shared" si="66"/>
        <v>668.87</v>
      </c>
      <c r="N502" s="1">
        <f t="shared" si="67"/>
        <v>657.57</v>
      </c>
      <c r="O502" s="1">
        <f t="shared" si="68"/>
        <v>666.49</v>
      </c>
      <c r="P502" s="1">
        <f t="shared" si="69"/>
        <v>340.04591836734693</v>
      </c>
    </row>
    <row r="503" spans="1:16">
      <c r="A503" s="2">
        <v>42327</v>
      </c>
      <c r="B503" s="1">
        <v>664.99</v>
      </c>
      <c r="C503" s="1">
        <v>672.86</v>
      </c>
      <c r="D503" s="1">
        <v>659</v>
      </c>
      <c r="E503" s="1">
        <v>661.27</v>
      </c>
      <c r="F503" s="1">
        <v>4705200</v>
      </c>
      <c r="G503" s="1">
        <v>661.27</v>
      </c>
      <c r="H503" s="1">
        <f t="shared" si="63"/>
        <v>13.860000000000014</v>
      </c>
      <c r="I503" s="9">
        <f t="shared" si="70"/>
        <v>2.1031866464339931E-2</v>
      </c>
      <c r="J503" s="1">
        <f t="shared" si="71"/>
        <v>-2.2699999999999818</v>
      </c>
      <c r="K503" s="9">
        <f t="shared" si="64"/>
        <v>-3.4210446996412905E-3</v>
      </c>
      <c r="L503" s="1">
        <f t="shared" si="65"/>
        <v>1</v>
      </c>
      <c r="M503" s="1">
        <f t="shared" si="66"/>
        <v>672.86</v>
      </c>
      <c r="N503" s="1">
        <f t="shared" si="67"/>
        <v>659</v>
      </c>
      <c r="O503" s="1">
        <f t="shared" si="68"/>
        <v>659.31</v>
      </c>
      <c r="P503" s="1">
        <f t="shared" si="69"/>
        <v>336.38265306122446</v>
      </c>
    </row>
    <row r="504" spans="1:16">
      <c r="A504" s="2">
        <v>42326</v>
      </c>
      <c r="B504" s="1">
        <v>646.51</v>
      </c>
      <c r="C504" s="1">
        <v>664.88</v>
      </c>
      <c r="D504" s="1">
        <v>646.37</v>
      </c>
      <c r="E504" s="1">
        <v>663.54</v>
      </c>
      <c r="F504" s="1">
        <v>4469800</v>
      </c>
      <c r="G504" s="1">
        <v>663.54</v>
      </c>
      <c r="H504" s="1">
        <f t="shared" si="63"/>
        <v>18.509999999999991</v>
      </c>
      <c r="I504" s="9">
        <f t="shared" si="70"/>
        <v>2.8636848863653929E-2</v>
      </c>
      <c r="J504" s="1">
        <f t="shared" si="71"/>
        <v>20.240000000000009</v>
      </c>
      <c r="K504" s="9">
        <f t="shared" si="64"/>
        <v>3.1462770091714616E-2</v>
      </c>
      <c r="L504" s="1">
        <f t="shared" si="65"/>
        <v>1</v>
      </c>
      <c r="M504" s="1">
        <f t="shared" si="66"/>
        <v>664.88</v>
      </c>
      <c r="N504" s="1">
        <f t="shared" si="67"/>
        <v>646.37</v>
      </c>
      <c r="O504" s="1">
        <f t="shared" si="68"/>
        <v>661.57999999999993</v>
      </c>
      <c r="P504" s="1">
        <f t="shared" si="69"/>
        <v>337.5408163265306</v>
      </c>
    </row>
    <row r="505" spans="1:16">
      <c r="A505" s="2">
        <v>42325</v>
      </c>
      <c r="B505" s="1">
        <v>650.65</v>
      </c>
      <c r="C505" s="1">
        <v>653.25</v>
      </c>
      <c r="D505" s="1">
        <v>641</v>
      </c>
      <c r="E505" s="1">
        <v>643.29999999999995</v>
      </c>
      <c r="F505" s="1">
        <v>4320200</v>
      </c>
      <c r="G505" s="1">
        <v>643.29999999999995</v>
      </c>
      <c r="H505" s="1">
        <f t="shared" si="63"/>
        <v>12.25</v>
      </c>
      <c r="I505" s="9">
        <f t="shared" si="70"/>
        <v>1.9110764430577222E-2</v>
      </c>
      <c r="J505" s="1">
        <f t="shared" si="71"/>
        <v>-4.5099999999999909</v>
      </c>
      <c r="K505" s="9">
        <f t="shared" si="64"/>
        <v>-6.9619178462820754E-3</v>
      </c>
      <c r="L505" s="1">
        <f t="shared" si="65"/>
        <v>1</v>
      </c>
      <c r="M505" s="1">
        <f t="shared" si="66"/>
        <v>653.25</v>
      </c>
      <c r="N505" s="1">
        <f t="shared" si="67"/>
        <v>641</v>
      </c>
      <c r="O505" s="1">
        <f t="shared" si="68"/>
        <v>641.33999999999992</v>
      </c>
      <c r="P505" s="1">
        <f t="shared" si="69"/>
        <v>327.21428571428567</v>
      </c>
    </row>
    <row r="506" spans="1:16">
      <c r="A506" s="2">
        <v>42324</v>
      </c>
      <c r="B506" s="1">
        <v>640.91999999999996</v>
      </c>
      <c r="C506" s="1">
        <v>649.99</v>
      </c>
      <c r="D506" s="1">
        <v>622.29</v>
      </c>
      <c r="E506" s="1">
        <v>647.80999999999995</v>
      </c>
      <c r="F506" s="1">
        <v>7435900</v>
      </c>
      <c r="G506" s="1">
        <v>647.80999999999995</v>
      </c>
      <c r="H506" s="1">
        <f t="shared" si="63"/>
        <v>27.700000000000045</v>
      </c>
      <c r="I506" s="9">
        <f t="shared" si="70"/>
        <v>4.4513008404441737E-2</v>
      </c>
      <c r="J506" s="1">
        <f t="shared" si="71"/>
        <v>5.4599999999999227</v>
      </c>
      <c r="K506" s="9">
        <f t="shared" si="64"/>
        <v>8.5000389195920012E-3</v>
      </c>
      <c r="L506" s="1">
        <f t="shared" si="65"/>
        <v>1</v>
      </c>
      <c r="M506" s="1">
        <f t="shared" si="66"/>
        <v>649.99</v>
      </c>
      <c r="N506" s="1">
        <f t="shared" si="67"/>
        <v>622.29</v>
      </c>
      <c r="O506" s="1">
        <f t="shared" si="68"/>
        <v>645.84999999999991</v>
      </c>
      <c r="P506" s="1">
        <f t="shared" si="69"/>
        <v>329.51530612244892</v>
      </c>
    </row>
    <row r="507" spans="1:16">
      <c r="A507" s="2">
        <v>42321</v>
      </c>
      <c r="B507" s="1">
        <v>663.57</v>
      </c>
      <c r="C507" s="1">
        <v>667</v>
      </c>
      <c r="D507" s="1">
        <v>640.45000000000005</v>
      </c>
      <c r="E507" s="1">
        <v>642.35</v>
      </c>
      <c r="F507" s="1">
        <v>6261100</v>
      </c>
      <c r="G507" s="1">
        <v>642.35</v>
      </c>
      <c r="H507" s="1">
        <f t="shared" si="63"/>
        <v>26.549999999999955</v>
      </c>
      <c r="I507" s="9">
        <f t="shared" si="70"/>
        <v>4.1455226793660635E-2</v>
      </c>
      <c r="J507" s="1">
        <f t="shared" si="71"/>
        <v>-23.25</v>
      </c>
      <c r="K507" s="9">
        <f t="shared" si="64"/>
        <v>-3.493088942307692E-2</v>
      </c>
      <c r="L507" s="1">
        <f t="shared" si="65"/>
        <v>1</v>
      </c>
      <c r="M507" s="1">
        <f t="shared" si="66"/>
        <v>667</v>
      </c>
      <c r="N507" s="1">
        <f t="shared" si="67"/>
        <v>640.45000000000005</v>
      </c>
      <c r="O507" s="1">
        <f t="shared" si="68"/>
        <v>640.39</v>
      </c>
      <c r="P507" s="1">
        <f t="shared" si="69"/>
        <v>326.7295918367347</v>
      </c>
    </row>
    <row r="508" spans="1:16">
      <c r="A508" s="2">
        <v>42320</v>
      </c>
      <c r="B508" s="1">
        <v>673</v>
      </c>
      <c r="C508" s="1">
        <v>675.64</v>
      </c>
      <c r="D508" s="1">
        <v>664.22</v>
      </c>
      <c r="E508" s="1">
        <v>665.6</v>
      </c>
      <c r="F508" s="1">
        <v>4284700</v>
      </c>
      <c r="G508" s="1">
        <v>665.6</v>
      </c>
      <c r="H508" s="1">
        <f t="shared" si="63"/>
        <v>11.419999999999959</v>
      </c>
      <c r="I508" s="9">
        <f t="shared" si="70"/>
        <v>1.7193098672126643E-2</v>
      </c>
      <c r="J508" s="1">
        <f t="shared" si="71"/>
        <v>-7.6499999999999773</v>
      </c>
      <c r="K508" s="9">
        <f t="shared" si="64"/>
        <v>-1.1362792424805016E-2</v>
      </c>
      <c r="L508" s="1">
        <f t="shared" si="65"/>
        <v>1</v>
      </c>
      <c r="M508" s="1">
        <f t="shared" si="66"/>
        <v>675.64</v>
      </c>
      <c r="N508" s="1">
        <f t="shared" si="67"/>
        <v>664.22</v>
      </c>
      <c r="O508" s="1">
        <f t="shared" si="68"/>
        <v>663.64</v>
      </c>
      <c r="P508" s="1">
        <f t="shared" si="69"/>
        <v>338.59183673469386</v>
      </c>
    </row>
    <row r="509" spans="1:16">
      <c r="A509" s="2">
        <v>42319</v>
      </c>
      <c r="B509" s="1">
        <v>663.25</v>
      </c>
      <c r="C509" s="1">
        <v>675.96</v>
      </c>
      <c r="D509" s="1">
        <v>663.25</v>
      </c>
      <c r="E509" s="1">
        <v>673.25</v>
      </c>
      <c r="F509" s="1">
        <v>5387300</v>
      </c>
      <c r="G509" s="1">
        <v>673.25</v>
      </c>
      <c r="H509" s="1">
        <f t="shared" si="63"/>
        <v>12.710000000000036</v>
      </c>
      <c r="I509" s="9">
        <f t="shared" si="70"/>
        <v>1.9163211458726025E-2</v>
      </c>
      <c r="J509" s="1">
        <f t="shared" si="71"/>
        <v>13.57000000000005</v>
      </c>
      <c r="K509" s="9">
        <f t="shared" si="64"/>
        <v>2.0570579674994014E-2</v>
      </c>
      <c r="L509" s="1">
        <f t="shared" si="65"/>
        <v>1</v>
      </c>
      <c r="M509" s="1">
        <f t="shared" si="66"/>
        <v>675.96</v>
      </c>
      <c r="N509" s="1">
        <f t="shared" si="67"/>
        <v>663.25</v>
      </c>
      <c r="O509" s="1">
        <f t="shared" si="68"/>
        <v>671.29</v>
      </c>
      <c r="P509" s="1">
        <f t="shared" si="69"/>
        <v>342.49489795918367</v>
      </c>
    </row>
    <row r="510" spans="1:16">
      <c r="A510" s="2">
        <v>42318</v>
      </c>
      <c r="B510" s="1">
        <v>651.01</v>
      </c>
      <c r="C510" s="1">
        <v>660</v>
      </c>
      <c r="D510" s="1">
        <v>647.26</v>
      </c>
      <c r="E510" s="1">
        <v>659.68</v>
      </c>
      <c r="F510" s="1">
        <v>3489500</v>
      </c>
      <c r="G510" s="1">
        <v>659.68</v>
      </c>
      <c r="H510" s="1">
        <f t="shared" si="63"/>
        <v>12.740000000000009</v>
      </c>
      <c r="I510" s="9">
        <f t="shared" si="70"/>
        <v>1.96829712943794E-2</v>
      </c>
      <c r="J510" s="1">
        <f t="shared" si="71"/>
        <v>4.1899999999999409</v>
      </c>
      <c r="K510" s="9">
        <f t="shared" si="64"/>
        <v>6.3921646401927422E-3</v>
      </c>
      <c r="L510" s="1">
        <f t="shared" si="65"/>
        <v>1</v>
      </c>
      <c r="M510" s="1">
        <f t="shared" si="66"/>
        <v>660</v>
      </c>
      <c r="N510" s="1">
        <f t="shared" si="67"/>
        <v>647.26</v>
      </c>
      <c r="O510" s="1">
        <f t="shared" si="68"/>
        <v>657.71999999999991</v>
      </c>
      <c r="P510" s="1">
        <f t="shared" si="69"/>
        <v>335.57142857142856</v>
      </c>
    </row>
    <row r="511" spans="1:16">
      <c r="A511" s="2">
        <v>42317</v>
      </c>
      <c r="B511" s="1">
        <v>658.65</v>
      </c>
      <c r="C511" s="1">
        <v>661.96</v>
      </c>
      <c r="D511" s="1">
        <v>647.85</v>
      </c>
      <c r="E511" s="1">
        <v>655.49</v>
      </c>
      <c r="F511" s="1">
        <v>4048800</v>
      </c>
      <c r="G511" s="1">
        <v>655.49</v>
      </c>
      <c r="H511" s="1">
        <f t="shared" si="63"/>
        <v>14.110000000000014</v>
      </c>
      <c r="I511" s="9">
        <f t="shared" si="70"/>
        <v>2.1779732962877229E-2</v>
      </c>
      <c r="J511" s="1">
        <f t="shared" si="71"/>
        <v>-3.8799999999999955</v>
      </c>
      <c r="K511" s="9">
        <f t="shared" si="64"/>
        <v>-5.8844048106525861E-3</v>
      </c>
      <c r="L511" s="1">
        <f t="shared" si="65"/>
        <v>1</v>
      </c>
      <c r="M511" s="1">
        <f t="shared" si="66"/>
        <v>661.96</v>
      </c>
      <c r="N511" s="1">
        <f t="shared" si="67"/>
        <v>647.85</v>
      </c>
      <c r="O511" s="1">
        <f t="shared" si="68"/>
        <v>653.53</v>
      </c>
      <c r="P511" s="1">
        <f t="shared" si="69"/>
        <v>333.43367346938777</v>
      </c>
    </row>
    <row r="512" spans="1:16">
      <c r="A512" s="2">
        <v>42314</v>
      </c>
      <c r="B512" s="1">
        <v>655</v>
      </c>
      <c r="C512" s="1">
        <v>662.26</v>
      </c>
      <c r="D512" s="1">
        <v>652</v>
      </c>
      <c r="E512" s="1">
        <v>659.37</v>
      </c>
      <c r="F512" s="1">
        <v>4092200</v>
      </c>
      <c r="G512" s="1">
        <v>659.37</v>
      </c>
      <c r="H512" s="1">
        <f t="shared" si="63"/>
        <v>10.259999999999991</v>
      </c>
      <c r="I512" s="9">
        <f t="shared" si="70"/>
        <v>1.5736196319018392E-2</v>
      </c>
      <c r="J512" s="1">
        <f t="shared" si="71"/>
        <v>3.7200000000000273</v>
      </c>
      <c r="K512" s="9">
        <f t="shared" si="64"/>
        <v>5.673758865248269E-3</v>
      </c>
      <c r="L512" s="1">
        <f t="shared" si="65"/>
        <v>1</v>
      </c>
      <c r="M512" s="1">
        <f t="shared" si="66"/>
        <v>662.26</v>
      </c>
      <c r="N512" s="1">
        <f t="shared" si="67"/>
        <v>652</v>
      </c>
      <c r="O512" s="1">
        <f t="shared" si="68"/>
        <v>657.41</v>
      </c>
      <c r="P512" s="1">
        <f t="shared" si="69"/>
        <v>335.41326530612241</v>
      </c>
    </row>
    <row r="513" spans="1:16">
      <c r="A513" s="2">
        <v>42313</v>
      </c>
      <c r="B513" s="1">
        <v>647.1</v>
      </c>
      <c r="C513" s="1">
        <v>657</v>
      </c>
      <c r="D513" s="1">
        <v>643.09</v>
      </c>
      <c r="E513" s="1">
        <v>655.65</v>
      </c>
      <c r="F513" s="1">
        <v>4723800</v>
      </c>
      <c r="G513" s="1">
        <v>655.65</v>
      </c>
      <c r="H513" s="1">
        <f t="shared" si="63"/>
        <v>13.909999999999968</v>
      </c>
      <c r="I513" s="9">
        <f t="shared" si="70"/>
        <v>2.1629942931782439E-2</v>
      </c>
      <c r="J513" s="1">
        <f t="shared" si="71"/>
        <v>14.699999999999932</v>
      </c>
      <c r="K513" s="9">
        <f t="shared" si="64"/>
        <v>2.2934706295342742E-2</v>
      </c>
      <c r="L513" s="1">
        <f t="shared" si="65"/>
        <v>1</v>
      </c>
      <c r="M513" s="1">
        <f t="shared" si="66"/>
        <v>657</v>
      </c>
      <c r="N513" s="1">
        <f t="shared" si="67"/>
        <v>643.09</v>
      </c>
      <c r="O513" s="1">
        <f t="shared" si="68"/>
        <v>653.68999999999994</v>
      </c>
      <c r="P513" s="1">
        <f t="shared" si="69"/>
        <v>333.51530612244898</v>
      </c>
    </row>
    <row r="514" spans="1:16">
      <c r="A514" s="2">
        <v>42312</v>
      </c>
      <c r="B514" s="1">
        <v>627.76</v>
      </c>
      <c r="C514" s="1">
        <v>645.92999999999995</v>
      </c>
      <c r="D514" s="1">
        <v>627.35</v>
      </c>
      <c r="E514" s="1">
        <v>640.95000000000005</v>
      </c>
      <c r="F514" s="1">
        <v>4831800</v>
      </c>
      <c r="G514" s="1">
        <v>640.95000000000005</v>
      </c>
      <c r="H514" s="1">
        <f t="shared" si="63"/>
        <v>18.579999999999927</v>
      </c>
      <c r="I514" s="9">
        <f t="shared" si="70"/>
        <v>2.9616641428229739E-2</v>
      </c>
      <c r="J514" s="1">
        <f t="shared" si="71"/>
        <v>15.6400000000001</v>
      </c>
      <c r="K514" s="9">
        <f t="shared" si="64"/>
        <v>2.5011594249252533E-2</v>
      </c>
      <c r="L514" s="1">
        <f t="shared" si="65"/>
        <v>1</v>
      </c>
      <c r="M514" s="1">
        <f t="shared" si="66"/>
        <v>645.92999999999995</v>
      </c>
      <c r="N514" s="1">
        <f t="shared" si="67"/>
        <v>627.35</v>
      </c>
      <c r="O514" s="1">
        <f t="shared" si="68"/>
        <v>638.99</v>
      </c>
      <c r="P514" s="1">
        <f t="shared" si="69"/>
        <v>326.01530612244898</v>
      </c>
    </row>
    <row r="515" spans="1:16">
      <c r="A515" s="2">
        <v>42311</v>
      </c>
      <c r="B515" s="1">
        <v>629.53</v>
      </c>
      <c r="C515" s="1">
        <v>629.89</v>
      </c>
      <c r="D515" s="1">
        <v>622</v>
      </c>
      <c r="E515" s="1">
        <v>625.30999999999995</v>
      </c>
      <c r="F515" s="1">
        <v>3246900</v>
      </c>
      <c r="G515" s="1">
        <v>625.30999999999995</v>
      </c>
      <c r="H515" s="1">
        <f t="shared" ref="H515:H578" si="72">C515-D515</f>
        <v>7.8899999999999864</v>
      </c>
      <c r="I515" s="9">
        <f t="shared" si="70"/>
        <v>1.2684887459807052E-2</v>
      </c>
      <c r="J515" s="1">
        <f t="shared" si="71"/>
        <v>-3.0400000000000773</v>
      </c>
      <c r="K515" s="9">
        <f t="shared" ref="K515:K578" si="73">(G515-G516)/G516</f>
        <v>-4.8380679557572647E-3</v>
      </c>
      <c r="L515" s="1">
        <f t="shared" ref="L515:L578" si="74">G515/E515</f>
        <v>1</v>
      </c>
      <c r="M515" s="1">
        <f t="shared" ref="M515:M578" si="75">L515*C515</f>
        <v>629.89</v>
      </c>
      <c r="N515" s="1">
        <f t="shared" ref="N515:N578" si="76">L515*D515</f>
        <v>622</v>
      </c>
      <c r="O515" s="1">
        <f t="shared" ref="O515:O578" si="77">G515-$G$5163</f>
        <v>623.34999999999991</v>
      </c>
      <c r="P515" s="1">
        <f t="shared" ref="P515:P578" si="78">(G515-$G$5163)/$G$5163</f>
        <v>318.03571428571422</v>
      </c>
    </row>
    <row r="516" spans="1:16">
      <c r="A516" s="2">
        <v>42310</v>
      </c>
      <c r="B516" s="1">
        <v>627.13</v>
      </c>
      <c r="C516" s="1">
        <v>628.63</v>
      </c>
      <c r="D516" s="1">
        <v>620.41</v>
      </c>
      <c r="E516" s="1">
        <v>628.35</v>
      </c>
      <c r="F516" s="1">
        <v>2816500</v>
      </c>
      <c r="G516" s="1">
        <v>628.35</v>
      </c>
      <c r="H516" s="1">
        <f t="shared" si="72"/>
        <v>8.2200000000000273</v>
      </c>
      <c r="I516" s="9">
        <f t="shared" ref="I516:I579" si="79">(C516-D516)/D516</f>
        <v>1.3249302880353359E-2</v>
      </c>
      <c r="J516" s="1">
        <f t="shared" ref="J516:J579" si="80">G516-G517</f>
        <v>2.4500000000000455</v>
      </c>
      <c r="K516" s="9">
        <f t="shared" si="73"/>
        <v>3.9143633168238464E-3</v>
      </c>
      <c r="L516" s="1">
        <f t="shared" si="74"/>
        <v>1</v>
      </c>
      <c r="M516" s="1">
        <f t="shared" si="75"/>
        <v>628.63</v>
      </c>
      <c r="N516" s="1">
        <f t="shared" si="76"/>
        <v>620.41</v>
      </c>
      <c r="O516" s="1">
        <f t="shared" si="77"/>
        <v>626.39</v>
      </c>
      <c r="P516" s="1">
        <f t="shared" si="78"/>
        <v>319.58673469387753</v>
      </c>
    </row>
    <row r="517" spans="1:16">
      <c r="A517" s="2">
        <v>42307</v>
      </c>
      <c r="B517" s="1">
        <v>626.01</v>
      </c>
      <c r="C517" s="1">
        <v>630.72</v>
      </c>
      <c r="D517" s="1">
        <v>625.28</v>
      </c>
      <c r="E517" s="1">
        <v>625.9</v>
      </c>
      <c r="F517" s="1">
        <v>3874400</v>
      </c>
      <c r="G517" s="1">
        <v>625.9</v>
      </c>
      <c r="H517" s="1">
        <f t="shared" si="72"/>
        <v>5.4400000000000546</v>
      </c>
      <c r="I517" s="9">
        <f t="shared" si="79"/>
        <v>8.7001023541454312E-3</v>
      </c>
      <c r="J517" s="1">
        <f t="shared" si="80"/>
        <v>-0.64999999999997726</v>
      </c>
      <c r="K517" s="9">
        <f t="shared" si="73"/>
        <v>-1.0374271805920954E-3</v>
      </c>
      <c r="L517" s="1">
        <f t="shared" si="74"/>
        <v>1</v>
      </c>
      <c r="M517" s="1">
        <f t="shared" si="75"/>
        <v>630.72</v>
      </c>
      <c r="N517" s="1">
        <f t="shared" si="76"/>
        <v>625.28</v>
      </c>
      <c r="O517" s="1">
        <f t="shared" si="77"/>
        <v>623.93999999999994</v>
      </c>
      <c r="P517" s="1">
        <f t="shared" si="78"/>
        <v>318.33673469387753</v>
      </c>
    </row>
    <row r="518" spans="1:16">
      <c r="A518" s="2">
        <v>42306</v>
      </c>
      <c r="B518" s="1">
        <v>617.70000000000005</v>
      </c>
      <c r="C518" s="1">
        <v>627.54</v>
      </c>
      <c r="D518" s="1">
        <v>615.39</v>
      </c>
      <c r="E518" s="1">
        <v>626.54999999999995</v>
      </c>
      <c r="F518" s="1">
        <v>3858600</v>
      </c>
      <c r="G518" s="1">
        <v>626.54999999999995</v>
      </c>
      <c r="H518" s="1">
        <f t="shared" si="72"/>
        <v>12.149999999999977</v>
      </c>
      <c r="I518" s="9">
        <f t="shared" si="79"/>
        <v>1.974357724369908E-2</v>
      </c>
      <c r="J518" s="1">
        <f t="shared" si="80"/>
        <v>9.4499999999999318</v>
      </c>
      <c r="K518" s="9">
        <f t="shared" si="73"/>
        <v>1.5313563441905577E-2</v>
      </c>
      <c r="L518" s="1">
        <f t="shared" si="74"/>
        <v>1</v>
      </c>
      <c r="M518" s="1">
        <f t="shared" si="75"/>
        <v>627.54</v>
      </c>
      <c r="N518" s="1">
        <f t="shared" si="76"/>
        <v>615.39</v>
      </c>
      <c r="O518" s="1">
        <f t="shared" si="77"/>
        <v>624.58999999999992</v>
      </c>
      <c r="P518" s="1">
        <f t="shared" si="78"/>
        <v>318.66836734693874</v>
      </c>
    </row>
    <row r="519" spans="1:16">
      <c r="A519" s="2">
        <v>42305</v>
      </c>
      <c r="B519" s="1">
        <v>612.29999999999995</v>
      </c>
      <c r="C519" s="1">
        <v>617.23</v>
      </c>
      <c r="D519" s="1">
        <v>609.5</v>
      </c>
      <c r="E519" s="1">
        <v>617.1</v>
      </c>
      <c r="F519" s="1">
        <v>3926200</v>
      </c>
      <c r="G519" s="1">
        <v>617.1</v>
      </c>
      <c r="H519" s="1">
        <f t="shared" si="72"/>
        <v>7.7300000000000182</v>
      </c>
      <c r="I519" s="9">
        <f t="shared" si="79"/>
        <v>1.2682526661197733E-2</v>
      </c>
      <c r="J519" s="1">
        <f t="shared" si="80"/>
        <v>6.0900000000000318</v>
      </c>
      <c r="K519" s="9">
        <f t="shared" si="73"/>
        <v>9.967103648058185E-3</v>
      </c>
      <c r="L519" s="1">
        <f t="shared" si="74"/>
        <v>1</v>
      </c>
      <c r="M519" s="1">
        <f t="shared" si="75"/>
        <v>617.23</v>
      </c>
      <c r="N519" s="1">
        <f t="shared" si="76"/>
        <v>609.5</v>
      </c>
      <c r="O519" s="1">
        <f t="shared" si="77"/>
        <v>615.14</v>
      </c>
      <c r="P519" s="1">
        <f t="shared" si="78"/>
        <v>313.84693877551018</v>
      </c>
    </row>
    <row r="520" spans="1:16">
      <c r="A520" s="2">
        <v>42304</v>
      </c>
      <c r="B520" s="1">
        <v>608.6</v>
      </c>
      <c r="C520" s="1">
        <v>614.71</v>
      </c>
      <c r="D520" s="1">
        <v>605.53</v>
      </c>
      <c r="E520" s="1">
        <v>611.01</v>
      </c>
      <c r="F520" s="1">
        <v>3787100</v>
      </c>
      <c r="G520" s="1">
        <v>611.01</v>
      </c>
      <c r="H520" s="1">
        <f t="shared" si="72"/>
        <v>9.1800000000000637</v>
      </c>
      <c r="I520" s="9">
        <f t="shared" si="79"/>
        <v>1.5160272818853012E-2</v>
      </c>
      <c r="J520" s="1">
        <f t="shared" si="80"/>
        <v>2.3999999999999773</v>
      </c>
      <c r="K520" s="9">
        <f t="shared" si="73"/>
        <v>3.943412037265206E-3</v>
      </c>
      <c r="L520" s="1">
        <f t="shared" si="74"/>
        <v>1</v>
      </c>
      <c r="M520" s="1">
        <f t="shared" si="75"/>
        <v>614.71</v>
      </c>
      <c r="N520" s="1">
        <f t="shared" si="76"/>
        <v>605.53</v>
      </c>
      <c r="O520" s="1">
        <f t="shared" si="77"/>
        <v>609.04999999999995</v>
      </c>
      <c r="P520" s="1">
        <f t="shared" si="78"/>
        <v>310.73979591836735</v>
      </c>
    </row>
    <row r="521" spans="1:16">
      <c r="A521" s="2">
        <v>42303</v>
      </c>
      <c r="B521" s="1">
        <v>602.29999999999995</v>
      </c>
      <c r="C521" s="1">
        <v>609.85</v>
      </c>
      <c r="D521" s="1">
        <v>596.29</v>
      </c>
      <c r="E521" s="1">
        <v>608.61</v>
      </c>
      <c r="F521" s="1">
        <v>4269700</v>
      </c>
      <c r="G521" s="1">
        <v>608.61</v>
      </c>
      <c r="H521" s="1">
        <f t="shared" si="72"/>
        <v>13.560000000000059</v>
      </c>
      <c r="I521" s="9">
        <f t="shared" si="79"/>
        <v>2.274061278907924E-2</v>
      </c>
      <c r="J521" s="1">
        <f t="shared" si="80"/>
        <v>9.5800000000000409</v>
      </c>
      <c r="K521" s="9">
        <f t="shared" si="73"/>
        <v>1.5992521242675729E-2</v>
      </c>
      <c r="L521" s="1">
        <f t="shared" si="74"/>
        <v>1</v>
      </c>
      <c r="M521" s="1">
        <f t="shared" si="75"/>
        <v>609.85</v>
      </c>
      <c r="N521" s="1">
        <f t="shared" si="76"/>
        <v>596.29</v>
      </c>
      <c r="O521" s="1">
        <f t="shared" si="77"/>
        <v>606.65</v>
      </c>
      <c r="P521" s="1">
        <f t="shared" si="78"/>
        <v>309.51530612244898</v>
      </c>
    </row>
    <row r="522" spans="1:16">
      <c r="A522" s="2">
        <v>42300</v>
      </c>
      <c r="B522" s="1">
        <v>617.67999999999995</v>
      </c>
      <c r="C522" s="1">
        <v>619.45000000000005</v>
      </c>
      <c r="D522" s="1">
        <v>595.36</v>
      </c>
      <c r="E522" s="1">
        <v>599.03</v>
      </c>
      <c r="F522" s="1">
        <v>10692700</v>
      </c>
      <c r="G522" s="1">
        <v>599.03</v>
      </c>
      <c r="H522" s="1">
        <f t="shared" si="72"/>
        <v>24.090000000000032</v>
      </c>
      <c r="I522" s="9">
        <f t="shared" si="79"/>
        <v>4.0462913195377641E-2</v>
      </c>
      <c r="J522" s="1">
        <f t="shared" si="80"/>
        <v>35.120000000000005</v>
      </c>
      <c r="K522" s="9">
        <f t="shared" si="73"/>
        <v>6.2279441754889975E-2</v>
      </c>
      <c r="L522" s="1">
        <f t="shared" si="74"/>
        <v>1</v>
      </c>
      <c r="M522" s="1">
        <f t="shared" si="75"/>
        <v>619.45000000000005</v>
      </c>
      <c r="N522" s="1">
        <f t="shared" si="76"/>
        <v>595.36</v>
      </c>
      <c r="O522" s="1">
        <f t="shared" si="77"/>
        <v>597.06999999999994</v>
      </c>
      <c r="P522" s="1">
        <f t="shared" si="78"/>
        <v>304.62755102040813</v>
      </c>
    </row>
    <row r="523" spans="1:16">
      <c r="A523" s="2">
        <v>42299</v>
      </c>
      <c r="B523" s="1">
        <v>562.70000000000005</v>
      </c>
      <c r="C523" s="1">
        <v>569.15</v>
      </c>
      <c r="D523" s="1">
        <v>556.66999999999996</v>
      </c>
      <c r="E523" s="1">
        <v>563.91</v>
      </c>
      <c r="F523" s="1">
        <v>7779400</v>
      </c>
      <c r="G523" s="1">
        <v>563.91</v>
      </c>
      <c r="H523" s="1">
        <f t="shared" si="72"/>
        <v>12.480000000000018</v>
      </c>
      <c r="I523" s="9">
        <f t="shared" si="79"/>
        <v>2.2419027430973501E-2</v>
      </c>
      <c r="J523" s="1">
        <f t="shared" si="80"/>
        <v>8.1399999999999864</v>
      </c>
      <c r="K523" s="9">
        <f t="shared" si="73"/>
        <v>1.4646346510247021E-2</v>
      </c>
      <c r="L523" s="1">
        <f t="shared" si="74"/>
        <v>1</v>
      </c>
      <c r="M523" s="1">
        <f t="shared" si="75"/>
        <v>569.15</v>
      </c>
      <c r="N523" s="1">
        <f t="shared" si="76"/>
        <v>556.66999999999996</v>
      </c>
      <c r="O523" s="1">
        <f t="shared" si="77"/>
        <v>561.94999999999993</v>
      </c>
      <c r="P523" s="1">
        <f t="shared" si="78"/>
        <v>286.70918367346934</v>
      </c>
    </row>
    <row r="524" spans="1:16">
      <c r="A524" s="2">
        <v>42298</v>
      </c>
      <c r="B524" s="1">
        <v>563.87</v>
      </c>
      <c r="C524" s="1">
        <v>565.25</v>
      </c>
      <c r="D524" s="1">
        <v>552.52</v>
      </c>
      <c r="E524" s="1">
        <v>555.77</v>
      </c>
      <c r="F524" s="1">
        <v>3343600</v>
      </c>
      <c r="G524" s="1">
        <v>555.77</v>
      </c>
      <c r="H524" s="1">
        <f t="shared" si="72"/>
        <v>12.730000000000018</v>
      </c>
      <c r="I524" s="9">
        <f t="shared" si="79"/>
        <v>2.3039889958734558E-2</v>
      </c>
      <c r="J524" s="1">
        <f t="shared" si="80"/>
        <v>-5.1100000000000136</v>
      </c>
      <c r="K524" s="9">
        <f t="shared" si="73"/>
        <v>-9.1106832120953028E-3</v>
      </c>
      <c r="L524" s="1">
        <f t="shared" si="74"/>
        <v>1</v>
      </c>
      <c r="M524" s="1">
        <f t="shared" si="75"/>
        <v>565.25</v>
      </c>
      <c r="N524" s="1">
        <f t="shared" si="76"/>
        <v>552.52</v>
      </c>
      <c r="O524" s="1">
        <f t="shared" si="77"/>
        <v>553.80999999999995</v>
      </c>
      <c r="P524" s="1">
        <f t="shared" si="78"/>
        <v>282.55612244897958</v>
      </c>
    </row>
    <row r="525" spans="1:16">
      <c r="A525" s="2">
        <v>42297</v>
      </c>
      <c r="B525" s="1">
        <v>572</v>
      </c>
      <c r="C525" s="1">
        <v>573</v>
      </c>
      <c r="D525" s="1">
        <v>555.28</v>
      </c>
      <c r="E525" s="1">
        <v>560.88</v>
      </c>
      <c r="F525" s="1">
        <v>4327900</v>
      </c>
      <c r="G525" s="1">
        <v>560.88</v>
      </c>
      <c r="H525" s="1">
        <f t="shared" si="72"/>
        <v>17.720000000000027</v>
      </c>
      <c r="I525" s="9">
        <f t="shared" si="79"/>
        <v>3.1911828266820395E-2</v>
      </c>
      <c r="J525" s="1">
        <f t="shared" si="80"/>
        <v>-12.269999999999982</v>
      </c>
      <c r="K525" s="9">
        <f t="shared" si="73"/>
        <v>-2.140800837477097E-2</v>
      </c>
      <c r="L525" s="1">
        <f t="shared" si="74"/>
        <v>1</v>
      </c>
      <c r="M525" s="1">
        <f t="shared" si="75"/>
        <v>573</v>
      </c>
      <c r="N525" s="1">
        <f t="shared" si="76"/>
        <v>555.28</v>
      </c>
      <c r="O525" s="1">
        <f t="shared" si="77"/>
        <v>558.91999999999996</v>
      </c>
      <c r="P525" s="1">
        <f t="shared" si="78"/>
        <v>285.16326530612241</v>
      </c>
    </row>
    <row r="526" spans="1:16">
      <c r="A526" s="2">
        <v>42296</v>
      </c>
      <c r="B526" s="1">
        <v>570.76</v>
      </c>
      <c r="C526" s="1">
        <v>579</v>
      </c>
      <c r="D526" s="1">
        <v>567.38</v>
      </c>
      <c r="E526" s="1">
        <v>573.15</v>
      </c>
      <c r="F526" s="1">
        <v>4375400</v>
      </c>
      <c r="G526" s="1">
        <v>573.15</v>
      </c>
      <c r="H526" s="1">
        <f t="shared" si="72"/>
        <v>11.620000000000005</v>
      </c>
      <c r="I526" s="9">
        <f t="shared" si="79"/>
        <v>2.0480101519263993E-2</v>
      </c>
      <c r="J526" s="1">
        <f t="shared" si="80"/>
        <v>2.3899999999999864</v>
      </c>
      <c r="K526" s="9">
        <f t="shared" si="73"/>
        <v>4.1873992571308189E-3</v>
      </c>
      <c r="L526" s="1">
        <f t="shared" si="74"/>
        <v>1</v>
      </c>
      <c r="M526" s="1">
        <f t="shared" si="75"/>
        <v>579</v>
      </c>
      <c r="N526" s="1">
        <f t="shared" si="76"/>
        <v>567.38</v>
      </c>
      <c r="O526" s="1">
        <f t="shared" si="77"/>
        <v>571.18999999999994</v>
      </c>
      <c r="P526" s="1">
        <f t="shared" si="78"/>
        <v>291.42346938775506</v>
      </c>
    </row>
    <row r="527" spans="1:16">
      <c r="A527" s="2">
        <v>42293</v>
      </c>
      <c r="B527" s="1">
        <v>565.27</v>
      </c>
      <c r="C527" s="1">
        <v>570.94000000000005</v>
      </c>
      <c r="D527" s="1">
        <v>560.30999999999995</v>
      </c>
      <c r="E527" s="1">
        <v>570.76</v>
      </c>
      <c r="F527" s="1">
        <v>4315800</v>
      </c>
      <c r="G527" s="1">
        <v>570.76</v>
      </c>
      <c r="H527" s="1">
        <f t="shared" si="72"/>
        <v>10.630000000000109</v>
      </c>
      <c r="I527" s="9">
        <f t="shared" si="79"/>
        <v>1.897164069889902E-2</v>
      </c>
      <c r="J527" s="1">
        <f t="shared" si="80"/>
        <v>8.3199999999999363</v>
      </c>
      <c r="K527" s="9">
        <f t="shared" si="73"/>
        <v>1.4792688997937443E-2</v>
      </c>
      <c r="L527" s="1">
        <f t="shared" si="74"/>
        <v>1</v>
      </c>
      <c r="M527" s="1">
        <f t="shared" si="75"/>
        <v>570.94000000000005</v>
      </c>
      <c r="N527" s="1">
        <f t="shared" si="76"/>
        <v>560.30999999999995</v>
      </c>
      <c r="O527" s="1">
        <f t="shared" si="77"/>
        <v>568.79999999999995</v>
      </c>
      <c r="P527" s="1">
        <f t="shared" si="78"/>
        <v>290.20408163265307</v>
      </c>
    </row>
    <row r="528" spans="1:16">
      <c r="A528" s="2">
        <v>42292</v>
      </c>
      <c r="B528" s="1">
        <v>547.75</v>
      </c>
      <c r="C528" s="1">
        <v>563</v>
      </c>
      <c r="D528" s="1">
        <v>547</v>
      </c>
      <c r="E528" s="1">
        <v>562.44000000000005</v>
      </c>
      <c r="F528" s="1">
        <v>4937000</v>
      </c>
      <c r="G528" s="1">
        <v>562.44000000000005</v>
      </c>
      <c r="H528" s="1">
        <f t="shared" si="72"/>
        <v>16</v>
      </c>
      <c r="I528" s="9">
        <f t="shared" si="79"/>
        <v>2.9250457038391225E-2</v>
      </c>
      <c r="J528" s="1">
        <f t="shared" si="80"/>
        <v>17.610000000000014</v>
      </c>
      <c r="K528" s="9">
        <f t="shared" si="73"/>
        <v>3.2322008699961477E-2</v>
      </c>
      <c r="L528" s="1">
        <f t="shared" si="74"/>
        <v>1</v>
      </c>
      <c r="M528" s="1">
        <f t="shared" si="75"/>
        <v>563</v>
      </c>
      <c r="N528" s="1">
        <f t="shared" si="76"/>
        <v>547</v>
      </c>
      <c r="O528" s="1">
        <f t="shared" si="77"/>
        <v>560.48</v>
      </c>
      <c r="P528" s="1">
        <f t="shared" si="78"/>
        <v>285.9591836734694</v>
      </c>
    </row>
    <row r="529" spans="1:16">
      <c r="A529" s="2">
        <v>42291</v>
      </c>
      <c r="B529" s="1">
        <v>551.34</v>
      </c>
      <c r="C529" s="1">
        <v>552.25</v>
      </c>
      <c r="D529" s="1">
        <v>539.67999999999995</v>
      </c>
      <c r="E529" s="1">
        <v>544.83000000000004</v>
      </c>
      <c r="F529" s="1">
        <v>3582100</v>
      </c>
      <c r="G529" s="1">
        <v>544.83000000000004</v>
      </c>
      <c r="H529" s="1">
        <f t="shared" si="72"/>
        <v>12.57000000000005</v>
      </c>
      <c r="I529" s="9">
        <f t="shared" si="79"/>
        <v>2.3291580195671603E-2</v>
      </c>
      <c r="J529" s="1">
        <f t="shared" si="80"/>
        <v>-4.0699999999999363</v>
      </c>
      <c r="K529" s="9">
        <f t="shared" si="73"/>
        <v>-7.4148296593185212E-3</v>
      </c>
      <c r="L529" s="1">
        <f t="shared" si="74"/>
        <v>1</v>
      </c>
      <c r="M529" s="1">
        <f t="shared" si="75"/>
        <v>552.25</v>
      </c>
      <c r="N529" s="1">
        <f t="shared" si="76"/>
        <v>539.67999999999995</v>
      </c>
      <c r="O529" s="1">
        <f t="shared" si="77"/>
        <v>542.87</v>
      </c>
      <c r="P529" s="1">
        <f t="shared" si="78"/>
        <v>276.97448979591837</v>
      </c>
    </row>
    <row r="530" spans="1:16">
      <c r="A530" s="2">
        <v>42290</v>
      </c>
      <c r="B530" s="1">
        <v>546.26</v>
      </c>
      <c r="C530" s="1">
        <v>553.20000000000005</v>
      </c>
      <c r="D530" s="1">
        <v>543.1</v>
      </c>
      <c r="E530" s="1">
        <v>548.9</v>
      </c>
      <c r="F530" s="1">
        <v>2938000</v>
      </c>
      <c r="G530" s="1">
        <v>548.9</v>
      </c>
      <c r="H530" s="1">
        <f t="shared" si="72"/>
        <v>10.100000000000023</v>
      </c>
      <c r="I530" s="9">
        <f t="shared" si="79"/>
        <v>1.8596943472657012E-2</v>
      </c>
      <c r="J530" s="1">
        <f t="shared" si="80"/>
        <v>-1.2900000000000773</v>
      </c>
      <c r="K530" s="9">
        <f t="shared" si="73"/>
        <v>-2.3446445773279726E-3</v>
      </c>
      <c r="L530" s="1">
        <f t="shared" si="74"/>
        <v>1</v>
      </c>
      <c r="M530" s="1">
        <f t="shared" si="75"/>
        <v>553.20000000000005</v>
      </c>
      <c r="N530" s="1">
        <f t="shared" si="76"/>
        <v>543.1</v>
      </c>
      <c r="O530" s="1">
        <f t="shared" si="77"/>
        <v>546.93999999999994</v>
      </c>
      <c r="P530" s="1">
        <f t="shared" si="78"/>
        <v>279.05102040816325</v>
      </c>
    </row>
    <row r="531" spans="1:16">
      <c r="A531" s="2">
        <v>42289</v>
      </c>
      <c r="B531" s="1">
        <v>539.96</v>
      </c>
      <c r="C531" s="1">
        <v>550.82000000000005</v>
      </c>
      <c r="D531" s="1">
        <v>539.79999999999995</v>
      </c>
      <c r="E531" s="1">
        <v>550.19000000000005</v>
      </c>
      <c r="F531" s="1">
        <v>2776100</v>
      </c>
      <c r="G531" s="1">
        <v>550.19000000000005</v>
      </c>
      <c r="H531" s="1">
        <f t="shared" si="72"/>
        <v>11.020000000000095</v>
      </c>
      <c r="I531" s="9">
        <f t="shared" si="79"/>
        <v>2.0414968506854571E-2</v>
      </c>
      <c r="J531" s="1">
        <f t="shared" si="80"/>
        <v>10.3900000000001</v>
      </c>
      <c r="K531" s="9">
        <f t="shared" si="73"/>
        <v>1.9247869581326606E-2</v>
      </c>
      <c r="L531" s="1">
        <f t="shared" si="74"/>
        <v>1</v>
      </c>
      <c r="M531" s="1">
        <f t="shared" si="75"/>
        <v>550.82000000000005</v>
      </c>
      <c r="N531" s="1">
        <f t="shared" si="76"/>
        <v>539.79999999999995</v>
      </c>
      <c r="O531" s="1">
        <f t="shared" si="77"/>
        <v>548.23</v>
      </c>
      <c r="P531" s="1">
        <f t="shared" si="78"/>
        <v>279.7091836734694</v>
      </c>
    </row>
    <row r="532" spans="1:16">
      <c r="A532" s="2">
        <v>42286</v>
      </c>
      <c r="B532" s="1">
        <v>534.48</v>
      </c>
      <c r="C532" s="1">
        <v>541.79</v>
      </c>
      <c r="D532" s="1">
        <v>530.27</v>
      </c>
      <c r="E532" s="1">
        <v>539.79999999999995</v>
      </c>
      <c r="F532" s="1">
        <v>3537400</v>
      </c>
      <c r="G532" s="1">
        <v>539.79999999999995</v>
      </c>
      <c r="H532" s="1">
        <f t="shared" si="72"/>
        <v>11.519999999999982</v>
      </c>
      <c r="I532" s="9">
        <f t="shared" si="79"/>
        <v>2.1724781714975355E-2</v>
      </c>
      <c r="J532" s="1">
        <f t="shared" si="80"/>
        <v>6.6399999999999864</v>
      </c>
      <c r="K532" s="9">
        <f t="shared" si="73"/>
        <v>1.2454047565458749E-2</v>
      </c>
      <c r="L532" s="1">
        <f t="shared" si="74"/>
        <v>1</v>
      </c>
      <c r="M532" s="1">
        <f t="shared" si="75"/>
        <v>541.79</v>
      </c>
      <c r="N532" s="1">
        <f t="shared" si="76"/>
        <v>530.27</v>
      </c>
      <c r="O532" s="1">
        <f t="shared" si="77"/>
        <v>537.83999999999992</v>
      </c>
      <c r="P532" s="1">
        <f t="shared" si="78"/>
        <v>274.40816326530609</v>
      </c>
    </row>
    <row r="533" spans="1:16">
      <c r="A533" s="2">
        <v>42285</v>
      </c>
      <c r="B533" s="1">
        <v>536.71</v>
      </c>
      <c r="C533" s="1">
        <v>539.39</v>
      </c>
      <c r="D533" s="1">
        <v>519.89</v>
      </c>
      <c r="E533" s="1">
        <v>533.16</v>
      </c>
      <c r="F533" s="1">
        <v>4676400</v>
      </c>
      <c r="G533" s="1">
        <v>533.16</v>
      </c>
      <c r="H533" s="1">
        <f t="shared" si="72"/>
        <v>19.5</v>
      </c>
      <c r="I533" s="9">
        <f t="shared" si="79"/>
        <v>3.7507934370732271E-2</v>
      </c>
      <c r="J533" s="1">
        <f t="shared" si="80"/>
        <v>-8.7800000000000864</v>
      </c>
      <c r="K533" s="9">
        <f t="shared" si="73"/>
        <v>-1.6201055467395073E-2</v>
      </c>
      <c r="L533" s="1">
        <f t="shared" si="74"/>
        <v>1</v>
      </c>
      <c r="M533" s="1">
        <f t="shared" si="75"/>
        <v>539.39</v>
      </c>
      <c r="N533" s="1">
        <f t="shared" si="76"/>
        <v>519.89</v>
      </c>
      <c r="O533" s="1">
        <f t="shared" si="77"/>
        <v>531.19999999999993</v>
      </c>
      <c r="P533" s="1">
        <f t="shared" si="78"/>
        <v>271.0204081632653</v>
      </c>
    </row>
    <row r="534" spans="1:16">
      <c r="A534" s="2">
        <v>42284</v>
      </c>
      <c r="B534" s="1">
        <v>541.79</v>
      </c>
      <c r="C534" s="1">
        <v>542</v>
      </c>
      <c r="D534" s="1">
        <v>529</v>
      </c>
      <c r="E534" s="1">
        <v>541.94000000000005</v>
      </c>
      <c r="F534" s="1">
        <v>3812100</v>
      </c>
      <c r="G534" s="1">
        <v>541.94000000000005</v>
      </c>
      <c r="H534" s="1">
        <f t="shared" si="72"/>
        <v>13</v>
      </c>
      <c r="I534" s="9">
        <f t="shared" si="79"/>
        <v>2.4574669187145556E-2</v>
      </c>
      <c r="J534" s="1">
        <f t="shared" si="80"/>
        <v>4.4600000000000364</v>
      </c>
      <c r="K534" s="9">
        <f t="shared" si="73"/>
        <v>8.2979831807695852E-3</v>
      </c>
      <c r="L534" s="1">
        <f t="shared" si="74"/>
        <v>1</v>
      </c>
      <c r="M534" s="1">
        <f t="shared" si="75"/>
        <v>542</v>
      </c>
      <c r="N534" s="1">
        <f t="shared" si="76"/>
        <v>529</v>
      </c>
      <c r="O534" s="1">
        <f t="shared" si="77"/>
        <v>539.98</v>
      </c>
      <c r="P534" s="1">
        <f t="shared" si="78"/>
        <v>275.5</v>
      </c>
    </row>
    <row r="535" spans="1:16">
      <c r="A535" s="2">
        <v>42283</v>
      </c>
      <c r="B535" s="1">
        <v>545.5</v>
      </c>
      <c r="C535" s="1">
        <v>551.5</v>
      </c>
      <c r="D535" s="1">
        <v>533.33000000000004</v>
      </c>
      <c r="E535" s="1">
        <v>537.48</v>
      </c>
      <c r="F535" s="1">
        <v>4502800</v>
      </c>
      <c r="G535" s="1">
        <v>537.48</v>
      </c>
      <c r="H535" s="1">
        <f t="shared" si="72"/>
        <v>18.169999999999959</v>
      </c>
      <c r="I535" s="9">
        <f t="shared" si="79"/>
        <v>3.4068962931018243E-2</v>
      </c>
      <c r="J535" s="1">
        <f t="shared" si="80"/>
        <v>-6.1999999999999318</v>
      </c>
      <c r="K535" s="9">
        <f t="shared" si="73"/>
        <v>-1.1403766921718534E-2</v>
      </c>
      <c r="L535" s="1">
        <f t="shared" si="74"/>
        <v>1</v>
      </c>
      <c r="M535" s="1">
        <f t="shared" si="75"/>
        <v>551.5</v>
      </c>
      <c r="N535" s="1">
        <f t="shared" si="76"/>
        <v>533.33000000000004</v>
      </c>
      <c r="O535" s="1">
        <f t="shared" si="77"/>
        <v>535.52</v>
      </c>
      <c r="P535" s="1">
        <f t="shared" si="78"/>
        <v>273.22448979591837</v>
      </c>
    </row>
    <row r="536" spans="1:16">
      <c r="A536" s="2">
        <v>42282</v>
      </c>
      <c r="B536" s="1">
        <v>536.99</v>
      </c>
      <c r="C536" s="1">
        <v>545.91</v>
      </c>
      <c r="D536" s="1">
        <v>536</v>
      </c>
      <c r="E536" s="1">
        <v>543.67999999999995</v>
      </c>
      <c r="F536" s="1">
        <v>3391400</v>
      </c>
      <c r="G536" s="1">
        <v>543.67999999999995</v>
      </c>
      <c r="H536" s="1">
        <f t="shared" si="72"/>
        <v>9.9099999999999682</v>
      </c>
      <c r="I536" s="9">
        <f t="shared" si="79"/>
        <v>1.8488805970149194E-2</v>
      </c>
      <c r="J536" s="1">
        <f t="shared" si="80"/>
        <v>11.139999999999986</v>
      </c>
      <c r="K536" s="9">
        <f t="shared" si="73"/>
        <v>2.0918616441957388E-2</v>
      </c>
      <c r="L536" s="1">
        <f t="shared" si="74"/>
        <v>1</v>
      </c>
      <c r="M536" s="1">
        <f t="shared" si="75"/>
        <v>545.91</v>
      </c>
      <c r="N536" s="1">
        <f t="shared" si="76"/>
        <v>536</v>
      </c>
      <c r="O536" s="1">
        <f t="shared" si="77"/>
        <v>541.71999999999991</v>
      </c>
      <c r="P536" s="1">
        <f t="shared" si="78"/>
        <v>276.38775510204079</v>
      </c>
    </row>
    <row r="537" spans="1:16">
      <c r="A537" s="2">
        <v>42279</v>
      </c>
      <c r="B537" s="1">
        <v>512.99</v>
      </c>
      <c r="C537" s="1">
        <v>532.6</v>
      </c>
      <c r="D537" s="1">
        <v>508.1</v>
      </c>
      <c r="E537" s="1">
        <v>532.54</v>
      </c>
      <c r="F537" s="1">
        <v>4597800</v>
      </c>
      <c r="G537" s="1">
        <v>532.54</v>
      </c>
      <c r="H537" s="1">
        <f t="shared" si="72"/>
        <v>24.5</v>
      </c>
      <c r="I537" s="9">
        <f t="shared" si="79"/>
        <v>4.8218854556189725E-2</v>
      </c>
      <c r="J537" s="1">
        <f t="shared" si="80"/>
        <v>11.819999999999936</v>
      </c>
      <c r="K537" s="9">
        <f t="shared" si="73"/>
        <v>2.269933937624815E-2</v>
      </c>
      <c r="L537" s="1">
        <f t="shared" si="74"/>
        <v>1</v>
      </c>
      <c r="M537" s="1">
        <f t="shared" si="75"/>
        <v>532.6</v>
      </c>
      <c r="N537" s="1">
        <f t="shared" si="76"/>
        <v>508.1</v>
      </c>
      <c r="O537" s="1">
        <f t="shared" si="77"/>
        <v>530.57999999999993</v>
      </c>
      <c r="P537" s="1">
        <f t="shared" si="78"/>
        <v>270.70408163265301</v>
      </c>
    </row>
    <row r="538" spans="1:16">
      <c r="A538" s="2">
        <v>42278</v>
      </c>
      <c r="B538" s="1">
        <v>511</v>
      </c>
      <c r="C538" s="1">
        <v>520.79999999999995</v>
      </c>
      <c r="D538" s="1">
        <v>506</v>
      </c>
      <c r="E538" s="1">
        <v>520.72</v>
      </c>
      <c r="F538" s="1">
        <v>3768500</v>
      </c>
      <c r="G538" s="1">
        <v>520.72</v>
      </c>
      <c r="H538" s="1">
        <f t="shared" si="72"/>
        <v>14.799999999999955</v>
      </c>
      <c r="I538" s="9">
        <f t="shared" si="79"/>
        <v>2.9249011857707421E-2</v>
      </c>
      <c r="J538" s="1">
        <f t="shared" si="80"/>
        <v>8.8300000000000409</v>
      </c>
      <c r="K538" s="9">
        <f t="shared" si="73"/>
        <v>1.7249799761667624E-2</v>
      </c>
      <c r="L538" s="1">
        <f t="shared" si="74"/>
        <v>1</v>
      </c>
      <c r="M538" s="1">
        <f t="shared" si="75"/>
        <v>520.79999999999995</v>
      </c>
      <c r="N538" s="1">
        <f t="shared" si="76"/>
        <v>506</v>
      </c>
      <c r="O538" s="1">
        <f t="shared" si="77"/>
        <v>518.76</v>
      </c>
      <c r="P538" s="1">
        <f t="shared" si="78"/>
        <v>264.67346938775512</v>
      </c>
    </row>
    <row r="539" spans="1:16">
      <c r="A539" s="2">
        <v>42277</v>
      </c>
      <c r="B539" s="1">
        <v>505.44</v>
      </c>
      <c r="C539" s="1">
        <v>512.79999999999995</v>
      </c>
      <c r="D539" s="1">
        <v>501.67</v>
      </c>
      <c r="E539" s="1">
        <v>511.89</v>
      </c>
      <c r="F539" s="1">
        <v>3990400</v>
      </c>
      <c r="G539" s="1">
        <v>511.89</v>
      </c>
      <c r="H539" s="1">
        <f t="shared" si="72"/>
        <v>11.129999999999939</v>
      </c>
      <c r="I539" s="9">
        <f t="shared" si="79"/>
        <v>2.2185899097015845E-2</v>
      </c>
      <c r="J539" s="1">
        <f t="shared" si="80"/>
        <v>15.819999999999993</v>
      </c>
      <c r="K539" s="9">
        <f t="shared" si="73"/>
        <v>3.1890660592255114E-2</v>
      </c>
      <c r="L539" s="1">
        <f t="shared" si="74"/>
        <v>1</v>
      </c>
      <c r="M539" s="1">
        <f t="shared" si="75"/>
        <v>512.79999999999995</v>
      </c>
      <c r="N539" s="1">
        <f t="shared" si="76"/>
        <v>501.67</v>
      </c>
      <c r="O539" s="1">
        <f t="shared" si="77"/>
        <v>509.93</v>
      </c>
      <c r="P539" s="1">
        <f t="shared" si="78"/>
        <v>260.16836734693879</v>
      </c>
    </row>
    <row r="540" spans="1:16">
      <c r="A540" s="2">
        <v>42276</v>
      </c>
      <c r="B540" s="1">
        <v>506</v>
      </c>
      <c r="C540" s="1">
        <v>511.48</v>
      </c>
      <c r="D540" s="1">
        <v>490.5</v>
      </c>
      <c r="E540" s="1">
        <v>496.07</v>
      </c>
      <c r="F540" s="1">
        <v>4457500</v>
      </c>
      <c r="G540" s="1">
        <v>496.07</v>
      </c>
      <c r="H540" s="1">
        <f t="shared" si="72"/>
        <v>20.980000000000018</v>
      </c>
      <c r="I540" s="9">
        <f t="shared" si="79"/>
        <v>4.2772680937818587E-2</v>
      </c>
      <c r="J540" s="1">
        <f t="shared" si="80"/>
        <v>-7.9900000000000091</v>
      </c>
      <c r="K540" s="9">
        <f t="shared" si="73"/>
        <v>-1.5851287545133534E-2</v>
      </c>
      <c r="L540" s="1">
        <f t="shared" si="74"/>
        <v>1</v>
      </c>
      <c r="M540" s="1">
        <f t="shared" si="75"/>
        <v>511.48</v>
      </c>
      <c r="N540" s="1">
        <f t="shared" si="76"/>
        <v>490.5</v>
      </c>
      <c r="O540" s="1">
        <f t="shared" si="77"/>
        <v>494.11</v>
      </c>
      <c r="P540" s="1">
        <f t="shared" si="78"/>
        <v>252.09693877551021</v>
      </c>
    </row>
    <row r="541" spans="1:16">
      <c r="A541" s="2">
        <v>42275</v>
      </c>
      <c r="B541" s="1">
        <v>520.02</v>
      </c>
      <c r="C541" s="1">
        <v>520.28</v>
      </c>
      <c r="D541" s="1">
        <v>494.33</v>
      </c>
      <c r="E541" s="1">
        <v>504.06</v>
      </c>
      <c r="F541" s="1">
        <v>5434500</v>
      </c>
      <c r="G541" s="1">
        <v>504.06</v>
      </c>
      <c r="H541" s="1">
        <f t="shared" si="72"/>
        <v>25.949999999999989</v>
      </c>
      <c r="I541" s="9">
        <f t="shared" si="79"/>
        <v>5.2495296664171687E-2</v>
      </c>
      <c r="J541" s="1">
        <f t="shared" si="80"/>
        <v>-20.189999999999998</v>
      </c>
      <c r="K541" s="9">
        <f t="shared" si="73"/>
        <v>-3.8512160228898425E-2</v>
      </c>
      <c r="L541" s="1">
        <f t="shared" si="74"/>
        <v>1</v>
      </c>
      <c r="M541" s="1">
        <f t="shared" si="75"/>
        <v>520.28</v>
      </c>
      <c r="N541" s="1">
        <f t="shared" si="76"/>
        <v>494.33</v>
      </c>
      <c r="O541" s="1">
        <f t="shared" si="77"/>
        <v>502.1</v>
      </c>
      <c r="P541" s="1">
        <f t="shared" si="78"/>
        <v>256.17346938775512</v>
      </c>
    </row>
    <row r="542" spans="1:16">
      <c r="A542" s="2">
        <v>42272</v>
      </c>
      <c r="B542" s="1">
        <v>542.57000000000005</v>
      </c>
      <c r="C542" s="1">
        <v>542.79999999999995</v>
      </c>
      <c r="D542" s="1">
        <v>521.4</v>
      </c>
      <c r="E542" s="1">
        <v>524.25</v>
      </c>
      <c r="F542" s="1">
        <v>4031000</v>
      </c>
      <c r="G542" s="1">
        <v>524.25</v>
      </c>
      <c r="H542" s="1">
        <f t="shared" si="72"/>
        <v>21.399999999999977</v>
      </c>
      <c r="I542" s="9">
        <f t="shared" si="79"/>
        <v>4.1043344840813151E-2</v>
      </c>
      <c r="J542" s="1">
        <f t="shared" si="80"/>
        <v>-9.5</v>
      </c>
      <c r="K542" s="9">
        <f t="shared" si="73"/>
        <v>-1.7798594847775177E-2</v>
      </c>
      <c r="L542" s="1">
        <f t="shared" si="74"/>
        <v>1</v>
      </c>
      <c r="M542" s="1">
        <f t="shared" si="75"/>
        <v>542.79999999999995</v>
      </c>
      <c r="N542" s="1">
        <f t="shared" si="76"/>
        <v>521.4</v>
      </c>
      <c r="O542" s="1">
        <f t="shared" si="77"/>
        <v>522.29</v>
      </c>
      <c r="P542" s="1">
        <f t="shared" si="78"/>
        <v>266.47448979591837</v>
      </c>
    </row>
    <row r="543" spans="1:16">
      <c r="A543" s="2">
        <v>42271</v>
      </c>
      <c r="B543" s="1">
        <v>530.54999999999995</v>
      </c>
      <c r="C543" s="1">
        <v>534.55999999999995</v>
      </c>
      <c r="D543" s="1">
        <v>522.87</v>
      </c>
      <c r="E543" s="1">
        <v>533.75</v>
      </c>
      <c r="F543" s="1">
        <v>3501000</v>
      </c>
      <c r="G543" s="1">
        <v>533.75</v>
      </c>
      <c r="H543" s="1">
        <f t="shared" si="72"/>
        <v>11.689999999999941</v>
      </c>
      <c r="I543" s="9">
        <f t="shared" si="79"/>
        <v>2.2357373725782587E-2</v>
      </c>
      <c r="J543" s="1">
        <f t="shared" si="80"/>
        <v>-2.32000000000005</v>
      </c>
      <c r="K543" s="9">
        <f t="shared" si="73"/>
        <v>-4.3277930121067209E-3</v>
      </c>
      <c r="L543" s="1">
        <f t="shared" si="74"/>
        <v>1</v>
      </c>
      <c r="M543" s="1">
        <f t="shared" si="75"/>
        <v>534.55999999999995</v>
      </c>
      <c r="N543" s="1">
        <f t="shared" si="76"/>
        <v>522.87</v>
      </c>
      <c r="O543" s="1">
        <f t="shared" si="77"/>
        <v>531.79</v>
      </c>
      <c r="P543" s="1">
        <f t="shared" si="78"/>
        <v>271.32142857142856</v>
      </c>
    </row>
    <row r="544" spans="1:16">
      <c r="A544" s="2">
        <v>42270</v>
      </c>
      <c r="B544" s="1">
        <v>538.29999999999995</v>
      </c>
      <c r="C544" s="1">
        <v>541.21</v>
      </c>
      <c r="D544" s="1">
        <v>534</v>
      </c>
      <c r="E544" s="1">
        <v>536.07000000000005</v>
      </c>
      <c r="F544" s="1">
        <v>2237600</v>
      </c>
      <c r="G544" s="1">
        <v>536.07000000000005</v>
      </c>
      <c r="H544" s="1">
        <f t="shared" si="72"/>
        <v>7.2100000000000364</v>
      </c>
      <c r="I544" s="9">
        <f t="shared" si="79"/>
        <v>1.3501872659176099E-2</v>
      </c>
      <c r="J544" s="1">
        <f t="shared" si="80"/>
        <v>-2.3299999999999272</v>
      </c>
      <c r="K544" s="9">
        <f t="shared" si="73"/>
        <v>-4.3276374442792111E-3</v>
      </c>
      <c r="L544" s="1">
        <f t="shared" si="74"/>
        <v>1</v>
      </c>
      <c r="M544" s="1">
        <f t="shared" si="75"/>
        <v>541.21</v>
      </c>
      <c r="N544" s="1">
        <f t="shared" si="76"/>
        <v>534</v>
      </c>
      <c r="O544" s="1">
        <f t="shared" si="77"/>
        <v>534.11</v>
      </c>
      <c r="P544" s="1">
        <f t="shared" si="78"/>
        <v>272.50510204081633</v>
      </c>
    </row>
    <row r="545" spans="1:16">
      <c r="A545" s="2">
        <v>42269</v>
      </c>
      <c r="B545" s="1">
        <v>539.71</v>
      </c>
      <c r="C545" s="1">
        <v>543.54999999999995</v>
      </c>
      <c r="D545" s="1">
        <v>532.66</v>
      </c>
      <c r="E545" s="1">
        <v>538.4</v>
      </c>
      <c r="F545" s="1">
        <v>3841700</v>
      </c>
      <c r="G545" s="1">
        <v>538.4</v>
      </c>
      <c r="H545" s="1">
        <f t="shared" si="72"/>
        <v>10.889999999999986</v>
      </c>
      <c r="I545" s="9">
        <f t="shared" si="79"/>
        <v>2.0444561258588945E-2</v>
      </c>
      <c r="J545" s="1">
        <f t="shared" si="80"/>
        <v>-9.9900000000000091</v>
      </c>
      <c r="K545" s="9">
        <f t="shared" si="73"/>
        <v>-1.8216962380787412E-2</v>
      </c>
      <c r="L545" s="1">
        <f t="shared" si="74"/>
        <v>1</v>
      </c>
      <c r="M545" s="1">
        <f t="shared" si="75"/>
        <v>543.54999999999995</v>
      </c>
      <c r="N545" s="1">
        <f t="shared" si="76"/>
        <v>532.66</v>
      </c>
      <c r="O545" s="1">
        <f t="shared" si="77"/>
        <v>536.43999999999994</v>
      </c>
      <c r="P545" s="1">
        <f t="shared" si="78"/>
        <v>273.69387755102036</v>
      </c>
    </row>
    <row r="546" spans="1:16">
      <c r="A546" s="2">
        <v>42268</v>
      </c>
      <c r="B546" s="1">
        <v>544.33000000000004</v>
      </c>
      <c r="C546" s="1">
        <v>549.78</v>
      </c>
      <c r="D546" s="1">
        <v>539.59</v>
      </c>
      <c r="E546" s="1">
        <v>548.39</v>
      </c>
      <c r="F546" s="1">
        <v>3283300</v>
      </c>
      <c r="G546" s="1">
        <v>548.39</v>
      </c>
      <c r="H546" s="1">
        <f t="shared" si="72"/>
        <v>10.189999999999941</v>
      </c>
      <c r="I546" s="9">
        <f t="shared" si="79"/>
        <v>1.8884708760354973E-2</v>
      </c>
      <c r="J546" s="1">
        <f t="shared" si="80"/>
        <v>8.1299999999999955</v>
      </c>
      <c r="K546" s="9">
        <f t="shared" si="73"/>
        <v>1.5048310072927841E-2</v>
      </c>
      <c r="L546" s="1">
        <f t="shared" si="74"/>
        <v>1</v>
      </c>
      <c r="M546" s="1">
        <f t="shared" si="75"/>
        <v>549.78</v>
      </c>
      <c r="N546" s="1">
        <f t="shared" si="76"/>
        <v>539.59</v>
      </c>
      <c r="O546" s="1">
        <f t="shared" si="77"/>
        <v>546.42999999999995</v>
      </c>
      <c r="P546" s="1">
        <f t="shared" si="78"/>
        <v>278.7908163265306</v>
      </c>
    </row>
    <row r="547" spans="1:16">
      <c r="A547" s="2">
        <v>42265</v>
      </c>
      <c r="B547" s="1">
        <v>534.62</v>
      </c>
      <c r="C547" s="1">
        <v>546.24</v>
      </c>
      <c r="D547" s="1">
        <v>531.35</v>
      </c>
      <c r="E547" s="1">
        <v>540.26</v>
      </c>
      <c r="F547" s="1">
        <v>6125600</v>
      </c>
      <c r="G547" s="1">
        <v>540.26</v>
      </c>
      <c r="H547" s="1">
        <f t="shared" si="72"/>
        <v>14.889999999999986</v>
      </c>
      <c r="I547" s="9">
        <f t="shared" si="79"/>
        <v>2.8022960383927705E-2</v>
      </c>
      <c r="J547" s="1">
        <f t="shared" si="80"/>
        <v>1.3899999999999864</v>
      </c>
      <c r="K547" s="9">
        <f t="shared" si="73"/>
        <v>2.5794718577764326E-3</v>
      </c>
      <c r="L547" s="1">
        <f t="shared" si="74"/>
        <v>1</v>
      </c>
      <c r="M547" s="1">
        <f t="shared" si="75"/>
        <v>546.24</v>
      </c>
      <c r="N547" s="1">
        <f t="shared" si="76"/>
        <v>531.35</v>
      </c>
      <c r="O547" s="1">
        <f t="shared" si="77"/>
        <v>538.29999999999995</v>
      </c>
      <c r="P547" s="1">
        <f t="shared" si="78"/>
        <v>274.64285714285711</v>
      </c>
    </row>
    <row r="548" spans="1:16">
      <c r="A548" s="2">
        <v>42264</v>
      </c>
      <c r="B548" s="1">
        <v>526.98</v>
      </c>
      <c r="C548" s="1">
        <v>546.97</v>
      </c>
      <c r="D548" s="1">
        <v>526.57000000000005</v>
      </c>
      <c r="E548" s="1">
        <v>538.87</v>
      </c>
      <c r="F548" s="1">
        <v>4169500</v>
      </c>
      <c r="G548" s="1">
        <v>538.87</v>
      </c>
      <c r="H548" s="1">
        <f t="shared" si="72"/>
        <v>20.399999999999977</v>
      </c>
      <c r="I548" s="9">
        <f t="shared" si="79"/>
        <v>3.874128795791628E-2</v>
      </c>
      <c r="J548" s="1">
        <f t="shared" si="80"/>
        <v>11.480000000000018</v>
      </c>
      <c r="K548" s="9">
        <f t="shared" si="73"/>
        <v>2.1767572384762734E-2</v>
      </c>
      <c r="L548" s="1">
        <f t="shared" si="74"/>
        <v>1</v>
      </c>
      <c r="M548" s="1">
        <f t="shared" si="75"/>
        <v>546.97</v>
      </c>
      <c r="N548" s="1">
        <f t="shared" si="76"/>
        <v>526.57000000000005</v>
      </c>
      <c r="O548" s="1">
        <f t="shared" si="77"/>
        <v>536.91</v>
      </c>
      <c r="P548" s="1">
        <f t="shared" si="78"/>
        <v>273.93367346938777</v>
      </c>
    </row>
    <row r="549" spans="1:16">
      <c r="A549" s="2">
        <v>42263</v>
      </c>
      <c r="B549" s="1">
        <v>521.98</v>
      </c>
      <c r="C549" s="1">
        <v>528.29999999999995</v>
      </c>
      <c r="D549" s="1">
        <v>518.52</v>
      </c>
      <c r="E549" s="1">
        <v>527.39</v>
      </c>
      <c r="F549" s="1">
        <v>2252800</v>
      </c>
      <c r="G549" s="1">
        <v>527.39</v>
      </c>
      <c r="H549" s="1">
        <f t="shared" si="72"/>
        <v>9.7799999999999727</v>
      </c>
      <c r="I549" s="9">
        <f t="shared" si="79"/>
        <v>1.8861374681786572E-2</v>
      </c>
      <c r="J549" s="1">
        <f t="shared" si="80"/>
        <v>5.0199999999999818</v>
      </c>
      <c r="K549" s="9">
        <f t="shared" si="73"/>
        <v>9.6100465187510427E-3</v>
      </c>
      <c r="L549" s="1">
        <f t="shared" si="74"/>
        <v>1</v>
      </c>
      <c r="M549" s="1">
        <f t="shared" si="75"/>
        <v>528.29999999999995</v>
      </c>
      <c r="N549" s="1">
        <f t="shared" si="76"/>
        <v>518.52</v>
      </c>
      <c r="O549" s="1">
        <f t="shared" si="77"/>
        <v>525.42999999999995</v>
      </c>
      <c r="P549" s="1">
        <f t="shared" si="78"/>
        <v>268.07653061224488</v>
      </c>
    </row>
    <row r="550" spans="1:16">
      <c r="A550" s="2">
        <v>42262</v>
      </c>
      <c r="B550" s="1">
        <v>523.25</v>
      </c>
      <c r="C550" s="1">
        <v>527.91999999999996</v>
      </c>
      <c r="D550" s="1">
        <v>517.20000000000005</v>
      </c>
      <c r="E550" s="1">
        <v>522.37</v>
      </c>
      <c r="F550" s="1">
        <v>2845600</v>
      </c>
      <c r="G550" s="1">
        <v>522.37</v>
      </c>
      <c r="H550" s="1">
        <f t="shared" si="72"/>
        <v>10.719999999999914</v>
      </c>
      <c r="I550" s="9">
        <f t="shared" si="79"/>
        <v>2.0726991492652575E-2</v>
      </c>
      <c r="J550" s="1">
        <f t="shared" si="80"/>
        <v>0.99000000000000909</v>
      </c>
      <c r="K550" s="9">
        <f t="shared" si="73"/>
        <v>1.8988070121600542E-3</v>
      </c>
      <c r="L550" s="1">
        <f t="shared" si="74"/>
        <v>1</v>
      </c>
      <c r="M550" s="1">
        <f t="shared" si="75"/>
        <v>527.91999999999996</v>
      </c>
      <c r="N550" s="1">
        <f t="shared" si="76"/>
        <v>517.20000000000005</v>
      </c>
      <c r="O550" s="1">
        <f t="shared" si="77"/>
        <v>520.41</v>
      </c>
      <c r="P550" s="1">
        <f t="shared" si="78"/>
        <v>265.51530612244898</v>
      </c>
    </row>
    <row r="551" spans="1:16">
      <c r="A551" s="2">
        <v>42261</v>
      </c>
      <c r="B551" s="1">
        <v>529.44000000000005</v>
      </c>
      <c r="C551" s="1">
        <v>532.45000000000005</v>
      </c>
      <c r="D551" s="1">
        <v>518.58000000000004</v>
      </c>
      <c r="E551" s="1">
        <v>521.38</v>
      </c>
      <c r="F551" s="1">
        <v>3130200</v>
      </c>
      <c r="G551" s="1">
        <v>521.38</v>
      </c>
      <c r="H551" s="1">
        <f t="shared" si="72"/>
        <v>13.870000000000005</v>
      </c>
      <c r="I551" s="9">
        <f t="shared" si="79"/>
        <v>2.6746114389293849E-2</v>
      </c>
      <c r="J551" s="1">
        <f t="shared" si="80"/>
        <v>-8.0600000000000591</v>
      </c>
      <c r="K551" s="9">
        <f t="shared" si="73"/>
        <v>-1.5223632517376962E-2</v>
      </c>
      <c r="L551" s="1">
        <f t="shared" si="74"/>
        <v>1</v>
      </c>
      <c r="M551" s="1">
        <f t="shared" si="75"/>
        <v>532.45000000000005</v>
      </c>
      <c r="N551" s="1">
        <f t="shared" si="76"/>
        <v>518.58000000000004</v>
      </c>
      <c r="O551" s="1">
        <f t="shared" si="77"/>
        <v>519.41999999999996</v>
      </c>
      <c r="P551" s="1">
        <f t="shared" si="78"/>
        <v>265.01020408163265</v>
      </c>
    </row>
    <row r="552" spans="1:16">
      <c r="A552" s="2">
        <v>42258</v>
      </c>
      <c r="B552" s="1">
        <v>521.07000000000005</v>
      </c>
      <c r="C552" s="1">
        <v>529.44000000000005</v>
      </c>
      <c r="D552" s="1">
        <v>520.61</v>
      </c>
      <c r="E552" s="1">
        <v>529.44000000000005</v>
      </c>
      <c r="F552" s="1">
        <v>3227900</v>
      </c>
      <c r="G552" s="1">
        <v>529.44000000000005</v>
      </c>
      <c r="H552" s="1">
        <f t="shared" si="72"/>
        <v>8.8300000000000409</v>
      </c>
      <c r="I552" s="9">
        <f t="shared" si="79"/>
        <v>1.6960872822266267E-2</v>
      </c>
      <c r="J552" s="1">
        <f t="shared" si="80"/>
        <v>7.2000000000000455</v>
      </c>
      <c r="K552" s="9">
        <f t="shared" si="73"/>
        <v>1.3786764705882439E-2</v>
      </c>
      <c r="L552" s="1">
        <f t="shared" si="74"/>
        <v>1</v>
      </c>
      <c r="M552" s="1">
        <f t="shared" si="75"/>
        <v>529.44000000000005</v>
      </c>
      <c r="N552" s="1">
        <f t="shared" si="76"/>
        <v>520.61</v>
      </c>
      <c r="O552" s="1">
        <f t="shared" si="77"/>
        <v>527.48</v>
      </c>
      <c r="P552" s="1">
        <f t="shared" si="78"/>
        <v>269.12244897959187</v>
      </c>
    </row>
    <row r="553" spans="1:16">
      <c r="A553" s="2">
        <v>42257</v>
      </c>
      <c r="B553" s="1">
        <v>515.15</v>
      </c>
      <c r="C553" s="1">
        <v>526.13</v>
      </c>
      <c r="D553" s="1">
        <v>514.78</v>
      </c>
      <c r="E553" s="1">
        <v>522.24</v>
      </c>
      <c r="F553" s="1">
        <v>2576000</v>
      </c>
      <c r="G553" s="1">
        <v>522.24</v>
      </c>
      <c r="H553" s="1">
        <f t="shared" si="72"/>
        <v>11.350000000000023</v>
      </c>
      <c r="I553" s="9">
        <f t="shared" si="79"/>
        <v>2.2048253622906917E-2</v>
      </c>
      <c r="J553" s="1">
        <f t="shared" si="80"/>
        <v>5.3500000000000227</v>
      </c>
      <c r="K553" s="9">
        <f t="shared" si="73"/>
        <v>1.0350364681073386E-2</v>
      </c>
      <c r="L553" s="1">
        <f t="shared" si="74"/>
        <v>1</v>
      </c>
      <c r="M553" s="1">
        <f t="shared" si="75"/>
        <v>526.13</v>
      </c>
      <c r="N553" s="1">
        <f t="shared" si="76"/>
        <v>514.78</v>
      </c>
      <c r="O553" s="1">
        <f t="shared" si="77"/>
        <v>520.28</v>
      </c>
      <c r="P553" s="1">
        <f t="shared" si="78"/>
        <v>265.44897959183675</v>
      </c>
    </row>
    <row r="554" spans="1:16">
      <c r="A554" s="2">
        <v>42256</v>
      </c>
      <c r="B554" s="1">
        <v>524</v>
      </c>
      <c r="C554" s="1">
        <v>529.95000000000005</v>
      </c>
      <c r="D554" s="1">
        <v>515.05999999999995</v>
      </c>
      <c r="E554" s="1">
        <v>516.89</v>
      </c>
      <c r="F554" s="1">
        <v>4338700</v>
      </c>
      <c r="G554" s="1">
        <v>516.89</v>
      </c>
      <c r="H554" s="1">
        <f t="shared" si="72"/>
        <v>14.8900000000001</v>
      </c>
      <c r="I554" s="9">
        <f t="shared" si="79"/>
        <v>2.8909253290878931E-2</v>
      </c>
      <c r="J554" s="1">
        <f t="shared" si="80"/>
        <v>-0.64999999999997726</v>
      </c>
      <c r="K554" s="9">
        <f t="shared" si="73"/>
        <v>-1.2559415697336966E-3</v>
      </c>
      <c r="L554" s="1">
        <f t="shared" si="74"/>
        <v>1</v>
      </c>
      <c r="M554" s="1">
        <f t="shared" si="75"/>
        <v>529.95000000000005</v>
      </c>
      <c r="N554" s="1">
        <f t="shared" si="76"/>
        <v>515.05999999999995</v>
      </c>
      <c r="O554" s="1">
        <f t="shared" si="77"/>
        <v>514.92999999999995</v>
      </c>
      <c r="P554" s="1">
        <f t="shared" si="78"/>
        <v>262.71938775510205</v>
      </c>
    </row>
    <row r="555" spans="1:16">
      <c r="A555" s="2">
        <v>42255</v>
      </c>
      <c r="B555" s="1">
        <v>508.69</v>
      </c>
      <c r="C555" s="1">
        <v>518.35</v>
      </c>
      <c r="D555" s="1">
        <v>508.51</v>
      </c>
      <c r="E555" s="1">
        <v>517.54</v>
      </c>
      <c r="F555" s="1">
        <v>3810700</v>
      </c>
      <c r="G555" s="1">
        <v>517.54</v>
      </c>
      <c r="H555" s="1">
        <f t="shared" si="72"/>
        <v>9.8400000000000318</v>
      </c>
      <c r="I555" s="9">
        <f t="shared" si="79"/>
        <v>1.9350651904584043E-2</v>
      </c>
      <c r="J555" s="1">
        <f t="shared" si="80"/>
        <v>18.539999999999964</v>
      </c>
      <c r="K555" s="9">
        <f t="shared" si="73"/>
        <v>3.7154308617234399E-2</v>
      </c>
      <c r="L555" s="1">
        <f t="shared" si="74"/>
        <v>1</v>
      </c>
      <c r="M555" s="1">
        <f t="shared" si="75"/>
        <v>518.35</v>
      </c>
      <c r="N555" s="1">
        <f t="shared" si="76"/>
        <v>508.51</v>
      </c>
      <c r="O555" s="1">
        <f t="shared" si="77"/>
        <v>515.57999999999993</v>
      </c>
      <c r="P555" s="1">
        <f t="shared" si="78"/>
        <v>263.05102040816325</v>
      </c>
    </row>
    <row r="556" spans="1:16">
      <c r="A556" s="2">
        <v>42251</v>
      </c>
      <c r="B556" s="1">
        <v>497.65</v>
      </c>
      <c r="C556" s="1">
        <v>502.85</v>
      </c>
      <c r="D556" s="1">
        <v>495.64</v>
      </c>
      <c r="E556" s="1">
        <v>499</v>
      </c>
      <c r="F556" s="1">
        <v>2692500</v>
      </c>
      <c r="G556" s="1">
        <v>499</v>
      </c>
      <c r="H556" s="1">
        <f t="shared" si="72"/>
        <v>7.2100000000000364</v>
      </c>
      <c r="I556" s="9">
        <f t="shared" si="79"/>
        <v>1.4546848519086508E-2</v>
      </c>
      <c r="J556" s="1">
        <f t="shared" si="80"/>
        <v>-5.7200000000000273</v>
      </c>
      <c r="K556" s="9">
        <f t="shared" si="73"/>
        <v>-1.1333016325883712E-2</v>
      </c>
      <c r="L556" s="1">
        <f t="shared" si="74"/>
        <v>1</v>
      </c>
      <c r="M556" s="1">
        <f t="shared" si="75"/>
        <v>502.85</v>
      </c>
      <c r="N556" s="1">
        <f t="shared" si="76"/>
        <v>495.64</v>
      </c>
      <c r="O556" s="1">
        <f t="shared" si="77"/>
        <v>497.04</v>
      </c>
      <c r="P556" s="1">
        <f t="shared" si="78"/>
        <v>253.59183673469389</v>
      </c>
    </row>
    <row r="557" spans="1:16">
      <c r="A557" s="2">
        <v>42250</v>
      </c>
      <c r="B557" s="1">
        <v>514.5</v>
      </c>
      <c r="C557" s="1">
        <v>515.84</v>
      </c>
      <c r="D557" s="1">
        <v>502.57</v>
      </c>
      <c r="E557" s="1">
        <v>504.72</v>
      </c>
      <c r="F557" s="1">
        <v>3149700</v>
      </c>
      <c r="G557" s="1">
        <v>504.72</v>
      </c>
      <c r="H557" s="1">
        <f t="shared" si="72"/>
        <v>13.270000000000039</v>
      </c>
      <c r="I557" s="9">
        <f t="shared" si="79"/>
        <v>2.6404281990568556E-2</v>
      </c>
      <c r="J557" s="1">
        <f t="shared" si="80"/>
        <v>-5.8299999999999841</v>
      </c>
      <c r="K557" s="9">
        <f t="shared" si="73"/>
        <v>-1.141905787875817E-2</v>
      </c>
      <c r="L557" s="1">
        <f t="shared" si="74"/>
        <v>1</v>
      </c>
      <c r="M557" s="1">
        <f t="shared" si="75"/>
        <v>515.84</v>
      </c>
      <c r="N557" s="1">
        <f t="shared" si="76"/>
        <v>502.57</v>
      </c>
      <c r="O557" s="1">
        <f t="shared" si="77"/>
        <v>502.76000000000005</v>
      </c>
      <c r="P557" s="1">
        <f t="shared" si="78"/>
        <v>256.51020408163271</v>
      </c>
    </row>
    <row r="558" spans="1:16">
      <c r="A558" s="2">
        <v>42249</v>
      </c>
      <c r="B558" s="1">
        <v>505.09</v>
      </c>
      <c r="C558" s="1">
        <v>510.86</v>
      </c>
      <c r="D558" s="1">
        <v>497.72</v>
      </c>
      <c r="E558" s="1">
        <v>510.55</v>
      </c>
      <c r="F558" s="1">
        <v>3707100</v>
      </c>
      <c r="G558" s="1">
        <v>510.55</v>
      </c>
      <c r="H558" s="1">
        <f t="shared" si="72"/>
        <v>13.139999999999986</v>
      </c>
      <c r="I558" s="9">
        <f t="shared" si="79"/>
        <v>2.6400385759061291E-2</v>
      </c>
      <c r="J558" s="1">
        <f t="shared" si="80"/>
        <v>14.009999999999991</v>
      </c>
      <c r="K558" s="9">
        <f t="shared" si="73"/>
        <v>2.8215249526724918E-2</v>
      </c>
      <c r="L558" s="1">
        <f t="shared" si="74"/>
        <v>1</v>
      </c>
      <c r="M558" s="1">
        <f t="shared" si="75"/>
        <v>510.86</v>
      </c>
      <c r="N558" s="1">
        <f t="shared" si="76"/>
        <v>497.72</v>
      </c>
      <c r="O558" s="1">
        <f t="shared" si="77"/>
        <v>508.59000000000003</v>
      </c>
      <c r="P558" s="1">
        <f t="shared" si="78"/>
        <v>259.48469387755102</v>
      </c>
    </row>
    <row r="559" spans="1:16">
      <c r="A559" s="2">
        <v>42248</v>
      </c>
      <c r="B559" s="1">
        <v>499.14</v>
      </c>
      <c r="C559" s="1">
        <v>510</v>
      </c>
      <c r="D559" s="1">
        <v>493.43</v>
      </c>
      <c r="E559" s="1">
        <v>496.54</v>
      </c>
      <c r="F559" s="1">
        <v>3864500</v>
      </c>
      <c r="G559" s="1">
        <v>496.54</v>
      </c>
      <c r="H559" s="1">
        <f t="shared" si="72"/>
        <v>16.569999999999993</v>
      </c>
      <c r="I559" s="9">
        <f t="shared" si="79"/>
        <v>3.3581257726526544E-2</v>
      </c>
      <c r="J559" s="1">
        <f t="shared" si="80"/>
        <v>-16.349999999999966</v>
      </c>
      <c r="K559" s="9">
        <f t="shared" si="73"/>
        <v>-3.1878180506541301E-2</v>
      </c>
      <c r="L559" s="1">
        <f t="shared" si="74"/>
        <v>1</v>
      </c>
      <c r="M559" s="1">
        <f t="shared" si="75"/>
        <v>510</v>
      </c>
      <c r="N559" s="1">
        <f t="shared" si="76"/>
        <v>493.43</v>
      </c>
      <c r="O559" s="1">
        <f t="shared" si="77"/>
        <v>494.58000000000004</v>
      </c>
      <c r="P559" s="1">
        <f t="shared" si="78"/>
        <v>252.33673469387759</v>
      </c>
    </row>
    <row r="560" spans="1:16">
      <c r="A560" s="2">
        <v>42247</v>
      </c>
      <c r="B560" s="1">
        <v>516.44000000000005</v>
      </c>
      <c r="C560" s="1">
        <v>519.41</v>
      </c>
      <c r="D560" s="1">
        <v>509.07</v>
      </c>
      <c r="E560" s="1">
        <v>512.89</v>
      </c>
      <c r="F560" s="1">
        <v>2983000</v>
      </c>
      <c r="G560" s="1">
        <v>512.89</v>
      </c>
      <c r="H560" s="1">
        <f t="shared" si="72"/>
        <v>10.339999999999975</v>
      </c>
      <c r="I560" s="9">
        <f t="shared" si="79"/>
        <v>2.0311548510028043E-2</v>
      </c>
      <c r="J560" s="1">
        <f t="shared" si="80"/>
        <v>-5.1200000000000045</v>
      </c>
      <c r="K560" s="9">
        <f t="shared" si="73"/>
        <v>-9.8839790737630644E-3</v>
      </c>
      <c r="L560" s="1">
        <f t="shared" si="74"/>
        <v>1</v>
      </c>
      <c r="M560" s="1">
        <f t="shared" si="75"/>
        <v>519.41</v>
      </c>
      <c r="N560" s="1">
        <f t="shared" si="76"/>
        <v>509.07</v>
      </c>
      <c r="O560" s="1">
        <f t="shared" si="77"/>
        <v>510.93</v>
      </c>
      <c r="P560" s="1">
        <f t="shared" si="78"/>
        <v>260.67857142857144</v>
      </c>
    </row>
    <row r="561" spans="1:16">
      <c r="A561" s="2">
        <v>42244</v>
      </c>
      <c r="B561" s="1">
        <v>517.5</v>
      </c>
      <c r="C561" s="1">
        <v>521.5</v>
      </c>
      <c r="D561" s="1">
        <v>513.04</v>
      </c>
      <c r="E561" s="1">
        <v>518.01</v>
      </c>
      <c r="F561" s="1">
        <v>2746700</v>
      </c>
      <c r="G561" s="1">
        <v>518.01</v>
      </c>
      <c r="H561" s="1">
        <f t="shared" si="72"/>
        <v>8.4600000000000364</v>
      </c>
      <c r="I561" s="9">
        <f t="shared" si="79"/>
        <v>1.6489942304693663E-2</v>
      </c>
      <c r="J561" s="1">
        <f t="shared" si="80"/>
        <v>-0.36000000000001364</v>
      </c>
      <c r="K561" s="9">
        <f t="shared" si="73"/>
        <v>-6.944846345274874E-4</v>
      </c>
      <c r="L561" s="1">
        <f t="shared" si="74"/>
        <v>1</v>
      </c>
      <c r="M561" s="1">
        <f t="shared" si="75"/>
        <v>521.5</v>
      </c>
      <c r="N561" s="1">
        <f t="shared" si="76"/>
        <v>513.04</v>
      </c>
      <c r="O561" s="1">
        <f t="shared" si="77"/>
        <v>516.04999999999995</v>
      </c>
      <c r="P561" s="1">
        <f t="shared" si="78"/>
        <v>263.2908163265306</v>
      </c>
    </row>
    <row r="562" spans="1:16">
      <c r="A562" s="2">
        <v>42243</v>
      </c>
      <c r="B562" s="1">
        <v>513.71</v>
      </c>
      <c r="C562" s="1">
        <v>522.69000000000005</v>
      </c>
      <c r="D562" s="1">
        <v>507.26</v>
      </c>
      <c r="E562" s="1">
        <v>518.37</v>
      </c>
      <c r="F562" s="1">
        <v>6114500</v>
      </c>
      <c r="G562" s="1">
        <v>518.37</v>
      </c>
      <c r="H562" s="1">
        <f t="shared" si="72"/>
        <v>15.430000000000064</v>
      </c>
      <c r="I562" s="9">
        <f t="shared" si="79"/>
        <v>3.0418325907818601E-2</v>
      </c>
      <c r="J562" s="1">
        <f t="shared" si="80"/>
        <v>17.600000000000023</v>
      </c>
      <c r="K562" s="9">
        <f t="shared" si="73"/>
        <v>3.5145875351958032E-2</v>
      </c>
      <c r="L562" s="1">
        <f t="shared" si="74"/>
        <v>1</v>
      </c>
      <c r="M562" s="1">
        <f t="shared" si="75"/>
        <v>522.69000000000005</v>
      </c>
      <c r="N562" s="1">
        <f t="shared" si="76"/>
        <v>507.26</v>
      </c>
      <c r="O562" s="1">
        <f t="shared" si="77"/>
        <v>516.41</v>
      </c>
      <c r="P562" s="1">
        <f t="shared" si="78"/>
        <v>263.47448979591837</v>
      </c>
    </row>
    <row r="563" spans="1:16">
      <c r="A563" s="2">
        <v>42242</v>
      </c>
      <c r="B563" s="1">
        <v>484.02</v>
      </c>
      <c r="C563" s="1">
        <v>503.72</v>
      </c>
      <c r="D563" s="1">
        <v>478.76</v>
      </c>
      <c r="E563" s="1">
        <v>500.77</v>
      </c>
      <c r="F563" s="1">
        <v>6358600</v>
      </c>
      <c r="G563" s="1">
        <v>500.77</v>
      </c>
      <c r="H563" s="1">
        <f t="shared" si="72"/>
        <v>24.960000000000036</v>
      </c>
      <c r="I563" s="9">
        <f t="shared" si="79"/>
        <v>5.2134681259921538E-2</v>
      </c>
      <c r="J563" s="1">
        <f t="shared" si="80"/>
        <v>34.399999999999977</v>
      </c>
      <c r="K563" s="9">
        <f t="shared" si="73"/>
        <v>7.3761176748075516E-2</v>
      </c>
      <c r="L563" s="1">
        <f t="shared" si="74"/>
        <v>1</v>
      </c>
      <c r="M563" s="1">
        <f t="shared" si="75"/>
        <v>503.72</v>
      </c>
      <c r="N563" s="1">
        <f t="shared" si="76"/>
        <v>478.76</v>
      </c>
      <c r="O563" s="1">
        <f t="shared" si="77"/>
        <v>498.81</v>
      </c>
      <c r="P563" s="1">
        <f t="shared" si="78"/>
        <v>254.49489795918367</v>
      </c>
    </row>
    <row r="564" spans="1:16">
      <c r="A564" s="2">
        <v>42241</v>
      </c>
      <c r="B564" s="1">
        <v>487.49</v>
      </c>
      <c r="C564" s="1">
        <v>489.44</v>
      </c>
      <c r="D564" s="1">
        <v>466.25</v>
      </c>
      <c r="E564" s="1">
        <v>466.37</v>
      </c>
      <c r="F564" s="1">
        <v>5679300</v>
      </c>
      <c r="G564" s="1">
        <v>466.37</v>
      </c>
      <c r="H564" s="1">
        <f t="shared" si="72"/>
        <v>23.189999999999998</v>
      </c>
      <c r="I564" s="9">
        <f t="shared" si="79"/>
        <v>4.9737265415549591E-2</v>
      </c>
      <c r="J564" s="1">
        <f t="shared" si="80"/>
        <v>3</v>
      </c>
      <c r="K564" s="9">
        <f t="shared" si="73"/>
        <v>6.4743077885922699E-3</v>
      </c>
      <c r="L564" s="1">
        <f t="shared" si="74"/>
        <v>1</v>
      </c>
      <c r="M564" s="1">
        <f t="shared" si="75"/>
        <v>489.44</v>
      </c>
      <c r="N564" s="1">
        <f t="shared" si="76"/>
        <v>466.25</v>
      </c>
      <c r="O564" s="1">
        <f t="shared" si="77"/>
        <v>464.41</v>
      </c>
      <c r="P564" s="1">
        <f t="shared" si="78"/>
        <v>236.94387755102042</v>
      </c>
    </row>
    <row r="565" spans="1:16">
      <c r="A565" s="2">
        <v>42240</v>
      </c>
      <c r="B565" s="1">
        <v>463.58</v>
      </c>
      <c r="C565" s="1">
        <v>476.58</v>
      </c>
      <c r="D565" s="1">
        <v>451</v>
      </c>
      <c r="E565" s="1">
        <v>463.37</v>
      </c>
      <c r="F565" s="1">
        <v>10097600</v>
      </c>
      <c r="G565" s="1">
        <v>463.37</v>
      </c>
      <c r="H565" s="1">
        <f t="shared" si="72"/>
        <v>25.579999999999984</v>
      </c>
      <c r="I565" s="9">
        <f t="shared" si="79"/>
        <v>5.6718403547671804E-2</v>
      </c>
      <c r="J565" s="1">
        <f t="shared" si="80"/>
        <v>-31.100000000000023</v>
      </c>
      <c r="K565" s="9">
        <f t="shared" si="73"/>
        <v>-6.2895625619350054E-2</v>
      </c>
      <c r="L565" s="1">
        <f t="shared" si="74"/>
        <v>1</v>
      </c>
      <c r="M565" s="1">
        <f t="shared" si="75"/>
        <v>476.58</v>
      </c>
      <c r="N565" s="1">
        <f t="shared" si="76"/>
        <v>451</v>
      </c>
      <c r="O565" s="1">
        <f t="shared" si="77"/>
        <v>461.41</v>
      </c>
      <c r="P565" s="1">
        <f t="shared" si="78"/>
        <v>235.41326530612247</v>
      </c>
    </row>
    <row r="566" spans="1:16">
      <c r="A566" s="2">
        <v>42237</v>
      </c>
      <c r="B566" s="1">
        <v>507.36</v>
      </c>
      <c r="C566" s="1">
        <v>512.33000000000004</v>
      </c>
      <c r="D566" s="1">
        <v>494.47</v>
      </c>
      <c r="E566" s="1">
        <v>494.47</v>
      </c>
      <c r="F566" s="1">
        <v>6706500</v>
      </c>
      <c r="G566" s="1">
        <v>494.47</v>
      </c>
      <c r="H566" s="1">
        <f t="shared" si="72"/>
        <v>17.860000000000014</v>
      </c>
      <c r="I566" s="9">
        <f t="shared" si="79"/>
        <v>3.6119481465002955E-2</v>
      </c>
      <c r="J566" s="1">
        <f t="shared" si="80"/>
        <v>-21.309999999999945</v>
      </c>
      <c r="K566" s="9">
        <f t="shared" si="73"/>
        <v>-4.1316064988948673E-2</v>
      </c>
      <c r="L566" s="1">
        <f t="shared" si="74"/>
        <v>1</v>
      </c>
      <c r="M566" s="1">
        <f t="shared" si="75"/>
        <v>512.33000000000004</v>
      </c>
      <c r="N566" s="1">
        <f t="shared" si="76"/>
        <v>494.47</v>
      </c>
      <c r="O566" s="1">
        <f t="shared" si="77"/>
        <v>492.51000000000005</v>
      </c>
      <c r="P566" s="1">
        <f t="shared" si="78"/>
        <v>251.28061224489798</v>
      </c>
    </row>
    <row r="567" spans="1:16">
      <c r="A567" s="2">
        <v>42236</v>
      </c>
      <c r="B567" s="1">
        <v>530.39</v>
      </c>
      <c r="C567" s="1">
        <v>533.25</v>
      </c>
      <c r="D567" s="1">
        <v>515.77</v>
      </c>
      <c r="E567" s="1">
        <v>515.78</v>
      </c>
      <c r="F567" s="1">
        <v>4408000</v>
      </c>
      <c r="G567" s="1">
        <v>515.78</v>
      </c>
      <c r="H567" s="1">
        <f t="shared" si="72"/>
        <v>17.480000000000018</v>
      </c>
      <c r="I567" s="9">
        <f t="shared" si="79"/>
        <v>3.3891075479380382E-2</v>
      </c>
      <c r="J567" s="1">
        <f t="shared" si="80"/>
        <v>-17.139999999999986</v>
      </c>
      <c r="K567" s="9">
        <f t="shared" si="73"/>
        <v>-3.2162425880057022E-2</v>
      </c>
      <c r="L567" s="1">
        <f t="shared" si="74"/>
        <v>1</v>
      </c>
      <c r="M567" s="1">
        <f t="shared" si="75"/>
        <v>533.25</v>
      </c>
      <c r="N567" s="1">
        <f t="shared" si="76"/>
        <v>515.77</v>
      </c>
      <c r="O567" s="1">
        <f t="shared" si="77"/>
        <v>513.81999999999994</v>
      </c>
      <c r="P567" s="1">
        <f t="shared" si="78"/>
        <v>262.15306122448976</v>
      </c>
    </row>
    <row r="568" spans="1:16">
      <c r="A568" s="2">
        <v>42235</v>
      </c>
      <c r="B568" s="1">
        <v>533.74</v>
      </c>
      <c r="C568" s="1">
        <v>537.25</v>
      </c>
      <c r="D568" s="1">
        <v>529</v>
      </c>
      <c r="E568" s="1">
        <v>532.91999999999996</v>
      </c>
      <c r="F568" s="1">
        <v>2324000</v>
      </c>
      <c r="G568" s="1">
        <v>532.91999999999996</v>
      </c>
      <c r="H568" s="1">
        <f t="shared" si="72"/>
        <v>8.25</v>
      </c>
      <c r="I568" s="9">
        <f t="shared" si="79"/>
        <v>1.5595463137996219E-2</v>
      </c>
      <c r="J568" s="1">
        <f t="shared" si="80"/>
        <v>-2.1000000000000227</v>
      </c>
      <c r="K568" s="9">
        <f t="shared" si="73"/>
        <v>-3.9250869126388225E-3</v>
      </c>
      <c r="L568" s="1">
        <f t="shared" si="74"/>
        <v>1</v>
      </c>
      <c r="M568" s="1">
        <f t="shared" si="75"/>
        <v>537.25</v>
      </c>
      <c r="N568" s="1">
        <f t="shared" si="76"/>
        <v>529</v>
      </c>
      <c r="O568" s="1">
        <f t="shared" si="77"/>
        <v>530.95999999999992</v>
      </c>
      <c r="P568" s="1">
        <f t="shared" si="78"/>
        <v>270.89795918367344</v>
      </c>
    </row>
    <row r="569" spans="1:16">
      <c r="A569" s="2">
        <v>42234</v>
      </c>
      <c r="B569" s="1">
        <v>535.04</v>
      </c>
      <c r="C569" s="1">
        <v>539.49</v>
      </c>
      <c r="D569" s="1">
        <v>533</v>
      </c>
      <c r="E569" s="1">
        <v>535.02</v>
      </c>
      <c r="F569" s="1">
        <v>2071300</v>
      </c>
      <c r="G569" s="1">
        <v>535.02</v>
      </c>
      <c r="H569" s="1">
        <f t="shared" si="72"/>
        <v>6.4900000000000091</v>
      </c>
      <c r="I569" s="9">
        <f t="shared" si="79"/>
        <v>1.217636022514073E-2</v>
      </c>
      <c r="J569" s="1">
        <f t="shared" si="80"/>
        <v>-0.20000000000004547</v>
      </c>
      <c r="K569" s="9">
        <f t="shared" si="73"/>
        <v>-3.736781136729671E-4</v>
      </c>
      <c r="L569" s="1">
        <f t="shared" si="74"/>
        <v>1</v>
      </c>
      <c r="M569" s="1">
        <f t="shared" si="75"/>
        <v>539.49</v>
      </c>
      <c r="N569" s="1">
        <f t="shared" si="76"/>
        <v>533</v>
      </c>
      <c r="O569" s="1">
        <f t="shared" si="77"/>
        <v>533.05999999999995</v>
      </c>
      <c r="P569" s="1">
        <f t="shared" si="78"/>
        <v>271.96938775510199</v>
      </c>
    </row>
    <row r="570" spans="1:16">
      <c r="A570" s="2">
        <v>42233</v>
      </c>
      <c r="B570" s="1">
        <v>531.29</v>
      </c>
      <c r="C570" s="1">
        <v>538.74</v>
      </c>
      <c r="D570" s="1">
        <v>527.12</v>
      </c>
      <c r="E570" s="1">
        <v>535.22</v>
      </c>
      <c r="F570" s="1">
        <v>2581700</v>
      </c>
      <c r="G570" s="1">
        <v>535.22</v>
      </c>
      <c r="H570" s="1">
        <f t="shared" si="72"/>
        <v>11.620000000000005</v>
      </c>
      <c r="I570" s="9">
        <f t="shared" si="79"/>
        <v>2.204431628471696E-2</v>
      </c>
      <c r="J570" s="1">
        <f t="shared" si="80"/>
        <v>3.7000000000000455</v>
      </c>
      <c r="K570" s="9">
        <f t="shared" si="73"/>
        <v>6.9611679711018316E-3</v>
      </c>
      <c r="L570" s="1">
        <f t="shared" si="74"/>
        <v>1</v>
      </c>
      <c r="M570" s="1">
        <f t="shared" si="75"/>
        <v>538.74</v>
      </c>
      <c r="N570" s="1">
        <f t="shared" si="76"/>
        <v>527.12</v>
      </c>
      <c r="O570" s="1">
        <f t="shared" si="77"/>
        <v>533.26</v>
      </c>
      <c r="P570" s="1">
        <f t="shared" si="78"/>
        <v>272.07142857142856</v>
      </c>
    </row>
    <row r="571" spans="1:16">
      <c r="A571" s="2">
        <v>42230</v>
      </c>
      <c r="B571" s="1">
        <v>528.25</v>
      </c>
      <c r="C571" s="1">
        <v>534.11</v>
      </c>
      <c r="D571" s="1">
        <v>528.25</v>
      </c>
      <c r="E571" s="1">
        <v>531.52</v>
      </c>
      <c r="F571" s="1">
        <v>1983200</v>
      </c>
      <c r="G571" s="1">
        <v>531.52</v>
      </c>
      <c r="H571" s="1">
        <f t="shared" si="72"/>
        <v>5.8600000000000136</v>
      </c>
      <c r="I571" s="9">
        <f t="shared" si="79"/>
        <v>1.1093232371036467E-2</v>
      </c>
      <c r="J571" s="1">
        <f t="shared" si="80"/>
        <v>1.8600000000000136</v>
      </c>
      <c r="K571" s="9">
        <f t="shared" si="73"/>
        <v>3.5116867424385715E-3</v>
      </c>
      <c r="L571" s="1">
        <f t="shared" si="74"/>
        <v>1</v>
      </c>
      <c r="M571" s="1">
        <f t="shared" si="75"/>
        <v>534.11</v>
      </c>
      <c r="N571" s="1">
        <f t="shared" si="76"/>
        <v>528.25</v>
      </c>
      <c r="O571" s="1">
        <f t="shared" si="77"/>
        <v>529.55999999999995</v>
      </c>
      <c r="P571" s="1">
        <f t="shared" si="78"/>
        <v>270.18367346938771</v>
      </c>
    </row>
    <row r="572" spans="1:16">
      <c r="A572" s="2">
        <v>42229</v>
      </c>
      <c r="B572" s="1">
        <v>527.37</v>
      </c>
      <c r="C572" s="1">
        <v>534.66</v>
      </c>
      <c r="D572" s="1">
        <v>525.49</v>
      </c>
      <c r="E572" s="1">
        <v>529.66</v>
      </c>
      <c r="F572" s="1">
        <v>2895200</v>
      </c>
      <c r="G572" s="1">
        <v>529.66</v>
      </c>
      <c r="H572" s="1">
        <f t="shared" si="72"/>
        <v>9.1699999999999591</v>
      </c>
      <c r="I572" s="9">
        <f t="shared" si="79"/>
        <v>1.7450379645663969E-2</v>
      </c>
      <c r="J572" s="1">
        <f t="shared" si="80"/>
        <v>3.75</v>
      </c>
      <c r="K572" s="9">
        <f t="shared" si="73"/>
        <v>7.1304976136601327E-3</v>
      </c>
      <c r="L572" s="1">
        <f t="shared" si="74"/>
        <v>1</v>
      </c>
      <c r="M572" s="1">
        <f t="shared" si="75"/>
        <v>534.66</v>
      </c>
      <c r="N572" s="1">
        <f t="shared" si="76"/>
        <v>525.49</v>
      </c>
      <c r="O572" s="1">
        <f t="shared" si="77"/>
        <v>527.69999999999993</v>
      </c>
      <c r="P572" s="1">
        <f t="shared" si="78"/>
        <v>269.23469387755097</v>
      </c>
    </row>
    <row r="573" spans="1:16">
      <c r="A573" s="2">
        <v>42228</v>
      </c>
      <c r="B573" s="1">
        <v>523.75</v>
      </c>
      <c r="C573" s="1">
        <v>527.5</v>
      </c>
      <c r="D573" s="1">
        <v>513.05999999999995</v>
      </c>
      <c r="E573" s="1">
        <v>525.91</v>
      </c>
      <c r="F573" s="1">
        <v>3962300</v>
      </c>
      <c r="G573" s="1">
        <v>525.91</v>
      </c>
      <c r="H573" s="1">
        <f t="shared" si="72"/>
        <v>14.440000000000055</v>
      </c>
      <c r="I573" s="9">
        <f t="shared" si="79"/>
        <v>2.8144856352083688E-2</v>
      </c>
      <c r="J573" s="1">
        <f t="shared" si="80"/>
        <v>-1.5500000000000682</v>
      </c>
      <c r="K573" s="9">
        <f t="shared" si="73"/>
        <v>-2.9386114586889395E-3</v>
      </c>
      <c r="L573" s="1">
        <f t="shared" si="74"/>
        <v>1</v>
      </c>
      <c r="M573" s="1">
        <f t="shared" si="75"/>
        <v>527.5</v>
      </c>
      <c r="N573" s="1">
        <f t="shared" si="76"/>
        <v>513.05999999999995</v>
      </c>
      <c r="O573" s="1">
        <f t="shared" si="77"/>
        <v>523.94999999999993</v>
      </c>
      <c r="P573" s="1">
        <f t="shared" si="78"/>
        <v>267.32142857142856</v>
      </c>
    </row>
    <row r="574" spans="1:16">
      <c r="A574" s="2">
        <v>42227</v>
      </c>
      <c r="B574" s="1">
        <v>523.65</v>
      </c>
      <c r="C574" s="1">
        <v>528.98</v>
      </c>
      <c r="D574" s="1">
        <v>522</v>
      </c>
      <c r="E574" s="1">
        <v>527.46</v>
      </c>
      <c r="F574" s="1">
        <v>2657900</v>
      </c>
      <c r="G574" s="1">
        <v>527.46</v>
      </c>
      <c r="H574" s="1">
        <f t="shared" si="72"/>
        <v>6.9800000000000182</v>
      </c>
      <c r="I574" s="9">
        <f t="shared" si="79"/>
        <v>1.3371647509578579E-2</v>
      </c>
      <c r="J574" s="1">
        <f t="shared" si="80"/>
        <v>3.4600000000000364</v>
      </c>
      <c r="K574" s="9">
        <f t="shared" si="73"/>
        <v>6.6030534351145731E-3</v>
      </c>
      <c r="L574" s="1">
        <f t="shared" si="74"/>
        <v>1</v>
      </c>
      <c r="M574" s="1">
        <f t="shared" si="75"/>
        <v>528.98</v>
      </c>
      <c r="N574" s="1">
        <f t="shared" si="76"/>
        <v>522</v>
      </c>
      <c r="O574" s="1">
        <f t="shared" si="77"/>
        <v>525.5</v>
      </c>
      <c r="P574" s="1">
        <f t="shared" si="78"/>
        <v>268.11224489795921</v>
      </c>
    </row>
    <row r="575" spans="1:16">
      <c r="A575" s="2">
        <v>42226</v>
      </c>
      <c r="B575" s="1">
        <v>528.52</v>
      </c>
      <c r="C575" s="1">
        <v>532.28</v>
      </c>
      <c r="D575" s="1">
        <v>523</v>
      </c>
      <c r="E575" s="1">
        <v>524</v>
      </c>
      <c r="F575" s="1">
        <v>2615900</v>
      </c>
      <c r="G575" s="1">
        <v>524</v>
      </c>
      <c r="H575" s="1">
        <f t="shared" si="72"/>
        <v>9.2799999999999727</v>
      </c>
      <c r="I575" s="9">
        <f t="shared" si="79"/>
        <v>1.774378585086037E-2</v>
      </c>
      <c r="J575" s="1">
        <f t="shared" si="80"/>
        <v>1.3799999999999955</v>
      </c>
      <c r="K575" s="9">
        <f t="shared" si="73"/>
        <v>2.6405418851172847E-3</v>
      </c>
      <c r="L575" s="1">
        <f t="shared" si="74"/>
        <v>1</v>
      </c>
      <c r="M575" s="1">
        <f t="shared" si="75"/>
        <v>532.28</v>
      </c>
      <c r="N575" s="1">
        <f t="shared" si="76"/>
        <v>523</v>
      </c>
      <c r="O575" s="1">
        <f t="shared" si="77"/>
        <v>522.04</v>
      </c>
      <c r="P575" s="1">
        <f t="shared" si="78"/>
        <v>266.34693877551018</v>
      </c>
    </row>
    <row r="576" spans="1:16">
      <c r="A576" s="2">
        <v>42223</v>
      </c>
      <c r="B576" s="1">
        <v>529.16</v>
      </c>
      <c r="C576" s="1">
        <v>529.46</v>
      </c>
      <c r="D576" s="1">
        <v>518.21</v>
      </c>
      <c r="E576" s="1">
        <v>522.62</v>
      </c>
      <c r="F576" s="1">
        <v>3969200</v>
      </c>
      <c r="G576" s="1">
        <v>522.62</v>
      </c>
      <c r="H576" s="1">
        <f t="shared" si="72"/>
        <v>11.25</v>
      </c>
      <c r="I576" s="9">
        <f t="shared" si="79"/>
        <v>2.1709345632079657E-2</v>
      </c>
      <c r="J576" s="1">
        <f t="shared" si="80"/>
        <v>-6.8400000000000318</v>
      </c>
      <c r="K576" s="9">
        <f t="shared" si="73"/>
        <v>-1.2918822951686683E-2</v>
      </c>
      <c r="L576" s="1">
        <f t="shared" si="74"/>
        <v>1</v>
      </c>
      <c r="M576" s="1">
        <f t="shared" si="75"/>
        <v>529.46</v>
      </c>
      <c r="N576" s="1">
        <f t="shared" si="76"/>
        <v>518.21</v>
      </c>
      <c r="O576" s="1">
        <f t="shared" si="77"/>
        <v>520.66</v>
      </c>
      <c r="P576" s="1">
        <f t="shared" si="78"/>
        <v>265.64285714285711</v>
      </c>
    </row>
    <row r="577" spans="1:16">
      <c r="A577" s="2">
        <v>42222</v>
      </c>
      <c r="B577" s="1">
        <v>539.29999999999995</v>
      </c>
      <c r="C577" s="1">
        <v>542.74</v>
      </c>
      <c r="D577" s="1">
        <v>527.52</v>
      </c>
      <c r="E577" s="1">
        <v>529.46</v>
      </c>
      <c r="F577" s="1">
        <v>3820500</v>
      </c>
      <c r="G577" s="1">
        <v>529.46</v>
      </c>
      <c r="H577" s="1">
        <f t="shared" si="72"/>
        <v>15.220000000000027</v>
      </c>
      <c r="I577" s="9">
        <f t="shared" si="79"/>
        <v>2.8851986654534478E-2</v>
      </c>
      <c r="J577" s="1">
        <f t="shared" si="80"/>
        <v>-7.5499999999999545</v>
      </c>
      <c r="K577" s="9">
        <f t="shared" si="73"/>
        <v>-1.4059328504124606E-2</v>
      </c>
      <c r="L577" s="1">
        <f t="shared" si="74"/>
        <v>1</v>
      </c>
      <c r="M577" s="1">
        <f t="shared" si="75"/>
        <v>542.74</v>
      </c>
      <c r="N577" s="1">
        <f t="shared" si="76"/>
        <v>527.52</v>
      </c>
      <c r="O577" s="1">
        <f t="shared" si="77"/>
        <v>527.5</v>
      </c>
      <c r="P577" s="1">
        <f t="shared" si="78"/>
        <v>269.13265306122452</v>
      </c>
    </row>
    <row r="578" spans="1:16">
      <c r="A578" s="2">
        <v>42221</v>
      </c>
      <c r="B578" s="1">
        <v>538.79999999999995</v>
      </c>
      <c r="C578" s="1">
        <v>539.14</v>
      </c>
      <c r="D578" s="1">
        <v>534.12</v>
      </c>
      <c r="E578" s="1">
        <v>537.01</v>
      </c>
      <c r="F578" s="1">
        <v>2889400</v>
      </c>
      <c r="G578" s="1">
        <v>537.01</v>
      </c>
      <c r="H578" s="1">
        <f t="shared" si="72"/>
        <v>5.0199999999999818</v>
      </c>
      <c r="I578" s="9">
        <f t="shared" si="79"/>
        <v>9.398637010409612E-3</v>
      </c>
      <c r="J578" s="1">
        <f t="shared" si="80"/>
        <v>5.1100000000000136</v>
      </c>
      <c r="K578" s="9">
        <f t="shared" si="73"/>
        <v>9.6070689979319678E-3</v>
      </c>
      <c r="L578" s="1">
        <f t="shared" si="74"/>
        <v>1</v>
      </c>
      <c r="M578" s="1">
        <f t="shared" si="75"/>
        <v>539.14</v>
      </c>
      <c r="N578" s="1">
        <f t="shared" si="76"/>
        <v>534.12</v>
      </c>
      <c r="O578" s="1">
        <f t="shared" si="77"/>
        <v>535.04999999999995</v>
      </c>
      <c r="P578" s="1">
        <f t="shared" si="78"/>
        <v>272.98469387755102</v>
      </c>
    </row>
    <row r="579" spans="1:16">
      <c r="A579" s="2">
        <v>42220</v>
      </c>
      <c r="B579" s="1">
        <v>529.69000000000005</v>
      </c>
      <c r="C579" s="1">
        <v>536.95000000000005</v>
      </c>
      <c r="D579" s="1">
        <v>529.16</v>
      </c>
      <c r="E579" s="1">
        <v>531.9</v>
      </c>
      <c r="F579" s="1">
        <v>2934600</v>
      </c>
      <c r="G579" s="1">
        <v>531.9</v>
      </c>
      <c r="H579" s="1">
        <f t="shared" ref="H579:H642" si="81">C579-D579</f>
        <v>7.7900000000000773</v>
      </c>
      <c r="I579" s="9">
        <f t="shared" si="79"/>
        <v>1.4721445309547354E-2</v>
      </c>
      <c r="J579" s="1">
        <f t="shared" si="80"/>
        <v>-3.1299999999999955</v>
      </c>
      <c r="K579" s="9">
        <f t="shared" ref="K579:K642" si="82">(G579-G580)/G580</f>
        <v>-5.8501392445283358E-3</v>
      </c>
      <c r="L579" s="1">
        <f t="shared" ref="L579:L642" si="83">G579/E579</f>
        <v>1</v>
      </c>
      <c r="M579" s="1">
        <f t="shared" ref="M579:M642" si="84">L579*C579</f>
        <v>536.95000000000005</v>
      </c>
      <c r="N579" s="1">
        <f t="shared" ref="N579:N642" si="85">L579*D579</f>
        <v>529.16</v>
      </c>
      <c r="O579" s="1">
        <f t="shared" ref="O579:O642" si="86">G579-$G$5163</f>
        <v>529.93999999999994</v>
      </c>
      <c r="P579" s="1">
        <f t="shared" ref="P579:P642" si="87">(G579-$G$5163)/$G$5163</f>
        <v>270.37755102040813</v>
      </c>
    </row>
    <row r="580" spans="1:16">
      <c r="A580" s="2">
        <v>42219</v>
      </c>
      <c r="B580" s="1">
        <v>537.45000000000005</v>
      </c>
      <c r="C580" s="1">
        <v>540.44000000000005</v>
      </c>
      <c r="D580" s="1">
        <v>529.36</v>
      </c>
      <c r="E580" s="1">
        <v>535.03</v>
      </c>
      <c r="F580" s="1">
        <v>3014200</v>
      </c>
      <c r="G580" s="1">
        <v>535.03</v>
      </c>
      <c r="H580" s="1">
        <f t="shared" si="81"/>
        <v>11.080000000000041</v>
      </c>
      <c r="I580" s="9">
        <f t="shared" ref="I580:I643" si="88">(C580-D580)/D580</f>
        <v>2.0930935469245959E-2</v>
      </c>
      <c r="J580" s="1">
        <f t="shared" ref="J580:J643" si="89">G580-G581</f>
        <v>-1.1200000000000045</v>
      </c>
      <c r="K580" s="9">
        <f t="shared" si="82"/>
        <v>-2.0889676396530906E-3</v>
      </c>
      <c r="L580" s="1">
        <f t="shared" si="83"/>
        <v>1</v>
      </c>
      <c r="M580" s="1">
        <f t="shared" si="84"/>
        <v>540.44000000000005</v>
      </c>
      <c r="N580" s="1">
        <f t="shared" si="85"/>
        <v>529.36</v>
      </c>
      <c r="O580" s="1">
        <f t="shared" si="86"/>
        <v>533.06999999999994</v>
      </c>
      <c r="P580" s="1">
        <f t="shared" si="87"/>
        <v>271.97448979591832</v>
      </c>
    </row>
    <row r="581" spans="1:16">
      <c r="A581" s="2">
        <v>42216</v>
      </c>
      <c r="B581" s="1">
        <v>539.09</v>
      </c>
      <c r="C581" s="1">
        <v>542.84</v>
      </c>
      <c r="D581" s="1">
        <v>534.52</v>
      </c>
      <c r="E581" s="1">
        <v>536.15</v>
      </c>
      <c r="F581" s="1">
        <v>3025600</v>
      </c>
      <c r="G581" s="1">
        <v>536.15</v>
      </c>
      <c r="H581" s="1">
        <f t="shared" si="81"/>
        <v>8.32000000000005</v>
      </c>
      <c r="I581" s="9">
        <f t="shared" si="88"/>
        <v>1.5565367058295388E-2</v>
      </c>
      <c r="J581" s="1">
        <f t="shared" si="89"/>
        <v>-0.61000000000001364</v>
      </c>
      <c r="K581" s="9">
        <f t="shared" si="82"/>
        <v>-1.1364483195469366E-3</v>
      </c>
      <c r="L581" s="1">
        <f t="shared" si="83"/>
        <v>1</v>
      </c>
      <c r="M581" s="1">
        <f t="shared" si="84"/>
        <v>542.84</v>
      </c>
      <c r="N581" s="1">
        <f t="shared" si="85"/>
        <v>534.52</v>
      </c>
      <c r="O581" s="1">
        <f t="shared" si="86"/>
        <v>534.18999999999994</v>
      </c>
      <c r="P581" s="1">
        <f t="shared" si="87"/>
        <v>272.54591836734693</v>
      </c>
    </row>
    <row r="582" spans="1:16">
      <c r="A582" s="2">
        <v>42215</v>
      </c>
      <c r="B582" s="1">
        <v>527.65</v>
      </c>
      <c r="C582" s="1">
        <v>539.20000000000005</v>
      </c>
      <c r="D582" s="1">
        <v>524.29</v>
      </c>
      <c r="E582" s="1">
        <v>536.76</v>
      </c>
      <c r="F582" s="1">
        <v>3743100</v>
      </c>
      <c r="G582" s="1">
        <v>536.76</v>
      </c>
      <c r="H582" s="1">
        <f t="shared" si="81"/>
        <v>14.910000000000082</v>
      </c>
      <c r="I582" s="9">
        <f t="shared" si="88"/>
        <v>2.8438459631120339E-2</v>
      </c>
      <c r="J582" s="1">
        <f t="shared" si="89"/>
        <v>7.7599999999999909</v>
      </c>
      <c r="K582" s="9">
        <f t="shared" si="82"/>
        <v>1.4669187145557639E-2</v>
      </c>
      <c r="L582" s="1">
        <f t="shared" si="83"/>
        <v>1</v>
      </c>
      <c r="M582" s="1">
        <f t="shared" si="84"/>
        <v>539.20000000000005</v>
      </c>
      <c r="N582" s="1">
        <f t="shared" si="85"/>
        <v>524.29</v>
      </c>
      <c r="O582" s="1">
        <f t="shared" si="86"/>
        <v>534.79999999999995</v>
      </c>
      <c r="P582" s="1">
        <f t="shared" si="87"/>
        <v>272.85714285714283</v>
      </c>
    </row>
    <row r="583" spans="1:16">
      <c r="A583" s="2">
        <v>42214</v>
      </c>
      <c r="B583" s="1">
        <v>530.91999999999996</v>
      </c>
      <c r="C583" s="1">
        <v>532.97</v>
      </c>
      <c r="D583" s="1">
        <v>525.02</v>
      </c>
      <c r="E583" s="1">
        <v>529</v>
      </c>
      <c r="F583" s="1">
        <v>3752600</v>
      </c>
      <c r="G583" s="1">
        <v>529</v>
      </c>
      <c r="H583" s="1">
        <f t="shared" si="81"/>
        <v>7.9500000000000455</v>
      </c>
      <c r="I583" s="9">
        <f t="shared" si="88"/>
        <v>1.5142280294084123E-2</v>
      </c>
      <c r="J583" s="1">
        <f t="shared" si="89"/>
        <v>2.9700000000000273</v>
      </c>
      <c r="K583" s="9">
        <f t="shared" si="82"/>
        <v>5.6460658137369116E-3</v>
      </c>
      <c r="L583" s="1">
        <f t="shared" si="83"/>
        <v>1</v>
      </c>
      <c r="M583" s="1">
        <f t="shared" si="84"/>
        <v>532.97</v>
      </c>
      <c r="N583" s="1">
        <f t="shared" si="85"/>
        <v>525.02</v>
      </c>
      <c r="O583" s="1">
        <f t="shared" si="86"/>
        <v>527.04</v>
      </c>
      <c r="P583" s="1">
        <f t="shared" si="87"/>
        <v>268.89795918367344</v>
      </c>
    </row>
    <row r="584" spans="1:16">
      <c r="A584" s="2">
        <v>42213</v>
      </c>
      <c r="B584" s="1">
        <v>536</v>
      </c>
      <c r="C584" s="1">
        <v>536.39</v>
      </c>
      <c r="D584" s="1">
        <v>523.12</v>
      </c>
      <c r="E584" s="1">
        <v>526.03</v>
      </c>
      <c r="F584" s="1">
        <v>5273100</v>
      </c>
      <c r="G584" s="1">
        <v>526.03</v>
      </c>
      <c r="H584" s="1">
        <f t="shared" si="81"/>
        <v>13.269999999999982</v>
      </c>
      <c r="I584" s="9">
        <f t="shared" si="88"/>
        <v>2.5367028597644864E-2</v>
      </c>
      <c r="J584" s="1">
        <f t="shared" si="89"/>
        <v>-5.3799999999999955</v>
      </c>
      <c r="K584" s="9">
        <f t="shared" si="82"/>
        <v>-1.012400971001674E-2</v>
      </c>
      <c r="L584" s="1">
        <f t="shared" si="83"/>
        <v>1</v>
      </c>
      <c r="M584" s="1">
        <f t="shared" si="84"/>
        <v>536.39</v>
      </c>
      <c r="N584" s="1">
        <f t="shared" si="85"/>
        <v>523.12</v>
      </c>
      <c r="O584" s="1">
        <f t="shared" si="86"/>
        <v>524.06999999999994</v>
      </c>
      <c r="P584" s="1">
        <f t="shared" si="87"/>
        <v>267.38265306122446</v>
      </c>
    </row>
    <row r="585" spans="1:16">
      <c r="A585" s="2">
        <v>42212</v>
      </c>
      <c r="B585" s="1">
        <v>527.75</v>
      </c>
      <c r="C585" s="1">
        <v>544.95000000000005</v>
      </c>
      <c r="D585" s="1">
        <v>526.6</v>
      </c>
      <c r="E585" s="1">
        <v>531.41</v>
      </c>
      <c r="F585" s="1">
        <v>7491000</v>
      </c>
      <c r="G585" s="1">
        <v>531.41</v>
      </c>
      <c r="H585" s="1">
        <f t="shared" si="81"/>
        <v>18.350000000000023</v>
      </c>
      <c r="I585" s="9">
        <f t="shared" si="88"/>
        <v>3.4846183061147021E-2</v>
      </c>
      <c r="J585" s="1">
        <f t="shared" si="89"/>
        <v>1.9900000000000091</v>
      </c>
      <c r="K585" s="9">
        <f t="shared" si="82"/>
        <v>3.7588304181935123E-3</v>
      </c>
      <c r="L585" s="1">
        <f t="shared" si="83"/>
        <v>1</v>
      </c>
      <c r="M585" s="1">
        <f t="shared" si="84"/>
        <v>544.95000000000005</v>
      </c>
      <c r="N585" s="1">
        <f t="shared" si="85"/>
        <v>526.6</v>
      </c>
      <c r="O585" s="1">
        <f t="shared" si="86"/>
        <v>529.44999999999993</v>
      </c>
      <c r="P585" s="1">
        <f t="shared" si="87"/>
        <v>270.12755102040813</v>
      </c>
    </row>
    <row r="586" spans="1:16">
      <c r="A586" s="2">
        <v>42209</v>
      </c>
      <c r="B586" s="1">
        <v>578.99</v>
      </c>
      <c r="C586" s="1">
        <v>580.57000000000005</v>
      </c>
      <c r="D586" s="1">
        <v>529.35</v>
      </c>
      <c r="E586" s="1">
        <v>529.41999999999996</v>
      </c>
      <c r="F586" s="1">
        <v>21909400</v>
      </c>
      <c r="G586" s="1">
        <v>529.41999999999996</v>
      </c>
      <c r="H586" s="1">
        <f t="shared" si="81"/>
        <v>51.220000000000027</v>
      </c>
      <c r="I586" s="9">
        <f t="shared" si="88"/>
        <v>9.6760177576272838E-2</v>
      </c>
      <c r="J586" s="1">
        <f t="shared" si="89"/>
        <v>47.239999999999952</v>
      </c>
      <c r="K586" s="9">
        <f t="shared" si="82"/>
        <v>9.7971711808867962E-2</v>
      </c>
      <c r="L586" s="1">
        <f t="shared" si="83"/>
        <v>1</v>
      </c>
      <c r="M586" s="1">
        <f t="shared" si="84"/>
        <v>580.57000000000005</v>
      </c>
      <c r="N586" s="1">
        <f t="shared" si="85"/>
        <v>529.35</v>
      </c>
      <c r="O586" s="1">
        <f t="shared" si="86"/>
        <v>527.45999999999992</v>
      </c>
      <c r="P586" s="1">
        <f t="shared" si="87"/>
        <v>269.11224489795916</v>
      </c>
    </row>
    <row r="587" spans="1:16">
      <c r="A587" s="2">
        <v>42208</v>
      </c>
      <c r="B587" s="1">
        <v>491.66</v>
      </c>
      <c r="C587" s="1">
        <v>491.66</v>
      </c>
      <c r="D587" s="1">
        <v>475.7</v>
      </c>
      <c r="E587" s="1">
        <v>482.18</v>
      </c>
      <c r="F587" s="1">
        <v>9374400</v>
      </c>
      <c r="G587" s="1">
        <v>482.18</v>
      </c>
      <c r="H587" s="1">
        <f t="shared" si="81"/>
        <v>15.960000000000036</v>
      </c>
      <c r="I587" s="9">
        <f t="shared" si="88"/>
        <v>3.3550557073786076E-2</v>
      </c>
      <c r="J587" s="1">
        <f t="shared" si="89"/>
        <v>-6.089999999999975</v>
      </c>
      <c r="K587" s="9">
        <f t="shared" si="82"/>
        <v>-1.2472607368873729E-2</v>
      </c>
      <c r="L587" s="1">
        <f t="shared" si="83"/>
        <v>1</v>
      </c>
      <c r="M587" s="1">
        <f t="shared" si="84"/>
        <v>491.66</v>
      </c>
      <c r="N587" s="1">
        <f t="shared" si="85"/>
        <v>475.7</v>
      </c>
      <c r="O587" s="1">
        <f t="shared" si="86"/>
        <v>480.22</v>
      </c>
      <c r="P587" s="1">
        <f t="shared" si="87"/>
        <v>245.01020408163268</v>
      </c>
    </row>
    <row r="588" spans="1:16">
      <c r="A588" s="2">
        <v>42207</v>
      </c>
      <c r="B588" s="1">
        <v>485.99</v>
      </c>
      <c r="C588" s="1">
        <v>492.5</v>
      </c>
      <c r="D588" s="1">
        <v>484.9</v>
      </c>
      <c r="E588" s="1">
        <v>488.27</v>
      </c>
      <c r="F588" s="1">
        <v>3114900</v>
      </c>
      <c r="G588" s="1">
        <v>488.27</v>
      </c>
      <c r="H588" s="1">
        <f t="shared" si="81"/>
        <v>7.6000000000000227</v>
      </c>
      <c r="I588" s="9">
        <f t="shared" si="88"/>
        <v>1.5673334708187301E-2</v>
      </c>
      <c r="J588" s="1">
        <f t="shared" si="89"/>
        <v>0.26999999999998181</v>
      </c>
      <c r="K588" s="9">
        <f t="shared" si="82"/>
        <v>5.5327868852455284E-4</v>
      </c>
      <c r="L588" s="1">
        <f t="shared" si="83"/>
        <v>1</v>
      </c>
      <c r="M588" s="1">
        <f t="shared" si="84"/>
        <v>492.5</v>
      </c>
      <c r="N588" s="1">
        <f t="shared" si="85"/>
        <v>484.9</v>
      </c>
      <c r="O588" s="1">
        <f t="shared" si="86"/>
        <v>486.31</v>
      </c>
      <c r="P588" s="1">
        <f t="shared" si="87"/>
        <v>248.11734693877551</v>
      </c>
    </row>
    <row r="589" spans="1:16">
      <c r="A589" s="2">
        <v>42206</v>
      </c>
      <c r="B589" s="1">
        <v>487.9</v>
      </c>
      <c r="C589" s="1">
        <v>488.88</v>
      </c>
      <c r="D589" s="1">
        <v>482.55</v>
      </c>
      <c r="E589" s="1">
        <v>488</v>
      </c>
      <c r="F589" s="1">
        <v>3181800</v>
      </c>
      <c r="G589" s="1">
        <v>488</v>
      </c>
      <c r="H589" s="1">
        <f t="shared" si="81"/>
        <v>6.3299999999999841</v>
      </c>
      <c r="I589" s="9">
        <f t="shared" si="88"/>
        <v>1.3117811625738232E-2</v>
      </c>
      <c r="J589" s="1">
        <f t="shared" si="89"/>
        <v>-0.10000000000002274</v>
      </c>
      <c r="K589" s="9">
        <f t="shared" si="82"/>
        <v>-2.0487604998980277E-4</v>
      </c>
      <c r="L589" s="1">
        <f t="shared" si="83"/>
        <v>1</v>
      </c>
      <c r="M589" s="1">
        <f t="shared" si="84"/>
        <v>488.88</v>
      </c>
      <c r="N589" s="1">
        <f t="shared" si="85"/>
        <v>482.55</v>
      </c>
      <c r="O589" s="1">
        <f t="shared" si="86"/>
        <v>486.04</v>
      </c>
      <c r="P589" s="1">
        <f t="shared" si="87"/>
        <v>247.9795918367347</v>
      </c>
    </row>
    <row r="590" spans="1:16">
      <c r="A590" s="2">
        <v>42205</v>
      </c>
      <c r="B590" s="1">
        <v>492.57</v>
      </c>
      <c r="C590" s="1">
        <v>493.2</v>
      </c>
      <c r="D590" s="1">
        <v>485.4</v>
      </c>
      <c r="E590" s="1">
        <v>488.1</v>
      </c>
      <c r="F590" s="1">
        <v>4752500</v>
      </c>
      <c r="G590" s="1">
        <v>488.1</v>
      </c>
      <c r="H590" s="1">
        <f t="shared" si="81"/>
        <v>7.8000000000000114</v>
      </c>
      <c r="I590" s="9">
        <f t="shared" si="88"/>
        <v>1.6069221260815846E-2</v>
      </c>
      <c r="J590" s="1">
        <f t="shared" si="89"/>
        <v>5.0900000000000318</v>
      </c>
      <c r="K590" s="9">
        <f t="shared" si="82"/>
        <v>1.0538084097637797E-2</v>
      </c>
      <c r="L590" s="1">
        <f t="shared" si="83"/>
        <v>1</v>
      </c>
      <c r="M590" s="1">
        <f t="shared" si="84"/>
        <v>493.2</v>
      </c>
      <c r="N590" s="1">
        <f t="shared" si="85"/>
        <v>485.4</v>
      </c>
      <c r="O590" s="1">
        <f t="shared" si="86"/>
        <v>486.14000000000004</v>
      </c>
      <c r="P590" s="1">
        <f t="shared" si="87"/>
        <v>248.03061224489798</v>
      </c>
    </row>
    <row r="591" spans="1:16">
      <c r="A591" s="2">
        <v>42202</v>
      </c>
      <c r="B591" s="1">
        <v>477.7</v>
      </c>
      <c r="C591" s="1">
        <v>485.42</v>
      </c>
      <c r="D591" s="1">
        <v>477.25</v>
      </c>
      <c r="E591" s="1">
        <v>483.01</v>
      </c>
      <c r="F591" s="1">
        <v>4932200</v>
      </c>
      <c r="G591" s="1">
        <v>483.01</v>
      </c>
      <c r="H591" s="1">
        <f t="shared" si="81"/>
        <v>8.1700000000000159</v>
      </c>
      <c r="I591" s="9">
        <f t="shared" si="88"/>
        <v>1.7118910424305953E-2</v>
      </c>
      <c r="J591" s="1">
        <f t="shared" si="89"/>
        <v>7.5299999999999727</v>
      </c>
      <c r="K591" s="9">
        <f t="shared" si="82"/>
        <v>1.5836628249347968E-2</v>
      </c>
      <c r="L591" s="1">
        <f t="shared" si="83"/>
        <v>1</v>
      </c>
      <c r="M591" s="1">
        <f t="shared" si="84"/>
        <v>485.42</v>
      </c>
      <c r="N591" s="1">
        <f t="shared" si="85"/>
        <v>477.25</v>
      </c>
      <c r="O591" s="1">
        <f t="shared" si="86"/>
        <v>481.05</v>
      </c>
      <c r="P591" s="1">
        <f t="shared" si="87"/>
        <v>245.43367346938777</v>
      </c>
    </row>
    <row r="592" spans="1:16">
      <c r="A592" s="2">
        <v>42201</v>
      </c>
      <c r="B592" s="1">
        <v>465.5</v>
      </c>
      <c r="C592" s="1">
        <v>475.88</v>
      </c>
      <c r="D592" s="1">
        <v>464.8</v>
      </c>
      <c r="E592" s="1">
        <v>475.48</v>
      </c>
      <c r="F592" s="1">
        <v>4095600</v>
      </c>
      <c r="G592" s="1">
        <v>475.48</v>
      </c>
      <c r="H592" s="1">
        <f t="shared" si="81"/>
        <v>11.079999999999984</v>
      </c>
      <c r="I592" s="9">
        <f t="shared" si="88"/>
        <v>2.383820998278826E-2</v>
      </c>
      <c r="J592" s="1">
        <f t="shared" si="89"/>
        <v>14.29000000000002</v>
      </c>
      <c r="K592" s="9">
        <f t="shared" si="82"/>
        <v>3.0985060387259091E-2</v>
      </c>
      <c r="L592" s="1">
        <f t="shared" si="83"/>
        <v>1</v>
      </c>
      <c r="M592" s="1">
        <f t="shared" si="84"/>
        <v>475.88</v>
      </c>
      <c r="N592" s="1">
        <f t="shared" si="85"/>
        <v>464.8</v>
      </c>
      <c r="O592" s="1">
        <f t="shared" si="86"/>
        <v>473.52000000000004</v>
      </c>
      <c r="P592" s="1">
        <f t="shared" si="87"/>
        <v>241.59183673469391</v>
      </c>
    </row>
    <row r="593" spans="1:16">
      <c r="A593" s="2">
        <v>42200</v>
      </c>
      <c r="B593" s="1">
        <v>463.04</v>
      </c>
      <c r="C593" s="1">
        <v>464.7</v>
      </c>
      <c r="D593" s="1">
        <v>460.2</v>
      </c>
      <c r="E593" s="1">
        <v>461.19</v>
      </c>
      <c r="F593" s="1">
        <v>2987400</v>
      </c>
      <c r="G593" s="1">
        <v>461.19</v>
      </c>
      <c r="H593" s="1">
        <f t="shared" si="81"/>
        <v>4.5</v>
      </c>
      <c r="I593" s="9">
        <f t="shared" si="88"/>
        <v>9.778357235984355E-3</v>
      </c>
      <c r="J593" s="1">
        <f t="shared" si="89"/>
        <v>-4.3799999999999955</v>
      </c>
      <c r="K593" s="9">
        <f t="shared" si="82"/>
        <v>-9.4078226689863938E-3</v>
      </c>
      <c r="L593" s="1">
        <f t="shared" si="83"/>
        <v>1</v>
      </c>
      <c r="M593" s="1">
        <f t="shared" si="84"/>
        <v>464.7</v>
      </c>
      <c r="N593" s="1">
        <f t="shared" si="85"/>
        <v>460.2</v>
      </c>
      <c r="O593" s="1">
        <f t="shared" si="86"/>
        <v>459.23</v>
      </c>
      <c r="P593" s="1">
        <f t="shared" si="87"/>
        <v>234.30102040816328</v>
      </c>
    </row>
    <row r="594" spans="1:16">
      <c r="A594" s="2">
        <v>42199</v>
      </c>
      <c r="B594" s="1">
        <v>462.32</v>
      </c>
      <c r="C594" s="1">
        <v>469.6</v>
      </c>
      <c r="D594" s="1">
        <v>458.16</v>
      </c>
      <c r="E594" s="1">
        <v>465.57</v>
      </c>
      <c r="F594" s="1">
        <v>4736200</v>
      </c>
      <c r="G594" s="1">
        <v>465.57</v>
      </c>
      <c r="H594" s="1">
        <f t="shared" si="81"/>
        <v>11.439999999999998</v>
      </c>
      <c r="I594" s="9">
        <f t="shared" si="88"/>
        <v>2.4969442989348691E-2</v>
      </c>
      <c r="J594" s="1">
        <f t="shared" si="89"/>
        <v>10</v>
      </c>
      <c r="K594" s="9">
        <f t="shared" si="82"/>
        <v>2.1950523519985953E-2</v>
      </c>
      <c r="L594" s="1">
        <f t="shared" si="83"/>
        <v>1</v>
      </c>
      <c r="M594" s="1">
        <f t="shared" si="84"/>
        <v>469.6</v>
      </c>
      <c r="N594" s="1">
        <f t="shared" si="85"/>
        <v>458.16</v>
      </c>
      <c r="O594" s="1">
        <f t="shared" si="86"/>
        <v>463.61</v>
      </c>
      <c r="P594" s="1">
        <f t="shared" si="87"/>
        <v>236.53571428571431</v>
      </c>
    </row>
    <row r="595" spans="1:16">
      <c r="A595" s="2">
        <v>42198</v>
      </c>
      <c r="B595" s="1">
        <v>448.29</v>
      </c>
      <c r="C595" s="1">
        <v>457.87</v>
      </c>
      <c r="D595" s="1">
        <v>447.54</v>
      </c>
      <c r="E595" s="1">
        <v>455.57</v>
      </c>
      <c r="F595" s="1">
        <v>3956800</v>
      </c>
      <c r="G595" s="1">
        <v>455.57</v>
      </c>
      <c r="H595" s="1">
        <f t="shared" si="81"/>
        <v>10.329999999999984</v>
      </c>
      <c r="I595" s="9">
        <f t="shared" si="88"/>
        <v>2.3081735710774421E-2</v>
      </c>
      <c r="J595" s="1">
        <f t="shared" si="89"/>
        <v>12.060000000000002</v>
      </c>
      <c r="K595" s="9">
        <f t="shared" si="82"/>
        <v>2.7192171540664251E-2</v>
      </c>
      <c r="L595" s="1">
        <f t="shared" si="83"/>
        <v>1</v>
      </c>
      <c r="M595" s="1">
        <f t="shared" si="84"/>
        <v>457.87</v>
      </c>
      <c r="N595" s="1">
        <f t="shared" si="85"/>
        <v>447.54</v>
      </c>
      <c r="O595" s="1">
        <f t="shared" si="86"/>
        <v>453.61</v>
      </c>
      <c r="P595" s="1">
        <f t="shared" si="87"/>
        <v>231.43367346938777</v>
      </c>
    </row>
    <row r="596" spans="1:16">
      <c r="A596" s="2">
        <v>42195</v>
      </c>
      <c r="B596" s="1">
        <v>440.49</v>
      </c>
      <c r="C596" s="1">
        <v>444.72</v>
      </c>
      <c r="D596" s="1">
        <v>439</v>
      </c>
      <c r="E596" s="1">
        <v>443.51</v>
      </c>
      <c r="F596" s="1">
        <v>2401000</v>
      </c>
      <c r="G596" s="1">
        <v>443.51</v>
      </c>
      <c r="H596" s="1">
        <f t="shared" si="81"/>
        <v>5.7200000000000273</v>
      </c>
      <c r="I596" s="9">
        <f t="shared" si="88"/>
        <v>1.3029612756264299E-2</v>
      </c>
      <c r="J596" s="1">
        <f t="shared" si="89"/>
        <v>9.1200000000000045</v>
      </c>
      <c r="K596" s="9">
        <f t="shared" si="82"/>
        <v>2.0994958447478083E-2</v>
      </c>
      <c r="L596" s="1">
        <f t="shared" si="83"/>
        <v>1</v>
      </c>
      <c r="M596" s="1">
        <f t="shared" si="84"/>
        <v>444.72</v>
      </c>
      <c r="N596" s="1">
        <f t="shared" si="85"/>
        <v>439</v>
      </c>
      <c r="O596" s="1">
        <f t="shared" si="86"/>
        <v>441.55</v>
      </c>
      <c r="P596" s="1">
        <f t="shared" si="87"/>
        <v>225.28061224489798</v>
      </c>
    </row>
    <row r="597" spans="1:16">
      <c r="A597" s="2">
        <v>42194</v>
      </c>
      <c r="B597" s="1">
        <v>434.9</v>
      </c>
      <c r="C597" s="1">
        <v>438.72</v>
      </c>
      <c r="D597" s="1">
        <v>434.15</v>
      </c>
      <c r="E597" s="1">
        <v>434.39</v>
      </c>
      <c r="F597" s="1">
        <v>2271400</v>
      </c>
      <c r="G597" s="1">
        <v>434.39</v>
      </c>
      <c r="H597" s="1">
        <f t="shared" si="81"/>
        <v>4.57000000000005</v>
      </c>
      <c r="I597" s="9">
        <f t="shared" si="88"/>
        <v>1.05263157894738E-2</v>
      </c>
      <c r="J597" s="1">
        <f t="shared" si="89"/>
        <v>4.6899999999999977</v>
      </c>
      <c r="K597" s="9">
        <f t="shared" si="82"/>
        <v>1.0914591575517798E-2</v>
      </c>
      <c r="L597" s="1">
        <f t="shared" si="83"/>
        <v>1</v>
      </c>
      <c r="M597" s="1">
        <f t="shared" si="84"/>
        <v>438.72</v>
      </c>
      <c r="N597" s="1">
        <f t="shared" si="85"/>
        <v>434.15</v>
      </c>
      <c r="O597" s="1">
        <f t="shared" si="86"/>
        <v>432.43</v>
      </c>
      <c r="P597" s="1">
        <f t="shared" si="87"/>
        <v>220.62755102040816</v>
      </c>
    </row>
    <row r="598" spans="1:16">
      <c r="A598" s="2">
        <v>42193</v>
      </c>
      <c r="B598" s="1">
        <v>434.35</v>
      </c>
      <c r="C598" s="1">
        <v>435.99</v>
      </c>
      <c r="D598" s="1">
        <v>428.83</v>
      </c>
      <c r="E598" s="1">
        <v>429.7</v>
      </c>
      <c r="F598" s="1">
        <v>2383100</v>
      </c>
      <c r="G598" s="1">
        <v>429.7</v>
      </c>
      <c r="H598" s="1">
        <f t="shared" si="81"/>
        <v>7.160000000000025</v>
      </c>
      <c r="I598" s="9">
        <f t="shared" si="88"/>
        <v>1.6696593055523228E-2</v>
      </c>
      <c r="J598" s="1">
        <f t="shared" si="89"/>
        <v>-7.0200000000000387</v>
      </c>
      <c r="K598" s="9">
        <f t="shared" si="82"/>
        <v>-1.607437259571359E-2</v>
      </c>
      <c r="L598" s="1">
        <f t="shared" si="83"/>
        <v>1</v>
      </c>
      <c r="M598" s="1">
        <f t="shared" si="84"/>
        <v>435.99</v>
      </c>
      <c r="N598" s="1">
        <f t="shared" si="85"/>
        <v>428.83</v>
      </c>
      <c r="O598" s="1">
        <f t="shared" si="86"/>
        <v>427.74</v>
      </c>
      <c r="P598" s="1">
        <f t="shared" si="87"/>
        <v>218.23469387755102</v>
      </c>
    </row>
    <row r="599" spans="1:16">
      <c r="A599" s="2">
        <v>42192</v>
      </c>
      <c r="B599" s="1">
        <v>435.68</v>
      </c>
      <c r="C599" s="1">
        <v>437.73</v>
      </c>
      <c r="D599" s="1">
        <v>425.57</v>
      </c>
      <c r="E599" s="1">
        <v>436.72</v>
      </c>
      <c r="F599" s="1">
        <v>3454200</v>
      </c>
      <c r="G599" s="1">
        <v>436.72</v>
      </c>
      <c r="H599" s="1">
        <f t="shared" si="81"/>
        <v>12.160000000000025</v>
      </c>
      <c r="I599" s="9">
        <f t="shared" si="88"/>
        <v>2.857344267688048E-2</v>
      </c>
      <c r="J599" s="1">
        <f t="shared" si="89"/>
        <v>0.68000000000000682</v>
      </c>
      <c r="K599" s="9">
        <f t="shared" si="82"/>
        <v>1.5594899550500109E-3</v>
      </c>
      <c r="L599" s="1">
        <f t="shared" si="83"/>
        <v>1</v>
      </c>
      <c r="M599" s="1">
        <f t="shared" si="84"/>
        <v>437.73</v>
      </c>
      <c r="N599" s="1">
        <f t="shared" si="85"/>
        <v>425.57</v>
      </c>
      <c r="O599" s="1">
        <f t="shared" si="86"/>
        <v>434.76000000000005</v>
      </c>
      <c r="P599" s="1">
        <f t="shared" si="87"/>
        <v>221.81632653061229</v>
      </c>
    </row>
    <row r="600" spans="1:16">
      <c r="A600" s="2">
        <v>42191</v>
      </c>
      <c r="B600" s="1">
        <v>435.23</v>
      </c>
      <c r="C600" s="1">
        <v>439.73</v>
      </c>
      <c r="D600" s="1">
        <v>433.52</v>
      </c>
      <c r="E600" s="1">
        <v>436.04</v>
      </c>
      <c r="F600" s="1">
        <v>1903200</v>
      </c>
      <c r="G600" s="1">
        <v>436.04</v>
      </c>
      <c r="H600" s="1">
        <f t="shared" si="81"/>
        <v>6.2100000000000364</v>
      </c>
      <c r="I600" s="9">
        <f t="shared" si="88"/>
        <v>1.4324598634434482E-2</v>
      </c>
      <c r="J600" s="1">
        <f t="shared" si="89"/>
        <v>-1.6699999999999591</v>
      </c>
      <c r="K600" s="9">
        <f t="shared" si="82"/>
        <v>-3.8153115076191065E-3</v>
      </c>
      <c r="L600" s="1">
        <f t="shared" si="83"/>
        <v>1</v>
      </c>
      <c r="M600" s="1">
        <f t="shared" si="84"/>
        <v>439.73</v>
      </c>
      <c r="N600" s="1">
        <f t="shared" si="85"/>
        <v>433.52</v>
      </c>
      <c r="O600" s="1">
        <f t="shared" si="86"/>
        <v>434.08000000000004</v>
      </c>
      <c r="P600" s="1">
        <f t="shared" si="87"/>
        <v>221.46938775510208</v>
      </c>
    </row>
    <row r="601" spans="1:16">
      <c r="A601" s="2">
        <v>42187</v>
      </c>
      <c r="B601" s="1">
        <v>437</v>
      </c>
      <c r="C601" s="1">
        <v>438.2</v>
      </c>
      <c r="D601" s="1">
        <v>433.48</v>
      </c>
      <c r="E601" s="1">
        <v>437.71</v>
      </c>
      <c r="F601" s="1">
        <v>1343400</v>
      </c>
      <c r="G601" s="1">
        <v>437.71</v>
      </c>
      <c r="H601" s="1">
        <f t="shared" si="81"/>
        <v>4.7199999999999704</v>
      </c>
      <c r="I601" s="9">
        <f t="shared" si="88"/>
        <v>1.0888622312448026E-2</v>
      </c>
      <c r="J601" s="1">
        <f t="shared" si="89"/>
        <v>0.31999999999999318</v>
      </c>
      <c r="K601" s="9">
        <f t="shared" si="82"/>
        <v>7.3161251971922813E-4</v>
      </c>
      <c r="L601" s="1">
        <f t="shared" si="83"/>
        <v>1</v>
      </c>
      <c r="M601" s="1">
        <f t="shared" si="84"/>
        <v>438.2</v>
      </c>
      <c r="N601" s="1">
        <f t="shared" si="85"/>
        <v>433.48</v>
      </c>
      <c r="O601" s="1">
        <f t="shared" si="86"/>
        <v>435.75</v>
      </c>
      <c r="P601" s="1">
        <f t="shared" si="87"/>
        <v>222.32142857142858</v>
      </c>
    </row>
    <row r="602" spans="1:16">
      <c r="A602" s="2">
        <v>42186</v>
      </c>
      <c r="B602" s="1">
        <v>439.35</v>
      </c>
      <c r="C602" s="1">
        <v>440</v>
      </c>
      <c r="D602" s="1">
        <v>435.58</v>
      </c>
      <c r="E602" s="1">
        <v>437.39</v>
      </c>
      <c r="F602" s="1">
        <v>1987100</v>
      </c>
      <c r="G602" s="1">
        <v>437.39</v>
      </c>
      <c r="H602" s="1">
        <f t="shared" si="81"/>
        <v>4.4200000000000159</v>
      </c>
      <c r="I602" s="9">
        <f t="shared" si="88"/>
        <v>1.0147389687313504E-2</v>
      </c>
      <c r="J602" s="1">
        <f t="shared" si="89"/>
        <v>3.3000000000000114</v>
      </c>
      <c r="K602" s="9">
        <f t="shared" si="82"/>
        <v>7.6021101614872754E-3</v>
      </c>
      <c r="L602" s="1">
        <f t="shared" si="83"/>
        <v>1</v>
      </c>
      <c r="M602" s="1">
        <f t="shared" si="84"/>
        <v>440</v>
      </c>
      <c r="N602" s="1">
        <f t="shared" si="85"/>
        <v>435.58</v>
      </c>
      <c r="O602" s="1">
        <f t="shared" si="86"/>
        <v>435.43</v>
      </c>
      <c r="P602" s="1">
        <f t="shared" si="87"/>
        <v>222.15816326530614</v>
      </c>
    </row>
    <row r="603" spans="1:16">
      <c r="A603" s="2">
        <v>42185</v>
      </c>
      <c r="B603" s="1">
        <v>434.2</v>
      </c>
      <c r="C603" s="1">
        <v>435.57</v>
      </c>
      <c r="D603" s="1">
        <v>430.46</v>
      </c>
      <c r="E603" s="1">
        <v>434.09</v>
      </c>
      <c r="F603" s="1">
        <v>2596900</v>
      </c>
      <c r="G603" s="1">
        <v>434.09</v>
      </c>
      <c r="H603" s="1">
        <f t="shared" si="81"/>
        <v>5.1100000000000136</v>
      </c>
      <c r="I603" s="9">
        <f t="shared" si="88"/>
        <v>1.1871021697718752E-2</v>
      </c>
      <c r="J603" s="1">
        <f t="shared" si="89"/>
        <v>4.2299999999999613</v>
      </c>
      <c r="K603" s="9">
        <f t="shared" si="82"/>
        <v>9.8404131577722077E-3</v>
      </c>
      <c r="L603" s="1">
        <f t="shared" si="83"/>
        <v>1</v>
      </c>
      <c r="M603" s="1">
        <f t="shared" si="84"/>
        <v>435.57</v>
      </c>
      <c r="N603" s="1">
        <f t="shared" si="85"/>
        <v>430.46</v>
      </c>
      <c r="O603" s="1">
        <f t="shared" si="86"/>
        <v>432.13</v>
      </c>
      <c r="P603" s="1">
        <f t="shared" si="87"/>
        <v>220.47448979591837</v>
      </c>
    </row>
    <row r="604" spans="1:16">
      <c r="A604" s="2">
        <v>42184</v>
      </c>
      <c r="B604" s="1">
        <v>434.98</v>
      </c>
      <c r="C604" s="1">
        <v>437</v>
      </c>
      <c r="D604" s="1">
        <v>429</v>
      </c>
      <c r="E604" s="1">
        <v>429.86</v>
      </c>
      <c r="F604" s="1">
        <v>2753200</v>
      </c>
      <c r="G604" s="1">
        <v>429.86</v>
      </c>
      <c r="H604" s="1">
        <f t="shared" si="81"/>
        <v>8</v>
      </c>
      <c r="I604" s="9">
        <f t="shared" si="88"/>
        <v>1.8648018648018648E-2</v>
      </c>
      <c r="J604" s="1">
        <f t="shared" si="89"/>
        <v>-8.2400000000000091</v>
      </c>
      <c r="K604" s="9">
        <f t="shared" si="82"/>
        <v>-1.8808491212052064E-2</v>
      </c>
      <c r="L604" s="1">
        <f t="shared" si="83"/>
        <v>1</v>
      </c>
      <c r="M604" s="1">
        <f t="shared" si="84"/>
        <v>437</v>
      </c>
      <c r="N604" s="1">
        <f t="shared" si="85"/>
        <v>429</v>
      </c>
      <c r="O604" s="1">
        <f t="shared" si="86"/>
        <v>427.90000000000003</v>
      </c>
      <c r="P604" s="1">
        <f t="shared" si="87"/>
        <v>218.31632653061226</v>
      </c>
    </row>
    <row r="605" spans="1:16">
      <c r="A605" s="2">
        <v>42181</v>
      </c>
      <c r="B605" s="1">
        <v>441.76</v>
      </c>
      <c r="C605" s="1">
        <v>443.49</v>
      </c>
      <c r="D605" s="1">
        <v>435.06</v>
      </c>
      <c r="E605" s="1">
        <v>438.1</v>
      </c>
      <c r="F605" s="1">
        <v>2624500</v>
      </c>
      <c r="G605" s="1">
        <v>438.1</v>
      </c>
      <c r="H605" s="1">
        <f t="shared" si="81"/>
        <v>8.4300000000000068</v>
      </c>
      <c r="I605" s="9">
        <f t="shared" si="88"/>
        <v>1.9376637705144133E-2</v>
      </c>
      <c r="J605" s="1">
        <f t="shared" si="89"/>
        <v>-2</v>
      </c>
      <c r="K605" s="9">
        <f t="shared" si="82"/>
        <v>-4.5444217223358325E-3</v>
      </c>
      <c r="L605" s="1">
        <f t="shared" si="83"/>
        <v>1</v>
      </c>
      <c r="M605" s="1">
        <f t="shared" si="84"/>
        <v>443.49</v>
      </c>
      <c r="N605" s="1">
        <f t="shared" si="85"/>
        <v>435.06</v>
      </c>
      <c r="O605" s="1">
        <f t="shared" si="86"/>
        <v>436.14000000000004</v>
      </c>
      <c r="P605" s="1">
        <f t="shared" si="87"/>
        <v>222.52040816326533</v>
      </c>
    </row>
    <row r="606" spans="1:16">
      <c r="A606" s="2">
        <v>42180</v>
      </c>
      <c r="B606" s="1">
        <v>438.07</v>
      </c>
      <c r="C606" s="1">
        <v>443.47</v>
      </c>
      <c r="D606" s="1">
        <v>436.39</v>
      </c>
      <c r="E606" s="1">
        <v>440.1</v>
      </c>
      <c r="F606" s="1">
        <v>2237500</v>
      </c>
      <c r="G606" s="1">
        <v>440.1</v>
      </c>
      <c r="H606" s="1">
        <f t="shared" si="81"/>
        <v>7.0800000000000409</v>
      </c>
      <c r="I606" s="9">
        <f t="shared" si="88"/>
        <v>1.6224019798803918E-2</v>
      </c>
      <c r="J606" s="1">
        <f t="shared" si="89"/>
        <v>-0.73999999999995225</v>
      </c>
      <c r="K606" s="9">
        <f t="shared" si="82"/>
        <v>-1.6786135559385543E-3</v>
      </c>
      <c r="L606" s="1">
        <f t="shared" si="83"/>
        <v>1</v>
      </c>
      <c r="M606" s="1">
        <f t="shared" si="84"/>
        <v>443.47</v>
      </c>
      <c r="N606" s="1">
        <f t="shared" si="85"/>
        <v>436.39</v>
      </c>
      <c r="O606" s="1">
        <f t="shared" si="86"/>
        <v>438.14000000000004</v>
      </c>
      <c r="P606" s="1">
        <f t="shared" si="87"/>
        <v>223.54081632653063</v>
      </c>
    </row>
    <row r="607" spans="1:16">
      <c r="A607" s="2">
        <v>42179</v>
      </c>
      <c r="B607" s="1">
        <v>444.97</v>
      </c>
      <c r="C607" s="1">
        <v>446.47</v>
      </c>
      <c r="D607" s="1">
        <v>440.23</v>
      </c>
      <c r="E607" s="1">
        <v>440.84</v>
      </c>
      <c r="F607" s="1">
        <v>2620800</v>
      </c>
      <c r="G607" s="1">
        <v>440.84</v>
      </c>
      <c r="H607" s="1">
        <f t="shared" si="81"/>
        <v>6.2400000000000091</v>
      </c>
      <c r="I607" s="9">
        <f t="shared" si="88"/>
        <v>1.4174408831747061E-2</v>
      </c>
      <c r="J607" s="1">
        <f t="shared" si="89"/>
        <v>-5.1500000000000341</v>
      </c>
      <c r="K607" s="9">
        <f t="shared" si="82"/>
        <v>-1.154734411085458E-2</v>
      </c>
      <c r="L607" s="1">
        <f t="shared" si="83"/>
        <v>1</v>
      </c>
      <c r="M607" s="1">
        <f t="shared" si="84"/>
        <v>446.47</v>
      </c>
      <c r="N607" s="1">
        <f t="shared" si="85"/>
        <v>440.23</v>
      </c>
      <c r="O607" s="1">
        <f t="shared" si="86"/>
        <v>438.88</v>
      </c>
      <c r="P607" s="1">
        <f t="shared" si="87"/>
        <v>223.91836734693877</v>
      </c>
    </row>
    <row r="608" spans="1:16">
      <c r="A608" s="2">
        <v>42178</v>
      </c>
      <c r="B608" s="1">
        <v>435.59</v>
      </c>
      <c r="C608" s="1">
        <v>447.04</v>
      </c>
      <c r="D608" s="1">
        <v>433.69</v>
      </c>
      <c r="E608" s="1">
        <v>445.99</v>
      </c>
      <c r="F608" s="1">
        <v>3245000</v>
      </c>
      <c r="G608" s="1">
        <v>445.99</v>
      </c>
      <c r="H608" s="1">
        <f t="shared" si="81"/>
        <v>13.350000000000023</v>
      </c>
      <c r="I608" s="9">
        <f t="shared" si="88"/>
        <v>3.0782356060780794E-2</v>
      </c>
      <c r="J608" s="1">
        <f t="shared" si="89"/>
        <v>9.6999999999999886</v>
      </c>
      <c r="K608" s="9">
        <f t="shared" si="82"/>
        <v>2.223291847165873E-2</v>
      </c>
      <c r="L608" s="1">
        <f t="shared" si="83"/>
        <v>1</v>
      </c>
      <c r="M608" s="1">
        <f t="shared" si="84"/>
        <v>447.04</v>
      </c>
      <c r="N608" s="1">
        <f t="shared" si="85"/>
        <v>433.69</v>
      </c>
      <c r="O608" s="1">
        <f t="shared" si="86"/>
        <v>444.03000000000003</v>
      </c>
      <c r="P608" s="1">
        <f t="shared" si="87"/>
        <v>226.54591836734696</v>
      </c>
    </row>
    <row r="609" spans="1:16">
      <c r="A609" s="2">
        <v>42177</v>
      </c>
      <c r="B609" s="1">
        <v>437</v>
      </c>
      <c r="C609" s="1">
        <v>439.24</v>
      </c>
      <c r="D609" s="1">
        <v>434.18</v>
      </c>
      <c r="E609" s="1">
        <v>436.29</v>
      </c>
      <c r="F609" s="1">
        <v>1823600</v>
      </c>
      <c r="G609" s="1">
        <v>436.29</v>
      </c>
      <c r="H609" s="1">
        <f t="shared" si="81"/>
        <v>5.0600000000000023</v>
      </c>
      <c r="I609" s="9">
        <f t="shared" si="88"/>
        <v>1.1654152655580639E-2</v>
      </c>
      <c r="J609" s="1">
        <f t="shared" si="89"/>
        <v>1.3700000000000045</v>
      </c>
      <c r="K609" s="9">
        <f t="shared" si="82"/>
        <v>3.1500045985468697E-3</v>
      </c>
      <c r="L609" s="1">
        <f t="shared" si="83"/>
        <v>1</v>
      </c>
      <c r="M609" s="1">
        <f t="shared" si="84"/>
        <v>439.24</v>
      </c>
      <c r="N609" s="1">
        <f t="shared" si="85"/>
        <v>434.18</v>
      </c>
      <c r="O609" s="1">
        <f t="shared" si="86"/>
        <v>434.33000000000004</v>
      </c>
      <c r="P609" s="1">
        <f t="shared" si="87"/>
        <v>221.59693877551024</v>
      </c>
    </row>
    <row r="610" spans="1:16">
      <c r="A610" s="2">
        <v>42174</v>
      </c>
      <c r="B610" s="1">
        <v>440.26</v>
      </c>
      <c r="C610" s="1">
        <v>444.99</v>
      </c>
      <c r="D610" s="1">
        <v>433.24</v>
      </c>
      <c r="E610" s="1">
        <v>434.92</v>
      </c>
      <c r="F610" s="1">
        <v>4495100</v>
      </c>
      <c r="G610" s="1">
        <v>434.92</v>
      </c>
      <c r="H610" s="1">
        <f t="shared" si="81"/>
        <v>11.75</v>
      </c>
      <c r="I610" s="9">
        <f t="shared" si="88"/>
        <v>2.7121226110239129E-2</v>
      </c>
      <c r="J610" s="1">
        <f t="shared" si="89"/>
        <v>-4.4699999999999704</v>
      </c>
      <c r="K610" s="9">
        <f t="shared" si="82"/>
        <v>-1.0173194656227886E-2</v>
      </c>
      <c r="L610" s="1">
        <f t="shared" si="83"/>
        <v>1</v>
      </c>
      <c r="M610" s="1">
        <f t="shared" si="84"/>
        <v>444.99</v>
      </c>
      <c r="N610" s="1">
        <f t="shared" si="85"/>
        <v>433.24</v>
      </c>
      <c r="O610" s="1">
        <f t="shared" si="86"/>
        <v>432.96000000000004</v>
      </c>
      <c r="P610" s="1">
        <f t="shared" si="87"/>
        <v>220.89795918367349</v>
      </c>
    </row>
    <row r="611" spans="1:16">
      <c r="A611" s="2">
        <v>42173</v>
      </c>
      <c r="B611" s="1">
        <v>430.3</v>
      </c>
      <c r="C611" s="1">
        <v>439.73</v>
      </c>
      <c r="D611" s="1">
        <v>429.41</v>
      </c>
      <c r="E611" s="1">
        <v>439.39</v>
      </c>
      <c r="F611" s="1">
        <v>3378400</v>
      </c>
      <c r="G611" s="1">
        <v>439.39</v>
      </c>
      <c r="H611" s="1">
        <f t="shared" si="81"/>
        <v>10.319999999999993</v>
      </c>
      <c r="I611" s="9">
        <f t="shared" si="88"/>
        <v>2.4032975477981399E-2</v>
      </c>
      <c r="J611" s="1">
        <f t="shared" si="89"/>
        <v>11.579999999999984</v>
      </c>
      <c r="K611" s="9">
        <f t="shared" si="82"/>
        <v>2.7068090974965486E-2</v>
      </c>
      <c r="L611" s="1">
        <f t="shared" si="83"/>
        <v>1</v>
      </c>
      <c r="M611" s="1">
        <f t="shared" si="84"/>
        <v>439.73</v>
      </c>
      <c r="N611" s="1">
        <f t="shared" si="85"/>
        <v>429.41</v>
      </c>
      <c r="O611" s="1">
        <f t="shared" si="86"/>
        <v>437.43</v>
      </c>
      <c r="P611" s="1">
        <f t="shared" si="87"/>
        <v>223.17857142857144</v>
      </c>
    </row>
    <row r="612" spans="1:16">
      <c r="A612" s="2">
        <v>42172</v>
      </c>
      <c r="B612" s="1">
        <v>428.36</v>
      </c>
      <c r="C612" s="1">
        <v>431.35</v>
      </c>
      <c r="D612" s="1">
        <v>424.75</v>
      </c>
      <c r="E612" s="1">
        <v>427.81</v>
      </c>
      <c r="F612" s="1">
        <v>2185900</v>
      </c>
      <c r="G612" s="1">
        <v>427.81</v>
      </c>
      <c r="H612" s="1">
        <f t="shared" si="81"/>
        <v>6.6000000000000227</v>
      </c>
      <c r="I612" s="9">
        <f t="shared" si="88"/>
        <v>1.5538552089464445E-2</v>
      </c>
      <c r="J612" s="1">
        <f t="shared" si="89"/>
        <v>0.55000000000001137</v>
      </c>
      <c r="K612" s="9">
        <f t="shared" si="82"/>
        <v>1.2872723868370814E-3</v>
      </c>
      <c r="L612" s="1">
        <f t="shared" si="83"/>
        <v>1</v>
      </c>
      <c r="M612" s="1">
        <f t="shared" si="84"/>
        <v>431.35</v>
      </c>
      <c r="N612" s="1">
        <f t="shared" si="85"/>
        <v>424.75</v>
      </c>
      <c r="O612" s="1">
        <f t="shared" si="86"/>
        <v>425.85</v>
      </c>
      <c r="P612" s="1">
        <f t="shared" si="87"/>
        <v>217.27040816326533</v>
      </c>
    </row>
    <row r="613" spans="1:16">
      <c r="A613" s="2">
        <v>42171</v>
      </c>
      <c r="B613" s="1">
        <v>424.15</v>
      </c>
      <c r="C613" s="1">
        <v>427.97</v>
      </c>
      <c r="D613" s="1">
        <v>422.67</v>
      </c>
      <c r="E613" s="1">
        <v>427.26</v>
      </c>
      <c r="F613" s="1">
        <v>2296400</v>
      </c>
      <c r="G613" s="1">
        <v>427.26</v>
      </c>
      <c r="H613" s="1">
        <f t="shared" si="81"/>
        <v>5.3000000000000114</v>
      </c>
      <c r="I613" s="9">
        <f t="shared" si="88"/>
        <v>1.2539333286015121E-2</v>
      </c>
      <c r="J613" s="1">
        <f t="shared" si="89"/>
        <v>3.589999999999975</v>
      </c>
      <c r="K613" s="9">
        <f t="shared" si="82"/>
        <v>8.4735761323671138E-3</v>
      </c>
      <c r="L613" s="1">
        <f t="shared" si="83"/>
        <v>1</v>
      </c>
      <c r="M613" s="1">
        <f t="shared" si="84"/>
        <v>427.97</v>
      </c>
      <c r="N613" s="1">
        <f t="shared" si="85"/>
        <v>422.67</v>
      </c>
      <c r="O613" s="1">
        <f t="shared" si="86"/>
        <v>425.3</v>
      </c>
      <c r="P613" s="1">
        <f t="shared" si="87"/>
        <v>216.98979591836735</v>
      </c>
    </row>
    <row r="614" spans="1:16">
      <c r="A614" s="2">
        <v>42170</v>
      </c>
      <c r="B614" s="1">
        <v>427.66</v>
      </c>
      <c r="C614" s="1">
        <v>428.05</v>
      </c>
      <c r="D614" s="1">
        <v>422.64</v>
      </c>
      <c r="E614" s="1">
        <v>423.67</v>
      </c>
      <c r="F614" s="1">
        <v>2051000</v>
      </c>
      <c r="G614" s="1">
        <v>423.67</v>
      </c>
      <c r="H614" s="1">
        <f t="shared" si="81"/>
        <v>5.410000000000025</v>
      </c>
      <c r="I614" s="9">
        <f t="shared" si="88"/>
        <v>1.2800492144614862E-2</v>
      </c>
      <c r="J614" s="1">
        <f t="shared" si="89"/>
        <v>-6.25</v>
      </c>
      <c r="K614" s="9">
        <f t="shared" si="82"/>
        <v>-1.4537588388537402E-2</v>
      </c>
      <c r="L614" s="1">
        <f t="shared" si="83"/>
        <v>1</v>
      </c>
      <c r="M614" s="1">
        <f t="shared" si="84"/>
        <v>428.05</v>
      </c>
      <c r="N614" s="1">
        <f t="shared" si="85"/>
        <v>422.64</v>
      </c>
      <c r="O614" s="1">
        <f t="shared" si="86"/>
        <v>421.71000000000004</v>
      </c>
      <c r="P614" s="1">
        <f t="shared" si="87"/>
        <v>215.15816326530614</v>
      </c>
    </row>
    <row r="615" spans="1:16">
      <c r="A615" s="2">
        <v>42167</v>
      </c>
      <c r="B615" s="1">
        <v>431.25</v>
      </c>
      <c r="C615" s="1">
        <v>432.36</v>
      </c>
      <c r="D615" s="1">
        <v>428.26</v>
      </c>
      <c r="E615" s="1">
        <v>429.92</v>
      </c>
      <c r="F615" s="1">
        <v>2054400</v>
      </c>
      <c r="G615" s="1">
        <v>429.92</v>
      </c>
      <c r="H615" s="1">
        <f t="shared" si="81"/>
        <v>4.1000000000000227</v>
      </c>
      <c r="I615" s="9">
        <f t="shared" si="88"/>
        <v>9.5736234997431998E-3</v>
      </c>
      <c r="J615" s="1">
        <f t="shared" si="89"/>
        <v>-3.0500000000000114</v>
      </c>
      <c r="K615" s="9">
        <f t="shared" si="82"/>
        <v>-7.0443679700672359E-3</v>
      </c>
      <c r="L615" s="1">
        <f t="shared" si="83"/>
        <v>1</v>
      </c>
      <c r="M615" s="1">
        <f t="shared" si="84"/>
        <v>432.36</v>
      </c>
      <c r="N615" s="1">
        <f t="shared" si="85"/>
        <v>428.26</v>
      </c>
      <c r="O615" s="1">
        <f t="shared" si="86"/>
        <v>427.96000000000004</v>
      </c>
      <c r="P615" s="1">
        <f t="shared" si="87"/>
        <v>218.34693877551024</v>
      </c>
    </row>
    <row r="616" spans="1:16">
      <c r="A616" s="2">
        <v>42166</v>
      </c>
      <c r="B616" s="1">
        <v>432.29</v>
      </c>
      <c r="C616" s="1">
        <v>438.89</v>
      </c>
      <c r="D616" s="1">
        <v>431.47</v>
      </c>
      <c r="E616" s="1">
        <v>432.97</v>
      </c>
      <c r="F616" s="1">
        <v>2922500</v>
      </c>
      <c r="G616" s="1">
        <v>432.97</v>
      </c>
      <c r="H616" s="1">
        <f t="shared" si="81"/>
        <v>7.4199999999999591</v>
      </c>
      <c r="I616" s="9">
        <f t="shared" si="88"/>
        <v>1.7197024126822162E-2</v>
      </c>
      <c r="J616" s="1">
        <f t="shared" si="89"/>
        <v>2.2000000000000455</v>
      </c>
      <c r="K616" s="9">
        <f t="shared" si="82"/>
        <v>5.1071337372612892E-3</v>
      </c>
      <c r="L616" s="1">
        <f t="shared" si="83"/>
        <v>1</v>
      </c>
      <c r="M616" s="1">
        <f t="shared" si="84"/>
        <v>438.89</v>
      </c>
      <c r="N616" s="1">
        <f t="shared" si="85"/>
        <v>431.47</v>
      </c>
      <c r="O616" s="1">
        <f t="shared" si="86"/>
        <v>431.01000000000005</v>
      </c>
      <c r="P616" s="1">
        <f t="shared" si="87"/>
        <v>219.90306122448982</v>
      </c>
    </row>
    <row r="617" spans="1:16">
      <c r="A617" s="2">
        <v>42165</v>
      </c>
      <c r="B617" s="1">
        <v>426.46</v>
      </c>
      <c r="C617" s="1">
        <v>432.2</v>
      </c>
      <c r="D617" s="1">
        <v>425.66</v>
      </c>
      <c r="E617" s="1">
        <v>430.77</v>
      </c>
      <c r="F617" s="1">
        <v>2172300</v>
      </c>
      <c r="G617" s="1">
        <v>430.77</v>
      </c>
      <c r="H617" s="1">
        <f t="shared" si="81"/>
        <v>6.5399999999999636</v>
      </c>
      <c r="I617" s="9">
        <f t="shared" si="88"/>
        <v>1.5364375323027682E-2</v>
      </c>
      <c r="J617" s="1">
        <f t="shared" si="89"/>
        <v>5.2899999999999636</v>
      </c>
      <c r="K617" s="9">
        <f t="shared" si="82"/>
        <v>1.2433016828052937E-2</v>
      </c>
      <c r="L617" s="1">
        <f t="shared" si="83"/>
        <v>1</v>
      </c>
      <c r="M617" s="1">
        <f t="shared" si="84"/>
        <v>432.2</v>
      </c>
      <c r="N617" s="1">
        <f t="shared" si="85"/>
        <v>425.66</v>
      </c>
      <c r="O617" s="1">
        <f t="shared" si="86"/>
        <v>428.81</v>
      </c>
      <c r="P617" s="1">
        <f t="shared" si="87"/>
        <v>218.78061224489795</v>
      </c>
    </row>
    <row r="618" spans="1:16">
      <c r="A618" s="2">
        <v>42164</v>
      </c>
      <c r="B618" s="1">
        <v>422.96</v>
      </c>
      <c r="C618" s="1">
        <v>427.49</v>
      </c>
      <c r="D618" s="1">
        <v>419.14</v>
      </c>
      <c r="E618" s="1">
        <v>425.48</v>
      </c>
      <c r="F618" s="1">
        <v>2288700</v>
      </c>
      <c r="G618" s="1">
        <v>425.48</v>
      </c>
      <c r="H618" s="1">
        <f t="shared" si="81"/>
        <v>8.3500000000000227</v>
      </c>
      <c r="I618" s="9">
        <f t="shared" si="88"/>
        <v>1.9921744524502606E-2</v>
      </c>
      <c r="J618" s="1">
        <f t="shared" si="89"/>
        <v>1.9800000000000182</v>
      </c>
      <c r="K618" s="9">
        <f t="shared" si="82"/>
        <v>4.6753246753247187E-3</v>
      </c>
      <c r="L618" s="1">
        <f t="shared" si="83"/>
        <v>1</v>
      </c>
      <c r="M618" s="1">
        <f t="shared" si="84"/>
        <v>427.49</v>
      </c>
      <c r="N618" s="1">
        <f t="shared" si="85"/>
        <v>419.14</v>
      </c>
      <c r="O618" s="1">
        <f t="shared" si="86"/>
        <v>423.52000000000004</v>
      </c>
      <c r="P618" s="1">
        <f t="shared" si="87"/>
        <v>216.08163265306123</v>
      </c>
    </row>
    <row r="619" spans="1:16">
      <c r="A619" s="2">
        <v>42163</v>
      </c>
      <c r="B619" s="1">
        <v>425.62</v>
      </c>
      <c r="C619" s="1">
        <v>426.8</v>
      </c>
      <c r="D619" s="1">
        <v>421.43</v>
      </c>
      <c r="E619" s="1">
        <v>423.5</v>
      </c>
      <c r="F619" s="1">
        <v>2166900</v>
      </c>
      <c r="G619" s="1">
        <v>423.5</v>
      </c>
      <c r="H619" s="1">
        <f t="shared" si="81"/>
        <v>5.3700000000000045</v>
      </c>
      <c r="I619" s="9">
        <f t="shared" si="88"/>
        <v>1.2742329687018021E-2</v>
      </c>
      <c r="J619" s="1">
        <f t="shared" si="89"/>
        <v>-3.4499999999999886</v>
      </c>
      <c r="K619" s="9">
        <f t="shared" si="82"/>
        <v>-8.0805714954912487E-3</v>
      </c>
      <c r="L619" s="1">
        <f t="shared" si="83"/>
        <v>1</v>
      </c>
      <c r="M619" s="1">
        <f t="shared" si="84"/>
        <v>426.8</v>
      </c>
      <c r="N619" s="1">
        <f t="shared" si="85"/>
        <v>421.43</v>
      </c>
      <c r="O619" s="1">
        <f t="shared" si="86"/>
        <v>421.54</v>
      </c>
      <c r="P619" s="1">
        <f t="shared" si="87"/>
        <v>215.07142857142858</v>
      </c>
    </row>
    <row r="620" spans="1:16">
      <c r="A620" s="2">
        <v>42160</v>
      </c>
      <c r="B620" s="1">
        <v>429.66</v>
      </c>
      <c r="C620" s="1">
        <v>430.8</v>
      </c>
      <c r="D620" s="1">
        <v>426.5</v>
      </c>
      <c r="E620" s="1">
        <v>426.95</v>
      </c>
      <c r="F620" s="1">
        <v>1907900</v>
      </c>
      <c r="G620" s="1">
        <v>426.95</v>
      </c>
      <c r="H620" s="1">
        <f t="shared" si="81"/>
        <v>4.3000000000000114</v>
      </c>
      <c r="I620" s="9">
        <f t="shared" si="88"/>
        <v>1.0082063305978925E-2</v>
      </c>
      <c r="J620" s="1">
        <f t="shared" si="89"/>
        <v>-3.8299999999999841</v>
      </c>
      <c r="K620" s="9">
        <f t="shared" si="82"/>
        <v>-8.8908491573424578E-3</v>
      </c>
      <c r="L620" s="1">
        <f t="shared" si="83"/>
        <v>1</v>
      </c>
      <c r="M620" s="1">
        <f t="shared" si="84"/>
        <v>430.8</v>
      </c>
      <c r="N620" s="1">
        <f t="shared" si="85"/>
        <v>426.5</v>
      </c>
      <c r="O620" s="1">
        <f t="shared" si="86"/>
        <v>424.99</v>
      </c>
      <c r="P620" s="1">
        <f t="shared" si="87"/>
        <v>216.83163265306123</v>
      </c>
    </row>
    <row r="621" spans="1:16">
      <c r="A621" s="2">
        <v>42159</v>
      </c>
      <c r="B621" s="1">
        <v>434.4</v>
      </c>
      <c r="C621" s="1">
        <v>436.76</v>
      </c>
      <c r="D621" s="1">
        <v>429.26</v>
      </c>
      <c r="E621" s="1">
        <v>430.78</v>
      </c>
      <c r="F621" s="1">
        <v>2510800</v>
      </c>
      <c r="G621" s="1">
        <v>430.78</v>
      </c>
      <c r="H621" s="1">
        <f t="shared" si="81"/>
        <v>7.5</v>
      </c>
      <c r="I621" s="9">
        <f t="shared" si="88"/>
        <v>1.7471928434981132E-2</v>
      </c>
      <c r="J621" s="1">
        <f t="shared" si="89"/>
        <v>-5.8100000000000023</v>
      </c>
      <c r="K621" s="9">
        <f t="shared" si="82"/>
        <v>-1.3307679974346648E-2</v>
      </c>
      <c r="L621" s="1">
        <f t="shared" si="83"/>
        <v>1</v>
      </c>
      <c r="M621" s="1">
        <f t="shared" si="84"/>
        <v>436.76</v>
      </c>
      <c r="N621" s="1">
        <f t="shared" si="85"/>
        <v>429.26</v>
      </c>
      <c r="O621" s="1">
        <f t="shared" si="86"/>
        <v>428.82</v>
      </c>
      <c r="P621" s="1">
        <f t="shared" si="87"/>
        <v>218.78571428571428</v>
      </c>
    </row>
    <row r="622" spans="1:16">
      <c r="A622" s="2">
        <v>42158</v>
      </c>
      <c r="B622" s="1">
        <v>434.4</v>
      </c>
      <c r="C622" s="1">
        <v>438.39</v>
      </c>
      <c r="D622" s="1">
        <v>432.75</v>
      </c>
      <c r="E622" s="1">
        <v>436.59</v>
      </c>
      <c r="F622" s="1">
        <v>2727900</v>
      </c>
      <c r="G622" s="1">
        <v>436.59</v>
      </c>
      <c r="H622" s="1">
        <f t="shared" si="81"/>
        <v>5.6399999999999864</v>
      </c>
      <c r="I622" s="9">
        <f t="shared" si="88"/>
        <v>1.3032928942807593E-2</v>
      </c>
      <c r="J622" s="1">
        <f t="shared" si="89"/>
        <v>5.5999999999999659</v>
      </c>
      <c r="K622" s="9">
        <f t="shared" si="82"/>
        <v>1.299334091278212E-2</v>
      </c>
      <c r="L622" s="1">
        <f t="shared" si="83"/>
        <v>1</v>
      </c>
      <c r="M622" s="1">
        <f t="shared" si="84"/>
        <v>438.39</v>
      </c>
      <c r="N622" s="1">
        <f t="shared" si="85"/>
        <v>432.75</v>
      </c>
      <c r="O622" s="1">
        <f t="shared" si="86"/>
        <v>434.63</v>
      </c>
      <c r="P622" s="1">
        <f t="shared" si="87"/>
        <v>221.75</v>
      </c>
    </row>
    <row r="623" spans="1:16">
      <c r="A623" s="2">
        <v>42157</v>
      </c>
      <c r="B623" s="1">
        <v>430.07</v>
      </c>
      <c r="C623" s="1">
        <v>433.23</v>
      </c>
      <c r="D623" s="1">
        <v>426.25</v>
      </c>
      <c r="E623" s="1">
        <v>430.99</v>
      </c>
      <c r="F623" s="1">
        <v>1668900</v>
      </c>
      <c r="G623" s="1">
        <v>430.99</v>
      </c>
      <c r="H623" s="1">
        <f t="shared" si="81"/>
        <v>6.9800000000000182</v>
      </c>
      <c r="I623" s="9">
        <f t="shared" si="88"/>
        <v>1.6375366568914997E-2</v>
      </c>
      <c r="J623" s="1">
        <f t="shared" si="89"/>
        <v>6.9999999999993179E-2</v>
      </c>
      <c r="K623" s="9">
        <f t="shared" si="82"/>
        <v>1.6244314489926941E-4</v>
      </c>
      <c r="L623" s="1">
        <f t="shared" si="83"/>
        <v>1</v>
      </c>
      <c r="M623" s="1">
        <f t="shared" si="84"/>
        <v>433.23</v>
      </c>
      <c r="N623" s="1">
        <f t="shared" si="85"/>
        <v>426.25</v>
      </c>
      <c r="O623" s="1">
        <f t="shared" si="86"/>
        <v>429.03000000000003</v>
      </c>
      <c r="P623" s="1">
        <f t="shared" si="87"/>
        <v>218.89285714285717</v>
      </c>
    </row>
    <row r="624" spans="1:16">
      <c r="A624" s="2">
        <v>42156</v>
      </c>
      <c r="B624" s="1">
        <v>430.4</v>
      </c>
      <c r="C624" s="1">
        <v>433.16</v>
      </c>
      <c r="D624" s="1">
        <v>426.2</v>
      </c>
      <c r="E624" s="1">
        <v>430.92</v>
      </c>
      <c r="F624" s="1">
        <v>2253300</v>
      </c>
      <c r="G624" s="1">
        <v>430.92</v>
      </c>
      <c r="H624" s="1">
        <f t="shared" si="81"/>
        <v>6.9600000000000364</v>
      </c>
      <c r="I624" s="9">
        <f t="shared" si="88"/>
        <v>1.6330361332707734E-2</v>
      </c>
      <c r="J624" s="1">
        <f t="shared" si="89"/>
        <v>1.6899999999999977</v>
      </c>
      <c r="K624" s="9">
        <f t="shared" si="82"/>
        <v>3.937283041725876E-3</v>
      </c>
      <c r="L624" s="1">
        <f t="shared" si="83"/>
        <v>1</v>
      </c>
      <c r="M624" s="1">
        <f t="shared" si="84"/>
        <v>433.16</v>
      </c>
      <c r="N624" s="1">
        <f t="shared" si="85"/>
        <v>426.2</v>
      </c>
      <c r="O624" s="1">
        <f t="shared" si="86"/>
        <v>428.96000000000004</v>
      </c>
      <c r="P624" s="1">
        <f t="shared" si="87"/>
        <v>218.85714285714289</v>
      </c>
    </row>
    <row r="625" spans="1:16">
      <c r="A625" s="2">
        <v>42153</v>
      </c>
      <c r="B625" s="1">
        <v>427.23</v>
      </c>
      <c r="C625" s="1">
        <v>432.5</v>
      </c>
      <c r="D625" s="1">
        <v>427.23</v>
      </c>
      <c r="E625" s="1">
        <v>429.23</v>
      </c>
      <c r="F625" s="1">
        <v>3008600</v>
      </c>
      <c r="G625" s="1">
        <v>429.23</v>
      </c>
      <c r="H625" s="1">
        <f t="shared" si="81"/>
        <v>5.2699999999999818</v>
      </c>
      <c r="I625" s="9">
        <f t="shared" si="88"/>
        <v>1.2335276080799526E-2</v>
      </c>
      <c r="J625" s="1">
        <f t="shared" si="89"/>
        <v>2.660000000000025</v>
      </c>
      <c r="K625" s="9">
        <f t="shared" si="82"/>
        <v>6.2357877956725162E-3</v>
      </c>
      <c r="L625" s="1">
        <f t="shared" si="83"/>
        <v>1</v>
      </c>
      <c r="M625" s="1">
        <f t="shared" si="84"/>
        <v>432.5</v>
      </c>
      <c r="N625" s="1">
        <f t="shared" si="85"/>
        <v>427.23</v>
      </c>
      <c r="O625" s="1">
        <f t="shared" si="86"/>
        <v>427.27000000000004</v>
      </c>
      <c r="P625" s="1">
        <f t="shared" si="87"/>
        <v>217.9948979591837</v>
      </c>
    </row>
    <row r="626" spans="1:16">
      <c r="A626" s="2">
        <v>42152</v>
      </c>
      <c r="B626" s="1">
        <v>429.71</v>
      </c>
      <c r="C626" s="1">
        <v>431.35</v>
      </c>
      <c r="D626" s="1">
        <v>425.47</v>
      </c>
      <c r="E626" s="1">
        <v>426.57</v>
      </c>
      <c r="F626" s="1">
        <v>1912400</v>
      </c>
      <c r="G626" s="1">
        <v>426.57</v>
      </c>
      <c r="H626" s="1">
        <f t="shared" si="81"/>
        <v>5.8799999999999955</v>
      </c>
      <c r="I626" s="9">
        <f t="shared" si="88"/>
        <v>1.3820010811573072E-2</v>
      </c>
      <c r="J626" s="1">
        <f t="shared" si="89"/>
        <v>-4.8500000000000227</v>
      </c>
      <c r="K626" s="9">
        <f t="shared" si="82"/>
        <v>-1.1241945204209408E-2</v>
      </c>
      <c r="L626" s="1">
        <f t="shared" si="83"/>
        <v>1</v>
      </c>
      <c r="M626" s="1">
        <f t="shared" si="84"/>
        <v>431.35</v>
      </c>
      <c r="N626" s="1">
        <f t="shared" si="85"/>
        <v>425.47</v>
      </c>
      <c r="O626" s="1">
        <f t="shared" si="86"/>
        <v>424.61</v>
      </c>
      <c r="P626" s="1">
        <f t="shared" si="87"/>
        <v>216.63775510204081</v>
      </c>
    </row>
    <row r="627" spans="1:16">
      <c r="A627" s="2">
        <v>42151</v>
      </c>
      <c r="B627" s="1">
        <v>427.45</v>
      </c>
      <c r="C627" s="1">
        <v>431.85</v>
      </c>
      <c r="D627" s="1">
        <v>425.01</v>
      </c>
      <c r="E627" s="1">
        <v>431.42</v>
      </c>
      <c r="F627" s="1">
        <v>2231100</v>
      </c>
      <c r="G627" s="1">
        <v>431.42</v>
      </c>
      <c r="H627" s="1">
        <f t="shared" si="81"/>
        <v>6.8400000000000318</v>
      </c>
      <c r="I627" s="9">
        <f t="shared" si="88"/>
        <v>1.6093738970847819E-2</v>
      </c>
      <c r="J627" s="1">
        <f t="shared" si="89"/>
        <v>5.9499999999999886</v>
      </c>
      <c r="K627" s="9">
        <f t="shared" si="82"/>
        <v>1.398453474980607E-2</v>
      </c>
      <c r="L627" s="1">
        <f t="shared" si="83"/>
        <v>1</v>
      </c>
      <c r="M627" s="1">
        <f t="shared" si="84"/>
        <v>431.85</v>
      </c>
      <c r="N627" s="1">
        <f t="shared" si="85"/>
        <v>425.01</v>
      </c>
      <c r="O627" s="1">
        <f t="shared" si="86"/>
        <v>429.46000000000004</v>
      </c>
      <c r="P627" s="1">
        <f t="shared" si="87"/>
        <v>219.11224489795921</v>
      </c>
    </row>
    <row r="628" spans="1:16">
      <c r="A628" s="2">
        <v>42150</v>
      </c>
      <c r="B628" s="1">
        <v>426.2</v>
      </c>
      <c r="C628" s="1">
        <v>427</v>
      </c>
      <c r="D628" s="1">
        <v>422</v>
      </c>
      <c r="E628" s="1">
        <v>425.47</v>
      </c>
      <c r="F628" s="1">
        <v>2244200</v>
      </c>
      <c r="G628" s="1">
        <v>425.47</v>
      </c>
      <c r="H628" s="1">
        <f t="shared" si="81"/>
        <v>5</v>
      </c>
      <c r="I628" s="9">
        <f t="shared" si="88"/>
        <v>1.1848341232227487E-2</v>
      </c>
      <c r="J628" s="1">
        <f t="shared" si="89"/>
        <v>-2.1599999999999682</v>
      </c>
      <c r="K628" s="9">
        <f t="shared" si="82"/>
        <v>-5.0510955732758888E-3</v>
      </c>
      <c r="L628" s="1">
        <f t="shared" si="83"/>
        <v>1</v>
      </c>
      <c r="M628" s="1">
        <f t="shared" si="84"/>
        <v>427</v>
      </c>
      <c r="N628" s="1">
        <f t="shared" si="85"/>
        <v>422</v>
      </c>
      <c r="O628" s="1">
        <f t="shared" si="86"/>
        <v>423.51000000000005</v>
      </c>
      <c r="P628" s="1">
        <f t="shared" si="87"/>
        <v>216.07653061224494</v>
      </c>
    </row>
    <row r="629" spans="1:16">
      <c r="A629" s="2">
        <v>42146</v>
      </c>
      <c r="B629" s="1">
        <v>431.55</v>
      </c>
      <c r="C629" s="1">
        <v>432.44</v>
      </c>
      <c r="D629" s="1">
        <v>427.61</v>
      </c>
      <c r="E629" s="1">
        <v>427.63</v>
      </c>
      <c r="F629" s="1">
        <v>2020600</v>
      </c>
      <c r="G629" s="1">
        <v>427.63</v>
      </c>
      <c r="H629" s="1">
        <f t="shared" si="81"/>
        <v>4.8299999999999841</v>
      </c>
      <c r="I629" s="9">
        <f t="shared" si="88"/>
        <v>1.1295339210963224E-2</v>
      </c>
      <c r="J629" s="1">
        <f t="shared" si="89"/>
        <v>-4</v>
      </c>
      <c r="K629" s="9">
        <f t="shared" si="82"/>
        <v>-9.267196441396567E-3</v>
      </c>
      <c r="L629" s="1">
        <f t="shared" si="83"/>
        <v>1</v>
      </c>
      <c r="M629" s="1">
        <f t="shared" si="84"/>
        <v>432.44</v>
      </c>
      <c r="N629" s="1">
        <f t="shared" si="85"/>
        <v>427.61</v>
      </c>
      <c r="O629" s="1">
        <f t="shared" si="86"/>
        <v>425.67</v>
      </c>
      <c r="P629" s="1">
        <f t="shared" si="87"/>
        <v>217.17857142857144</v>
      </c>
    </row>
    <row r="630" spans="1:16">
      <c r="A630" s="2">
        <v>42145</v>
      </c>
      <c r="B630" s="1">
        <v>428</v>
      </c>
      <c r="C630" s="1">
        <v>436.9</v>
      </c>
      <c r="D630" s="1">
        <v>428</v>
      </c>
      <c r="E630" s="1">
        <v>431.63</v>
      </c>
      <c r="F630" s="1">
        <v>4121400</v>
      </c>
      <c r="G630" s="1">
        <v>431.63</v>
      </c>
      <c r="H630" s="1">
        <f t="shared" si="81"/>
        <v>8.8999999999999773</v>
      </c>
      <c r="I630" s="9">
        <f t="shared" si="88"/>
        <v>2.0794392523364433E-2</v>
      </c>
      <c r="J630" s="1">
        <f t="shared" si="89"/>
        <v>7.7699999999999818</v>
      </c>
      <c r="K630" s="9">
        <f t="shared" si="82"/>
        <v>1.8331524559996183E-2</v>
      </c>
      <c r="L630" s="1">
        <f t="shared" si="83"/>
        <v>1</v>
      </c>
      <c r="M630" s="1">
        <f t="shared" si="84"/>
        <v>436.9</v>
      </c>
      <c r="N630" s="1">
        <f t="shared" si="85"/>
        <v>428</v>
      </c>
      <c r="O630" s="1">
        <f t="shared" si="86"/>
        <v>429.67</v>
      </c>
      <c r="P630" s="1">
        <f t="shared" si="87"/>
        <v>219.21938775510205</v>
      </c>
    </row>
    <row r="631" spans="1:16">
      <c r="A631" s="2">
        <v>42144</v>
      </c>
      <c r="B631" s="1">
        <v>420.6</v>
      </c>
      <c r="C631" s="1">
        <v>427.1</v>
      </c>
      <c r="D631" s="1">
        <v>418.36</v>
      </c>
      <c r="E631" s="1">
        <v>423.86</v>
      </c>
      <c r="F631" s="1">
        <v>2196200</v>
      </c>
      <c r="G631" s="1">
        <v>423.86</v>
      </c>
      <c r="H631" s="1">
        <f t="shared" si="81"/>
        <v>8.7400000000000091</v>
      </c>
      <c r="I631" s="9">
        <f t="shared" si="88"/>
        <v>2.0891098575389639E-2</v>
      </c>
      <c r="J631" s="1">
        <f t="shared" si="89"/>
        <v>2.1500000000000341</v>
      </c>
      <c r="K631" s="9">
        <f t="shared" si="82"/>
        <v>5.0982902942781393E-3</v>
      </c>
      <c r="L631" s="1">
        <f t="shared" si="83"/>
        <v>1</v>
      </c>
      <c r="M631" s="1">
        <f t="shared" si="84"/>
        <v>427.1</v>
      </c>
      <c r="N631" s="1">
        <f t="shared" si="85"/>
        <v>418.36</v>
      </c>
      <c r="O631" s="1">
        <f t="shared" si="86"/>
        <v>421.90000000000003</v>
      </c>
      <c r="P631" s="1">
        <f t="shared" si="87"/>
        <v>215.25510204081635</v>
      </c>
    </row>
    <row r="632" spans="1:16">
      <c r="A632" s="2">
        <v>42143</v>
      </c>
      <c r="B632" s="1">
        <v>424.87</v>
      </c>
      <c r="C632" s="1">
        <v>428.24</v>
      </c>
      <c r="D632" s="1">
        <v>420.63</v>
      </c>
      <c r="E632" s="1">
        <v>421.71</v>
      </c>
      <c r="F632" s="1">
        <v>2464200</v>
      </c>
      <c r="G632" s="1">
        <v>421.71</v>
      </c>
      <c r="H632" s="1">
        <f t="shared" si="81"/>
        <v>7.6100000000000136</v>
      </c>
      <c r="I632" s="9">
        <f t="shared" si="88"/>
        <v>1.8091909754416029E-2</v>
      </c>
      <c r="J632" s="1">
        <f t="shared" si="89"/>
        <v>-3.5300000000000296</v>
      </c>
      <c r="K632" s="9">
        <f t="shared" si="82"/>
        <v>-8.301194619509053E-3</v>
      </c>
      <c r="L632" s="1">
        <f t="shared" si="83"/>
        <v>1</v>
      </c>
      <c r="M632" s="1">
        <f t="shared" si="84"/>
        <v>428.24</v>
      </c>
      <c r="N632" s="1">
        <f t="shared" si="85"/>
        <v>420.63</v>
      </c>
      <c r="O632" s="1">
        <f t="shared" si="86"/>
        <v>419.75</v>
      </c>
      <c r="P632" s="1">
        <f t="shared" si="87"/>
        <v>214.15816326530611</v>
      </c>
    </row>
    <row r="633" spans="1:16">
      <c r="A633" s="2">
        <v>42142</v>
      </c>
      <c r="B633" s="1">
        <v>426</v>
      </c>
      <c r="C633" s="1">
        <v>427.27</v>
      </c>
      <c r="D633" s="1">
        <v>421.46</v>
      </c>
      <c r="E633" s="1">
        <v>425.24</v>
      </c>
      <c r="F633" s="1">
        <v>2268700</v>
      </c>
      <c r="G633" s="1">
        <v>425.24</v>
      </c>
      <c r="H633" s="1">
        <f t="shared" si="81"/>
        <v>5.8100000000000023</v>
      </c>
      <c r="I633" s="9">
        <f t="shared" si="88"/>
        <v>1.3785412613296641E-2</v>
      </c>
      <c r="J633" s="1">
        <f t="shared" si="89"/>
        <v>-0.75999999999999091</v>
      </c>
      <c r="K633" s="9">
        <f t="shared" si="82"/>
        <v>-1.7840375586854246E-3</v>
      </c>
      <c r="L633" s="1">
        <f t="shared" si="83"/>
        <v>1</v>
      </c>
      <c r="M633" s="1">
        <f t="shared" si="84"/>
        <v>427.27</v>
      </c>
      <c r="N633" s="1">
        <f t="shared" si="85"/>
        <v>421.46</v>
      </c>
      <c r="O633" s="1">
        <f t="shared" si="86"/>
        <v>423.28000000000003</v>
      </c>
      <c r="P633" s="1">
        <f t="shared" si="87"/>
        <v>215.9591836734694</v>
      </c>
    </row>
    <row r="634" spans="1:16">
      <c r="A634" s="2">
        <v>42139</v>
      </c>
      <c r="B634" s="1">
        <v>428</v>
      </c>
      <c r="C634" s="1">
        <v>430.4</v>
      </c>
      <c r="D634" s="1">
        <v>424.3</v>
      </c>
      <c r="E634" s="1">
        <v>426</v>
      </c>
      <c r="F634" s="1">
        <v>4240300</v>
      </c>
      <c r="G634" s="1">
        <v>426</v>
      </c>
      <c r="H634" s="1">
        <f t="shared" si="81"/>
        <v>6.0999999999999659</v>
      </c>
      <c r="I634" s="9">
        <f t="shared" si="88"/>
        <v>1.4376620315814201E-2</v>
      </c>
      <c r="J634" s="1">
        <f t="shared" si="89"/>
        <v>-6.2799999999999727</v>
      </c>
      <c r="K634" s="9">
        <f t="shared" si="82"/>
        <v>-1.4527620986397642E-2</v>
      </c>
      <c r="L634" s="1">
        <f t="shared" si="83"/>
        <v>1</v>
      </c>
      <c r="M634" s="1">
        <f t="shared" si="84"/>
        <v>430.4</v>
      </c>
      <c r="N634" s="1">
        <f t="shared" si="85"/>
        <v>424.3</v>
      </c>
      <c r="O634" s="1">
        <f t="shared" si="86"/>
        <v>424.04</v>
      </c>
      <c r="P634" s="1">
        <f t="shared" si="87"/>
        <v>216.34693877551021</v>
      </c>
    </row>
    <row r="635" spans="1:16">
      <c r="A635" s="2">
        <v>42138</v>
      </c>
      <c r="B635" s="1">
        <v>429.45</v>
      </c>
      <c r="C635" s="1">
        <v>433</v>
      </c>
      <c r="D635" s="1">
        <v>427.01</v>
      </c>
      <c r="E635" s="1">
        <v>432.28</v>
      </c>
      <c r="F635" s="1">
        <v>1888500</v>
      </c>
      <c r="G635" s="1">
        <v>432.28</v>
      </c>
      <c r="H635" s="1">
        <f t="shared" si="81"/>
        <v>5.9900000000000091</v>
      </c>
      <c r="I635" s="9">
        <f t="shared" si="88"/>
        <v>1.4027774525186786E-2</v>
      </c>
      <c r="J635" s="1">
        <f t="shared" si="89"/>
        <v>5.4099999999999682</v>
      </c>
      <c r="K635" s="9">
        <f t="shared" si="82"/>
        <v>1.267364771476086E-2</v>
      </c>
      <c r="L635" s="1">
        <f t="shared" si="83"/>
        <v>1</v>
      </c>
      <c r="M635" s="1">
        <f t="shared" si="84"/>
        <v>433</v>
      </c>
      <c r="N635" s="1">
        <f t="shared" si="85"/>
        <v>427.01</v>
      </c>
      <c r="O635" s="1">
        <f t="shared" si="86"/>
        <v>430.32</v>
      </c>
      <c r="P635" s="1">
        <f t="shared" si="87"/>
        <v>219.55102040816325</v>
      </c>
    </row>
    <row r="636" spans="1:16">
      <c r="A636" s="2">
        <v>42137</v>
      </c>
      <c r="B636" s="1">
        <v>429.98</v>
      </c>
      <c r="C636" s="1">
        <v>433.53</v>
      </c>
      <c r="D636" s="1">
        <v>425.8</v>
      </c>
      <c r="E636" s="1">
        <v>426.87</v>
      </c>
      <c r="F636" s="1">
        <v>1996300</v>
      </c>
      <c r="G636" s="1">
        <v>426.87</v>
      </c>
      <c r="H636" s="1">
        <f t="shared" si="81"/>
        <v>7.7299999999999613</v>
      </c>
      <c r="I636" s="9">
        <f t="shared" si="88"/>
        <v>1.8154062940347489E-2</v>
      </c>
      <c r="J636" s="1">
        <f t="shared" si="89"/>
        <v>-4.1499999999999773</v>
      </c>
      <c r="K636" s="9">
        <f t="shared" si="82"/>
        <v>-9.6283235116699402E-3</v>
      </c>
      <c r="L636" s="1">
        <f t="shared" si="83"/>
        <v>1</v>
      </c>
      <c r="M636" s="1">
        <f t="shared" si="84"/>
        <v>433.53</v>
      </c>
      <c r="N636" s="1">
        <f t="shared" si="85"/>
        <v>425.8</v>
      </c>
      <c r="O636" s="1">
        <f t="shared" si="86"/>
        <v>424.91</v>
      </c>
      <c r="P636" s="1">
        <f t="shared" si="87"/>
        <v>216.79081632653063</v>
      </c>
    </row>
    <row r="637" spans="1:16">
      <c r="A637" s="2">
        <v>42136</v>
      </c>
      <c r="B637" s="1">
        <v>431.08</v>
      </c>
      <c r="C637" s="1">
        <v>433.25</v>
      </c>
      <c r="D637" s="1">
        <v>426.71</v>
      </c>
      <c r="E637" s="1">
        <v>431.02</v>
      </c>
      <c r="F637" s="1">
        <v>1947800</v>
      </c>
      <c r="G637" s="1">
        <v>431.02</v>
      </c>
      <c r="H637" s="1">
        <f t="shared" si="81"/>
        <v>6.5400000000000205</v>
      </c>
      <c r="I637" s="9">
        <f t="shared" si="88"/>
        <v>1.5326568395397391E-2</v>
      </c>
      <c r="J637" s="1">
        <f t="shared" si="89"/>
        <v>-1.8300000000000409</v>
      </c>
      <c r="K637" s="9">
        <f t="shared" si="82"/>
        <v>-4.2277925378307515E-3</v>
      </c>
      <c r="L637" s="1">
        <f t="shared" si="83"/>
        <v>1</v>
      </c>
      <c r="M637" s="1">
        <f t="shared" si="84"/>
        <v>433.25</v>
      </c>
      <c r="N637" s="1">
        <f t="shared" si="85"/>
        <v>426.71</v>
      </c>
      <c r="O637" s="1">
        <f t="shared" si="86"/>
        <v>429.06</v>
      </c>
      <c r="P637" s="1">
        <f t="shared" si="87"/>
        <v>218.90816326530611</v>
      </c>
    </row>
    <row r="638" spans="1:16">
      <c r="A638" s="2">
        <v>42135</v>
      </c>
      <c r="B638" s="1">
        <v>432.51</v>
      </c>
      <c r="C638" s="1">
        <v>439</v>
      </c>
      <c r="D638" s="1">
        <v>431.37</v>
      </c>
      <c r="E638" s="1">
        <v>432.85</v>
      </c>
      <c r="F638" s="1">
        <v>2393700</v>
      </c>
      <c r="G638" s="1">
        <v>432.85</v>
      </c>
      <c r="H638" s="1">
        <f t="shared" si="81"/>
        <v>7.6299999999999955</v>
      </c>
      <c r="I638" s="9">
        <f t="shared" si="88"/>
        <v>1.7687831791733305E-2</v>
      </c>
      <c r="J638" s="1">
        <f t="shared" si="89"/>
        <v>-0.83999999999997499</v>
      </c>
      <c r="K638" s="9">
        <f t="shared" si="82"/>
        <v>-1.9368673476445734E-3</v>
      </c>
      <c r="L638" s="1">
        <f t="shared" si="83"/>
        <v>1</v>
      </c>
      <c r="M638" s="1">
        <f t="shared" si="84"/>
        <v>439</v>
      </c>
      <c r="N638" s="1">
        <f t="shared" si="85"/>
        <v>431.37</v>
      </c>
      <c r="O638" s="1">
        <f t="shared" si="86"/>
        <v>430.89000000000004</v>
      </c>
      <c r="P638" s="1">
        <f t="shared" si="87"/>
        <v>219.84183673469391</v>
      </c>
    </row>
    <row r="639" spans="1:16">
      <c r="A639" s="2">
        <v>42132</v>
      </c>
      <c r="B639" s="1">
        <v>430.75</v>
      </c>
      <c r="C639" s="1">
        <v>435.2</v>
      </c>
      <c r="D639" s="1">
        <v>430.17</v>
      </c>
      <c r="E639" s="1">
        <v>433.69</v>
      </c>
      <c r="F639" s="1">
        <v>2908800</v>
      </c>
      <c r="G639" s="1">
        <v>433.69</v>
      </c>
      <c r="H639" s="1">
        <f t="shared" si="81"/>
        <v>5.0299999999999727</v>
      </c>
      <c r="I639" s="9">
        <f t="shared" si="88"/>
        <v>1.1693051584257323E-2</v>
      </c>
      <c r="J639" s="1">
        <f t="shared" si="89"/>
        <v>6.8100000000000023</v>
      </c>
      <c r="K639" s="9">
        <f t="shared" si="82"/>
        <v>1.5952961019490262E-2</v>
      </c>
      <c r="L639" s="1">
        <f t="shared" si="83"/>
        <v>1</v>
      </c>
      <c r="M639" s="1">
        <f t="shared" si="84"/>
        <v>435.2</v>
      </c>
      <c r="N639" s="1">
        <f t="shared" si="85"/>
        <v>430.17</v>
      </c>
      <c r="O639" s="1">
        <f t="shared" si="86"/>
        <v>431.73</v>
      </c>
      <c r="P639" s="1">
        <f t="shared" si="87"/>
        <v>220.27040816326533</v>
      </c>
    </row>
    <row r="640" spans="1:16">
      <c r="A640" s="2">
        <v>42131</v>
      </c>
      <c r="B640" s="1">
        <v>424.15</v>
      </c>
      <c r="C640" s="1">
        <v>428.5</v>
      </c>
      <c r="D640" s="1">
        <v>422.85</v>
      </c>
      <c r="E640" s="1">
        <v>426.88</v>
      </c>
      <c r="F640" s="1">
        <v>2766100</v>
      </c>
      <c r="G640" s="1">
        <v>426.88</v>
      </c>
      <c r="H640" s="1">
        <f t="shared" si="81"/>
        <v>5.6499999999999773</v>
      </c>
      <c r="I640" s="9">
        <f t="shared" si="88"/>
        <v>1.3361712191084254E-2</v>
      </c>
      <c r="J640" s="1">
        <f t="shared" si="89"/>
        <v>7.7799999999999727</v>
      </c>
      <c r="K640" s="9">
        <f t="shared" si="82"/>
        <v>1.8563588642328734E-2</v>
      </c>
      <c r="L640" s="1">
        <f t="shared" si="83"/>
        <v>1</v>
      </c>
      <c r="M640" s="1">
        <f t="shared" si="84"/>
        <v>428.5</v>
      </c>
      <c r="N640" s="1">
        <f t="shared" si="85"/>
        <v>422.85</v>
      </c>
      <c r="O640" s="1">
        <f t="shared" si="86"/>
        <v>424.92</v>
      </c>
      <c r="P640" s="1">
        <f t="shared" si="87"/>
        <v>216.79591836734696</v>
      </c>
    </row>
    <row r="641" spans="1:16">
      <c r="A641" s="2">
        <v>42130</v>
      </c>
      <c r="B641" s="1">
        <v>421.43</v>
      </c>
      <c r="C641" s="1">
        <v>422.72</v>
      </c>
      <c r="D641" s="1">
        <v>414.55</v>
      </c>
      <c r="E641" s="1">
        <v>419.1</v>
      </c>
      <c r="F641" s="1">
        <v>2552500</v>
      </c>
      <c r="G641" s="1">
        <v>419.1</v>
      </c>
      <c r="H641" s="1">
        <f t="shared" si="81"/>
        <v>8.1700000000000159</v>
      </c>
      <c r="I641" s="9">
        <f t="shared" si="88"/>
        <v>1.9708117235556665E-2</v>
      </c>
      <c r="J641" s="1">
        <f t="shared" si="89"/>
        <v>-2.089999999999975</v>
      </c>
      <c r="K641" s="9">
        <f t="shared" si="82"/>
        <v>-4.9621311047270238E-3</v>
      </c>
      <c r="L641" s="1">
        <f t="shared" si="83"/>
        <v>1</v>
      </c>
      <c r="M641" s="1">
        <f t="shared" si="84"/>
        <v>422.72</v>
      </c>
      <c r="N641" s="1">
        <f t="shared" si="85"/>
        <v>414.55</v>
      </c>
      <c r="O641" s="1">
        <f t="shared" si="86"/>
        <v>417.14000000000004</v>
      </c>
      <c r="P641" s="1">
        <f t="shared" si="87"/>
        <v>212.82653061224494</v>
      </c>
    </row>
    <row r="642" spans="1:16">
      <c r="A642" s="2">
        <v>42129</v>
      </c>
      <c r="B642" s="1">
        <v>422.85</v>
      </c>
      <c r="C642" s="1">
        <v>427.51</v>
      </c>
      <c r="D642" s="1">
        <v>421.02</v>
      </c>
      <c r="E642" s="1">
        <v>421.19</v>
      </c>
      <c r="F642" s="1">
        <v>2856400</v>
      </c>
      <c r="G642" s="1">
        <v>421.19</v>
      </c>
      <c r="H642" s="1">
        <f t="shared" si="81"/>
        <v>6.4900000000000091</v>
      </c>
      <c r="I642" s="9">
        <f t="shared" si="88"/>
        <v>1.5414944658211034E-2</v>
      </c>
      <c r="J642" s="1">
        <f t="shared" si="89"/>
        <v>-1.8500000000000227</v>
      </c>
      <c r="K642" s="9">
        <f t="shared" si="82"/>
        <v>-4.3731089258699472E-3</v>
      </c>
      <c r="L642" s="1">
        <f t="shared" si="83"/>
        <v>1</v>
      </c>
      <c r="M642" s="1">
        <f t="shared" si="84"/>
        <v>427.51</v>
      </c>
      <c r="N642" s="1">
        <f t="shared" si="85"/>
        <v>421.02</v>
      </c>
      <c r="O642" s="1">
        <f t="shared" si="86"/>
        <v>419.23</v>
      </c>
      <c r="P642" s="1">
        <f t="shared" si="87"/>
        <v>213.89285714285717</v>
      </c>
    </row>
    <row r="643" spans="1:16">
      <c r="A643" s="2">
        <v>42128</v>
      </c>
      <c r="B643" s="1">
        <v>424.8</v>
      </c>
      <c r="C643" s="1">
        <v>429.77</v>
      </c>
      <c r="D643" s="1">
        <v>422.42</v>
      </c>
      <c r="E643" s="1">
        <v>423.04</v>
      </c>
      <c r="F643" s="1">
        <v>2270400</v>
      </c>
      <c r="G643" s="1">
        <v>423.04</v>
      </c>
      <c r="H643" s="1">
        <f t="shared" ref="H643:H706" si="90">C643-D643</f>
        <v>7.3499999999999659</v>
      </c>
      <c r="I643" s="9">
        <f t="shared" si="88"/>
        <v>1.739974433028731E-2</v>
      </c>
      <c r="J643" s="1">
        <f t="shared" si="89"/>
        <v>0.17000000000001592</v>
      </c>
      <c r="K643" s="9">
        <f t="shared" ref="K643:K706" si="91">(G643-G644)/G644</f>
        <v>4.0201480360398209E-4</v>
      </c>
      <c r="L643" s="1">
        <f t="shared" ref="L643:L706" si="92">G643/E643</f>
        <v>1</v>
      </c>
      <c r="M643" s="1">
        <f t="shared" ref="M643:M706" si="93">L643*C643</f>
        <v>429.77</v>
      </c>
      <c r="N643" s="1">
        <f t="shared" ref="N643:N706" si="94">L643*D643</f>
        <v>422.42</v>
      </c>
      <c r="O643" s="1">
        <f t="shared" ref="O643:O706" si="95">G643-$G$5163</f>
        <v>421.08000000000004</v>
      </c>
      <c r="P643" s="1">
        <f t="shared" ref="P643:P706" si="96">(G643-$G$5163)/$G$5163</f>
        <v>214.83673469387759</v>
      </c>
    </row>
    <row r="644" spans="1:16">
      <c r="A644" s="2">
        <v>42125</v>
      </c>
      <c r="B644" s="1">
        <v>423.82</v>
      </c>
      <c r="C644" s="1">
        <v>425.64</v>
      </c>
      <c r="D644" s="1">
        <v>416</v>
      </c>
      <c r="E644" s="1">
        <v>422.87</v>
      </c>
      <c r="F644" s="1">
        <v>3565800</v>
      </c>
      <c r="G644" s="1">
        <v>422.87</v>
      </c>
      <c r="H644" s="1">
        <f t="shared" si="90"/>
        <v>9.6399999999999864</v>
      </c>
      <c r="I644" s="9">
        <f t="shared" ref="I644:I707" si="97">(C644-D644)/D644</f>
        <v>2.317307692307689E-2</v>
      </c>
      <c r="J644" s="1">
        <f t="shared" ref="J644:J707" si="98">G644-G645</f>
        <v>1.0900000000000318</v>
      </c>
      <c r="K644" s="9">
        <f t="shared" si="91"/>
        <v>2.5842856465456681E-3</v>
      </c>
      <c r="L644" s="1">
        <f t="shared" si="92"/>
        <v>1</v>
      </c>
      <c r="M644" s="1">
        <f t="shared" si="93"/>
        <v>425.64</v>
      </c>
      <c r="N644" s="1">
        <f t="shared" si="94"/>
        <v>416</v>
      </c>
      <c r="O644" s="1">
        <f t="shared" si="95"/>
        <v>420.91</v>
      </c>
      <c r="P644" s="1">
        <f t="shared" si="96"/>
        <v>214.75000000000003</v>
      </c>
    </row>
    <row r="645" spans="1:16">
      <c r="A645" s="2">
        <v>42124</v>
      </c>
      <c r="B645" s="1">
        <v>427.11</v>
      </c>
      <c r="C645" s="1">
        <v>431.75</v>
      </c>
      <c r="D645" s="1">
        <v>419.24</v>
      </c>
      <c r="E645" s="1">
        <v>421.78</v>
      </c>
      <c r="F645" s="1">
        <v>3647900</v>
      </c>
      <c r="G645" s="1">
        <v>421.78</v>
      </c>
      <c r="H645" s="1">
        <f t="shared" si="90"/>
        <v>12.509999999999991</v>
      </c>
      <c r="I645" s="9">
        <f t="shared" si="97"/>
        <v>2.9839709951340498E-2</v>
      </c>
      <c r="J645" s="1">
        <f t="shared" si="98"/>
        <v>-7.5900000000000318</v>
      </c>
      <c r="K645" s="9">
        <f t="shared" si="91"/>
        <v>-1.7677061741621519E-2</v>
      </c>
      <c r="L645" s="1">
        <f t="shared" si="92"/>
        <v>1</v>
      </c>
      <c r="M645" s="1">
        <f t="shared" si="93"/>
        <v>431.75</v>
      </c>
      <c r="N645" s="1">
        <f t="shared" si="94"/>
        <v>419.24</v>
      </c>
      <c r="O645" s="1">
        <f t="shared" si="95"/>
        <v>419.82</v>
      </c>
      <c r="P645" s="1">
        <f t="shared" si="96"/>
        <v>214.19387755102042</v>
      </c>
    </row>
    <row r="646" spans="1:16">
      <c r="A646" s="2">
        <v>42123</v>
      </c>
      <c r="B646" s="1">
        <v>426.75</v>
      </c>
      <c r="C646" s="1">
        <v>434.24</v>
      </c>
      <c r="D646" s="1">
        <v>426.03</v>
      </c>
      <c r="E646" s="1">
        <v>429.37</v>
      </c>
      <c r="F646" s="1">
        <v>3621700</v>
      </c>
      <c r="G646" s="1">
        <v>429.37</v>
      </c>
      <c r="H646" s="1">
        <f t="shared" si="90"/>
        <v>8.2100000000000364</v>
      </c>
      <c r="I646" s="9">
        <f t="shared" si="97"/>
        <v>1.9270943360796274E-2</v>
      </c>
      <c r="J646" s="1">
        <f t="shared" si="98"/>
        <v>6.0000000000002274E-2</v>
      </c>
      <c r="K646" s="9">
        <f t="shared" si="91"/>
        <v>1.3975914840092771E-4</v>
      </c>
      <c r="L646" s="1">
        <f t="shared" si="92"/>
        <v>1</v>
      </c>
      <c r="M646" s="1">
        <f t="shared" si="93"/>
        <v>434.24</v>
      </c>
      <c r="N646" s="1">
        <f t="shared" si="94"/>
        <v>426.03</v>
      </c>
      <c r="O646" s="1">
        <f t="shared" si="95"/>
        <v>427.41</v>
      </c>
      <c r="P646" s="1">
        <f t="shared" si="96"/>
        <v>218.06632653061226</v>
      </c>
    </row>
    <row r="647" spans="1:16">
      <c r="A647" s="2">
        <v>42122</v>
      </c>
      <c r="B647" s="1">
        <v>438.51</v>
      </c>
      <c r="C647" s="1">
        <v>439</v>
      </c>
      <c r="D647" s="1">
        <v>428.04</v>
      </c>
      <c r="E647" s="1">
        <v>429.31</v>
      </c>
      <c r="F647" s="1">
        <v>4140500</v>
      </c>
      <c r="G647" s="1">
        <v>429.31</v>
      </c>
      <c r="H647" s="1">
        <f t="shared" si="90"/>
        <v>10.95999999999998</v>
      </c>
      <c r="I647" s="9">
        <f t="shared" si="97"/>
        <v>2.5605083637043217E-2</v>
      </c>
      <c r="J647" s="1">
        <f t="shared" si="98"/>
        <v>-9.25</v>
      </c>
      <c r="K647" s="9">
        <f t="shared" si="91"/>
        <v>-2.1091754834002188E-2</v>
      </c>
      <c r="L647" s="1">
        <f t="shared" si="92"/>
        <v>1</v>
      </c>
      <c r="M647" s="1">
        <f t="shared" si="93"/>
        <v>439</v>
      </c>
      <c r="N647" s="1">
        <f t="shared" si="94"/>
        <v>428.04</v>
      </c>
      <c r="O647" s="1">
        <f t="shared" si="95"/>
        <v>427.35</v>
      </c>
      <c r="P647" s="1">
        <f t="shared" si="96"/>
        <v>218.03571428571431</v>
      </c>
    </row>
    <row r="648" spans="1:16">
      <c r="A648" s="2">
        <v>42121</v>
      </c>
      <c r="B648" s="1">
        <v>443.86</v>
      </c>
      <c r="C648" s="1">
        <v>446.99</v>
      </c>
      <c r="D648" s="1">
        <v>437.41</v>
      </c>
      <c r="E648" s="1">
        <v>438.56</v>
      </c>
      <c r="F648" s="1">
        <v>5430900</v>
      </c>
      <c r="G648" s="1">
        <v>438.56</v>
      </c>
      <c r="H648" s="1">
        <f t="shared" si="90"/>
        <v>9.5799999999999841</v>
      </c>
      <c r="I648" s="9">
        <f t="shared" si="97"/>
        <v>2.1901648339086859E-2</v>
      </c>
      <c r="J648" s="1">
        <f t="shared" si="98"/>
        <v>-6.5400000000000205</v>
      </c>
      <c r="K648" s="9">
        <f t="shared" si="91"/>
        <v>-1.4693327342170343E-2</v>
      </c>
      <c r="L648" s="1">
        <f t="shared" si="92"/>
        <v>1</v>
      </c>
      <c r="M648" s="1">
        <f t="shared" si="93"/>
        <v>446.99</v>
      </c>
      <c r="N648" s="1">
        <f t="shared" si="94"/>
        <v>437.41</v>
      </c>
      <c r="O648" s="1">
        <f t="shared" si="95"/>
        <v>436.6</v>
      </c>
      <c r="P648" s="1">
        <f t="shared" si="96"/>
        <v>222.75510204081635</v>
      </c>
    </row>
    <row r="649" spans="1:16">
      <c r="A649" s="2">
        <v>42118</v>
      </c>
      <c r="B649" s="1">
        <v>439</v>
      </c>
      <c r="C649" s="1">
        <v>452.65</v>
      </c>
      <c r="D649" s="1">
        <v>439</v>
      </c>
      <c r="E649" s="1">
        <v>445.1</v>
      </c>
      <c r="F649" s="1">
        <v>17176900</v>
      </c>
      <c r="G649" s="1">
        <v>445.1</v>
      </c>
      <c r="H649" s="1">
        <f t="shared" si="90"/>
        <v>13.649999999999977</v>
      </c>
      <c r="I649" s="9">
        <f t="shared" si="97"/>
        <v>3.1093394077448697E-2</v>
      </c>
      <c r="J649" s="1">
        <f t="shared" si="98"/>
        <v>55.110000000000014</v>
      </c>
      <c r="K649" s="9">
        <f t="shared" si="91"/>
        <v>0.14131131567476093</v>
      </c>
      <c r="L649" s="1">
        <f t="shared" si="92"/>
        <v>1</v>
      </c>
      <c r="M649" s="1">
        <f t="shared" si="93"/>
        <v>452.65</v>
      </c>
      <c r="N649" s="1">
        <f t="shared" si="94"/>
        <v>439</v>
      </c>
      <c r="O649" s="1">
        <f t="shared" si="95"/>
        <v>443.14000000000004</v>
      </c>
      <c r="P649" s="1">
        <f t="shared" si="96"/>
        <v>226.09183673469391</v>
      </c>
    </row>
    <row r="650" spans="1:16">
      <c r="A650" s="2">
        <v>42117</v>
      </c>
      <c r="B650" s="1">
        <v>390.21</v>
      </c>
      <c r="C650" s="1">
        <v>391.88</v>
      </c>
      <c r="D650" s="1">
        <v>386.15</v>
      </c>
      <c r="E650" s="1">
        <v>389.99</v>
      </c>
      <c r="F650" s="1">
        <v>7980000</v>
      </c>
      <c r="G650" s="1">
        <v>389.99</v>
      </c>
      <c r="H650" s="1">
        <f t="shared" si="90"/>
        <v>5.7300000000000182</v>
      </c>
      <c r="I650" s="9">
        <f t="shared" si="97"/>
        <v>1.4838793215071911E-2</v>
      </c>
      <c r="J650" s="1">
        <f t="shared" si="98"/>
        <v>0.18999999999999773</v>
      </c>
      <c r="K650" s="9">
        <f t="shared" si="91"/>
        <v>4.8742945100050723E-4</v>
      </c>
      <c r="L650" s="1">
        <f t="shared" si="92"/>
        <v>1</v>
      </c>
      <c r="M650" s="1">
        <f t="shared" si="93"/>
        <v>391.88</v>
      </c>
      <c r="N650" s="1">
        <f t="shared" si="94"/>
        <v>386.15</v>
      </c>
      <c r="O650" s="1">
        <f t="shared" si="95"/>
        <v>388.03000000000003</v>
      </c>
      <c r="P650" s="1">
        <f t="shared" si="96"/>
        <v>197.97448979591837</v>
      </c>
    </row>
    <row r="651" spans="1:16">
      <c r="A651" s="2">
        <v>42116</v>
      </c>
      <c r="B651" s="1">
        <v>391.91</v>
      </c>
      <c r="C651" s="1">
        <v>394.28</v>
      </c>
      <c r="D651" s="1">
        <v>388</v>
      </c>
      <c r="E651" s="1">
        <v>389.8</v>
      </c>
      <c r="F651" s="1">
        <v>3474700</v>
      </c>
      <c r="G651" s="1">
        <v>389.8</v>
      </c>
      <c r="H651" s="1">
        <f t="shared" si="90"/>
        <v>6.2799999999999727</v>
      </c>
      <c r="I651" s="9">
        <f t="shared" si="97"/>
        <v>1.618556701030921E-2</v>
      </c>
      <c r="J651" s="1">
        <f t="shared" si="98"/>
        <v>-1.3799999999999955</v>
      </c>
      <c r="K651" s="9">
        <f t="shared" si="91"/>
        <v>-3.527787719208537E-3</v>
      </c>
      <c r="L651" s="1">
        <f t="shared" si="92"/>
        <v>1</v>
      </c>
      <c r="M651" s="1">
        <f t="shared" si="93"/>
        <v>394.28</v>
      </c>
      <c r="N651" s="1">
        <f t="shared" si="94"/>
        <v>388</v>
      </c>
      <c r="O651" s="1">
        <f t="shared" si="95"/>
        <v>387.84000000000003</v>
      </c>
      <c r="P651" s="1">
        <f t="shared" si="96"/>
        <v>197.87755102040819</v>
      </c>
    </row>
    <row r="652" spans="1:16">
      <c r="A652" s="2">
        <v>42115</v>
      </c>
      <c r="B652" s="1">
        <v>391.31</v>
      </c>
      <c r="C652" s="1">
        <v>394.6</v>
      </c>
      <c r="D652" s="1">
        <v>386.8</v>
      </c>
      <c r="E652" s="1">
        <v>391.18</v>
      </c>
      <c r="F652" s="1">
        <v>4643500</v>
      </c>
      <c r="G652" s="1">
        <v>391.18</v>
      </c>
      <c r="H652" s="1">
        <f t="shared" si="90"/>
        <v>7.8000000000000114</v>
      </c>
      <c r="I652" s="9">
        <f t="shared" si="97"/>
        <v>2.016546018614274E-2</v>
      </c>
      <c r="J652" s="1">
        <f t="shared" si="98"/>
        <v>1.6700000000000159</v>
      </c>
      <c r="K652" s="9">
        <f t="shared" si="91"/>
        <v>4.2874380632076606E-3</v>
      </c>
      <c r="L652" s="1">
        <f t="shared" si="92"/>
        <v>1</v>
      </c>
      <c r="M652" s="1">
        <f t="shared" si="93"/>
        <v>394.6</v>
      </c>
      <c r="N652" s="1">
        <f t="shared" si="94"/>
        <v>386.8</v>
      </c>
      <c r="O652" s="1">
        <f t="shared" si="95"/>
        <v>389.22</v>
      </c>
      <c r="P652" s="1">
        <f t="shared" si="96"/>
        <v>198.58163265306123</v>
      </c>
    </row>
    <row r="653" spans="1:16">
      <c r="A653" s="2">
        <v>42114</v>
      </c>
      <c r="B653" s="1">
        <v>378.55</v>
      </c>
      <c r="C653" s="1">
        <v>391.94</v>
      </c>
      <c r="D653" s="1">
        <v>377</v>
      </c>
      <c r="E653" s="1">
        <v>389.51</v>
      </c>
      <c r="F653" s="1">
        <v>5001400</v>
      </c>
      <c r="G653" s="1">
        <v>389.51</v>
      </c>
      <c r="H653" s="1">
        <f t="shared" si="90"/>
        <v>14.939999999999998</v>
      </c>
      <c r="I653" s="9">
        <f t="shared" si="97"/>
        <v>3.9628647214854103E-2</v>
      </c>
      <c r="J653" s="1">
        <f t="shared" si="98"/>
        <v>13.949999999999989</v>
      </c>
      <c r="K653" s="9">
        <f t="shared" si="91"/>
        <v>3.7144530833954595E-2</v>
      </c>
      <c r="L653" s="1">
        <f t="shared" si="92"/>
        <v>1</v>
      </c>
      <c r="M653" s="1">
        <f t="shared" si="93"/>
        <v>391.94</v>
      </c>
      <c r="N653" s="1">
        <f t="shared" si="94"/>
        <v>377</v>
      </c>
      <c r="O653" s="1">
        <f t="shared" si="95"/>
        <v>387.55</v>
      </c>
      <c r="P653" s="1">
        <f t="shared" si="96"/>
        <v>197.7295918367347</v>
      </c>
    </row>
    <row r="654" spans="1:16">
      <c r="A654" s="2">
        <v>42111</v>
      </c>
      <c r="B654" s="1">
        <v>382.63</v>
      </c>
      <c r="C654" s="1">
        <v>383.56</v>
      </c>
      <c r="D654" s="1">
        <v>374.4</v>
      </c>
      <c r="E654" s="1">
        <v>375.56</v>
      </c>
      <c r="F654" s="1">
        <v>3839700</v>
      </c>
      <c r="G654" s="1">
        <v>375.56</v>
      </c>
      <c r="H654" s="1">
        <f t="shared" si="90"/>
        <v>9.160000000000025</v>
      </c>
      <c r="I654" s="9">
        <f t="shared" si="97"/>
        <v>2.4465811965812035E-2</v>
      </c>
      <c r="J654" s="1">
        <f t="shared" si="98"/>
        <v>-10.480000000000018</v>
      </c>
      <c r="K654" s="9">
        <f t="shared" si="91"/>
        <v>-2.7147445860532634E-2</v>
      </c>
      <c r="L654" s="1">
        <f t="shared" si="92"/>
        <v>1</v>
      </c>
      <c r="M654" s="1">
        <f t="shared" si="93"/>
        <v>383.56</v>
      </c>
      <c r="N654" s="1">
        <f t="shared" si="94"/>
        <v>374.4</v>
      </c>
      <c r="O654" s="1">
        <f t="shared" si="95"/>
        <v>373.6</v>
      </c>
      <c r="P654" s="1">
        <f t="shared" si="96"/>
        <v>190.61224489795919</v>
      </c>
    </row>
    <row r="655" spans="1:16">
      <c r="A655" s="2">
        <v>42110</v>
      </c>
      <c r="B655" s="1">
        <v>383.69</v>
      </c>
      <c r="C655" s="1">
        <v>387.45</v>
      </c>
      <c r="D655" s="1">
        <v>383.55</v>
      </c>
      <c r="E655" s="1">
        <v>386.04</v>
      </c>
      <c r="F655" s="1">
        <v>2080400</v>
      </c>
      <c r="G655" s="1">
        <v>386.04</v>
      </c>
      <c r="H655" s="1">
        <f t="shared" si="90"/>
        <v>3.8999999999999773</v>
      </c>
      <c r="I655" s="9">
        <f t="shared" si="97"/>
        <v>1.0168165819319456E-2</v>
      </c>
      <c r="J655" s="1">
        <f t="shared" si="98"/>
        <v>2.5900000000000318</v>
      </c>
      <c r="K655" s="9">
        <f t="shared" si="91"/>
        <v>6.7544660320772772E-3</v>
      </c>
      <c r="L655" s="1">
        <f t="shared" si="92"/>
        <v>1</v>
      </c>
      <c r="M655" s="1">
        <f t="shared" si="93"/>
        <v>387.45</v>
      </c>
      <c r="N655" s="1">
        <f t="shared" si="94"/>
        <v>383.55</v>
      </c>
      <c r="O655" s="1">
        <f t="shared" si="95"/>
        <v>384.08000000000004</v>
      </c>
      <c r="P655" s="1">
        <f t="shared" si="96"/>
        <v>195.95918367346943</v>
      </c>
    </row>
    <row r="656" spans="1:16">
      <c r="A656" s="2">
        <v>42109</v>
      </c>
      <c r="B656" s="1">
        <v>384.65</v>
      </c>
      <c r="C656" s="1">
        <v>385.78</v>
      </c>
      <c r="D656" s="1">
        <v>381.64</v>
      </c>
      <c r="E656" s="1">
        <v>383.45</v>
      </c>
      <c r="F656" s="1">
        <v>1933200</v>
      </c>
      <c r="G656" s="1">
        <v>383.45</v>
      </c>
      <c r="H656" s="1">
        <f t="shared" si="90"/>
        <v>4.1399999999999864</v>
      </c>
      <c r="I656" s="9">
        <f t="shared" si="97"/>
        <v>1.0847919505292911E-2</v>
      </c>
      <c r="J656" s="1">
        <f t="shared" si="98"/>
        <v>-1.660000000000025</v>
      </c>
      <c r="K656" s="9">
        <f t="shared" si="91"/>
        <v>-4.3104567526162001E-3</v>
      </c>
      <c r="L656" s="1">
        <f t="shared" si="92"/>
        <v>1</v>
      </c>
      <c r="M656" s="1">
        <f t="shared" si="93"/>
        <v>385.78</v>
      </c>
      <c r="N656" s="1">
        <f t="shared" si="94"/>
        <v>381.64</v>
      </c>
      <c r="O656" s="1">
        <f t="shared" si="95"/>
        <v>381.49</v>
      </c>
      <c r="P656" s="1">
        <f t="shared" si="96"/>
        <v>194.63775510204081</v>
      </c>
    </row>
    <row r="657" spans="1:16">
      <c r="A657" s="2">
        <v>42108</v>
      </c>
      <c r="B657" s="1">
        <v>383.51</v>
      </c>
      <c r="C657" s="1">
        <v>387.81</v>
      </c>
      <c r="D657" s="1">
        <v>381.21</v>
      </c>
      <c r="E657" s="1">
        <v>385.11</v>
      </c>
      <c r="F657" s="1">
        <v>2548800</v>
      </c>
      <c r="G657" s="1">
        <v>385.11</v>
      </c>
      <c r="H657" s="1">
        <f t="shared" si="90"/>
        <v>6.6000000000000227</v>
      </c>
      <c r="I657" s="9">
        <f t="shared" si="97"/>
        <v>1.7313291886361909E-2</v>
      </c>
      <c r="J657" s="1">
        <f t="shared" si="98"/>
        <v>2.75</v>
      </c>
      <c r="K657" s="9">
        <f t="shared" si="91"/>
        <v>7.1921749136939009E-3</v>
      </c>
      <c r="L657" s="1">
        <f t="shared" si="92"/>
        <v>1</v>
      </c>
      <c r="M657" s="1">
        <f t="shared" si="93"/>
        <v>387.81</v>
      </c>
      <c r="N657" s="1">
        <f t="shared" si="94"/>
        <v>381.21</v>
      </c>
      <c r="O657" s="1">
        <f t="shared" si="95"/>
        <v>383.15000000000003</v>
      </c>
      <c r="P657" s="1">
        <f t="shared" si="96"/>
        <v>195.48469387755105</v>
      </c>
    </row>
    <row r="658" spans="1:16">
      <c r="A658" s="2">
        <v>42107</v>
      </c>
      <c r="B658" s="1">
        <v>383.53</v>
      </c>
      <c r="C658" s="1">
        <v>385.28</v>
      </c>
      <c r="D658" s="1">
        <v>380.14</v>
      </c>
      <c r="E658" s="1">
        <v>382.36</v>
      </c>
      <c r="F658" s="1">
        <v>1894500</v>
      </c>
      <c r="G658" s="1">
        <v>382.36</v>
      </c>
      <c r="H658" s="1">
        <f t="shared" si="90"/>
        <v>5.1399999999999864</v>
      </c>
      <c r="I658" s="9">
        <f t="shared" si="97"/>
        <v>1.352133424527802E-2</v>
      </c>
      <c r="J658" s="1">
        <f t="shared" si="98"/>
        <v>-0.28999999999996362</v>
      </c>
      <c r="K658" s="9">
        <f t="shared" si="91"/>
        <v>-7.5787272964840879E-4</v>
      </c>
      <c r="L658" s="1">
        <f t="shared" si="92"/>
        <v>1</v>
      </c>
      <c r="M658" s="1">
        <f t="shared" si="93"/>
        <v>385.28</v>
      </c>
      <c r="N658" s="1">
        <f t="shared" si="94"/>
        <v>380.14</v>
      </c>
      <c r="O658" s="1">
        <f t="shared" si="95"/>
        <v>380.40000000000003</v>
      </c>
      <c r="P658" s="1">
        <f t="shared" si="96"/>
        <v>194.08163265306123</v>
      </c>
    </row>
    <row r="659" spans="1:16">
      <c r="A659" s="2">
        <v>42104</v>
      </c>
      <c r="B659" s="1">
        <v>384.31</v>
      </c>
      <c r="C659" s="1">
        <v>387.12</v>
      </c>
      <c r="D659" s="1">
        <v>381.32</v>
      </c>
      <c r="E659" s="1">
        <v>382.65</v>
      </c>
      <c r="F659" s="1">
        <v>2573500</v>
      </c>
      <c r="G659" s="1">
        <v>382.65</v>
      </c>
      <c r="H659" s="1">
        <f t="shared" si="90"/>
        <v>5.8000000000000114</v>
      </c>
      <c r="I659" s="9">
        <f t="shared" si="97"/>
        <v>1.5210322039232171E-2</v>
      </c>
      <c r="J659" s="1">
        <f t="shared" si="98"/>
        <v>-0.8900000000000432</v>
      </c>
      <c r="K659" s="9">
        <f t="shared" si="91"/>
        <v>-2.3204880846848914E-3</v>
      </c>
      <c r="L659" s="1">
        <f t="shared" si="92"/>
        <v>1</v>
      </c>
      <c r="M659" s="1">
        <f t="shared" si="93"/>
        <v>387.12</v>
      </c>
      <c r="N659" s="1">
        <f t="shared" si="94"/>
        <v>381.32</v>
      </c>
      <c r="O659" s="1">
        <f t="shared" si="95"/>
        <v>380.69</v>
      </c>
      <c r="P659" s="1">
        <f t="shared" si="96"/>
        <v>194.2295918367347</v>
      </c>
    </row>
    <row r="660" spans="1:16">
      <c r="A660" s="2">
        <v>42103</v>
      </c>
      <c r="B660" s="1">
        <v>380.66</v>
      </c>
      <c r="C660" s="1">
        <v>384.42</v>
      </c>
      <c r="D660" s="1">
        <v>378.8</v>
      </c>
      <c r="E660" s="1">
        <v>383.54</v>
      </c>
      <c r="F660" s="1">
        <v>2392300</v>
      </c>
      <c r="G660" s="1">
        <v>383.54</v>
      </c>
      <c r="H660" s="1">
        <f t="shared" si="90"/>
        <v>5.6200000000000045</v>
      </c>
      <c r="I660" s="9">
        <f t="shared" si="97"/>
        <v>1.4836325237592408E-2</v>
      </c>
      <c r="J660" s="1">
        <f t="shared" si="98"/>
        <v>2.3400000000000318</v>
      </c>
      <c r="K660" s="9">
        <f t="shared" si="91"/>
        <v>6.1385099685205453E-3</v>
      </c>
      <c r="L660" s="1">
        <f t="shared" si="92"/>
        <v>1</v>
      </c>
      <c r="M660" s="1">
        <f t="shared" si="93"/>
        <v>384.42</v>
      </c>
      <c r="N660" s="1">
        <f t="shared" si="94"/>
        <v>378.8</v>
      </c>
      <c r="O660" s="1">
        <f t="shared" si="95"/>
        <v>381.58000000000004</v>
      </c>
      <c r="P660" s="1">
        <f t="shared" si="96"/>
        <v>194.68367346938777</v>
      </c>
    </row>
    <row r="661" spans="1:16">
      <c r="A661" s="2">
        <v>42102</v>
      </c>
      <c r="B661" s="1">
        <v>374.66</v>
      </c>
      <c r="C661" s="1">
        <v>381.58</v>
      </c>
      <c r="D661" s="1">
        <v>374.65</v>
      </c>
      <c r="E661" s="1">
        <v>381.2</v>
      </c>
      <c r="F661" s="1">
        <v>2636400</v>
      </c>
      <c r="G661" s="1">
        <v>381.2</v>
      </c>
      <c r="H661" s="1">
        <f t="shared" si="90"/>
        <v>6.9300000000000068</v>
      </c>
      <c r="I661" s="9">
        <f t="shared" si="97"/>
        <v>1.8497264113172315E-2</v>
      </c>
      <c r="J661" s="1">
        <f t="shared" si="98"/>
        <v>6.7899999999999636</v>
      </c>
      <c r="K661" s="9">
        <f t="shared" si="91"/>
        <v>1.8135199380358333E-2</v>
      </c>
      <c r="L661" s="1">
        <f t="shared" si="92"/>
        <v>1</v>
      </c>
      <c r="M661" s="1">
        <f t="shared" si="93"/>
        <v>381.58</v>
      </c>
      <c r="N661" s="1">
        <f t="shared" si="94"/>
        <v>374.65</v>
      </c>
      <c r="O661" s="1">
        <f t="shared" si="95"/>
        <v>379.24</v>
      </c>
      <c r="P661" s="1">
        <f t="shared" si="96"/>
        <v>193.48979591836735</v>
      </c>
    </row>
    <row r="662" spans="1:16">
      <c r="A662" s="2">
        <v>42101</v>
      </c>
      <c r="B662" s="1">
        <v>376.15</v>
      </c>
      <c r="C662" s="1">
        <v>379.31</v>
      </c>
      <c r="D662" s="1">
        <v>374.03</v>
      </c>
      <c r="E662" s="1">
        <v>374.41</v>
      </c>
      <c r="F662" s="1">
        <v>1954900</v>
      </c>
      <c r="G662" s="1">
        <v>374.41</v>
      </c>
      <c r="H662" s="1">
        <f t="shared" si="90"/>
        <v>5.2800000000000296</v>
      </c>
      <c r="I662" s="9">
        <f t="shared" si="97"/>
        <v>1.4116514718070823E-2</v>
      </c>
      <c r="J662" s="1">
        <f t="shared" si="98"/>
        <v>-2.6299999999999955</v>
      </c>
      <c r="K662" s="9">
        <f t="shared" si="91"/>
        <v>-6.975387226819423E-3</v>
      </c>
      <c r="L662" s="1">
        <f t="shared" si="92"/>
        <v>1</v>
      </c>
      <c r="M662" s="1">
        <f t="shared" si="93"/>
        <v>379.31</v>
      </c>
      <c r="N662" s="1">
        <f t="shared" si="94"/>
        <v>374.03</v>
      </c>
      <c r="O662" s="1">
        <f t="shared" si="95"/>
        <v>372.45000000000005</v>
      </c>
      <c r="P662" s="1">
        <f t="shared" si="96"/>
        <v>190.02551020408166</v>
      </c>
    </row>
    <row r="663" spans="1:16">
      <c r="A663" s="2">
        <v>42100</v>
      </c>
      <c r="B663" s="1">
        <v>370.1</v>
      </c>
      <c r="C663" s="1">
        <v>380.2</v>
      </c>
      <c r="D663" s="1">
        <v>369.36</v>
      </c>
      <c r="E663" s="1">
        <v>377.04</v>
      </c>
      <c r="F663" s="1">
        <v>3050700</v>
      </c>
      <c r="G663" s="1">
        <v>377.04</v>
      </c>
      <c r="H663" s="1">
        <f t="shared" si="90"/>
        <v>10.839999999999975</v>
      </c>
      <c r="I663" s="9">
        <f t="shared" si="97"/>
        <v>2.9348061511804132E-2</v>
      </c>
      <c r="J663" s="1">
        <f t="shared" si="98"/>
        <v>4.7900000000000205</v>
      </c>
      <c r="K663" s="9">
        <f t="shared" si="91"/>
        <v>1.2867696440564192E-2</v>
      </c>
      <c r="L663" s="1">
        <f t="shared" si="92"/>
        <v>1</v>
      </c>
      <c r="M663" s="1">
        <f t="shared" si="93"/>
        <v>380.2</v>
      </c>
      <c r="N663" s="1">
        <f t="shared" si="94"/>
        <v>369.36</v>
      </c>
      <c r="O663" s="1">
        <f t="shared" si="95"/>
        <v>375.08000000000004</v>
      </c>
      <c r="P663" s="1">
        <f t="shared" si="96"/>
        <v>191.36734693877554</v>
      </c>
    </row>
    <row r="664" spans="1:16">
      <c r="A664" s="2">
        <v>42096</v>
      </c>
      <c r="B664" s="1">
        <v>370.5</v>
      </c>
      <c r="C664" s="1">
        <v>373.28</v>
      </c>
      <c r="D664" s="1">
        <v>369</v>
      </c>
      <c r="E664" s="1">
        <v>372.25</v>
      </c>
      <c r="F664" s="1">
        <v>1875300</v>
      </c>
      <c r="G664" s="1">
        <v>372.25</v>
      </c>
      <c r="H664" s="1">
        <f t="shared" si="90"/>
        <v>4.2799999999999727</v>
      </c>
      <c r="I664" s="9">
        <f t="shared" si="97"/>
        <v>1.1598915989159818E-2</v>
      </c>
      <c r="J664" s="1">
        <f t="shared" si="98"/>
        <v>1.9900000000000091</v>
      </c>
      <c r="K664" s="9">
        <f t="shared" si="91"/>
        <v>5.374601631286148E-3</v>
      </c>
      <c r="L664" s="1">
        <f t="shared" si="92"/>
        <v>1</v>
      </c>
      <c r="M664" s="1">
        <f t="shared" si="93"/>
        <v>373.28</v>
      </c>
      <c r="N664" s="1">
        <f t="shared" si="94"/>
        <v>369</v>
      </c>
      <c r="O664" s="1">
        <f t="shared" si="95"/>
        <v>370.29</v>
      </c>
      <c r="P664" s="1">
        <f t="shared" si="96"/>
        <v>188.92346938775512</v>
      </c>
    </row>
    <row r="665" spans="1:16">
      <c r="A665" s="2">
        <v>42095</v>
      </c>
      <c r="B665" s="1">
        <v>372.1</v>
      </c>
      <c r="C665" s="1">
        <v>373.16</v>
      </c>
      <c r="D665" s="1">
        <v>368.34</v>
      </c>
      <c r="E665" s="1">
        <v>370.26</v>
      </c>
      <c r="F665" s="1">
        <v>2451100</v>
      </c>
      <c r="G665" s="1">
        <v>370.26</v>
      </c>
      <c r="H665" s="1">
        <f t="shared" si="90"/>
        <v>4.82000000000005</v>
      </c>
      <c r="I665" s="9">
        <f t="shared" si="97"/>
        <v>1.3085736004778331E-2</v>
      </c>
      <c r="J665" s="1">
        <f t="shared" si="98"/>
        <v>-1.8400000000000318</v>
      </c>
      <c r="K665" s="9">
        <f t="shared" si="91"/>
        <v>-4.9449072829885294E-3</v>
      </c>
      <c r="L665" s="1">
        <f t="shared" si="92"/>
        <v>1</v>
      </c>
      <c r="M665" s="1">
        <f t="shared" si="93"/>
        <v>373.16</v>
      </c>
      <c r="N665" s="1">
        <f t="shared" si="94"/>
        <v>368.34</v>
      </c>
      <c r="O665" s="1">
        <f t="shared" si="95"/>
        <v>368.3</v>
      </c>
      <c r="P665" s="1">
        <f t="shared" si="96"/>
        <v>187.90816326530614</v>
      </c>
    </row>
    <row r="666" spans="1:16">
      <c r="A666" s="2">
        <v>42094</v>
      </c>
      <c r="B666" s="1">
        <v>373.24</v>
      </c>
      <c r="C666" s="1">
        <v>377.7</v>
      </c>
      <c r="D666" s="1">
        <v>371.51</v>
      </c>
      <c r="E666" s="1">
        <v>372.1</v>
      </c>
      <c r="F666" s="1">
        <v>2506100</v>
      </c>
      <c r="G666" s="1">
        <v>372.1</v>
      </c>
      <c r="H666" s="1">
        <f t="shared" si="90"/>
        <v>6.1899999999999977</v>
      </c>
      <c r="I666" s="9">
        <f t="shared" si="97"/>
        <v>1.6661731851094177E-2</v>
      </c>
      <c r="J666" s="1">
        <f t="shared" si="98"/>
        <v>-2.4899999999999523</v>
      </c>
      <c r="K666" s="9">
        <f t="shared" si="91"/>
        <v>-6.6472676793292735E-3</v>
      </c>
      <c r="L666" s="1">
        <f t="shared" si="92"/>
        <v>1</v>
      </c>
      <c r="M666" s="1">
        <f t="shared" si="93"/>
        <v>377.7</v>
      </c>
      <c r="N666" s="1">
        <f t="shared" si="94"/>
        <v>371.51</v>
      </c>
      <c r="O666" s="1">
        <f t="shared" si="95"/>
        <v>370.14000000000004</v>
      </c>
      <c r="P666" s="1">
        <f t="shared" si="96"/>
        <v>188.84693877551024</v>
      </c>
    </row>
    <row r="667" spans="1:16">
      <c r="A667" s="2">
        <v>42093</v>
      </c>
      <c r="B667" s="1">
        <v>371.87</v>
      </c>
      <c r="C667" s="1">
        <v>376.12</v>
      </c>
      <c r="D667" s="1">
        <v>371.55</v>
      </c>
      <c r="E667" s="1">
        <v>374.59</v>
      </c>
      <c r="F667" s="1">
        <v>1820900</v>
      </c>
      <c r="G667" s="1">
        <v>374.59</v>
      </c>
      <c r="H667" s="1">
        <f t="shared" si="90"/>
        <v>4.5699999999999932</v>
      </c>
      <c r="I667" s="9">
        <f t="shared" si="97"/>
        <v>1.2299825057192822E-2</v>
      </c>
      <c r="J667" s="1">
        <f t="shared" si="98"/>
        <v>4.0299999999999727</v>
      </c>
      <c r="K667" s="9">
        <f t="shared" si="91"/>
        <v>1.0875431778929115E-2</v>
      </c>
      <c r="L667" s="1">
        <f t="shared" si="92"/>
        <v>1</v>
      </c>
      <c r="M667" s="1">
        <f t="shared" si="93"/>
        <v>376.12</v>
      </c>
      <c r="N667" s="1">
        <f t="shared" si="94"/>
        <v>371.55</v>
      </c>
      <c r="O667" s="1">
        <f t="shared" si="95"/>
        <v>372.63</v>
      </c>
      <c r="P667" s="1">
        <f t="shared" si="96"/>
        <v>190.11734693877551</v>
      </c>
    </row>
    <row r="668" spans="1:16">
      <c r="A668" s="2">
        <v>42090</v>
      </c>
      <c r="B668" s="1">
        <v>367.11</v>
      </c>
      <c r="C668" s="1">
        <v>373.17</v>
      </c>
      <c r="D668" s="1">
        <v>366.57</v>
      </c>
      <c r="E668" s="1">
        <v>370.56</v>
      </c>
      <c r="F668" s="1">
        <v>2603800</v>
      </c>
      <c r="G668" s="1">
        <v>370.56</v>
      </c>
      <c r="H668" s="1">
        <f t="shared" si="90"/>
        <v>6.6000000000000227</v>
      </c>
      <c r="I668" s="9">
        <f t="shared" si="97"/>
        <v>1.8004746705949811E-2</v>
      </c>
      <c r="J668" s="1">
        <f t="shared" si="98"/>
        <v>3.2099999999999795</v>
      </c>
      <c r="K668" s="9">
        <f t="shared" si="91"/>
        <v>8.7382605144956556E-3</v>
      </c>
      <c r="L668" s="1">
        <f t="shared" si="92"/>
        <v>1</v>
      </c>
      <c r="M668" s="1">
        <f t="shared" si="93"/>
        <v>373.17</v>
      </c>
      <c r="N668" s="1">
        <f t="shared" si="94"/>
        <v>366.57</v>
      </c>
      <c r="O668" s="1">
        <f t="shared" si="95"/>
        <v>368.6</v>
      </c>
      <c r="P668" s="1">
        <f t="shared" si="96"/>
        <v>188.06122448979593</v>
      </c>
    </row>
    <row r="669" spans="1:16">
      <c r="A669" s="2">
        <v>42089</v>
      </c>
      <c r="B669" s="1">
        <v>369.59</v>
      </c>
      <c r="C669" s="1">
        <v>371.4</v>
      </c>
      <c r="D669" s="1">
        <v>365.65</v>
      </c>
      <c r="E669" s="1">
        <v>367.35</v>
      </c>
      <c r="F669" s="1">
        <v>2930000</v>
      </c>
      <c r="G669" s="1">
        <v>367.35</v>
      </c>
      <c r="H669" s="1">
        <f t="shared" si="90"/>
        <v>5.75</v>
      </c>
      <c r="I669" s="9">
        <f t="shared" si="97"/>
        <v>1.5725420484069465E-2</v>
      </c>
      <c r="J669" s="1">
        <f t="shared" si="98"/>
        <v>-3.6099999999999568</v>
      </c>
      <c r="K669" s="9">
        <f t="shared" si="91"/>
        <v>-9.7315074401551575E-3</v>
      </c>
      <c r="L669" s="1">
        <f t="shared" si="92"/>
        <v>1</v>
      </c>
      <c r="M669" s="1">
        <f t="shared" si="93"/>
        <v>371.4</v>
      </c>
      <c r="N669" s="1">
        <f t="shared" si="94"/>
        <v>365.65</v>
      </c>
      <c r="O669" s="1">
        <f t="shared" si="95"/>
        <v>365.39000000000004</v>
      </c>
      <c r="P669" s="1">
        <f t="shared" si="96"/>
        <v>186.42346938775512</v>
      </c>
    </row>
    <row r="670" spans="1:16">
      <c r="A670" s="2">
        <v>42088</v>
      </c>
      <c r="B670" s="1">
        <v>375.17</v>
      </c>
      <c r="C670" s="1">
        <v>380.5</v>
      </c>
      <c r="D670" s="1">
        <v>370.29</v>
      </c>
      <c r="E670" s="1">
        <v>370.96</v>
      </c>
      <c r="F670" s="1">
        <v>3429500</v>
      </c>
      <c r="G670" s="1">
        <v>370.96</v>
      </c>
      <c r="H670" s="1">
        <f t="shared" si="90"/>
        <v>10.20999999999998</v>
      </c>
      <c r="I670" s="9">
        <f t="shared" si="97"/>
        <v>2.7572983337384154E-2</v>
      </c>
      <c r="J670" s="1">
        <f t="shared" si="98"/>
        <v>-3.1299999999999955</v>
      </c>
      <c r="K670" s="9">
        <f t="shared" si="91"/>
        <v>-8.3669705151166712E-3</v>
      </c>
      <c r="L670" s="1">
        <f t="shared" si="92"/>
        <v>1</v>
      </c>
      <c r="M670" s="1">
        <f t="shared" si="93"/>
        <v>380.5</v>
      </c>
      <c r="N670" s="1">
        <f t="shared" si="94"/>
        <v>370.29</v>
      </c>
      <c r="O670" s="1">
        <f t="shared" si="95"/>
        <v>369</v>
      </c>
      <c r="P670" s="1">
        <f t="shared" si="96"/>
        <v>188.26530612244898</v>
      </c>
    </row>
    <row r="671" spans="1:16">
      <c r="A671" s="2">
        <v>42087</v>
      </c>
      <c r="B671" s="1">
        <v>373.99</v>
      </c>
      <c r="C671" s="1">
        <v>375.24</v>
      </c>
      <c r="D671" s="1">
        <v>372.27</v>
      </c>
      <c r="E671" s="1">
        <v>374.09</v>
      </c>
      <c r="F671" s="1">
        <v>2228200</v>
      </c>
      <c r="G671" s="1">
        <v>374.09</v>
      </c>
      <c r="H671" s="1">
        <f t="shared" si="90"/>
        <v>2.9700000000000273</v>
      </c>
      <c r="I671" s="9">
        <f t="shared" si="97"/>
        <v>7.9780804254976963E-3</v>
      </c>
      <c r="J671" s="1">
        <f t="shared" si="98"/>
        <v>-1.0200000000000387</v>
      </c>
      <c r="K671" s="9">
        <f t="shared" si="91"/>
        <v>-2.7192023673056932E-3</v>
      </c>
      <c r="L671" s="1">
        <f t="shared" si="92"/>
        <v>1</v>
      </c>
      <c r="M671" s="1">
        <f t="shared" si="93"/>
        <v>375.24</v>
      </c>
      <c r="N671" s="1">
        <f t="shared" si="94"/>
        <v>372.27</v>
      </c>
      <c r="O671" s="1">
        <f t="shared" si="95"/>
        <v>372.13</v>
      </c>
      <c r="P671" s="1">
        <f t="shared" si="96"/>
        <v>189.86224489795919</v>
      </c>
    </row>
    <row r="672" spans="1:16">
      <c r="A672" s="2">
        <v>42086</v>
      </c>
      <c r="B672" s="1">
        <v>378.07</v>
      </c>
      <c r="C672" s="1">
        <v>381.77</v>
      </c>
      <c r="D672" s="1">
        <v>374.94</v>
      </c>
      <c r="E672" s="1">
        <v>375.11</v>
      </c>
      <c r="F672" s="1">
        <v>2235300</v>
      </c>
      <c r="G672" s="1">
        <v>375.11</v>
      </c>
      <c r="H672" s="1">
        <f t="shared" si="90"/>
        <v>6.8299999999999841</v>
      </c>
      <c r="I672" s="9">
        <f t="shared" si="97"/>
        <v>1.8216247933002572E-2</v>
      </c>
      <c r="J672" s="1">
        <f t="shared" si="98"/>
        <v>-3.3799999999999955</v>
      </c>
      <c r="K672" s="9">
        <f t="shared" si="91"/>
        <v>-8.9302227271526209E-3</v>
      </c>
      <c r="L672" s="1">
        <f t="shared" si="92"/>
        <v>1</v>
      </c>
      <c r="M672" s="1">
        <f t="shared" si="93"/>
        <v>381.77</v>
      </c>
      <c r="N672" s="1">
        <f t="shared" si="94"/>
        <v>374.94</v>
      </c>
      <c r="O672" s="1">
        <f t="shared" si="95"/>
        <v>373.15000000000003</v>
      </c>
      <c r="P672" s="1">
        <f t="shared" si="96"/>
        <v>190.38265306122452</v>
      </c>
    </row>
    <row r="673" spans="1:16">
      <c r="A673" s="2">
        <v>42083</v>
      </c>
      <c r="B673" s="1">
        <v>376.29</v>
      </c>
      <c r="C673" s="1">
        <v>379.37</v>
      </c>
      <c r="D673" s="1">
        <v>375.92</v>
      </c>
      <c r="E673" s="1">
        <v>378.49</v>
      </c>
      <c r="F673" s="1">
        <v>3763600</v>
      </c>
      <c r="G673" s="1">
        <v>378.49</v>
      </c>
      <c r="H673" s="1">
        <f t="shared" si="90"/>
        <v>3.4499999999999886</v>
      </c>
      <c r="I673" s="9">
        <f t="shared" si="97"/>
        <v>9.1774845711853278E-3</v>
      </c>
      <c r="J673" s="1">
        <f t="shared" si="98"/>
        <v>5.25</v>
      </c>
      <c r="K673" s="9">
        <f t="shared" si="91"/>
        <v>1.4066016504126031E-2</v>
      </c>
      <c r="L673" s="1">
        <f t="shared" si="92"/>
        <v>1</v>
      </c>
      <c r="M673" s="1">
        <f t="shared" si="93"/>
        <v>379.37</v>
      </c>
      <c r="N673" s="1">
        <f t="shared" si="94"/>
        <v>375.92</v>
      </c>
      <c r="O673" s="1">
        <f t="shared" si="95"/>
        <v>376.53000000000003</v>
      </c>
      <c r="P673" s="1">
        <f t="shared" si="96"/>
        <v>192.10714285714289</v>
      </c>
    </row>
    <row r="674" spans="1:16">
      <c r="A674" s="2">
        <v>42082</v>
      </c>
      <c r="B674" s="1">
        <v>373.87</v>
      </c>
      <c r="C674" s="1">
        <v>377.11</v>
      </c>
      <c r="D674" s="1">
        <v>372.19</v>
      </c>
      <c r="E674" s="1">
        <v>373.24</v>
      </c>
      <c r="F674" s="1">
        <v>1915700</v>
      </c>
      <c r="G674" s="1">
        <v>373.24</v>
      </c>
      <c r="H674" s="1">
        <f t="shared" si="90"/>
        <v>4.9200000000000159</v>
      </c>
      <c r="I674" s="9">
        <f t="shared" si="97"/>
        <v>1.3219054783847002E-2</v>
      </c>
      <c r="J674" s="1">
        <f t="shared" si="98"/>
        <v>-1.8999999999999773</v>
      </c>
      <c r="K674" s="9">
        <f t="shared" si="91"/>
        <v>-5.0647758170282494E-3</v>
      </c>
      <c r="L674" s="1">
        <f t="shared" si="92"/>
        <v>1</v>
      </c>
      <c r="M674" s="1">
        <f t="shared" si="93"/>
        <v>377.11</v>
      </c>
      <c r="N674" s="1">
        <f t="shared" si="94"/>
        <v>372.19</v>
      </c>
      <c r="O674" s="1">
        <f t="shared" si="95"/>
        <v>371.28000000000003</v>
      </c>
      <c r="P674" s="1">
        <f t="shared" si="96"/>
        <v>189.42857142857144</v>
      </c>
    </row>
    <row r="675" spans="1:16">
      <c r="A675" s="2">
        <v>42081</v>
      </c>
      <c r="B675" s="1">
        <v>369.97</v>
      </c>
      <c r="C675" s="1">
        <v>375.99</v>
      </c>
      <c r="D675" s="1">
        <v>366.7</v>
      </c>
      <c r="E675" s="1">
        <v>375.14</v>
      </c>
      <c r="F675" s="1">
        <v>2640600</v>
      </c>
      <c r="G675" s="1">
        <v>375.14</v>
      </c>
      <c r="H675" s="1">
        <f t="shared" si="90"/>
        <v>9.2900000000000205</v>
      </c>
      <c r="I675" s="9">
        <f t="shared" si="97"/>
        <v>2.5334060539950971E-2</v>
      </c>
      <c r="J675" s="1">
        <f t="shared" si="98"/>
        <v>3.2199999999999704</v>
      </c>
      <c r="K675" s="9">
        <f t="shared" si="91"/>
        <v>8.6577758657775065E-3</v>
      </c>
      <c r="L675" s="1">
        <f t="shared" si="92"/>
        <v>1</v>
      </c>
      <c r="M675" s="1">
        <f t="shared" si="93"/>
        <v>375.99</v>
      </c>
      <c r="N675" s="1">
        <f t="shared" si="94"/>
        <v>366.7</v>
      </c>
      <c r="O675" s="1">
        <f t="shared" si="95"/>
        <v>373.18</v>
      </c>
      <c r="P675" s="1">
        <f t="shared" si="96"/>
        <v>190.39795918367346</v>
      </c>
    </row>
    <row r="676" spans="1:16">
      <c r="A676" s="2">
        <v>42080</v>
      </c>
      <c r="B676" s="1">
        <v>371.11</v>
      </c>
      <c r="C676" s="1">
        <v>374.5</v>
      </c>
      <c r="D676" s="1">
        <v>369.64</v>
      </c>
      <c r="E676" s="1">
        <v>371.92</v>
      </c>
      <c r="F676" s="1">
        <v>2034200</v>
      </c>
      <c r="G676" s="1">
        <v>371.92</v>
      </c>
      <c r="H676" s="1">
        <f t="shared" si="90"/>
        <v>4.8600000000000136</v>
      </c>
      <c r="I676" s="9">
        <f t="shared" si="97"/>
        <v>1.3147927713450963E-2</v>
      </c>
      <c r="J676" s="1">
        <f t="shared" si="98"/>
        <v>-1.4300000000000068</v>
      </c>
      <c r="K676" s="9">
        <f t="shared" si="91"/>
        <v>-3.8301861524039286E-3</v>
      </c>
      <c r="L676" s="1">
        <f t="shared" si="92"/>
        <v>1</v>
      </c>
      <c r="M676" s="1">
        <f t="shared" si="93"/>
        <v>374.5</v>
      </c>
      <c r="N676" s="1">
        <f t="shared" si="94"/>
        <v>369.64</v>
      </c>
      <c r="O676" s="1">
        <f t="shared" si="95"/>
        <v>369.96000000000004</v>
      </c>
      <c r="P676" s="1">
        <f t="shared" si="96"/>
        <v>188.75510204081635</v>
      </c>
    </row>
    <row r="677" spans="1:16">
      <c r="A677" s="2">
        <v>42079</v>
      </c>
      <c r="B677" s="1">
        <v>370.38</v>
      </c>
      <c r="C677" s="1">
        <v>373.94</v>
      </c>
      <c r="D677" s="1">
        <v>366.72</v>
      </c>
      <c r="E677" s="1">
        <v>373.35</v>
      </c>
      <c r="F677" s="1">
        <v>2354100</v>
      </c>
      <c r="G677" s="1">
        <v>373.35</v>
      </c>
      <c r="H677" s="1">
        <f t="shared" si="90"/>
        <v>7.2199999999999704</v>
      </c>
      <c r="I677" s="9">
        <f t="shared" si="97"/>
        <v>1.968804537521807E-2</v>
      </c>
      <c r="J677" s="1">
        <f t="shared" si="98"/>
        <v>2.7700000000000387</v>
      </c>
      <c r="K677" s="9">
        <f t="shared" si="91"/>
        <v>7.4747692805872921E-3</v>
      </c>
      <c r="L677" s="1">
        <f t="shared" si="92"/>
        <v>1</v>
      </c>
      <c r="M677" s="1">
        <f t="shared" si="93"/>
        <v>373.94</v>
      </c>
      <c r="N677" s="1">
        <f t="shared" si="94"/>
        <v>366.72</v>
      </c>
      <c r="O677" s="1">
        <f t="shared" si="95"/>
        <v>371.39000000000004</v>
      </c>
      <c r="P677" s="1">
        <f t="shared" si="96"/>
        <v>189.48469387755105</v>
      </c>
    </row>
    <row r="678" spans="1:16">
      <c r="A678" s="2">
        <v>42076</v>
      </c>
      <c r="B678" s="1">
        <v>371.52</v>
      </c>
      <c r="C678" s="1">
        <v>373.99</v>
      </c>
      <c r="D678" s="1">
        <v>366.68</v>
      </c>
      <c r="E678" s="1">
        <v>370.58</v>
      </c>
      <c r="F678" s="1">
        <v>2611700</v>
      </c>
      <c r="G678" s="1">
        <v>370.58</v>
      </c>
      <c r="H678" s="1">
        <f t="shared" si="90"/>
        <v>7.3100000000000023</v>
      </c>
      <c r="I678" s="9">
        <f t="shared" si="97"/>
        <v>1.9935638704047132E-2</v>
      </c>
      <c r="J678" s="1">
        <f t="shared" si="98"/>
        <v>-3.660000000000025</v>
      </c>
      <c r="K678" s="9">
        <f t="shared" si="91"/>
        <v>-9.7798204360838633E-3</v>
      </c>
      <c r="L678" s="1">
        <f t="shared" si="92"/>
        <v>1</v>
      </c>
      <c r="M678" s="1">
        <f t="shared" si="93"/>
        <v>373.99</v>
      </c>
      <c r="N678" s="1">
        <f t="shared" si="94"/>
        <v>366.68</v>
      </c>
      <c r="O678" s="1">
        <f t="shared" si="95"/>
        <v>368.62</v>
      </c>
      <c r="P678" s="1">
        <f t="shared" si="96"/>
        <v>188.07142857142858</v>
      </c>
    </row>
    <row r="679" spans="1:16">
      <c r="A679" s="2">
        <v>42075</v>
      </c>
      <c r="B679" s="1">
        <v>368.82</v>
      </c>
      <c r="C679" s="1">
        <v>375.5</v>
      </c>
      <c r="D679" s="1">
        <v>367.52</v>
      </c>
      <c r="E679" s="1">
        <v>374.24</v>
      </c>
      <c r="F679" s="1">
        <v>2810000</v>
      </c>
      <c r="G679" s="1">
        <v>374.24</v>
      </c>
      <c r="H679" s="1">
        <f t="shared" si="90"/>
        <v>7.9800000000000182</v>
      </c>
      <c r="I679" s="9">
        <f t="shared" si="97"/>
        <v>2.1713104048759303E-2</v>
      </c>
      <c r="J679" s="1">
        <f t="shared" si="98"/>
        <v>7.8700000000000045</v>
      </c>
      <c r="K679" s="9">
        <f t="shared" si="91"/>
        <v>2.14810164587712E-2</v>
      </c>
      <c r="L679" s="1">
        <f t="shared" si="92"/>
        <v>1</v>
      </c>
      <c r="M679" s="1">
        <f t="shared" si="93"/>
        <v>375.5</v>
      </c>
      <c r="N679" s="1">
        <f t="shared" si="94"/>
        <v>367.52</v>
      </c>
      <c r="O679" s="1">
        <f t="shared" si="95"/>
        <v>372.28000000000003</v>
      </c>
      <c r="P679" s="1">
        <f t="shared" si="96"/>
        <v>189.9387755102041</v>
      </c>
    </row>
    <row r="680" spans="1:16">
      <c r="A680" s="2">
        <v>42074</v>
      </c>
      <c r="B680" s="1">
        <v>370.61</v>
      </c>
      <c r="C680" s="1">
        <v>373.35</v>
      </c>
      <c r="D680" s="1">
        <v>366.26</v>
      </c>
      <c r="E680" s="1">
        <v>366.37</v>
      </c>
      <c r="F680" s="1">
        <v>2495100</v>
      </c>
      <c r="G680" s="1">
        <v>366.37</v>
      </c>
      <c r="H680" s="1">
        <f t="shared" si="90"/>
        <v>7.0900000000000318</v>
      </c>
      <c r="I680" s="9">
        <f t="shared" si="97"/>
        <v>1.9357833233222387E-2</v>
      </c>
      <c r="J680" s="1">
        <f t="shared" si="98"/>
        <v>-3.1399999999999864</v>
      </c>
      <c r="K680" s="9">
        <f t="shared" si="91"/>
        <v>-8.4977402506021121E-3</v>
      </c>
      <c r="L680" s="1">
        <f t="shared" si="92"/>
        <v>1</v>
      </c>
      <c r="M680" s="1">
        <f t="shared" si="93"/>
        <v>373.35</v>
      </c>
      <c r="N680" s="1">
        <f t="shared" si="94"/>
        <v>366.26</v>
      </c>
      <c r="O680" s="1">
        <f t="shared" si="95"/>
        <v>364.41</v>
      </c>
      <c r="P680" s="1">
        <f t="shared" si="96"/>
        <v>185.92346938775512</v>
      </c>
    </row>
    <row r="681" spans="1:16">
      <c r="A681" s="2">
        <v>42073</v>
      </c>
      <c r="B681" s="1">
        <v>377.45</v>
      </c>
      <c r="C681" s="1">
        <v>377.77</v>
      </c>
      <c r="D681" s="1">
        <v>369.18</v>
      </c>
      <c r="E681" s="1">
        <v>369.51</v>
      </c>
      <c r="F681" s="1">
        <v>3079600</v>
      </c>
      <c r="G681" s="1">
        <v>369.51</v>
      </c>
      <c r="H681" s="1">
        <f t="shared" si="90"/>
        <v>8.589999999999975</v>
      </c>
      <c r="I681" s="9">
        <f t="shared" si="97"/>
        <v>2.3267782653448116E-2</v>
      </c>
      <c r="J681" s="1">
        <f t="shared" si="98"/>
        <v>-9.0500000000000114</v>
      </c>
      <c r="K681" s="9">
        <f t="shared" si="91"/>
        <v>-2.3906382079459033E-2</v>
      </c>
      <c r="L681" s="1">
        <f t="shared" si="92"/>
        <v>1</v>
      </c>
      <c r="M681" s="1">
        <f t="shared" si="93"/>
        <v>377.77</v>
      </c>
      <c r="N681" s="1">
        <f t="shared" si="94"/>
        <v>369.18</v>
      </c>
      <c r="O681" s="1">
        <f t="shared" si="95"/>
        <v>367.55</v>
      </c>
      <c r="P681" s="1">
        <f t="shared" si="96"/>
        <v>187.52551020408166</v>
      </c>
    </row>
    <row r="682" spans="1:16">
      <c r="A682" s="2">
        <v>42072</v>
      </c>
      <c r="B682" s="1">
        <v>378.4</v>
      </c>
      <c r="C682" s="1">
        <v>379.33</v>
      </c>
      <c r="D682" s="1">
        <v>375.28</v>
      </c>
      <c r="E682" s="1">
        <v>378.56</v>
      </c>
      <c r="F682" s="1">
        <v>2311400</v>
      </c>
      <c r="G682" s="1">
        <v>378.56</v>
      </c>
      <c r="H682" s="1">
        <f t="shared" si="90"/>
        <v>4.0500000000000114</v>
      </c>
      <c r="I682" s="9">
        <f t="shared" si="97"/>
        <v>1.0791942016627616E-2</v>
      </c>
      <c r="J682" s="1">
        <f t="shared" si="98"/>
        <v>-1.5299999999999727</v>
      </c>
      <c r="K682" s="9">
        <f t="shared" si="91"/>
        <v>-4.025362414164995E-3</v>
      </c>
      <c r="L682" s="1">
        <f t="shared" si="92"/>
        <v>1</v>
      </c>
      <c r="M682" s="1">
        <f t="shared" si="93"/>
        <v>379.33</v>
      </c>
      <c r="N682" s="1">
        <f t="shared" si="94"/>
        <v>375.28</v>
      </c>
      <c r="O682" s="1">
        <f t="shared" si="95"/>
        <v>376.6</v>
      </c>
      <c r="P682" s="1">
        <f t="shared" si="96"/>
        <v>192.14285714285717</v>
      </c>
    </row>
    <row r="683" spans="1:16">
      <c r="A683" s="2">
        <v>42069</v>
      </c>
      <c r="B683" s="1">
        <v>385.52</v>
      </c>
      <c r="C683" s="1">
        <v>387</v>
      </c>
      <c r="D683" s="1">
        <v>378.88</v>
      </c>
      <c r="E683" s="1">
        <v>380.09</v>
      </c>
      <c r="F683" s="1">
        <v>2627000</v>
      </c>
      <c r="G683" s="1">
        <v>380.09</v>
      </c>
      <c r="H683" s="1">
        <f t="shared" si="90"/>
        <v>8.1200000000000045</v>
      </c>
      <c r="I683" s="9">
        <f t="shared" si="97"/>
        <v>2.143158783783785E-2</v>
      </c>
      <c r="J683" s="1">
        <f t="shared" si="98"/>
        <v>-7.7400000000000091</v>
      </c>
      <c r="K683" s="9">
        <f t="shared" si="91"/>
        <v>-1.995719774127842E-2</v>
      </c>
      <c r="L683" s="1">
        <f t="shared" si="92"/>
        <v>1</v>
      </c>
      <c r="M683" s="1">
        <f t="shared" si="93"/>
        <v>387</v>
      </c>
      <c r="N683" s="1">
        <f t="shared" si="94"/>
        <v>378.88</v>
      </c>
      <c r="O683" s="1">
        <f t="shared" si="95"/>
        <v>378.13</v>
      </c>
      <c r="P683" s="1">
        <f t="shared" si="96"/>
        <v>192.92346938775509</v>
      </c>
    </row>
    <row r="684" spans="1:16">
      <c r="A684" s="2">
        <v>42068</v>
      </c>
      <c r="B684" s="1">
        <v>385.61</v>
      </c>
      <c r="C684" s="1">
        <v>388.42</v>
      </c>
      <c r="D684" s="1">
        <v>383.89</v>
      </c>
      <c r="E684" s="1">
        <v>387.83</v>
      </c>
      <c r="F684" s="1">
        <v>2693500</v>
      </c>
      <c r="G684" s="1">
        <v>387.83</v>
      </c>
      <c r="H684" s="1">
        <f t="shared" si="90"/>
        <v>4.5300000000000296</v>
      </c>
      <c r="I684" s="9">
        <f t="shared" si="97"/>
        <v>1.1800255281460913E-2</v>
      </c>
      <c r="J684" s="1">
        <f t="shared" si="98"/>
        <v>5.1099999999999568</v>
      </c>
      <c r="K684" s="9">
        <f t="shared" si="91"/>
        <v>1.3351797658862763E-2</v>
      </c>
      <c r="L684" s="1">
        <f t="shared" si="92"/>
        <v>1</v>
      </c>
      <c r="M684" s="1">
        <f t="shared" si="93"/>
        <v>388.42</v>
      </c>
      <c r="N684" s="1">
        <f t="shared" si="94"/>
        <v>383.89</v>
      </c>
      <c r="O684" s="1">
        <f t="shared" si="95"/>
        <v>385.87</v>
      </c>
      <c r="P684" s="1">
        <f t="shared" si="96"/>
        <v>196.87244897959184</v>
      </c>
    </row>
    <row r="685" spans="1:16">
      <c r="A685" s="2">
        <v>42067</v>
      </c>
      <c r="B685" s="1">
        <v>385.71</v>
      </c>
      <c r="C685" s="1">
        <v>387.9</v>
      </c>
      <c r="D685" s="1">
        <v>382.19</v>
      </c>
      <c r="E685" s="1">
        <v>382.72</v>
      </c>
      <c r="F685" s="1">
        <v>2252700</v>
      </c>
      <c r="G685" s="1">
        <v>382.72</v>
      </c>
      <c r="H685" s="1">
        <f t="shared" si="90"/>
        <v>5.7099999999999795</v>
      </c>
      <c r="I685" s="9">
        <f t="shared" si="97"/>
        <v>1.4940212983071193E-2</v>
      </c>
      <c r="J685" s="1">
        <f t="shared" si="98"/>
        <v>-1.8899999999999864</v>
      </c>
      <c r="K685" s="9">
        <f t="shared" si="91"/>
        <v>-4.914068796963122E-3</v>
      </c>
      <c r="L685" s="1">
        <f t="shared" si="92"/>
        <v>1</v>
      </c>
      <c r="M685" s="1">
        <f t="shared" si="93"/>
        <v>387.9</v>
      </c>
      <c r="N685" s="1">
        <f t="shared" si="94"/>
        <v>382.19</v>
      </c>
      <c r="O685" s="1">
        <f t="shared" si="95"/>
        <v>380.76000000000005</v>
      </c>
      <c r="P685" s="1">
        <f t="shared" si="96"/>
        <v>194.265306122449</v>
      </c>
    </row>
    <row r="686" spans="1:16">
      <c r="A686" s="2">
        <v>42066</v>
      </c>
      <c r="B686" s="1">
        <v>383.95</v>
      </c>
      <c r="C686" s="1">
        <v>386.1</v>
      </c>
      <c r="D686" s="1">
        <v>381.6</v>
      </c>
      <c r="E686" s="1">
        <v>384.61</v>
      </c>
      <c r="F686" s="1">
        <v>1946500</v>
      </c>
      <c r="G686" s="1">
        <v>384.61</v>
      </c>
      <c r="H686" s="1">
        <f t="shared" si="90"/>
        <v>4.5</v>
      </c>
      <c r="I686" s="9">
        <f t="shared" si="97"/>
        <v>1.1792452830188678E-2</v>
      </c>
      <c r="J686" s="1">
        <f t="shared" si="98"/>
        <v>-1.0500000000000114</v>
      </c>
      <c r="K686" s="9">
        <f t="shared" si="91"/>
        <v>-2.7226054037235163E-3</v>
      </c>
      <c r="L686" s="1">
        <f t="shared" si="92"/>
        <v>1</v>
      </c>
      <c r="M686" s="1">
        <f t="shared" si="93"/>
        <v>386.1</v>
      </c>
      <c r="N686" s="1">
        <f t="shared" si="94"/>
        <v>381.6</v>
      </c>
      <c r="O686" s="1">
        <f t="shared" si="95"/>
        <v>382.65000000000003</v>
      </c>
      <c r="P686" s="1">
        <f t="shared" si="96"/>
        <v>195.22959183673473</v>
      </c>
    </row>
    <row r="687" spans="1:16">
      <c r="A687" s="2">
        <v>42065</v>
      </c>
      <c r="B687" s="1">
        <v>380.85</v>
      </c>
      <c r="C687" s="1">
        <v>385.9</v>
      </c>
      <c r="D687" s="1">
        <v>379.48</v>
      </c>
      <c r="E687" s="1">
        <v>385.66</v>
      </c>
      <c r="F687" s="1">
        <v>2139200</v>
      </c>
      <c r="G687" s="1">
        <v>385.66</v>
      </c>
      <c r="H687" s="1">
        <f t="shared" si="90"/>
        <v>6.4199999999999591</v>
      </c>
      <c r="I687" s="9">
        <f t="shared" si="97"/>
        <v>1.6917887635711917E-2</v>
      </c>
      <c r="J687" s="1">
        <f t="shared" si="98"/>
        <v>5.5</v>
      </c>
      <c r="K687" s="9">
        <f t="shared" si="91"/>
        <v>1.4467592592592591E-2</v>
      </c>
      <c r="L687" s="1">
        <f t="shared" si="92"/>
        <v>1</v>
      </c>
      <c r="M687" s="1">
        <f t="shared" si="93"/>
        <v>385.9</v>
      </c>
      <c r="N687" s="1">
        <f t="shared" si="94"/>
        <v>379.48</v>
      </c>
      <c r="O687" s="1">
        <f t="shared" si="95"/>
        <v>383.70000000000005</v>
      </c>
      <c r="P687" s="1">
        <f t="shared" si="96"/>
        <v>195.765306122449</v>
      </c>
    </row>
    <row r="688" spans="1:16">
      <c r="A688" s="2">
        <v>42062</v>
      </c>
      <c r="B688" s="1">
        <v>384</v>
      </c>
      <c r="C688" s="1">
        <v>385.99</v>
      </c>
      <c r="D688" s="1">
        <v>379.79</v>
      </c>
      <c r="E688" s="1">
        <v>380.16</v>
      </c>
      <c r="F688" s="1">
        <v>2532300</v>
      </c>
      <c r="G688" s="1">
        <v>380.16</v>
      </c>
      <c r="H688" s="1">
        <f t="shared" si="90"/>
        <v>6.1999999999999886</v>
      </c>
      <c r="I688" s="9">
        <f t="shared" si="97"/>
        <v>1.6324811079807232E-2</v>
      </c>
      <c r="J688" s="1">
        <f t="shared" si="98"/>
        <v>-4.6399999999999864</v>
      </c>
      <c r="K688" s="9">
        <f t="shared" si="91"/>
        <v>-1.2058212058212022E-2</v>
      </c>
      <c r="L688" s="1">
        <f t="shared" si="92"/>
        <v>1</v>
      </c>
      <c r="M688" s="1">
        <f t="shared" si="93"/>
        <v>385.99</v>
      </c>
      <c r="N688" s="1">
        <f t="shared" si="94"/>
        <v>379.79</v>
      </c>
      <c r="O688" s="1">
        <f t="shared" si="95"/>
        <v>378.20000000000005</v>
      </c>
      <c r="P688" s="1">
        <f t="shared" si="96"/>
        <v>192.95918367346943</v>
      </c>
    </row>
    <row r="689" spans="1:16">
      <c r="A689" s="2">
        <v>42061</v>
      </c>
      <c r="B689" s="1">
        <v>384.07</v>
      </c>
      <c r="C689" s="1">
        <v>389.37</v>
      </c>
      <c r="D689" s="1">
        <v>383.28</v>
      </c>
      <c r="E689" s="1">
        <v>384.8</v>
      </c>
      <c r="F689" s="1">
        <v>2687100</v>
      </c>
      <c r="G689" s="1">
        <v>384.8</v>
      </c>
      <c r="H689" s="1">
        <f t="shared" si="90"/>
        <v>6.0900000000000318</v>
      </c>
      <c r="I689" s="9">
        <f t="shared" si="97"/>
        <v>1.5889167188478482E-2</v>
      </c>
      <c r="J689" s="1">
        <f t="shared" si="98"/>
        <v>-0.56999999999999318</v>
      </c>
      <c r="K689" s="9">
        <f t="shared" si="91"/>
        <v>-1.4790980097049411E-3</v>
      </c>
      <c r="L689" s="1">
        <f t="shared" si="92"/>
        <v>1</v>
      </c>
      <c r="M689" s="1">
        <f t="shared" si="93"/>
        <v>389.37</v>
      </c>
      <c r="N689" s="1">
        <f t="shared" si="94"/>
        <v>383.28</v>
      </c>
      <c r="O689" s="1">
        <f t="shared" si="95"/>
        <v>382.84000000000003</v>
      </c>
      <c r="P689" s="1">
        <f t="shared" si="96"/>
        <v>195.32653061224491</v>
      </c>
    </row>
    <row r="690" spans="1:16">
      <c r="A690" s="2">
        <v>42060</v>
      </c>
      <c r="B690" s="1">
        <v>377.27</v>
      </c>
      <c r="C690" s="1">
        <v>387.85</v>
      </c>
      <c r="D690" s="1">
        <v>376.54</v>
      </c>
      <c r="E690" s="1">
        <v>385.37</v>
      </c>
      <c r="F690" s="1">
        <v>3174500</v>
      </c>
      <c r="G690" s="1">
        <v>385.37</v>
      </c>
      <c r="H690" s="1">
        <f t="shared" si="90"/>
        <v>11.310000000000002</v>
      </c>
      <c r="I690" s="9">
        <f t="shared" si="97"/>
        <v>3.0036649492749777E-2</v>
      </c>
      <c r="J690" s="1">
        <f t="shared" si="98"/>
        <v>6.7800000000000296</v>
      </c>
      <c r="K690" s="9">
        <f t="shared" si="91"/>
        <v>1.7908555429356376E-2</v>
      </c>
      <c r="L690" s="1">
        <f t="shared" si="92"/>
        <v>1</v>
      </c>
      <c r="M690" s="1">
        <f t="shared" si="93"/>
        <v>387.85</v>
      </c>
      <c r="N690" s="1">
        <f t="shared" si="94"/>
        <v>376.54</v>
      </c>
      <c r="O690" s="1">
        <f t="shared" si="95"/>
        <v>383.41</v>
      </c>
      <c r="P690" s="1">
        <f t="shared" si="96"/>
        <v>195.61734693877554</v>
      </c>
    </row>
    <row r="691" spans="1:16">
      <c r="A691" s="2">
        <v>42059</v>
      </c>
      <c r="B691" s="1">
        <v>378.65</v>
      </c>
      <c r="C691" s="1">
        <v>380.48</v>
      </c>
      <c r="D691" s="1">
        <v>376.16</v>
      </c>
      <c r="E691" s="1">
        <v>378.59</v>
      </c>
      <c r="F691" s="1">
        <v>1920800</v>
      </c>
      <c r="G691" s="1">
        <v>378.59</v>
      </c>
      <c r="H691" s="1">
        <f t="shared" si="90"/>
        <v>4.3199999999999932</v>
      </c>
      <c r="I691" s="9">
        <f t="shared" si="97"/>
        <v>1.1484474691620568E-2</v>
      </c>
      <c r="J691" s="1">
        <f t="shared" si="98"/>
        <v>-1.5500000000000114</v>
      </c>
      <c r="K691" s="9">
        <f t="shared" si="91"/>
        <v>-4.0774451517862137E-3</v>
      </c>
      <c r="L691" s="1">
        <f t="shared" si="92"/>
        <v>1</v>
      </c>
      <c r="M691" s="1">
        <f t="shared" si="93"/>
        <v>380.48</v>
      </c>
      <c r="N691" s="1">
        <f t="shared" si="94"/>
        <v>376.16</v>
      </c>
      <c r="O691" s="1">
        <f t="shared" si="95"/>
        <v>376.63</v>
      </c>
      <c r="P691" s="1">
        <f t="shared" si="96"/>
        <v>192.15816326530611</v>
      </c>
    </row>
    <row r="692" spans="1:16">
      <c r="A692" s="2">
        <v>42058</v>
      </c>
      <c r="B692" s="1">
        <v>383.44</v>
      </c>
      <c r="C692" s="1">
        <v>384.54</v>
      </c>
      <c r="D692" s="1">
        <v>378</v>
      </c>
      <c r="E692" s="1">
        <v>380.14</v>
      </c>
      <c r="F692" s="1">
        <v>2177000</v>
      </c>
      <c r="G692" s="1">
        <v>380.14</v>
      </c>
      <c r="H692" s="1">
        <f t="shared" si="90"/>
        <v>6.5400000000000205</v>
      </c>
      <c r="I692" s="9">
        <f t="shared" si="97"/>
        <v>1.7301587301587356E-2</v>
      </c>
      <c r="J692" s="1">
        <f t="shared" si="98"/>
        <v>-3.5200000000000387</v>
      </c>
      <c r="K692" s="9">
        <f t="shared" si="91"/>
        <v>-9.1747901788042496E-3</v>
      </c>
      <c r="L692" s="1">
        <f t="shared" si="92"/>
        <v>1</v>
      </c>
      <c r="M692" s="1">
        <f t="shared" si="93"/>
        <v>384.54</v>
      </c>
      <c r="N692" s="1">
        <f t="shared" si="94"/>
        <v>378</v>
      </c>
      <c r="O692" s="1">
        <f t="shared" si="95"/>
        <v>378.18</v>
      </c>
      <c r="P692" s="1">
        <f t="shared" si="96"/>
        <v>192.94897959183675</v>
      </c>
    </row>
    <row r="693" spans="1:16">
      <c r="A693" s="2">
        <v>42055</v>
      </c>
      <c r="B693" s="1">
        <v>378.62</v>
      </c>
      <c r="C693" s="1">
        <v>383.7</v>
      </c>
      <c r="D693" s="1">
        <v>375.84</v>
      </c>
      <c r="E693" s="1">
        <v>383.66</v>
      </c>
      <c r="F693" s="1">
        <v>3258000</v>
      </c>
      <c r="G693" s="1">
        <v>383.66</v>
      </c>
      <c r="H693" s="1">
        <f t="shared" si="90"/>
        <v>7.8600000000000136</v>
      </c>
      <c r="I693" s="9">
        <f t="shared" si="97"/>
        <v>2.0913154533844226E-2</v>
      </c>
      <c r="J693" s="1">
        <f t="shared" si="98"/>
        <v>4.660000000000025</v>
      </c>
      <c r="K693" s="9">
        <f t="shared" si="91"/>
        <v>1.2295514511873417E-2</v>
      </c>
      <c r="L693" s="1">
        <f t="shared" si="92"/>
        <v>1</v>
      </c>
      <c r="M693" s="1">
        <f t="shared" si="93"/>
        <v>383.7</v>
      </c>
      <c r="N693" s="1">
        <f t="shared" si="94"/>
        <v>375.84</v>
      </c>
      <c r="O693" s="1">
        <f t="shared" si="95"/>
        <v>381.70000000000005</v>
      </c>
      <c r="P693" s="1">
        <f t="shared" si="96"/>
        <v>194.7448979591837</v>
      </c>
    </row>
    <row r="694" spans="1:16">
      <c r="A694" s="2">
        <v>42054</v>
      </c>
      <c r="B694" s="1">
        <v>373.49</v>
      </c>
      <c r="C694" s="1">
        <v>381.88</v>
      </c>
      <c r="D694" s="1">
        <v>373.43</v>
      </c>
      <c r="E694" s="1">
        <v>379</v>
      </c>
      <c r="F694" s="1">
        <v>2953800</v>
      </c>
      <c r="G694" s="1">
        <v>379</v>
      </c>
      <c r="H694" s="1">
        <f t="shared" si="90"/>
        <v>8.4499999999999886</v>
      </c>
      <c r="I694" s="9">
        <f t="shared" si="97"/>
        <v>2.2628069517714133E-2</v>
      </c>
      <c r="J694" s="1">
        <f t="shared" si="98"/>
        <v>5.6299999999999955</v>
      </c>
      <c r="K694" s="9">
        <f t="shared" si="91"/>
        <v>1.507887618180356E-2</v>
      </c>
      <c r="L694" s="1">
        <f t="shared" si="92"/>
        <v>1</v>
      </c>
      <c r="M694" s="1">
        <f t="shared" si="93"/>
        <v>381.88</v>
      </c>
      <c r="N694" s="1">
        <f t="shared" si="94"/>
        <v>373.43</v>
      </c>
      <c r="O694" s="1">
        <f t="shared" si="95"/>
        <v>377.04</v>
      </c>
      <c r="P694" s="1">
        <f t="shared" si="96"/>
        <v>192.36734693877551</v>
      </c>
    </row>
    <row r="695" spans="1:16">
      <c r="A695" s="2">
        <v>42053</v>
      </c>
      <c r="B695" s="1">
        <v>373.78</v>
      </c>
      <c r="C695" s="1">
        <v>376.74</v>
      </c>
      <c r="D695" s="1">
        <v>372.85</v>
      </c>
      <c r="E695" s="1">
        <v>373.37</v>
      </c>
      <c r="F695" s="1">
        <v>2523500</v>
      </c>
      <c r="G695" s="1">
        <v>373.37</v>
      </c>
      <c r="H695" s="1">
        <f t="shared" si="90"/>
        <v>3.8899999999999864</v>
      </c>
      <c r="I695" s="9">
        <f t="shared" si="97"/>
        <v>1.0433150060345946E-2</v>
      </c>
      <c r="J695" s="1">
        <f t="shared" si="98"/>
        <v>-2.0600000000000023</v>
      </c>
      <c r="K695" s="9">
        <f t="shared" si="91"/>
        <v>-5.487041525717184E-3</v>
      </c>
      <c r="L695" s="1">
        <f t="shared" si="92"/>
        <v>1</v>
      </c>
      <c r="M695" s="1">
        <f t="shared" si="93"/>
        <v>376.74</v>
      </c>
      <c r="N695" s="1">
        <f t="shared" si="94"/>
        <v>372.85</v>
      </c>
      <c r="O695" s="1">
        <f t="shared" si="95"/>
        <v>371.41</v>
      </c>
      <c r="P695" s="1">
        <f t="shared" si="96"/>
        <v>189.4948979591837</v>
      </c>
    </row>
    <row r="696" spans="1:16">
      <c r="A696" s="2">
        <v>42052</v>
      </c>
      <c r="B696" s="1">
        <v>377.72</v>
      </c>
      <c r="C696" s="1">
        <v>379.99</v>
      </c>
      <c r="D696" s="1">
        <v>372.67</v>
      </c>
      <c r="E696" s="1">
        <v>375.43</v>
      </c>
      <c r="F696" s="1">
        <v>3673200</v>
      </c>
      <c r="G696" s="1">
        <v>375.43</v>
      </c>
      <c r="H696" s="1">
        <f t="shared" si="90"/>
        <v>7.3199999999999932</v>
      </c>
      <c r="I696" s="9">
        <f t="shared" si="97"/>
        <v>1.9642042557758855E-2</v>
      </c>
      <c r="J696" s="1">
        <f t="shared" si="98"/>
        <v>-6.3999999999999773</v>
      </c>
      <c r="K696" s="9">
        <f t="shared" si="91"/>
        <v>-1.676138595710127E-2</v>
      </c>
      <c r="L696" s="1">
        <f t="shared" si="92"/>
        <v>1</v>
      </c>
      <c r="M696" s="1">
        <f t="shared" si="93"/>
        <v>379.99</v>
      </c>
      <c r="N696" s="1">
        <f t="shared" si="94"/>
        <v>372.67</v>
      </c>
      <c r="O696" s="1">
        <f t="shared" si="95"/>
        <v>373.47</v>
      </c>
      <c r="P696" s="1">
        <f t="shared" si="96"/>
        <v>190.54591836734696</v>
      </c>
    </row>
    <row r="697" spans="1:16">
      <c r="A697" s="2">
        <v>42048</v>
      </c>
      <c r="B697" s="1">
        <v>378.41</v>
      </c>
      <c r="C697" s="1">
        <v>383</v>
      </c>
      <c r="D697" s="1">
        <v>377.01</v>
      </c>
      <c r="E697" s="1">
        <v>381.83</v>
      </c>
      <c r="F697" s="1">
        <v>3475100</v>
      </c>
      <c r="G697" s="1">
        <v>381.83</v>
      </c>
      <c r="H697" s="1">
        <f t="shared" si="90"/>
        <v>5.9900000000000091</v>
      </c>
      <c r="I697" s="9">
        <f t="shared" si="97"/>
        <v>1.5888172727513885E-2</v>
      </c>
      <c r="J697" s="1">
        <f t="shared" si="98"/>
        <v>4.6599999999999682</v>
      </c>
      <c r="K697" s="9">
        <f t="shared" si="91"/>
        <v>1.235517140811827E-2</v>
      </c>
      <c r="L697" s="1">
        <f t="shared" si="92"/>
        <v>1</v>
      </c>
      <c r="M697" s="1">
        <f t="shared" si="93"/>
        <v>383</v>
      </c>
      <c r="N697" s="1">
        <f t="shared" si="94"/>
        <v>377.01</v>
      </c>
      <c r="O697" s="1">
        <f t="shared" si="95"/>
        <v>379.87</v>
      </c>
      <c r="P697" s="1">
        <f t="shared" si="96"/>
        <v>193.81122448979593</v>
      </c>
    </row>
    <row r="698" spans="1:16">
      <c r="A698" s="2">
        <v>42047</v>
      </c>
      <c r="B698" s="1">
        <v>375.1</v>
      </c>
      <c r="C698" s="1">
        <v>378.51</v>
      </c>
      <c r="D698" s="1">
        <v>373.15</v>
      </c>
      <c r="E698" s="1">
        <v>377.17</v>
      </c>
      <c r="F698" s="1">
        <v>2791100</v>
      </c>
      <c r="G698" s="1">
        <v>377.17</v>
      </c>
      <c r="H698" s="1">
        <f t="shared" si="90"/>
        <v>5.3600000000000136</v>
      </c>
      <c r="I698" s="9">
        <f t="shared" si="97"/>
        <v>1.436419670373848E-2</v>
      </c>
      <c r="J698" s="1">
        <f t="shared" si="98"/>
        <v>2.0300000000000296</v>
      </c>
      <c r="K698" s="9">
        <f t="shared" si="91"/>
        <v>5.4113131097724308E-3</v>
      </c>
      <c r="L698" s="1">
        <f t="shared" si="92"/>
        <v>1</v>
      </c>
      <c r="M698" s="1">
        <f t="shared" si="93"/>
        <v>378.51</v>
      </c>
      <c r="N698" s="1">
        <f t="shared" si="94"/>
        <v>373.15</v>
      </c>
      <c r="O698" s="1">
        <f t="shared" si="95"/>
        <v>375.21000000000004</v>
      </c>
      <c r="P698" s="1">
        <f t="shared" si="96"/>
        <v>191.43367346938777</v>
      </c>
    </row>
    <row r="699" spans="1:16">
      <c r="A699" s="2">
        <v>42046</v>
      </c>
      <c r="B699" s="1">
        <v>371.23</v>
      </c>
      <c r="C699" s="1">
        <v>377.1</v>
      </c>
      <c r="D699" s="1">
        <v>371.1</v>
      </c>
      <c r="E699" s="1">
        <v>375.14</v>
      </c>
      <c r="F699" s="1">
        <v>2786500</v>
      </c>
      <c r="G699" s="1">
        <v>375.14</v>
      </c>
      <c r="H699" s="1">
        <f t="shared" si="90"/>
        <v>6</v>
      </c>
      <c r="I699" s="9">
        <f t="shared" si="97"/>
        <v>1.616814874696847E-2</v>
      </c>
      <c r="J699" s="1">
        <f t="shared" si="98"/>
        <v>2.1399999999999864</v>
      </c>
      <c r="K699" s="9">
        <f t="shared" si="91"/>
        <v>5.737265415549561E-3</v>
      </c>
      <c r="L699" s="1">
        <f t="shared" si="92"/>
        <v>1</v>
      </c>
      <c r="M699" s="1">
        <f t="shared" si="93"/>
        <v>377.1</v>
      </c>
      <c r="N699" s="1">
        <f t="shared" si="94"/>
        <v>371.1</v>
      </c>
      <c r="O699" s="1">
        <f t="shared" si="95"/>
        <v>373.18</v>
      </c>
      <c r="P699" s="1">
        <f t="shared" si="96"/>
        <v>190.39795918367346</v>
      </c>
    </row>
    <row r="700" spans="1:16">
      <c r="A700" s="2">
        <v>42045</v>
      </c>
      <c r="B700" s="1">
        <v>371.19</v>
      </c>
      <c r="C700" s="1">
        <v>374.3</v>
      </c>
      <c r="D700" s="1">
        <v>368.51</v>
      </c>
      <c r="E700" s="1">
        <v>373</v>
      </c>
      <c r="F700" s="1">
        <v>2287200</v>
      </c>
      <c r="G700" s="1">
        <v>373</v>
      </c>
      <c r="H700" s="1">
        <f t="shared" si="90"/>
        <v>5.7900000000000205</v>
      </c>
      <c r="I700" s="9">
        <f t="shared" si="97"/>
        <v>1.5711920979077965E-2</v>
      </c>
      <c r="J700" s="1">
        <f t="shared" si="98"/>
        <v>2.4399999999999977</v>
      </c>
      <c r="K700" s="9">
        <f t="shared" si="91"/>
        <v>6.5846286701208923E-3</v>
      </c>
      <c r="L700" s="1">
        <f t="shared" si="92"/>
        <v>1</v>
      </c>
      <c r="M700" s="1">
        <f t="shared" si="93"/>
        <v>374.3</v>
      </c>
      <c r="N700" s="1">
        <f t="shared" si="94"/>
        <v>368.51</v>
      </c>
      <c r="O700" s="1">
        <f t="shared" si="95"/>
        <v>371.04</v>
      </c>
      <c r="P700" s="1">
        <f t="shared" si="96"/>
        <v>189.30612244897961</v>
      </c>
    </row>
    <row r="701" spans="1:16">
      <c r="A701" s="2">
        <v>42044</v>
      </c>
      <c r="B701" s="1">
        <v>371</v>
      </c>
      <c r="C701" s="1">
        <v>374.41</v>
      </c>
      <c r="D701" s="1">
        <v>367.2</v>
      </c>
      <c r="E701" s="1">
        <v>370.56</v>
      </c>
      <c r="F701" s="1">
        <v>2724600</v>
      </c>
      <c r="G701" s="1">
        <v>370.56</v>
      </c>
      <c r="H701" s="1">
        <f t="shared" si="90"/>
        <v>7.2100000000000364</v>
      </c>
      <c r="I701" s="9">
        <f t="shared" si="97"/>
        <v>1.9635076252723413E-2</v>
      </c>
      <c r="J701" s="1">
        <f t="shared" si="98"/>
        <v>-3.7199999999999704</v>
      </c>
      <c r="K701" s="9">
        <f t="shared" si="91"/>
        <v>-9.9390830394356384E-3</v>
      </c>
      <c r="L701" s="1">
        <f t="shared" si="92"/>
        <v>1</v>
      </c>
      <c r="M701" s="1">
        <f t="shared" si="93"/>
        <v>374.41</v>
      </c>
      <c r="N701" s="1">
        <f t="shared" si="94"/>
        <v>367.2</v>
      </c>
      <c r="O701" s="1">
        <f t="shared" si="95"/>
        <v>368.6</v>
      </c>
      <c r="P701" s="1">
        <f t="shared" si="96"/>
        <v>188.06122448979593</v>
      </c>
    </row>
    <row r="702" spans="1:16">
      <c r="A702" s="2">
        <v>42041</v>
      </c>
      <c r="B702" s="1">
        <v>374.87</v>
      </c>
      <c r="C702" s="1">
        <v>375.99</v>
      </c>
      <c r="D702" s="1">
        <v>371.01</v>
      </c>
      <c r="E702" s="1">
        <v>374.28</v>
      </c>
      <c r="F702" s="1">
        <v>3871300</v>
      </c>
      <c r="G702" s="1">
        <v>374.28</v>
      </c>
      <c r="H702" s="1">
        <f t="shared" si="90"/>
        <v>4.9800000000000182</v>
      </c>
      <c r="I702" s="9">
        <f t="shared" si="97"/>
        <v>1.3422818791946359E-2</v>
      </c>
      <c r="J702" s="1">
        <f t="shared" si="98"/>
        <v>0.38999999999998636</v>
      </c>
      <c r="K702" s="9">
        <f t="shared" si="91"/>
        <v>1.0430875391157462E-3</v>
      </c>
      <c r="L702" s="1">
        <f t="shared" si="92"/>
        <v>1</v>
      </c>
      <c r="M702" s="1">
        <f t="shared" si="93"/>
        <v>375.99</v>
      </c>
      <c r="N702" s="1">
        <f t="shared" si="94"/>
        <v>371.01</v>
      </c>
      <c r="O702" s="1">
        <f t="shared" si="95"/>
        <v>372.32</v>
      </c>
      <c r="P702" s="1">
        <f t="shared" si="96"/>
        <v>189.9591836734694</v>
      </c>
    </row>
    <row r="703" spans="1:16">
      <c r="A703" s="2">
        <v>42040</v>
      </c>
      <c r="B703" s="1">
        <v>366</v>
      </c>
      <c r="C703" s="1">
        <v>378.8</v>
      </c>
      <c r="D703" s="1">
        <v>365.9</v>
      </c>
      <c r="E703" s="1">
        <v>373.89</v>
      </c>
      <c r="F703" s="1">
        <v>7247600</v>
      </c>
      <c r="G703" s="1">
        <v>373.89</v>
      </c>
      <c r="H703" s="1">
        <f t="shared" si="90"/>
        <v>12.900000000000034</v>
      </c>
      <c r="I703" s="9">
        <f t="shared" si="97"/>
        <v>3.5255534298988887E-2</v>
      </c>
      <c r="J703" s="1">
        <f t="shared" si="98"/>
        <v>9.1399999999999864</v>
      </c>
      <c r="K703" s="9">
        <f t="shared" si="91"/>
        <v>2.5058259081562676E-2</v>
      </c>
      <c r="L703" s="1">
        <f t="shared" si="92"/>
        <v>1</v>
      </c>
      <c r="M703" s="1">
        <f t="shared" si="93"/>
        <v>378.8</v>
      </c>
      <c r="N703" s="1">
        <f t="shared" si="94"/>
        <v>365.9</v>
      </c>
      <c r="O703" s="1">
        <f t="shared" si="95"/>
        <v>371.93</v>
      </c>
      <c r="P703" s="1">
        <f t="shared" si="96"/>
        <v>189.76020408163265</v>
      </c>
    </row>
    <row r="704" spans="1:16">
      <c r="A704" s="2">
        <v>42039</v>
      </c>
      <c r="B704" s="1">
        <v>358.38</v>
      </c>
      <c r="C704" s="1">
        <v>367.5</v>
      </c>
      <c r="D704" s="1">
        <v>358.23</v>
      </c>
      <c r="E704" s="1">
        <v>364.75</v>
      </c>
      <c r="F704" s="1">
        <v>4169900</v>
      </c>
      <c r="G704" s="1">
        <v>364.75</v>
      </c>
      <c r="H704" s="1">
        <f t="shared" si="90"/>
        <v>9.2699999999999818</v>
      </c>
      <c r="I704" s="9">
        <f t="shared" si="97"/>
        <v>2.5877229712754322E-2</v>
      </c>
      <c r="J704" s="1">
        <f t="shared" si="98"/>
        <v>1.1999999999999886</v>
      </c>
      <c r="K704" s="9">
        <f t="shared" si="91"/>
        <v>3.3007839361848127E-3</v>
      </c>
      <c r="L704" s="1">
        <f t="shared" si="92"/>
        <v>1</v>
      </c>
      <c r="M704" s="1">
        <f t="shared" si="93"/>
        <v>367.5</v>
      </c>
      <c r="N704" s="1">
        <f t="shared" si="94"/>
        <v>358.23</v>
      </c>
      <c r="O704" s="1">
        <f t="shared" si="95"/>
        <v>362.79</v>
      </c>
      <c r="P704" s="1">
        <f t="shared" si="96"/>
        <v>185.09693877551021</v>
      </c>
    </row>
    <row r="705" spans="1:16">
      <c r="A705" s="2">
        <v>42038</v>
      </c>
      <c r="B705" s="1">
        <v>360.29</v>
      </c>
      <c r="C705" s="1">
        <v>367.82</v>
      </c>
      <c r="D705" s="1">
        <v>360.21</v>
      </c>
      <c r="E705" s="1">
        <v>363.55</v>
      </c>
      <c r="F705" s="1">
        <v>6204100</v>
      </c>
      <c r="G705" s="1">
        <v>363.55</v>
      </c>
      <c r="H705" s="1">
        <f t="shared" si="90"/>
        <v>7.6100000000000136</v>
      </c>
      <c r="I705" s="9">
        <f t="shared" si="97"/>
        <v>2.1126565059271019E-2</v>
      </c>
      <c r="J705" s="1">
        <f t="shared" si="98"/>
        <v>-0.92000000000001592</v>
      </c>
      <c r="K705" s="9">
        <f t="shared" si="91"/>
        <v>-2.5242132411447192E-3</v>
      </c>
      <c r="L705" s="1">
        <f t="shared" si="92"/>
        <v>1</v>
      </c>
      <c r="M705" s="1">
        <f t="shared" si="93"/>
        <v>367.82</v>
      </c>
      <c r="N705" s="1">
        <f t="shared" si="94"/>
        <v>360.21</v>
      </c>
      <c r="O705" s="1">
        <f t="shared" si="95"/>
        <v>361.59000000000003</v>
      </c>
      <c r="P705" s="1">
        <f t="shared" si="96"/>
        <v>184.48469387755105</v>
      </c>
    </row>
    <row r="706" spans="1:16">
      <c r="A706" s="2">
        <v>42037</v>
      </c>
      <c r="B706" s="1">
        <v>350.05</v>
      </c>
      <c r="C706" s="1">
        <v>365</v>
      </c>
      <c r="D706" s="1">
        <v>350.01</v>
      </c>
      <c r="E706" s="1">
        <v>364.47</v>
      </c>
      <c r="F706" s="1">
        <v>10231900</v>
      </c>
      <c r="G706" s="1">
        <v>364.47</v>
      </c>
      <c r="H706" s="1">
        <f t="shared" si="90"/>
        <v>14.990000000000009</v>
      </c>
      <c r="I706" s="9">
        <f t="shared" si="97"/>
        <v>4.2827347790063169E-2</v>
      </c>
      <c r="J706" s="1">
        <f t="shared" si="98"/>
        <v>9.9400000000000546</v>
      </c>
      <c r="K706" s="9">
        <f t="shared" si="91"/>
        <v>2.80371195667505E-2</v>
      </c>
      <c r="L706" s="1">
        <f t="shared" si="92"/>
        <v>1</v>
      </c>
      <c r="M706" s="1">
        <f t="shared" si="93"/>
        <v>365</v>
      </c>
      <c r="N706" s="1">
        <f t="shared" si="94"/>
        <v>350.01</v>
      </c>
      <c r="O706" s="1">
        <f t="shared" si="95"/>
        <v>362.51000000000005</v>
      </c>
      <c r="P706" s="1">
        <f t="shared" si="96"/>
        <v>184.9540816326531</v>
      </c>
    </row>
    <row r="707" spans="1:16">
      <c r="A707" s="2">
        <v>42034</v>
      </c>
      <c r="B707" s="1">
        <v>346.32</v>
      </c>
      <c r="C707" s="1">
        <v>359.5</v>
      </c>
      <c r="D707" s="1">
        <v>340.74</v>
      </c>
      <c r="E707" s="1">
        <v>354.53</v>
      </c>
      <c r="F707" s="1">
        <v>23856100</v>
      </c>
      <c r="G707" s="1">
        <v>354.53</v>
      </c>
      <c r="H707" s="1">
        <f t="shared" ref="H707:H770" si="99">C707-D707</f>
        <v>18.759999999999991</v>
      </c>
      <c r="I707" s="9">
        <f t="shared" si="97"/>
        <v>5.5056641427481338E-2</v>
      </c>
      <c r="J707" s="1">
        <f t="shared" si="98"/>
        <v>42.75</v>
      </c>
      <c r="K707" s="9">
        <f t="shared" ref="K707:K770" si="100">(G707-G708)/G708</f>
        <v>0.13711591506831741</v>
      </c>
      <c r="L707" s="1">
        <f t="shared" ref="L707:L770" si="101">G707/E707</f>
        <v>1</v>
      </c>
      <c r="M707" s="1">
        <f t="shared" ref="M707:M770" si="102">L707*C707</f>
        <v>359.5</v>
      </c>
      <c r="N707" s="1">
        <f t="shared" ref="N707:N770" si="103">L707*D707</f>
        <v>340.74</v>
      </c>
      <c r="O707" s="1">
        <f t="shared" ref="O707:O770" si="104">G707-$G$5163</f>
        <v>352.57</v>
      </c>
      <c r="P707" s="1">
        <f t="shared" ref="P707:P770" si="105">(G707-$G$5163)/$G$5163</f>
        <v>179.88265306122449</v>
      </c>
    </row>
    <row r="708" spans="1:16">
      <c r="A708" s="2">
        <v>42033</v>
      </c>
      <c r="B708" s="1">
        <v>304.73</v>
      </c>
      <c r="C708" s="1">
        <v>312.8</v>
      </c>
      <c r="D708" s="1">
        <v>299.33</v>
      </c>
      <c r="E708" s="1">
        <v>311.77999999999997</v>
      </c>
      <c r="F708" s="1">
        <v>8656600</v>
      </c>
      <c r="G708" s="1">
        <v>311.77999999999997</v>
      </c>
      <c r="H708" s="1">
        <f t="shared" si="99"/>
        <v>13.470000000000027</v>
      </c>
      <c r="I708" s="9">
        <f t="shared" ref="I708:I771" si="106">(C708-D708)/D708</f>
        <v>4.5000501119166231E-2</v>
      </c>
      <c r="J708" s="1">
        <f t="shared" ref="J708:J771" si="107">G708-G709</f>
        <v>7.8699999999999477</v>
      </c>
      <c r="K708" s="9">
        <f t="shared" si="100"/>
        <v>2.5895824421703621E-2</v>
      </c>
      <c r="L708" s="1">
        <f t="shared" si="101"/>
        <v>1</v>
      </c>
      <c r="M708" s="1">
        <f t="shared" si="102"/>
        <v>312.8</v>
      </c>
      <c r="N708" s="1">
        <f t="shared" si="103"/>
        <v>299.33</v>
      </c>
      <c r="O708" s="1">
        <f t="shared" si="104"/>
        <v>309.82</v>
      </c>
      <c r="P708" s="1">
        <f t="shared" si="105"/>
        <v>158.07142857142858</v>
      </c>
    </row>
    <row r="709" spans="1:16">
      <c r="A709" s="2">
        <v>42032</v>
      </c>
      <c r="B709" s="1">
        <v>309.81</v>
      </c>
      <c r="C709" s="1">
        <v>311.51</v>
      </c>
      <c r="D709" s="1">
        <v>303.8</v>
      </c>
      <c r="E709" s="1">
        <v>303.91000000000003</v>
      </c>
      <c r="F709" s="1">
        <v>3063800</v>
      </c>
      <c r="G709" s="1">
        <v>303.91000000000003</v>
      </c>
      <c r="H709" s="1">
        <f t="shared" si="99"/>
        <v>7.7099999999999795</v>
      </c>
      <c r="I709" s="9">
        <f t="shared" si="106"/>
        <v>2.5378538512178996E-2</v>
      </c>
      <c r="J709" s="1">
        <f t="shared" si="107"/>
        <v>-2.839999999999975</v>
      </c>
      <c r="K709" s="9">
        <f t="shared" si="100"/>
        <v>-9.2583537082313767E-3</v>
      </c>
      <c r="L709" s="1">
        <f t="shared" si="101"/>
        <v>1</v>
      </c>
      <c r="M709" s="1">
        <f t="shared" si="102"/>
        <v>311.51</v>
      </c>
      <c r="N709" s="1">
        <f t="shared" si="103"/>
        <v>303.8</v>
      </c>
      <c r="O709" s="1">
        <f t="shared" si="104"/>
        <v>301.95000000000005</v>
      </c>
      <c r="P709" s="1">
        <f t="shared" si="105"/>
        <v>154.05612244897961</v>
      </c>
    </row>
    <row r="710" spans="1:16">
      <c r="A710" s="2">
        <v>42031</v>
      </c>
      <c r="B710" s="1">
        <v>306.3</v>
      </c>
      <c r="C710" s="1">
        <v>310.24</v>
      </c>
      <c r="D710" s="1">
        <v>302.63</v>
      </c>
      <c r="E710" s="1">
        <v>306.75</v>
      </c>
      <c r="F710" s="1">
        <v>2920300</v>
      </c>
      <c r="G710" s="1">
        <v>306.75</v>
      </c>
      <c r="H710" s="1">
        <f t="shared" si="99"/>
        <v>7.6100000000000136</v>
      </c>
      <c r="I710" s="9">
        <f t="shared" si="106"/>
        <v>2.5146218154181721E-2</v>
      </c>
      <c r="J710" s="1">
        <f t="shared" si="107"/>
        <v>-2.910000000000025</v>
      </c>
      <c r="K710" s="9">
        <f t="shared" si="100"/>
        <v>-9.3974036039528031E-3</v>
      </c>
      <c r="L710" s="1">
        <f t="shared" si="101"/>
        <v>1</v>
      </c>
      <c r="M710" s="1">
        <f t="shared" si="102"/>
        <v>310.24</v>
      </c>
      <c r="N710" s="1">
        <f t="shared" si="103"/>
        <v>302.63</v>
      </c>
      <c r="O710" s="1">
        <f t="shared" si="104"/>
        <v>304.79000000000002</v>
      </c>
      <c r="P710" s="1">
        <f t="shared" si="105"/>
        <v>155.50510204081635</v>
      </c>
    </row>
    <row r="711" spans="1:16">
      <c r="A711" s="2">
        <v>42030</v>
      </c>
      <c r="B711" s="1">
        <v>311.82</v>
      </c>
      <c r="C711" s="1">
        <v>313</v>
      </c>
      <c r="D711" s="1">
        <v>307.52</v>
      </c>
      <c r="E711" s="1">
        <v>309.66000000000003</v>
      </c>
      <c r="F711" s="1">
        <v>3169700</v>
      </c>
      <c r="G711" s="1">
        <v>309.66000000000003</v>
      </c>
      <c r="H711" s="1">
        <f t="shared" si="99"/>
        <v>5.4800000000000182</v>
      </c>
      <c r="I711" s="9">
        <f t="shared" si="106"/>
        <v>1.7819979188345533E-2</v>
      </c>
      <c r="J711" s="1">
        <f t="shared" si="107"/>
        <v>-2.7299999999999613</v>
      </c>
      <c r="K711" s="9">
        <f t="shared" si="100"/>
        <v>-8.7390761548063692E-3</v>
      </c>
      <c r="L711" s="1">
        <f t="shared" si="101"/>
        <v>1</v>
      </c>
      <c r="M711" s="1">
        <f t="shared" si="102"/>
        <v>313</v>
      </c>
      <c r="N711" s="1">
        <f t="shared" si="103"/>
        <v>307.52</v>
      </c>
      <c r="O711" s="1">
        <f t="shared" si="104"/>
        <v>307.70000000000005</v>
      </c>
      <c r="P711" s="1">
        <f t="shared" si="105"/>
        <v>156.98979591836738</v>
      </c>
    </row>
    <row r="712" spans="1:16">
      <c r="A712" s="2">
        <v>42027</v>
      </c>
      <c r="B712" s="1">
        <v>308.08</v>
      </c>
      <c r="C712" s="1">
        <v>316.93</v>
      </c>
      <c r="D712" s="1">
        <v>307.72000000000003</v>
      </c>
      <c r="E712" s="1">
        <v>312.39</v>
      </c>
      <c r="F712" s="1">
        <v>4467100</v>
      </c>
      <c r="G712" s="1">
        <v>312.39</v>
      </c>
      <c r="H712" s="1">
        <f t="shared" si="99"/>
        <v>9.2099999999999795</v>
      </c>
      <c r="I712" s="9">
        <f t="shared" si="106"/>
        <v>2.9929806317431362E-2</v>
      </c>
      <c r="J712" s="1">
        <f t="shared" si="107"/>
        <v>2.0699999999999932</v>
      </c>
      <c r="K712" s="9">
        <f t="shared" si="100"/>
        <v>6.6705336426913934E-3</v>
      </c>
      <c r="L712" s="1">
        <f t="shared" si="101"/>
        <v>1</v>
      </c>
      <c r="M712" s="1">
        <f t="shared" si="102"/>
        <v>316.93</v>
      </c>
      <c r="N712" s="1">
        <f t="shared" si="103"/>
        <v>307.72000000000003</v>
      </c>
      <c r="O712" s="1">
        <f t="shared" si="104"/>
        <v>310.43</v>
      </c>
      <c r="P712" s="1">
        <f t="shared" si="105"/>
        <v>158.38265306122449</v>
      </c>
    </row>
    <row r="713" spans="1:16">
      <c r="A713" s="2">
        <v>42026</v>
      </c>
      <c r="B713" s="1">
        <v>300</v>
      </c>
      <c r="C713" s="1">
        <v>312.25</v>
      </c>
      <c r="D713" s="1">
        <v>300</v>
      </c>
      <c r="E713" s="1">
        <v>310.32</v>
      </c>
      <c r="F713" s="1">
        <v>5362600</v>
      </c>
      <c r="G713" s="1">
        <v>310.32</v>
      </c>
      <c r="H713" s="1">
        <f t="shared" si="99"/>
        <v>12.25</v>
      </c>
      <c r="I713" s="9">
        <f t="shared" si="106"/>
        <v>4.0833333333333333E-2</v>
      </c>
      <c r="J713" s="1">
        <f t="shared" si="107"/>
        <v>13.069999999999993</v>
      </c>
      <c r="K713" s="9">
        <f t="shared" si="100"/>
        <v>4.3969722455845225E-2</v>
      </c>
      <c r="L713" s="1">
        <f t="shared" si="101"/>
        <v>1</v>
      </c>
      <c r="M713" s="1">
        <f t="shared" si="102"/>
        <v>312.25</v>
      </c>
      <c r="N713" s="1">
        <f t="shared" si="103"/>
        <v>300</v>
      </c>
      <c r="O713" s="1">
        <f t="shared" si="104"/>
        <v>308.36</v>
      </c>
      <c r="P713" s="1">
        <f t="shared" si="105"/>
        <v>157.32653061224491</v>
      </c>
    </row>
    <row r="714" spans="1:16">
      <c r="A714" s="2">
        <v>42025</v>
      </c>
      <c r="B714" s="1">
        <v>289.64</v>
      </c>
      <c r="C714" s="1">
        <v>306</v>
      </c>
      <c r="D714" s="1">
        <v>287.26</v>
      </c>
      <c r="E714" s="1">
        <v>297.25</v>
      </c>
      <c r="F714" s="1">
        <v>10065100</v>
      </c>
      <c r="G714" s="1">
        <v>297.25</v>
      </c>
      <c r="H714" s="1">
        <f t="shared" si="99"/>
        <v>18.740000000000009</v>
      </c>
      <c r="I714" s="9">
        <f t="shared" si="106"/>
        <v>6.5237067465014301E-2</v>
      </c>
      <c r="J714" s="1">
        <f t="shared" si="107"/>
        <v>7.8100000000000023</v>
      </c>
      <c r="K714" s="9">
        <f t="shared" si="100"/>
        <v>2.6983139856274194E-2</v>
      </c>
      <c r="L714" s="1">
        <f t="shared" si="101"/>
        <v>1</v>
      </c>
      <c r="M714" s="1">
        <f t="shared" si="102"/>
        <v>306</v>
      </c>
      <c r="N714" s="1">
        <f t="shared" si="103"/>
        <v>287.26</v>
      </c>
      <c r="O714" s="1">
        <f t="shared" si="104"/>
        <v>295.29000000000002</v>
      </c>
      <c r="P714" s="1">
        <f t="shared" si="105"/>
        <v>150.65816326530614</v>
      </c>
    </row>
    <row r="715" spans="1:16">
      <c r="A715" s="2">
        <v>42024</v>
      </c>
      <c r="B715" s="1">
        <v>292.58999999999997</v>
      </c>
      <c r="C715" s="1">
        <v>293.36</v>
      </c>
      <c r="D715" s="1">
        <v>286.39</v>
      </c>
      <c r="E715" s="1">
        <v>289.44</v>
      </c>
      <c r="F715" s="1">
        <v>3062500</v>
      </c>
      <c r="G715" s="1">
        <v>289.44</v>
      </c>
      <c r="H715" s="1">
        <f t="shared" si="99"/>
        <v>6.9700000000000273</v>
      </c>
      <c r="I715" s="9">
        <f t="shared" si="106"/>
        <v>2.4337441949788846E-2</v>
      </c>
      <c r="J715" s="1">
        <f t="shared" si="107"/>
        <v>-1.3000000000000114</v>
      </c>
      <c r="K715" s="9">
        <f t="shared" si="100"/>
        <v>-4.4713489715897756E-3</v>
      </c>
      <c r="L715" s="1">
        <f t="shared" si="101"/>
        <v>1</v>
      </c>
      <c r="M715" s="1">
        <f t="shared" si="102"/>
        <v>293.36</v>
      </c>
      <c r="N715" s="1">
        <f t="shared" si="103"/>
        <v>286.39</v>
      </c>
      <c r="O715" s="1">
        <f t="shared" si="104"/>
        <v>287.48</v>
      </c>
      <c r="P715" s="1">
        <f t="shared" si="105"/>
        <v>146.67346938775512</v>
      </c>
    </row>
    <row r="716" spans="1:16">
      <c r="A716" s="2">
        <v>42020</v>
      </c>
      <c r="B716" s="1">
        <v>286.27999999999997</v>
      </c>
      <c r="C716" s="1">
        <v>290.79000000000002</v>
      </c>
      <c r="D716" s="1">
        <v>285.25</v>
      </c>
      <c r="E716" s="1">
        <v>290.74</v>
      </c>
      <c r="F716" s="1">
        <v>3478200</v>
      </c>
      <c r="G716" s="1">
        <v>290.74</v>
      </c>
      <c r="H716" s="1">
        <f t="shared" si="99"/>
        <v>5.5400000000000205</v>
      </c>
      <c r="I716" s="9">
        <f t="shared" si="106"/>
        <v>1.9421560035057038E-2</v>
      </c>
      <c r="J716" s="1">
        <f t="shared" si="107"/>
        <v>3.7900000000000205</v>
      </c>
      <c r="K716" s="9">
        <f t="shared" si="100"/>
        <v>1.3207875936574388E-2</v>
      </c>
      <c r="L716" s="1">
        <f t="shared" si="101"/>
        <v>1</v>
      </c>
      <c r="M716" s="1">
        <f t="shared" si="102"/>
        <v>290.79000000000002</v>
      </c>
      <c r="N716" s="1">
        <f t="shared" si="103"/>
        <v>285.25</v>
      </c>
      <c r="O716" s="1">
        <f t="shared" si="104"/>
        <v>288.78000000000003</v>
      </c>
      <c r="P716" s="1">
        <f t="shared" si="105"/>
        <v>147.33673469387756</v>
      </c>
    </row>
    <row r="717" spans="1:16">
      <c r="A717" s="2">
        <v>42019</v>
      </c>
      <c r="B717" s="1">
        <v>294</v>
      </c>
      <c r="C717" s="1">
        <v>296</v>
      </c>
      <c r="D717" s="1">
        <v>286.82</v>
      </c>
      <c r="E717" s="1">
        <v>286.95</v>
      </c>
      <c r="F717" s="1">
        <v>4419200</v>
      </c>
      <c r="G717" s="1">
        <v>286.95</v>
      </c>
      <c r="H717" s="1">
        <f t="shared" si="99"/>
        <v>9.1800000000000068</v>
      </c>
      <c r="I717" s="9">
        <f t="shared" si="106"/>
        <v>3.2006136252702065E-2</v>
      </c>
      <c r="J717" s="1">
        <f t="shared" si="107"/>
        <v>-6.3199999999999932</v>
      </c>
      <c r="K717" s="9">
        <f t="shared" si="100"/>
        <v>-2.1550107409554313E-2</v>
      </c>
      <c r="L717" s="1">
        <f t="shared" si="101"/>
        <v>1</v>
      </c>
      <c r="M717" s="1">
        <f t="shared" si="102"/>
        <v>296</v>
      </c>
      <c r="N717" s="1">
        <f t="shared" si="103"/>
        <v>286.82</v>
      </c>
      <c r="O717" s="1">
        <f t="shared" si="104"/>
        <v>284.99</v>
      </c>
      <c r="P717" s="1">
        <f t="shared" si="105"/>
        <v>145.40306122448979</v>
      </c>
    </row>
    <row r="718" spans="1:16">
      <c r="A718" s="2">
        <v>42018</v>
      </c>
      <c r="B718" s="1">
        <v>291.93</v>
      </c>
      <c r="C718" s="1">
        <v>295.91000000000003</v>
      </c>
      <c r="D718" s="1">
        <v>286.5</v>
      </c>
      <c r="E718" s="1">
        <v>293.27</v>
      </c>
      <c r="F718" s="1">
        <v>5538700</v>
      </c>
      <c r="G718" s="1">
        <v>293.27</v>
      </c>
      <c r="H718" s="1">
        <f t="shared" si="99"/>
        <v>9.410000000000025</v>
      </c>
      <c r="I718" s="9">
        <f t="shared" si="106"/>
        <v>3.284467713787094E-2</v>
      </c>
      <c r="J718" s="1">
        <f t="shared" si="107"/>
        <v>-1.4700000000000273</v>
      </c>
      <c r="K718" s="9">
        <f t="shared" si="100"/>
        <v>-4.9874465630726306E-3</v>
      </c>
      <c r="L718" s="1">
        <f t="shared" si="101"/>
        <v>1</v>
      </c>
      <c r="M718" s="1">
        <f t="shared" si="102"/>
        <v>295.91000000000003</v>
      </c>
      <c r="N718" s="1">
        <f t="shared" si="103"/>
        <v>286.5</v>
      </c>
      <c r="O718" s="1">
        <f t="shared" si="104"/>
        <v>291.31</v>
      </c>
      <c r="P718" s="1">
        <f t="shared" si="105"/>
        <v>148.62755102040816</v>
      </c>
    </row>
    <row r="719" spans="1:16">
      <c r="A719" s="2">
        <v>42017</v>
      </c>
      <c r="B719" s="1">
        <v>297.48</v>
      </c>
      <c r="C719" s="1">
        <v>301.5</v>
      </c>
      <c r="D719" s="1">
        <v>293.23</v>
      </c>
      <c r="E719" s="1">
        <v>294.74</v>
      </c>
      <c r="F719" s="1">
        <v>4130900</v>
      </c>
      <c r="G719" s="1">
        <v>294.74</v>
      </c>
      <c r="H719" s="1">
        <f t="shared" si="99"/>
        <v>8.2699999999999818</v>
      </c>
      <c r="I719" s="9">
        <f t="shared" si="106"/>
        <v>2.8203117007127448E-2</v>
      </c>
      <c r="J719" s="1">
        <f t="shared" si="107"/>
        <v>3.3299999999999841</v>
      </c>
      <c r="K719" s="9">
        <f t="shared" si="100"/>
        <v>1.1427198792079832E-2</v>
      </c>
      <c r="L719" s="1">
        <f t="shared" si="101"/>
        <v>1</v>
      </c>
      <c r="M719" s="1">
        <f t="shared" si="102"/>
        <v>301.5</v>
      </c>
      <c r="N719" s="1">
        <f t="shared" si="103"/>
        <v>293.23</v>
      </c>
      <c r="O719" s="1">
        <f t="shared" si="104"/>
        <v>292.78000000000003</v>
      </c>
      <c r="P719" s="1">
        <f t="shared" si="105"/>
        <v>149.37755102040819</v>
      </c>
    </row>
    <row r="720" spans="1:16">
      <c r="A720" s="2">
        <v>42016</v>
      </c>
      <c r="B720" s="1">
        <v>297.56</v>
      </c>
      <c r="C720" s="1">
        <v>298.51</v>
      </c>
      <c r="D720" s="1">
        <v>289.27999999999997</v>
      </c>
      <c r="E720" s="1">
        <v>291.41000000000003</v>
      </c>
      <c r="F720" s="1">
        <v>3421400</v>
      </c>
      <c r="G720" s="1">
        <v>291.41000000000003</v>
      </c>
      <c r="H720" s="1">
        <f t="shared" si="99"/>
        <v>9.2300000000000182</v>
      </c>
      <c r="I720" s="9">
        <f t="shared" si="106"/>
        <v>3.1906803097345199E-2</v>
      </c>
      <c r="J720" s="1">
        <f t="shared" si="107"/>
        <v>-5.5199999999999818</v>
      </c>
      <c r="K720" s="9">
        <f t="shared" si="100"/>
        <v>-1.8590240123934874E-2</v>
      </c>
      <c r="L720" s="1">
        <f t="shared" si="101"/>
        <v>1</v>
      </c>
      <c r="M720" s="1">
        <f t="shared" si="102"/>
        <v>298.51</v>
      </c>
      <c r="N720" s="1">
        <f t="shared" si="103"/>
        <v>289.27999999999997</v>
      </c>
      <c r="O720" s="1">
        <f t="shared" si="104"/>
        <v>289.45000000000005</v>
      </c>
      <c r="P720" s="1">
        <f t="shared" si="105"/>
        <v>147.67857142857144</v>
      </c>
    </row>
    <row r="721" spans="1:16">
      <c r="A721" s="2">
        <v>42013</v>
      </c>
      <c r="B721" s="1">
        <v>301.48</v>
      </c>
      <c r="C721" s="1">
        <v>302.87</v>
      </c>
      <c r="D721" s="1">
        <v>296.68</v>
      </c>
      <c r="E721" s="1">
        <v>296.93</v>
      </c>
      <c r="F721" s="1">
        <v>2589500</v>
      </c>
      <c r="G721" s="1">
        <v>296.93</v>
      </c>
      <c r="H721" s="1">
        <f t="shared" si="99"/>
        <v>6.1899999999999977</v>
      </c>
      <c r="I721" s="9">
        <f t="shared" si="106"/>
        <v>2.0864230821086686E-2</v>
      </c>
      <c r="J721" s="1">
        <f t="shared" si="107"/>
        <v>-3.5299999999999727</v>
      </c>
      <c r="K721" s="9">
        <f t="shared" si="100"/>
        <v>-1.174865206683077E-2</v>
      </c>
      <c r="L721" s="1">
        <f t="shared" si="101"/>
        <v>1</v>
      </c>
      <c r="M721" s="1">
        <f t="shared" si="102"/>
        <v>302.87</v>
      </c>
      <c r="N721" s="1">
        <f t="shared" si="103"/>
        <v>296.68</v>
      </c>
      <c r="O721" s="1">
        <f t="shared" si="104"/>
        <v>294.97000000000003</v>
      </c>
      <c r="P721" s="1">
        <f t="shared" si="105"/>
        <v>150.4948979591837</v>
      </c>
    </row>
    <row r="722" spans="1:16">
      <c r="A722" s="2">
        <v>42012</v>
      </c>
      <c r="B722" s="1">
        <v>300.32</v>
      </c>
      <c r="C722" s="1">
        <v>303.14</v>
      </c>
      <c r="D722" s="1">
        <v>296.11</v>
      </c>
      <c r="E722" s="1">
        <v>300.45999999999998</v>
      </c>
      <c r="F722" s="1">
        <v>3088400</v>
      </c>
      <c r="G722" s="1">
        <v>300.45999999999998</v>
      </c>
      <c r="H722" s="1">
        <f t="shared" si="99"/>
        <v>7.0299999999999727</v>
      </c>
      <c r="I722" s="9">
        <f t="shared" si="106"/>
        <v>2.3741177265205405E-2</v>
      </c>
      <c r="J722" s="1">
        <f t="shared" si="107"/>
        <v>2.0399999999999636</v>
      </c>
      <c r="K722" s="9">
        <f t="shared" si="100"/>
        <v>6.8360029488638945E-3</v>
      </c>
      <c r="L722" s="1">
        <f t="shared" si="101"/>
        <v>1</v>
      </c>
      <c r="M722" s="1">
        <f t="shared" si="102"/>
        <v>303.14</v>
      </c>
      <c r="N722" s="1">
        <f t="shared" si="103"/>
        <v>296.11</v>
      </c>
      <c r="O722" s="1">
        <f t="shared" si="104"/>
        <v>298.5</v>
      </c>
      <c r="P722" s="1">
        <f t="shared" si="105"/>
        <v>152.29591836734693</v>
      </c>
    </row>
    <row r="723" spans="1:16">
      <c r="A723" s="2">
        <v>42011</v>
      </c>
      <c r="B723" s="1">
        <v>297.5</v>
      </c>
      <c r="C723" s="1">
        <v>301.27999999999997</v>
      </c>
      <c r="D723" s="1">
        <v>295.33</v>
      </c>
      <c r="E723" s="1">
        <v>298.42</v>
      </c>
      <c r="F723" s="1">
        <v>2640300</v>
      </c>
      <c r="G723" s="1">
        <v>298.42</v>
      </c>
      <c r="H723" s="1">
        <f t="shared" si="99"/>
        <v>5.9499999999999886</v>
      </c>
      <c r="I723" s="9">
        <f t="shared" si="106"/>
        <v>2.0146954254562654E-2</v>
      </c>
      <c r="J723" s="1">
        <f t="shared" si="107"/>
        <v>3.1299999999999955</v>
      </c>
      <c r="K723" s="9">
        <f t="shared" si="100"/>
        <v>1.0599749398895984E-2</v>
      </c>
      <c r="L723" s="1">
        <f t="shared" si="101"/>
        <v>1</v>
      </c>
      <c r="M723" s="1">
        <f t="shared" si="102"/>
        <v>301.27999999999997</v>
      </c>
      <c r="N723" s="1">
        <f t="shared" si="103"/>
        <v>295.33</v>
      </c>
      <c r="O723" s="1">
        <f t="shared" si="104"/>
        <v>296.46000000000004</v>
      </c>
      <c r="P723" s="1">
        <f t="shared" si="105"/>
        <v>151.25510204081635</v>
      </c>
    </row>
    <row r="724" spans="1:16">
      <c r="A724" s="2">
        <v>42010</v>
      </c>
      <c r="B724" s="1">
        <v>302.24</v>
      </c>
      <c r="C724" s="1">
        <v>303</v>
      </c>
      <c r="D724" s="1">
        <v>292.38</v>
      </c>
      <c r="E724" s="1">
        <v>295.29000000000002</v>
      </c>
      <c r="F724" s="1">
        <v>3519000</v>
      </c>
      <c r="G724" s="1">
        <v>295.29000000000002</v>
      </c>
      <c r="H724" s="1">
        <f t="shared" si="99"/>
        <v>10.620000000000005</v>
      </c>
      <c r="I724" s="9">
        <f t="shared" si="106"/>
        <v>3.6322593884670649E-2</v>
      </c>
      <c r="J724" s="1">
        <f t="shared" si="107"/>
        <v>-6.8999999999999773</v>
      </c>
      <c r="K724" s="9">
        <f t="shared" si="100"/>
        <v>-2.2833316787451527E-2</v>
      </c>
      <c r="L724" s="1">
        <f t="shared" si="101"/>
        <v>1</v>
      </c>
      <c r="M724" s="1">
        <f t="shared" si="102"/>
        <v>303</v>
      </c>
      <c r="N724" s="1">
        <f t="shared" si="103"/>
        <v>292.38</v>
      </c>
      <c r="O724" s="1">
        <f t="shared" si="104"/>
        <v>293.33000000000004</v>
      </c>
      <c r="P724" s="1">
        <f t="shared" si="105"/>
        <v>149.65816326530614</v>
      </c>
    </row>
    <row r="725" spans="1:16">
      <c r="A725" s="2">
        <v>42009</v>
      </c>
      <c r="B725" s="1">
        <v>307.01</v>
      </c>
      <c r="C725" s="1">
        <v>308.38</v>
      </c>
      <c r="D725" s="1">
        <v>300.85000000000002</v>
      </c>
      <c r="E725" s="1">
        <v>302.19</v>
      </c>
      <c r="F725" s="1">
        <v>2774200</v>
      </c>
      <c r="G725" s="1">
        <v>302.19</v>
      </c>
      <c r="H725" s="1">
        <f t="shared" si="99"/>
        <v>7.5299999999999727</v>
      </c>
      <c r="I725" s="9">
        <f t="shared" si="106"/>
        <v>2.502908426125967E-2</v>
      </c>
      <c r="J725" s="1">
        <f t="shared" si="107"/>
        <v>-6.3299999999999841</v>
      </c>
      <c r="K725" s="9">
        <f t="shared" si="100"/>
        <v>-2.0517308440295555E-2</v>
      </c>
      <c r="L725" s="1">
        <f t="shared" si="101"/>
        <v>1</v>
      </c>
      <c r="M725" s="1">
        <f t="shared" si="102"/>
        <v>308.38</v>
      </c>
      <c r="N725" s="1">
        <f t="shared" si="103"/>
        <v>300.85000000000002</v>
      </c>
      <c r="O725" s="1">
        <f t="shared" si="104"/>
        <v>300.23</v>
      </c>
      <c r="P725" s="1">
        <f t="shared" si="105"/>
        <v>153.17857142857144</v>
      </c>
    </row>
    <row r="726" spans="1:16">
      <c r="A726" s="2">
        <v>42006</v>
      </c>
      <c r="B726" s="1">
        <v>312.58</v>
      </c>
      <c r="C726" s="1">
        <v>314.75</v>
      </c>
      <c r="D726" s="1">
        <v>306.95999999999998</v>
      </c>
      <c r="E726" s="1">
        <v>308.52</v>
      </c>
      <c r="F726" s="1">
        <v>2783200</v>
      </c>
      <c r="G726" s="1">
        <v>308.52</v>
      </c>
      <c r="H726" s="1">
        <f t="shared" si="99"/>
        <v>7.7900000000000205</v>
      </c>
      <c r="I726" s="9">
        <f t="shared" si="106"/>
        <v>2.5377899400573434E-2</v>
      </c>
      <c r="J726" s="1">
        <f t="shared" si="107"/>
        <v>-1.8300000000000409</v>
      </c>
      <c r="K726" s="9">
        <f t="shared" si="100"/>
        <v>-5.8965683905269559E-3</v>
      </c>
      <c r="L726" s="1">
        <f t="shared" si="101"/>
        <v>1</v>
      </c>
      <c r="M726" s="1">
        <f t="shared" si="102"/>
        <v>314.75</v>
      </c>
      <c r="N726" s="1">
        <f t="shared" si="103"/>
        <v>306.95999999999998</v>
      </c>
      <c r="O726" s="1">
        <f t="shared" si="104"/>
        <v>306.56</v>
      </c>
      <c r="P726" s="1">
        <f t="shared" si="105"/>
        <v>156.40816326530611</v>
      </c>
    </row>
    <row r="727" spans="1:16">
      <c r="A727" s="2">
        <v>42004</v>
      </c>
      <c r="B727" s="1">
        <v>311.55</v>
      </c>
      <c r="C727" s="1">
        <v>312.98</v>
      </c>
      <c r="D727" s="1">
        <v>310.01</v>
      </c>
      <c r="E727" s="1">
        <v>310.35000000000002</v>
      </c>
      <c r="F727" s="1">
        <v>2048000</v>
      </c>
      <c r="G727" s="1">
        <v>310.35000000000002</v>
      </c>
      <c r="H727" s="1">
        <f t="shared" si="99"/>
        <v>2.9700000000000273</v>
      </c>
      <c r="I727" s="9">
        <f t="shared" si="106"/>
        <v>9.5803361181898243E-3</v>
      </c>
      <c r="J727" s="1">
        <f t="shared" si="107"/>
        <v>5.0000000000011369E-2</v>
      </c>
      <c r="K727" s="9">
        <f t="shared" si="100"/>
        <v>1.6113438607802568E-4</v>
      </c>
      <c r="L727" s="1">
        <f t="shared" si="101"/>
        <v>1</v>
      </c>
      <c r="M727" s="1">
        <f t="shared" si="102"/>
        <v>312.98</v>
      </c>
      <c r="N727" s="1">
        <f t="shared" si="103"/>
        <v>310.01</v>
      </c>
      <c r="O727" s="1">
        <f t="shared" si="104"/>
        <v>308.39000000000004</v>
      </c>
      <c r="P727" s="1">
        <f t="shared" si="105"/>
        <v>157.34183673469391</v>
      </c>
    </row>
    <row r="728" spans="1:16">
      <c r="A728" s="2">
        <v>42003</v>
      </c>
      <c r="B728" s="1">
        <v>309.91000000000003</v>
      </c>
      <c r="C728" s="1">
        <v>313.94</v>
      </c>
      <c r="D728" s="1">
        <v>309.33999999999997</v>
      </c>
      <c r="E728" s="1">
        <v>310.3</v>
      </c>
      <c r="F728" s="1">
        <v>2093000</v>
      </c>
      <c r="G728" s="1">
        <v>310.3</v>
      </c>
      <c r="H728" s="1">
        <f t="shared" si="99"/>
        <v>4.6000000000000227</v>
      </c>
      <c r="I728" s="9">
        <f t="shared" si="106"/>
        <v>1.4870369173078241E-2</v>
      </c>
      <c r="J728" s="1">
        <f t="shared" si="107"/>
        <v>-1.7400000000000091</v>
      </c>
      <c r="K728" s="9">
        <f t="shared" si="100"/>
        <v>-5.5762081784386901E-3</v>
      </c>
      <c r="L728" s="1">
        <f t="shared" si="101"/>
        <v>1</v>
      </c>
      <c r="M728" s="1">
        <f t="shared" si="102"/>
        <v>313.94</v>
      </c>
      <c r="N728" s="1">
        <f t="shared" si="103"/>
        <v>309.33999999999997</v>
      </c>
      <c r="O728" s="1">
        <f t="shared" si="104"/>
        <v>308.34000000000003</v>
      </c>
      <c r="P728" s="1">
        <f t="shared" si="105"/>
        <v>157.31632653061226</v>
      </c>
    </row>
    <row r="729" spans="1:16">
      <c r="A729" s="2">
        <v>42002</v>
      </c>
      <c r="B729" s="1">
        <v>307.85000000000002</v>
      </c>
      <c r="C729" s="1">
        <v>314.27</v>
      </c>
      <c r="D729" s="1">
        <v>306.58</v>
      </c>
      <c r="E729" s="1">
        <v>312.04000000000002</v>
      </c>
      <c r="F729" s="1">
        <v>3009000</v>
      </c>
      <c r="G729" s="1">
        <v>312.04000000000002</v>
      </c>
      <c r="H729" s="1">
        <f t="shared" si="99"/>
        <v>7.6899999999999977</v>
      </c>
      <c r="I729" s="9">
        <f t="shared" si="106"/>
        <v>2.5083175680083496E-2</v>
      </c>
      <c r="J729" s="1">
        <f t="shared" si="107"/>
        <v>2.9500000000000455</v>
      </c>
      <c r="K729" s="9">
        <f t="shared" si="100"/>
        <v>9.5441457180757885E-3</v>
      </c>
      <c r="L729" s="1">
        <f t="shared" si="101"/>
        <v>1</v>
      </c>
      <c r="M729" s="1">
        <f t="shared" si="102"/>
        <v>314.27</v>
      </c>
      <c r="N729" s="1">
        <f t="shared" si="103"/>
        <v>306.58</v>
      </c>
      <c r="O729" s="1">
        <f t="shared" si="104"/>
        <v>310.08000000000004</v>
      </c>
      <c r="P729" s="1">
        <f t="shared" si="105"/>
        <v>158.20408163265307</v>
      </c>
    </row>
    <row r="730" spans="1:16">
      <c r="A730" s="2">
        <v>41999</v>
      </c>
      <c r="B730" s="1">
        <v>305</v>
      </c>
      <c r="C730" s="1">
        <v>310.77999999999997</v>
      </c>
      <c r="D730" s="1">
        <v>303.81</v>
      </c>
      <c r="E730" s="1">
        <v>309.08999999999997</v>
      </c>
      <c r="F730" s="1">
        <v>2893800</v>
      </c>
      <c r="G730" s="1">
        <v>309.08999999999997</v>
      </c>
      <c r="H730" s="1">
        <f t="shared" si="99"/>
        <v>6.9699999999999704</v>
      </c>
      <c r="I730" s="9">
        <f t="shared" si="106"/>
        <v>2.2941970310391267E-2</v>
      </c>
      <c r="J730" s="1">
        <f t="shared" si="107"/>
        <v>6.0600000000000023</v>
      </c>
      <c r="K730" s="9">
        <f t="shared" si="100"/>
        <v>1.9998019998020006E-2</v>
      </c>
      <c r="L730" s="1">
        <f t="shared" si="101"/>
        <v>1</v>
      </c>
      <c r="M730" s="1">
        <f t="shared" si="102"/>
        <v>310.77999999999997</v>
      </c>
      <c r="N730" s="1">
        <f t="shared" si="103"/>
        <v>303.81</v>
      </c>
      <c r="O730" s="1">
        <f t="shared" si="104"/>
        <v>307.13</v>
      </c>
      <c r="P730" s="1">
        <f t="shared" si="105"/>
        <v>156.69897959183675</v>
      </c>
    </row>
    <row r="731" spans="1:16">
      <c r="A731" s="2">
        <v>41997</v>
      </c>
      <c r="B731" s="1">
        <v>306.38</v>
      </c>
      <c r="C731" s="1">
        <v>307</v>
      </c>
      <c r="D731" s="1">
        <v>302.88</v>
      </c>
      <c r="E731" s="1">
        <v>303.02999999999997</v>
      </c>
      <c r="F731" s="1">
        <v>1513800</v>
      </c>
      <c r="G731" s="1">
        <v>303.02999999999997</v>
      </c>
      <c r="H731" s="1">
        <f t="shared" si="99"/>
        <v>4.1200000000000045</v>
      </c>
      <c r="I731" s="9">
        <f t="shared" si="106"/>
        <v>1.3602746962493412E-2</v>
      </c>
      <c r="J731" s="1">
        <f t="shared" si="107"/>
        <v>-3.2600000000000477</v>
      </c>
      <c r="K731" s="9">
        <f t="shared" si="100"/>
        <v>-1.0643507786738214E-2</v>
      </c>
      <c r="L731" s="1">
        <f t="shared" si="101"/>
        <v>1</v>
      </c>
      <c r="M731" s="1">
        <f t="shared" si="102"/>
        <v>307</v>
      </c>
      <c r="N731" s="1">
        <f t="shared" si="103"/>
        <v>302.88</v>
      </c>
      <c r="O731" s="1">
        <f t="shared" si="104"/>
        <v>301.07</v>
      </c>
      <c r="P731" s="1">
        <f t="shared" si="105"/>
        <v>153.60714285714286</v>
      </c>
    </row>
    <row r="732" spans="1:16">
      <c r="A732" s="2">
        <v>41996</v>
      </c>
      <c r="B732" s="1">
        <v>306.98</v>
      </c>
      <c r="C732" s="1">
        <v>307.49</v>
      </c>
      <c r="D732" s="1">
        <v>303.25</v>
      </c>
      <c r="E732" s="1">
        <v>306.29000000000002</v>
      </c>
      <c r="F732" s="1">
        <v>2713700</v>
      </c>
      <c r="G732" s="1">
        <v>306.29000000000002</v>
      </c>
      <c r="H732" s="1">
        <f t="shared" si="99"/>
        <v>4.2400000000000091</v>
      </c>
      <c r="I732" s="9">
        <f t="shared" si="106"/>
        <v>1.3981863149216848E-2</v>
      </c>
      <c r="J732" s="1">
        <f t="shared" si="107"/>
        <v>-0.25</v>
      </c>
      <c r="K732" s="9">
        <f t="shared" si="100"/>
        <v>-8.1555425066875444E-4</v>
      </c>
      <c r="L732" s="1">
        <f t="shared" si="101"/>
        <v>1</v>
      </c>
      <c r="M732" s="1">
        <f t="shared" si="102"/>
        <v>307.49</v>
      </c>
      <c r="N732" s="1">
        <f t="shared" si="103"/>
        <v>303.25</v>
      </c>
      <c r="O732" s="1">
        <f t="shared" si="104"/>
        <v>304.33000000000004</v>
      </c>
      <c r="P732" s="1">
        <f t="shared" si="105"/>
        <v>155.27040816326533</v>
      </c>
    </row>
    <row r="733" spans="1:16">
      <c r="A733" s="2">
        <v>41995</v>
      </c>
      <c r="B733" s="1">
        <v>301.94</v>
      </c>
      <c r="C733" s="1">
        <v>307.36</v>
      </c>
      <c r="D733" s="1">
        <v>301.94</v>
      </c>
      <c r="E733" s="1">
        <v>306.54000000000002</v>
      </c>
      <c r="F733" s="1">
        <v>4003800</v>
      </c>
      <c r="G733" s="1">
        <v>306.54000000000002</v>
      </c>
      <c r="H733" s="1">
        <f t="shared" si="99"/>
        <v>5.4200000000000159</v>
      </c>
      <c r="I733" s="9">
        <f t="shared" si="106"/>
        <v>1.7950586209180684E-2</v>
      </c>
      <c r="J733" s="1">
        <f t="shared" si="107"/>
        <v>6.6400000000000432</v>
      </c>
      <c r="K733" s="9">
        <f t="shared" si="100"/>
        <v>2.2140713571190542E-2</v>
      </c>
      <c r="L733" s="1">
        <f t="shared" si="101"/>
        <v>1</v>
      </c>
      <c r="M733" s="1">
        <f t="shared" si="102"/>
        <v>307.36</v>
      </c>
      <c r="N733" s="1">
        <f t="shared" si="103"/>
        <v>301.94</v>
      </c>
      <c r="O733" s="1">
        <f t="shared" si="104"/>
        <v>304.58000000000004</v>
      </c>
      <c r="P733" s="1">
        <f t="shared" si="105"/>
        <v>155.39795918367349</v>
      </c>
    </row>
    <row r="734" spans="1:16">
      <c r="A734" s="2">
        <v>41992</v>
      </c>
      <c r="B734" s="1">
        <v>296.91000000000003</v>
      </c>
      <c r="C734" s="1">
        <v>301.54000000000002</v>
      </c>
      <c r="D734" s="1">
        <v>295.52</v>
      </c>
      <c r="E734" s="1">
        <v>299.89999999999998</v>
      </c>
      <c r="F734" s="1">
        <v>8709100</v>
      </c>
      <c r="G734" s="1">
        <v>299.89999999999998</v>
      </c>
      <c r="H734" s="1">
        <f t="shared" si="99"/>
        <v>6.0200000000000387</v>
      </c>
      <c r="I734" s="9">
        <f t="shared" si="106"/>
        <v>2.0370871683811718E-2</v>
      </c>
      <c r="J734" s="1">
        <f t="shared" si="107"/>
        <v>2.1699999999999591</v>
      </c>
      <c r="K734" s="9">
        <f t="shared" si="100"/>
        <v>7.2884828535920432E-3</v>
      </c>
      <c r="L734" s="1">
        <f t="shared" si="101"/>
        <v>1</v>
      </c>
      <c r="M734" s="1">
        <f t="shared" si="102"/>
        <v>301.54000000000002</v>
      </c>
      <c r="N734" s="1">
        <f t="shared" si="103"/>
        <v>295.52</v>
      </c>
      <c r="O734" s="1">
        <f t="shared" si="104"/>
        <v>297.94</v>
      </c>
      <c r="P734" s="1">
        <f t="shared" si="105"/>
        <v>152.01020408163265</v>
      </c>
    </row>
    <row r="735" spans="1:16">
      <c r="A735" s="2">
        <v>41991</v>
      </c>
      <c r="B735" s="1">
        <v>304.01</v>
      </c>
      <c r="C735" s="1">
        <v>304.5</v>
      </c>
      <c r="D735" s="1">
        <v>293.25</v>
      </c>
      <c r="E735" s="1">
        <v>297.73</v>
      </c>
      <c r="F735" s="1">
        <v>7738100</v>
      </c>
      <c r="G735" s="1">
        <v>297.73</v>
      </c>
      <c r="H735" s="1">
        <f t="shared" si="99"/>
        <v>11.25</v>
      </c>
      <c r="I735" s="9">
        <f t="shared" si="106"/>
        <v>3.8363171355498722E-2</v>
      </c>
      <c r="J735" s="1">
        <f t="shared" si="107"/>
        <v>-1.1499999999999773</v>
      </c>
      <c r="K735" s="9">
        <f t="shared" si="100"/>
        <v>-3.8476980728050633E-3</v>
      </c>
      <c r="L735" s="1">
        <f t="shared" si="101"/>
        <v>1</v>
      </c>
      <c r="M735" s="1">
        <f t="shared" si="102"/>
        <v>304.5</v>
      </c>
      <c r="N735" s="1">
        <f t="shared" si="103"/>
        <v>293.25</v>
      </c>
      <c r="O735" s="1">
        <f t="shared" si="104"/>
        <v>295.77000000000004</v>
      </c>
      <c r="P735" s="1">
        <f t="shared" si="105"/>
        <v>150.90306122448982</v>
      </c>
    </row>
    <row r="736" spans="1:16">
      <c r="A736" s="2">
        <v>41990</v>
      </c>
      <c r="B736" s="1">
        <v>296.37</v>
      </c>
      <c r="C736" s="1">
        <v>299.67</v>
      </c>
      <c r="D736" s="1">
        <v>293.02999999999997</v>
      </c>
      <c r="E736" s="1">
        <v>298.88</v>
      </c>
      <c r="F736" s="1">
        <v>4433500</v>
      </c>
      <c r="G736" s="1">
        <v>298.88</v>
      </c>
      <c r="H736" s="1">
        <f t="shared" si="99"/>
        <v>6.6400000000000432</v>
      </c>
      <c r="I736" s="9">
        <f t="shared" si="106"/>
        <v>2.2659795925332026E-2</v>
      </c>
      <c r="J736" s="1">
        <f t="shared" si="107"/>
        <v>3.8199999999999932</v>
      </c>
      <c r="K736" s="9">
        <f t="shared" si="100"/>
        <v>1.2946519351996181E-2</v>
      </c>
      <c r="L736" s="1">
        <f t="shared" si="101"/>
        <v>1</v>
      </c>
      <c r="M736" s="1">
        <f t="shared" si="102"/>
        <v>299.67</v>
      </c>
      <c r="N736" s="1">
        <f t="shared" si="103"/>
        <v>293.02999999999997</v>
      </c>
      <c r="O736" s="1">
        <f t="shared" si="104"/>
        <v>296.92</v>
      </c>
      <c r="P736" s="1">
        <f t="shared" si="105"/>
        <v>151.48979591836735</v>
      </c>
    </row>
    <row r="737" spans="1:16">
      <c r="A737" s="2">
        <v>41989</v>
      </c>
      <c r="B737" s="1">
        <v>304.35000000000002</v>
      </c>
      <c r="C737" s="1">
        <v>304.49</v>
      </c>
      <c r="D737" s="1">
        <v>295.01</v>
      </c>
      <c r="E737" s="1">
        <v>295.06</v>
      </c>
      <c r="F737" s="1">
        <v>6501300</v>
      </c>
      <c r="G737" s="1">
        <v>295.06</v>
      </c>
      <c r="H737" s="1">
        <f t="shared" si="99"/>
        <v>9.4800000000000182</v>
      </c>
      <c r="I737" s="9">
        <f t="shared" si="106"/>
        <v>3.2134503915121584E-2</v>
      </c>
      <c r="J737" s="1">
        <f t="shared" si="107"/>
        <v>-11.009999999999991</v>
      </c>
      <c r="K737" s="9">
        <f t="shared" si="100"/>
        <v>-3.5972163230633486E-2</v>
      </c>
      <c r="L737" s="1">
        <f t="shared" si="101"/>
        <v>1</v>
      </c>
      <c r="M737" s="1">
        <f t="shared" si="102"/>
        <v>304.49</v>
      </c>
      <c r="N737" s="1">
        <f t="shared" si="103"/>
        <v>295.01</v>
      </c>
      <c r="O737" s="1">
        <f t="shared" si="104"/>
        <v>293.10000000000002</v>
      </c>
      <c r="P737" s="1">
        <f t="shared" si="105"/>
        <v>149.54081632653063</v>
      </c>
    </row>
    <row r="738" spans="1:16">
      <c r="A738" s="2">
        <v>41988</v>
      </c>
      <c r="B738" s="1">
        <v>308.87</v>
      </c>
      <c r="C738" s="1">
        <v>310.86</v>
      </c>
      <c r="D738" s="1">
        <v>302.14999999999998</v>
      </c>
      <c r="E738" s="1">
        <v>306.07</v>
      </c>
      <c r="F738" s="1">
        <v>3841600</v>
      </c>
      <c r="G738" s="1">
        <v>306.07</v>
      </c>
      <c r="H738" s="1">
        <f t="shared" si="99"/>
        <v>8.7100000000000364</v>
      </c>
      <c r="I738" s="9">
        <f t="shared" si="106"/>
        <v>2.8826741684593867E-2</v>
      </c>
      <c r="J738" s="1">
        <f t="shared" si="107"/>
        <v>-1.25</v>
      </c>
      <c r="K738" s="9">
        <f t="shared" si="100"/>
        <v>-4.0674215801119358E-3</v>
      </c>
      <c r="L738" s="1">
        <f t="shared" si="101"/>
        <v>1</v>
      </c>
      <c r="M738" s="1">
        <f t="shared" si="102"/>
        <v>310.86</v>
      </c>
      <c r="N738" s="1">
        <f t="shared" si="103"/>
        <v>302.14999999999998</v>
      </c>
      <c r="O738" s="1">
        <f t="shared" si="104"/>
        <v>304.11</v>
      </c>
      <c r="P738" s="1">
        <f t="shared" si="105"/>
        <v>155.15816326530614</v>
      </c>
    </row>
    <row r="739" spans="1:16">
      <c r="A739" s="2">
        <v>41985</v>
      </c>
      <c r="B739" s="1">
        <v>303.99</v>
      </c>
      <c r="C739" s="1">
        <v>310.64</v>
      </c>
      <c r="D739" s="1">
        <v>303.01</v>
      </c>
      <c r="E739" s="1">
        <v>307.32</v>
      </c>
      <c r="F739" s="1">
        <v>3153500</v>
      </c>
      <c r="G739" s="1">
        <v>307.32</v>
      </c>
      <c r="H739" s="1">
        <f t="shared" si="99"/>
        <v>7.6299999999999955</v>
      </c>
      <c r="I739" s="9">
        <f t="shared" si="106"/>
        <v>2.518068710603609E-2</v>
      </c>
      <c r="J739" s="1">
        <f t="shared" si="107"/>
        <v>-4.0000000000020464E-2</v>
      </c>
      <c r="K739" s="9">
        <f t="shared" si="100"/>
        <v>-1.3014055179600618E-4</v>
      </c>
      <c r="L739" s="1">
        <f t="shared" si="101"/>
        <v>1</v>
      </c>
      <c r="M739" s="1">
        <f t="shared" si="102"/>
        <v>310.64</v>
      </c>
      <c r="N739" s="1">
        <f t="shared" si="103"/>
        <v>303.01</v>
      </c>
      <c r="O739" s="1">
        <f t="shared" si="104"/>
        <v>305.36</v>
      </c>
      <c r="P739" s="1">
        <f t="shared" si="105"/>
        <v>155.79591836734696</v>
      </c>
    </row>
    <row r="740" spans="1:16">
      <c r="A740" s="2">
        <v>41984</v>
      </c>
      <c r="B740" s="1">
        <v>307.89</v>
      </c>
      <c r="C740" s="1">
        <v>312.64</v>
      </c>
      <c r="D740" s="1">
        <v>306.01</v>
      </c>
      <c r="E740" s="1">
        <v>307.36</v>
      </c>
      <c r="F740" s="1">
        <v>3262900</v>
      </c>
      <c r="G740" s="1">
        <v>307.36</v>
      </c>
      <c r="H740" s="1">
        <f t="shared" si="99"/>
        <v>6.6299999999999955</v>
      </c>
      <c r="I740" s="9">
        <f t="shared" si="106"/>
        <v>2.1665958628802967E-2</v>
      </c>
      <c r="J740" s="1">
        <f t="shared" si="107"/>
        <v>1.5200000000000387</v>
      </c>
      <c r="K740" s="9">
        <f t="shared" si="100"/>
        <v>4.9699189118494599E-3</v>
      </c>
      <c r="L740" s="1">
        <f t="shared" si="101"/>
        <v>1</v>
      </c>
      <c r="M740" s="1">
        <f t="shared" si="102"/>
        <v>312.64</v>
      </c>
      <c r="N740" s="1">
        <f t="shared" si="103"/>
        <v>306.01</v>
      </c>
      <c r="O740" s="1">
        <f t="shared" si="104"/>
        <v>305.40000000000003</v>
      </c>
      <c r="P740" s="1">
        <f t="shared" si="105"/>
        <v>155.81632653061226</v>
      </c>
    </row>
    <row r="741" spans="1:16">
      <c r="A741" s="2">
        <v>41983</v>
      </c>
      <c r="B741" s="1">
        <v>312</v>
      </c>
      <c r="C741" s="1">
        <v>313.19</v>
      </c>
      <c r="D741" s="1">
        <v>304.68</v>
      </c>
      <c r="E741" s="1">
        <v>305.83999999999997</v>
      </c>
      <c r="F741" s="1">
        <v>3245900</v>
      </c>
      <c r="G741" s="1">
        <v>305.83999999999997</v>
      </c>
      <c r="H741" s="1">
        <f t="shared" si="99"/>
        <v>8.5099999999999909</v>
      </c>
      <c r="I741" s="9">
        <f t="shared" si="106"/>
        <v>2.7930943941184162E-2</v>
      </c>
      <c r="J741" s="1">
        <f t="shared" si="107"/>
        <v>-6.660000000000025</v>
      </c>
      <c r="K741" s="9">
        <f t="shared" si="100"/>
        <v>-2.1312000000000081E-2</v>
      </c>
      <c r="L741" s="1">
        <f t="shared" si="101"/>
        <v>1</v>
      </c>
      <c r="M741" s="1">
        <f t="shared" si="102"/>
        <v>313.19</v>
      </c>
      <c r="N741" s="1">
        <f t="shared" si="103"/>
        <v>304.68</v>
      </c>
      <c r="O741" s="1">
        <f t="shared" si="104"/>
        <v>303.88</v>
      </c>
      <c r="P741" s="1">
        <f t="shared" si="105"/>
        <v>155.0408163265306</v>
      </c>
    </row>
    <row r="742" spans="1:16">
      <c r="A742" s="2">
        <v>41982</v>
      </c>
      <c r="B742" s="1">
        <v>302.99</v>
      </c>
      <c r="C742" s="1">
        <v>313.64</v>
      </c>
      <c r="D742" s="1">
        <v>301.14</v>
      </c>
      <c r="E742" s="1">
        <v>312.5</v>
      </c>
      <c r="F742" s="1">
        <v>4049500</v>
      </c>
      <c r="G742" s="1">
        <v>312.5</v>
      </c>
      <c r="H742" s="1">
        <f t="shared" si="99"/>
        <v>12.5</v>
      </c>
      <c r="I742" s="9">
        <f t="shared" si="106"/>
        <v>4.1508932722321847E-2</v>
      </c>
      <c r="J742" s="1">
        <f t="shared" si="107"/>
        <v>5.8600000000000136</v>
      </c>
      <c r="K742" s="9">
        <f t="shared" si="100"/>
        <v>1.9110357422384601E-2</v>
      </c>
      <c r="L742" s="1">
        <f t="shared" si="101"/>
        <v>1</v>
      </c>
      <c r="M742" s="1">
        <f t="shared" si="102"/>
        <v>313.64</v>
      </c>
      <c r="N742" s="1">
        <f t="shared" si="103"/>
        <v>301.14</v>
      </c>
      <c r="O742" s="1">
        <f t="shared" si="104"/>
        <v>310.54000000000002</v>
      </c>
      <c r="P742" s="1">
        <f t="shared" si="105"/>
        <v>158.4387755102041</v>
      </c>
    </row>
    <row r="743" spans="1:16">
      <c r="A743" s="2">
        <v>41981</v>
      </c>
      <c r="B743" s="1">
        <v>311.57</v>
      </c>
      <c r="C743" s="1">
        <v>316.56</v>
      </c>
      <c r="D743" s="1">
        <v>304.82</v>
      </c>
      <c r="E743" s="1">
        <v>306.64</v>
      </c>
      <c r="F743" s="1">
        <v>3639200</v>
      </c>
      <c r="G743" s="1">
        <v>306.64</v>
      </c>
      <c r="H743" s="1">
        <f t="shared" si="99"/>
        <v>11.740000000000009</v>
      </c>
      <c r="I743" s="9">
        <f t="shared" si="106"/>
        <v>3.8514533167115048E-2</v>
      </c>
      <c r="J743" s="1">
        <f t="shared" si="107"/>
        <v>-5.9900000000000091</v>
      </c>
      <c r="K743" s="9">
        <f t="shared" si="100"/>
        <v>-1.9160029427758081E-2</v>
      </c>
      <c r="L743" s="1">
        <f t="shared" si="101"/>
        <v>1</v>
      </c>
      <c r="M743" s="1">
        <f t="shared" si="102"/>
        <v>316.56</v>
      </c>
      <c r="N743" s="1">
        <f t="shared" si="103"/>
        <v>304.82</v>
      </c>
      <c r="O743" s="1">
        <f t="shared" si="104"/>
        <v>304.68</v>
      </c>
      <c r="P743" s="1">
        <f t="shared" si="105"/>
        <v>155.44897959183675</v>
      </c>
    </row>
    <row r="744" spans="1:16">
      <c r="A744" s="2">
        <v>41978</v>
      </c>
      <c r="B744" s="1">
        <v>316.8</v>
      </c>
      <c r="C744" s="1">
        <v>316.93</v>
      </c>
      <c r="D744" s="1">
        <v>310.83999999999997</v>
      </c>
      <c r="E744" s="1">
        <v>312.63</v>
      </c>
      <c r="F744" s="1">
        <v>3265200</v>
      </c>
      <c r="G744" s="1">
        <v>312.63</v>
      </c>
      <c r="H744" s="1">
        <f t="shared" si="99"/>
        <v>6.0900000000000318</v>
      </c>
      <c r="I744" s="9">
        <f t="shared" si="106"/>
        <v>1.959207309226622E-2</v>
      </c>
      <c r="J744" s="1">
        <f t="shared" si="107"/>
        <v>-4.3000000000000114</v>
      </c>
      <c r="K744" s="9">
        <f t="shared" si="100"/>
        <v>-1.3567664784021743E-2</v>
      </c>
      <c r="L744" s="1">
        <f t="shared" si="101"/>
        <v>1</v>
      </c>
      <c r="M744" s="1">
        <f t="shared" si="102"/>
        <v>316.93</v>
      </c>
      <c r="N744" s="1">
        <f t="shared" si="103"/>
        <v>310.83999999999997</v>
      </c>
      <c r="O744" s="1">
        <f t="shared" si="104"/>
        <v>310.67</v>
      </c>
      <c r="P744" s="1">
        <f t="shared" si="105"/>
        <v>158.50510204081633</v>
      </c>
    </row>
    <row r="745" spans="1:16">
      <c r="A745" s="2">
        <v>41977</v>
      </c>
      <c r="B745" s="1">
        <v>315.52999999999997</v>
      </c>
      <c r="C745" s="1">
        <v>318.58999999999997</v>
      </c>
      <c r="D745" s="1">
        <v>313.47000000000003</v>
      </c>
      <c r="E745" s="1">
        <v>316.93</v>
      </c>
      <c r="F745" s="1">
        <v>3290300</v>
      </c>
      <c r="G745" s="1">
        <v>316.93</v>
      </c>
      <c r="H745" s="1">
        <f t="shared" si="99"/>
        <v>5.1199999999999477</v>
      </c>
      <c r="I745" s="9">
        <f t="shared" si="106"/>
        <v>1.6333301432353804E-2</v>
      </c>
      <c r="J745" s="1">
        <f t="shared" si="107"/>
        <v>0.43000000000000682</v>
      </c>
      <c r="K745" s="9">
        <f t="shared" si="100"/>
        <v>1.3586097946287736E-3</v>
      </c>
      <c r="L745" s="1">
        <f t="shared" si="101"/>
        <v>1</v>
      </c>
      <c r="M745" s="1">
        <f t="shared" si="102"/>
        <v>318.58999999999997</v>
      </c>
      <c r="N745" s="1">
        <f t="shared" si="103"/>
        <v>313.47000000000003</v>
      </c>
      <c r="O745" s="1">
        <f t="shared" si="104"/>
        <v>314.97000000000003</v>
      </c>
      <c r="P745" s="1">
        <f t="shared" si="105"/>
        <v>160.69897959183675</v>
      </c>
    </row>
    <row r="746" spans="1:16">
      <c r="A746" s="2">
        <v>41976</v>
      </c>
      <c r="B746" s="1">
        <v>325.73</v>
      </c>
      <c r="C746" s="1">
        <v>326.77</v>
      </c>
      <c r="D746" s="1">
        <v>314.36</v>
      </c>
      <c r="E746" s="1">
        <v>316.5</v>
      </c>
      <c r="F746" s="1">
        <v>5681000</v>
      </c>
      <c r="G746" s="1">
        <v>316.5</v>
      </c>
      <c r="H746" s="1">
        <f t="shared" si="99"/>
        <v>12.409999999999968</v>
      </c>
      <c r="I746" s="9">
        <f t="shared" si="106"/>
        <v>3.9477032701361395E-2</v>
      </c>
      <c r="J746" s="1">
        <f t="shared" si="107"/>
        <v>-9.8100000000000023</v>
      </c>
      <c r="K746" s="9">
        <f t="shared" si="100"/>
        <v>-3.0063436609359204E-2</v>
      </c>
      <c r="L746" s="1">
        <f t="shared" si="101"/>
        <v>1</v>
      </c>
      <c r="M746" s="1">
        <f t="shared" si="102"/>
        <v>326.77</v>
      </c>
      <c r="N746" s="1">
        <f t="shared" si="103"/>
        <v>314.36</v>
      </c>
      <c r="O746" s="1">
        <f t="shared" si="104"/>
        <v>314.54000000000002</v>
      </c>
      <c r="P746" s="1">
        <f t="shared" si="105"/>
        <v>160.4795918367347</v>
      </c>
    </row>
    <row r="747" spans="1:16">
      <c r="A747" s="2">
        <v>41975</v>
      </c>
      <c r="B747" s="1">
        <v>327.5</v>
      </c>
      <c r="C747" s="1">
        <v>327.93</v>
      </c>
      <c r="D747" s="1">
        <v>323.25</v>
      </c>
      <c r="E747" s="1">
        <v>326.31</v>
      </c>
      <c r="F747" s="1">
        <v>2790300</v>
      </c>
      <c r="G747" s="1">
        <v>326.31</v>
      </c>
      <c r="H747" s="1">
        <f t="shared" si="99"/>
        <v>4.6800000000000068</v>
      </c>
      <c r="I747" s="9">
        <f t="shared" si="106"/>
        <v>1.4477958236658954E-2</v>
      </c>
      <c r="J747" s="1">
        <f t="shared" si="107"/>
        <v>0.31000000000000227</v>
      </c>
      <c r="K747" s="9">
        <f t="shared" si="100"/>
        <v>9.5092024539878003E-4</v>
      </c>
      <c r="L747" s="1">
        <f t="shared" si="101"/>
        <v>1</v>
      </c>
      <c r="M747" s="1">
        <f t="shared" si="102"/>
        <v>327.93</v>
      </c>
      <c r="N747" s="1">
        <f t="shared" si="103"/>
        <v>323.25</v>
      </c>
      <c r="O747" s="1">
        <f t="shared" si="104"/>
        <v>324.35000000000002</v>
      </c>
      <c r="P747" s="1">
        <f t="shared" si="105"/>
        <v>165.48469387755102</v>
      </c>
    </row>
    <row r="748" spans="1:16">
      <c r="A748" s="2">
        <v>41974</v>
      </c>
      <c r="B748" s="1">
        <v>338.12</v>
      </c>
      <c r="C748" s="1">
        <v>340.64</v>
      </c>
      <c r="D748" s="1">
        <v>325.93</v>
      </c>
      <c r="E748" s="1">
        <v>326</v>
      </c>
      <c r="F748" s="1">
        <v>4944900</v>
      </c>
      <c r="G748" s="1">
        <v>326</v>
      </c>
      <c r="H748" s="1">
        <f t="shared" si="99"/>
        <v>14.70999999999998</v>
      </c>
      <c r="I748" s="9">
        <f t="shared" si="106"/>
        <v>4.5132390390574602E-2</v>
      </c>
      <c r="J748" s="1">
        <f t="shared" si="107"/>
        <v>-12.639999999999986</v>
      </c>
      <c r="K748" s="9">
        <f t="shared" si="100"/>
        <v>-3.7325773682967127E-2</v>
      </c>
      <c r="L748" s="1">
        <f t="shared" si="101"/>
        <v>1</v>
      </c>
      <c r="M748" s="1">
        <f t="shared" si="102"/>
        <v>340.64</v>
      </c>
      <c r="N748" s="1">
        <f t="shared" si="103"/>
        <v>325.93</v>
      </c>
      <c r="O748" s="1">
        <f t="shared" si="104"/>
        <v>324.04000000000002</v>
      </c>
      <c r="P748" s="1">
        <f t="shared" si="105"/>
        <v>165.32653061224491</v>
      </c>
    </row>
    <row r="749" spans="1:16">
      <c r="A749" s="2">
        <v>41971</v>
      </c>
      <c r="B749" s="1">
        <v>336.03</v>
      </c>
      <c r="C749" s="1">
        <v>341.26</v>
      </c>
      <c r="D749" s="1">
        <v>336.03</v>
      </c>
      <c r="E749" s="1">
        <v>338.64</v>
      </c>
      <c r="F749" s="1">
        <v>3051800</v>
      </c>
      <c r="G749" s="1">
        <v>338.64</v>
      </c>
      <c r="H749" s="1">
        <f t="shared" si="99"/>
        <v>5.2300000000000182</v>
      </c>
      <c r="I749" s="9">
        <f t="shared" si="106"/>
        <v>1.5564086539892327E-2</v>
      </c>
      <c r="J749" s="1">
        <f t="shared" si="107"/>
        <v>5.0699999999999932</v>
      </c>
      <c r="K749" s="9">
        <f t="shared" si="100"/>
        <v>1.5199208561921015E-2</v>
      </c>
      <c r="L749" s="1">
        <f t="shared" si="101"/>
        <v>1</v>
      </c>
      <c r="M749" s="1">
        <f t="shared" si="102"/>
        <v>341.26</v>
      </c>
      <c r="N749" s="1">
        <f t="shared" si="103"/>
        <v>336.03</v>
      </c>
      <c r="O749" s="1">
        <f t="shared" si="104"/>
        <v>336.68</v>
      </c>
      <c r="P749" s="1">
        <f t="shared" si="105"/>
        <v>171.77551020408163</v>
      </c>
    </row>
    <row r="750" spans="1:16">
      <c r="A750" s="2">
        <v>41969</v>
      </c>
      <c r="B750" s="1">
        <v>333.78</v>
      </c>
      <c r="C750" s="1">
        <v>334.65</v>
      </c>
      <c r="D750" s="1">
        <v>331.75</v>
      </c>
      <c r="E750" s="1">
        <v>333.57</v>
      </c>
      <c r="F750" s="1">
        <v>1983600</v>
      </c>
      <c r="G750" s="1">
        <v>333.57</v>
      </c>
      <c r="H750" s="1">
        <f t="shared" si="99"/>
        <v>2.8999999999999773</v>
      </c>
      <c r="I750" s="9">
        <f t="shared" si="106"/>
        <v>8.7415222305952597E-3</v>
      </c>
      <c r="J750" s="1">
        <f t="shared" si="107"/>
        <v>-1.4700000000000273</v>
      </c>
      <c r="K750" s="9">
        <f t="shared" si="100"/>
        <v>-4.3875358166189926E-3</v>
      </c>
      <c r="L750" s="1">
        <f t="shared" si="101"/>
        <v>1</v>
      </c>
      <c r="M750" s="1">
        <f t="shared" si="102"/>
        <v>334.65</v>
      </c>
      <c r="N750" s="1">
        <f t="shared" si="103"/>
        <v>331.75</v>
      </c>
      <c r="O750" s="1">
        <f t="shared" si="104"/>
        <v>331.61</v>
      </c>
      <c r="P750" s="1">
        <f t="shared" si="105"/>
        <v>169.1887755102041</v>
      </c>
    </row>
    <row r="751" spans="1:16">
      <c r="A751" s="2">
        <v>41968</v>
      </c>
      <c r="B751" s="1">
        <v>335.27</v>
      </c>
      <c r="C751" s="1">
        <v>336.33</v>
      </c>
      <c r="D751" s="1">
        <v>331.28</v>
      </c>
      <c r="E751" s="1">
        <v>335.04</v>
      </c>
      <c r="F751" s="1">
        <v>2565000</v>
      </c>
      <c r="G751" s="1">
        <v>335.04</v>
      </c>
      <c r="H751" s="1">
        <f t="shared" si="99"/>
        <v>5.0500000000000114</v>
      </c>
      <c r="I751" s="9">
        <f t="shared" si="106"/>
        <v>1.5243902439024426E-2</v>
      </c>
      <c r="J751" s="1">
        <f t="shared" si="107"/>
        <v>-0.59999999999996589</v>
      </c>
      <c r="K751" s="9">
        <f t="shared" si="100"/>
        <v>-1.7876296031461266E-3</v>
      </c>
      <c r="L751" s="1">
        <f t="shared" si="101"/>
        <v>1</v>
      </c>
      <c r="M751" s="1">
        <f t="shared" si="102"/>
        <v>336.33</v>
      </c>
      <c r="N751" s="1">
        <f t="shared" si="103"/>
        <v>331.28</v>
      </c>
      <c r="O751" s="1">
        <f t="shared" si="104"/>
        <v>333.08000000000004</v>
      </c>
      <c r="P751" s="1">
        <f t="shared" si="105"/>
        <v>169.9387755102041</v>
      </c>
    </row>
    <row r="752" spans="1:16">
      <c r="A752" s="2">
        <v>41967</v>
      </c>
      <c r="B752" s="1">
        <v>334.78</v>
      </c>
      <c r="C752" s="1">
        <v>337.39</v>
      </c>
      <c r="D752" s="1">
        <v>333.6</v>
      </c>
      <c r="E752" s="1">
        <v>335.64</v>
      </c>
      <c r="F752" s="1">
        <v>2754200</v>
      </c>
      <c r="G752" s="1">
        <v>335.64</v>
      </c>
      <c r="H752" s="1">
        <f t="shared" si="99"/>
        <v>3.7899999999999636</v>
      </c>
      <c r="I752" s="9">
        <f t="shared" si="106"/>
        <v>1.1360911270983104E-2</v>
      </c>
      <c r="J752" s="1">
        <f t="shared" si="107"/>
        <v>3.0099999999999909</v>
      </c>
      <c r="K752" s="9">
        <f t="shared" si="100"/>
        <v>9.0490935874695342E-3</v>
      </c>
      <c r="L752" s="1">
        <f t="shared" si="101"/>
        <v>1</v>
      </c>
      <c r="M752" s="1">
        <f t="shared" si="102"/>
        <v>337.39</v>
      </c>
      <c r="N752" s="1">
        <f t="shared" si="103"/>
        <v>333.6</v>
      </c>
      <c r="O752" s="1">
        <f t="shared" si="104"/>
        <v>333.68</v>
      </c>
      <c r="P752" s="1">
        <f t="shared" si="105"/>
        <v>170.24489795918367</v>
      </c>
    </row>
    <row r="753" spans="1:16">
      <c r="A753" s="2">
        <v>41964</v>
      </c>
      <c r="B753" s="1">
        <v>335.42</v>
      </c>
      <c r="C753" s="1">
        <v>338.33</v>
      </c>
      <c r="D753" s="1">
        <v>331.47</v>
      </c>
      <c r="E753" s="1">
        <v>332.63</v>
      </c>
      <c r="F753" s="1">
        <v>4466600</v>
      </c>
      <c r="G753" s="1">
        <v>332.63</v>
      </c>
      <c r="H753" s="1">
        <f t="shared" si="99"/>
        <v>6.8599999999999568</v>
      </c>
      <c r="I753" s="9">
        <f t="shared" si="106"/>
        <v>2.0695688900956213E-2</v>
      </c>
      <c r="J753" s="1">
        <f t="shared" si="107"/>
        <v>2.089999999999975</v>
      </c>
      <c r="K753" s="9">
        <f t="shared" si="100"/>
        <v>6.3229866279420795E-3</v>
      </c>
      <c r="L753" s="1">
        <f t="shared" si="101"/>
        <v>1</v>
      </c>
      <c r="M753" s="1">
        <f t="shared" si="102"/>
        <v>338.33</v>
      </c>
      <c r="N753" s="1">
        <f t="shared" si="103"/>
        <v>331.47</v>
      </c>
      <c r="O753" s="1">
        <f t="shared" si="104"/>
        <v>330.67</v>
      </c>
      <c r="P753" s="1">
        <f t="shared" si="105"/>
        <v>168.7091836734694</v>
      </c>
    </row>
    <row r="754" spans="1:16">
      <c r="A754" s="2">
        <v>41963</v>
      </c>
      <c r="B754" s="1">
        <v>324</v>
      </c>
      <c r="C754" s="1">
        <v>332.67</v>
      </c>
      <c r="D754" s="1">
        <v>323.33</v>
      </c>
      <c r="E754" s="1">
        <v>330.54</v>
      </c>
      <c r="F754" s="1">
        <v>3436700</v>
      </c>
      <c r="G754" s="1">
        <v>330.54</v>
      </c>
      <c r="H754" s="1">
        <f t="shared" si="99"/>
        <v>9.3400000000000318</v>
      </c>
      <c r="I754" s="9">
        <f t="shared" si="106"/>
        <v>2.8886895741193307E-2</v>
      </c>
      <c r="J754" s="1">
        <f t="shared" si="107"/>
        <v>4</v>
      </c>
      <c r="K754" s="9">
        <f t="shared" si="100"/>
        <v>1.2249647822625099E-2</v>
      </c>
      <c r="L754" s="1">
        <f t="shared" si="101"/>
        <v>1</v>
      </c>
      <c r="M754" s="1">
        <f t="shared" si="102"/>
        <v>332.67</v>
      </c>
      <c r="N754" s="1">
        <f t="shared" si="103"/>
        <v>323.33</v>
      </c>
      <c r="O754" s="1">
        <f t="shared" si="104"/>
        <v>328.58000000000004</v>
      </c>
      <c r="P754" s="1">
        <f t="shared" si="105"/>
        <v>167.64285714285717</v>
      </c>
    </row>
    <row r="755" spans="1:16">
      <c r="A755" s="2">
        <v>41962</v>
      </c>
      <c r="B755" s="1">
        <v>327.25</v>
      </c>
      <c r="C755" s="1">
        <v>328.4</v>
      </c>
      <c r="D755" s="1">
        <v>324.02</v>
      </c>
      <c r="E755" s="1">
        <v>326.54000000000002</v>
      </c>
      <c r="F755" s="1">
        <v>3281600</v>
      </c>
      <c r="G755" s="1">
        <v>326.54000000000002</v>
      </c>
      <c r="H755" s="1">
        <f t="shared" si="99"/>
        <v>4.3799999999999955</v>
      </c>
      <c r="I755" s="9">
        <f t="shared" si="106"/>
        <v>1.3517684093574458E-2</v>
      </c>
      <c r="J755" s="1">
        <f t="shared" si="107"/>
        <v>1.6100000000000136</v>
      </c>
      <c r="K755" s="9">
        <f t="shared" si="100"/>
        <v>4.9549133659557865E-3</v>
      </c>
      <c r="L755" s="1">
        <f t="shared" si="101"/>
        <v>1</v>
      </c>
      <c r="M755" s="1">
        <f t="shared" si="102"/>
        <v>328.4</v>
      </c>
      <c r="N755" s="1">
        <f t="shared" si="103"/>
        <v>324.02</v>
      </c>
      <c r="O755" s="1">
        <f t="shared" si="104"/>
        <v>324.58000000000004</v>
      </c>
      <c r="P755" s="1">
        <f t="shared" si="105"/>
        <v>165.60204081632656</v>
      </c>
    </row>
    <row r="756" spans="1:16">
      <c r="A756" s="2">
        <v>41961</v>
      </c>
      <c r="B756" s="1">
        <v>323.99</v>
      </c>
      <c r="C756" s="1">
        <v>329.56</v>
      </c>
      <c r="D756" s="1">
        <v>323.25</v>
      </c>
      <c r="E756" s="1">
        <v>324.93</v>
      </c>
      <c r="F756" s="1">
        <v>3549500</v>
      </c>
      <c r="G756" s="1">
        <v>324.93</v>
      </c>
      <c r="H756" s="1">
        <f t="shared" si="99"/>
        <v>6.3100000000000023</v>
      </c>
      <c r="I756" s="9">
        <f t="shared" si="106"/>
        <v>1.9520494972931176E-2</v>
      </c>
      <c r="J756" s="1">
        <f t="shared" si="107"/>
        <v>1.8799999999999955</v>
      </c>
      <c r="K756" s="9">
        <f t="shared" si="100"/>
        <v>5.8195325800959458E-3</v>
      </c>
      <c r="L756" s="1">
        <f t="shared" si="101"/>
        <v>1</v>
      </c>
      <c r="M756" s="1">
        <f t="shared" si="102"/>
        <v>329.56</v>
      </c>
      <c r="N756" s="1">
        <f t="shared" si="103"/>
        <v>323.25</v>
      </c>
      <c r="O756" s="1">
        <f t="shared" si="104"/>
        <v>322.97000000000003</v>
      </c>
      <c r="P756" s="1">
        <f t="shared" si="105"/>
        <v>164.78061224489798</v>
      </c>
    </row>
    <row r="757" spans="1:16">
      <c r="A757" s="2">
        <v>41960</v>
      </c>
      <c r="B757" s="1">
        <v>326.44</v>
      </c>
      <c r="C757" s="1">
        <v>328</v>
      </c>
      <c r="D757" s="1">
        <v>318.02999999999997</v>
      </c>
      <c r="E757" s="1">
        <v>323.05</v>
      </c>
      <c r="F757" s="1">
        <v>4784900</v>
      </c>
      <c r="G757" s="1">
        <v>323.05</v>
      </c>
      <c r="H757" s="1">
        <f t="shared" si="99"/>
        <v>9.9700000000000273</v>
      </c>
      <c r="I757" s="9">
        <f t="shared" si="106"/>
        <v>3.1349243782033229E-2</v>
      </c>
      <c r="J757" s="1">
        <f t="shared" si="107"/>
        <v>-4.7699999999999818</v>
      </c>
      <c r="K757" s="9">
        <f t="shared" si="100"/>
        <v>-1.4550668049539327E-2</v>
      </c>
      <c r="L757" s="1">
        <f t="shared" si="101"/>
        <v>1</v>
      </c>
      <c r="M757" s="1">
        <f t="shared" si="102"/>
        <v>328</v>
      </c>
      <c r="N757" s="1">
        <f t="shared" si="103"/>
        <v>318.02999999999997</v>
      </c>
      <c r="O757" s="1">
        <f t="shared" si="104"/>
        <v>321.09000000000003</v>
      </c>
      <c r="P757" s="1">
        <f t="shared" si="105"/>
        <v>163.82142857142858</v>
      </c>
    </row>
    <row r="758" spans="1:16">
      <c r="A758" s="2">
        <v>41957</v>
      </c>
      <c r="B758" s="1">
        <v>317.12</v>
      </c>
      <c r="C758" s="1">
        <v>332.88</v>
      </c>
      <c r="D758" s="1">
        <v>316.39999999999998</v>
      </c>
      <c r="E758" s="1">
        <v>327.82</v>
      </c>
      <c r="F758" s="1">
        <v>8877800</v>
      </c>
      <c r="G758" s="1">
        <v>327.82</v>
      </c>
      <c r="H758" s="1">
        <f t="shared" si="99"/>
        <v>16.480000000000018</v>
      </c>
      <c r="I758" s="9">
        <f t="shared" si="106"/>
        <v>5.2085967130214982E-2</v>
      </c>
      <c r="J758" s="1">
        <f t="shared" si="107"/>
        <v>11.339999999999975</v>
      </c>
      <c r="K758" s="9">
        <f t="shared" si="100"/>
        <v>3.5831648129423577E-2</v>
      </c>
      <c r="L758" s="1">
        <f t="shared" si="101"/>
        <v>1</v>
      </c>
      <c r="M758" s="1">
        <f t="shared" si="102"/>
        <v>332.88</v>
      </c>
      <c r="N758" s="1">
        <f t="shared" si="103"/>
        <v>316.39999999999998</v>
      </c>
      <c r="O758" s="1">
        <f t="shared" si="104"/>
        <v>325.86</v>
      </c>
      <c r="P758" s="1">
        <f t="shared" si="105"/>
        <v>166.25510204081633</v>
      </c>
    </row>
    <row r="759" spans="1:16">
      <c r="A759" s="2">
        <v>41956</v>
      </c>
      <c r="B759" s="1">
        <v>312</v>
      </c>
      <c r="C759" s="1">
        <v>317.89</v>
      </c>
      <c r="D759" s="1">
        <v>311.51</v>
      </c>
      <c r="E759" s="1">
        <v>316.48</v>
      </c>
      <c r="F759" s="1">
        <v>3686400</v>
      </c>
      <c r="G759" s="1">
        <v>316.48</v>
      </c>
      <c r="H759" s="1">
        <f t="shared" si="99"/>
        <v>6.3799999999999955</v>
      </c>
      <c r="I759" s="9">
        <f t="shared" si="106"/>
        <v>2.0480883438733895E-2</v>
      </c>
      <c r="J759" s="1">
        <f t="shared" si="107"/>
        <v>4.9700000000000273</v>
      </c>
      <c r="K759" s="9">
        <f t="shared" si="100"/>
        <v>1.5954543995377445E-2</v>
      </c>
      <c r="L759" s="1">
        <f t="shared" si="101"/>
        <v>1</v>
      </c>
      <c r="M759" s="1">
        <f t="shared" si="102"/>
        <v>317.89</v>
      </c>
      <c r="N759" s="1">
        <f t="shared" si="103"/>
        <v>311.51</v>
      </c>
      <c r="O759" s="1">
        <f t="shared" si="104"/>
        <v>314.52000000000004</v>
      </c>
      <c r="P759" s="1">
        <f t="shared" si="105"/>
        <v>160.46938775510208</v>
      </c>
    </row>
    <row r="760" spans="1:16">
      <c r="A760" s="2">
        <v>41955</v>
      </c>
      <c r="B760" s="1">
        <v>310.75</v>
      </c>
      <c r="C760" s="1">
        <v>312.58</v>
      </c>
      <c r="D760" s="1">
        <v>308.79000000000002</v>
      </c>
      <c r="E760" s="1">
        <v>311.51</v>
      </c>
      <c r="F760" s="1">
        <v>2183000</v>
      </c>
      <c r="G760" s="1">
        <v>311.51</v>
      </c>
      <c r="H760" s="1">
        <f t="shared" si="99"/>
        <v>3.7899999999999636</v>
      </c>
      <c r="I760" s="9">
        <f t="shared" si="106"/>
        <v>1.2273713526992336E-2</v>
      </c>
      <c r="J760" s="1">
        <f t="shared" si="107"/>
        <v>-0.5</v>
      </c>
      <c r="K760" s="9">
        <f t="shared" si="100"/>
        <v>-1.6025127399762829E-3</v>
      </c>
      <c r="L760" s="1">
        <f t="shared" si="101"/>
        <v>1</v>
      </c>
      <c r="M760" s="1">
        <f t="shared" si="102"/>
        <v>312.58</v>
      </c>
      <c r="N760" s="1">
        <f t="shared" si="103"/>
        <v>308.79000000000002</v>
      </c>
      <c r="O760" s="1">
        <f t="shared" si="104"/>
        <v>309.55</v>
      </c>
      <c r="P760" s="1">
        <f t="shared" si="105"/>
        <v>157.93367346938777</v>
      </c>
    </row>
    <row r="761" spans="1:16">
      <c r="A761" s="2">
        <v>41954</v>
      </c>
      <c r="B761" s="1">
        <v>305.94</v>
      </c>
      <c r="C761" s="1">
        <v>312.38</v>
      </c>
      <c r="D761" s="1">
        <v>303.64999999999998</v>
      </c>
      <c r="E761" s="1">
        <v>312.01</v>
      </c>
      <c r="F761" s="1">
        <v>3803600</v>
      </c>
      <c r="G761" s="1">
        <v>312.01</v>
      </c>
      <c r="H761" s="1">
        <f t="shared" si="99"/>
        <v>8.7300000000000182</v>
      </c>
      <c r="I761" s="9">
        <f t="shared" si="106"/>
        <v>2.8750205829079594E-2</v>
      </c>
      <c r="J761" s="1">
        <f t="shared" si="107"/>
        <v>6.8999999999999773</v>
      </c>
      <c r="K761" s="9">
        <f t="shared" si="100"/>
        <v>2.2614794664219385E-2</v>
      </c>
      <c r="L761" s="1">
        <f t="shared" si="101"/>
        <v>1</v>
      </c>
      <c r="M761" s="1">
        <f t="shared" si="102"/>
        <v>312.38</v>
      </c>
      <c r="N761" s="1">
        <f t="shared" si="103"/>
        <v>303.64999999999998</v>
      </c>
      <c r="O761" s="1">
        <f t="shared" si="104"/>
        <v>310.05</v>
      </c>
      <c r="P761" s="1">
        <f t="shared" si="105"/>
        <v>158.1887755102041</v>
      </c>
    </row>
    <row r="762" spans="1:16">
      <c r="A762" s="2">
        <v>41953</v>
      </c>
      <c r="B762" s="1">
        <v>300</v>
      </c>
      <c r="C762" s="1">
        <v>305.8</v>
      </c>
      <c r="D762" s="1">
        <v>300</v>
      </c>
      <c r="E762" s="1">
        <v>305.11</v>
      </c>
      <c r="F762" s="1">
        <v>2809100</v>
      </c>
      <c r="G762" s="1">
        <v>305.11</v>
      </c>
      <c r="H762" s="1">
        <f t="shared" si="99"/>
        <v>5.8000000000000114</v>
      </c>
      <c r="I762" s="9">
        <f t="shared" si="106"/>
        <v>1.9333333333333372E-2</v>
      </c>
      <c r="J762" s="1">
        <f t="shared" si="107"/>
        <v>5.25</v>
      </c>
      <c r="K762" s="9">
        <f t="shared" si="100"/>
        <v>1.7508170479557127E-2</v>
      </c>
      <c r="L762" s="1">
        <f t="shared" si="101"/>
        <v>1</v>
      </c>
      <c r="M762" s="1">
        <f t="shared" si="102"/>
        <v>305.8</v>
      </c>
      <c r="N762" s="1">
        <f t="shared" si="103"/>
        <v>300</v>
      </c>
      <c r="O762" s="1">
        <f t="shared" si="104"/>
        <v>303.15000000000003</v>
      </c>
      <c r="P762" s="1">
        <f t="shared" si="105"/>
        <v>154.66836734693879</v>
      </c>
    </row>
    <row r="763" spans="1:16">
      <c r="A763" s="2">
        <v>41950</v>
      </c>
      <c r="B763" s="1">
        <v>297.82</v>
      </c>
      <c r="C763" s="1">
        <v>299.99</v>
      </c>
      <c r="D763" s="1">
        <v>296.29000000000002</v>
      </c>
      <c r="E763" s="1">
        <v>299.86</v>
      </c>
      <c r="F763" s="1">
        <v>2647400</v>
      </c>
      <c r="G763" s="1">
        <v>299.86</v>
      </c>
      <c r="H763" s="1">
        <f t="shared" si="99"/>
        <v>3.6999999999999886</v>
      </c>
      <c r="I763" s="9">
        <f t="shared" si="106"/>
        <v>1.2487765365013967E-2</v>
      </c>
      <c r="J763" s="1">
        <f t="shared" si="107"/>
        <v>3.2200000000000273</v>
      </c>
      <c r="K763" s="9">
        <f t="shared" si="100"/>
        <v>1.085490830636471E-2</v>
      </c>
      <c r="L763" s="1">
        <f t="shared" si="101"/>
        <v>1</v>
      </c>
      <c r="M763" s="1">
        <f t="shared" si="102"/>
        <v>299.99</v>
      </c>
      <c r="N763" s="1">
        <f t="shared" si="103"/>
        <v>296.29000000000002</v>
      </c>
      <c r="O763" s="1">
        <f t="shared" si="104"/>
        <v>297.90000000000003</v>
      </c>
      <c r="P763" s="1">
        <f t="shared" si="105"/>
        <v>151.98979591836738</v>
      </c>
    </row>
    <row r="764" spans="1:16">
      <c r="A764" s="2">
        <v>41949</v>
      </c>
      <c r="B764" s="1">
        <v>296.69</v>
      </c>
      <c r="C764" s="1">
        <v>297</v>
      </c>
      <c r="D764" s="1">
        <v>292.29000000000002</v>
      </c>
      <c r="E764" s="1">
        <v>296.64</v>
      </c>
      <c r="F764" s="1">
        <v>3758100</v>
      </c>
      <c r="G764" s="1">
        <v>296.64</v>
      </c>
      <c r="H764" s="1">
        <f t="shared" si="99"/>
        <v>4.7099999999999795</v>
      </c>
      <c r="I764" s="9">
        <f t="shared" si="106"/>
        <v>1.6114133223852953E-2</v>
      </c>
      <c r="J764" s="1">
        <f t="shared" si="107"/>
        <v>0.12000000000000455</v>
      </c>
      <c r="K764" s="9">
        <f t="shared" si="100"/>
        <v>4.0469445568597245E-4</v>
      </c>
      <c r="L764" s="1">
        <f t="shared" si="101"/>
        <v>1</v>
      </c>
      <c r="M764" s="1">
        <f t="shared" si="102"/>
        <v>297</v>
      </c>
      <c r="N764" s="1">
        <f t="shared" si="103"/>
        <v>292.29000000000002</v>
      </c>
      <c r="O764" s="1">
        <f t="shared" si="104"/>
        <v>294.68</v>
      </c>
      <c r="P764" s="1">
        <f t="shared" si="105"/>
        <v>150.34693877551021</v>
      </c>
    </row>
    <row r="765" spans="1:16">
      <c r="A765" s="2">
        <v>41948</v>
      </c>
      <c r="B765" s="1">
        <v>303.01</v>
      </c>
      <c r="C765" s="1">
        <v>304</v>
      </c>
      <c r="D765" s="1">
        <v>294.16000000000003</v>
      </c>
      <c r="E765" s="1">
        <v>296.52</v>
      </c>
      <c r="F765" s="1">
        <v>4674500</v>
      </c>
      <c r="G765" s="1">
        <v>296.52</v>
      </c>
      <c r="H765" s="1">
        <f t="shared" si="99"/>
        <v>9.839999999999975</v>
      </c>
      <c r="I765" s="9">
        <f t="shared" si="106"/>
        <v>3.3451183029643644E-2</v>
      </c>
      <c r="J765" s="1">
        <f t="shared" si="107"/>
        <v>-6.2900000000000205</v>
      </c>
      <c r="K765" s="9">
        <f t="shared" si="100"/>
        <v>-2.0772101317658005E-2</v>
      </c>
      <c r="L765" s="1">
        <f t="shared" si="101"/>
        <v>1</v>
      </c>
      <c r="M765" s="1">
        <f t="shared" si="102"/>
        <v>304</v>
      </c>
      <c r="N765" s="1">
        <f t="shared" si="103"/>
        <v>294.16000000000003</v>
      </c>
      <c r="O765" s="1">
        <f t="shared" si="104"/>
        <v>294.56</v>
      </c>
      <c r="P765" s="1">
        <f t="shared" si="105"/>
        <v>150.28571428571428</v>
      </c>
    </row>
    <row r="766" spans="1:16">
      <c r="A766" s="2">
        <v>41947</v>
      </c>
      <c r="B766" s="1">
        <v>303.99</v>
      </c>
      <c r="C766" s="1">
        <v>304.25</v>
      </c>
      <c r="D766" s="1">
        <v>300.17</v>
      </c>
      <c r="E766" s="1">
        <v>302.81</v>
      </c>
      <c r="F766" s="1">
        <v>3427400</v>
      </c>
      <c r="G766" s="1">
        <v>302.81</v>
      </c>
      <c r="H766" s="1">
        <f t="shared" si="99"/>
        <v>4.0799999999999841</v>
      </c>
      <c r="I766" s="9">
        <f t="shared" si="106"/>
        <v>1.3592297697971096E-2</v>
      </c>
      <c r="J766" s="1">
        <f t="shared" si="107"/>
        <v>-2.910000000000025</v>
      </c>
      <c r="K766" s="9">
        <f t="shared" si="100"/>
        <v>-9.5185136726417142E-3</v>
      </c>
      <c r="L766" s="1">
        <f t="shared" si="101"/>
        <v>1</v>
      </c>
      <c r="M766" s="1">
        <f t="shared" si="102"/>
        <v>304.25</v>
      </c>
      <c r="N766" s="1">
        <f t="shared" si="103"/>
        <v>300.17</v>
      </c>
      <c r="O766" s="1">
        <f t="shared" si="104"/>
        <v>300.85000000000002</v>
      </c>
      <c r="P766" s="1">
        <f t="shared" si="105"/>
        <v>153.49489795918367</v>
      </c>
    </row>
    <row r="767" spans="1:16">
      <c r="A767" s="2">
        <v>41946</v>
      </c>
      <c r="B767" s="1">
        <v>306.24</v>
      </c>
      <c r="C767" s="1">
        <v>308.01</v>
      </c>
      <c r="D767" s="1">
        <v>303.24</v>
      </c>
      <c r="E767" s="1">
        <v>305.72000000000003</v>
      </c>
      <c r="F767" s="1">
        <v>3242500</v>
      </c>
      <c r="G767" s="1">
        <v>305.72000000000003</v>
      </c>
      <c r="H767" s="1">
        <f t="shared" si="99"/>
        <v>4.7699999999999818</v>
      </c>
      <c r="I767" s="9">
        <f t="shared" si="106"/>
        <v>1.5730114760585615E-2</v>
      </c>
      <c r="J767" s="1">
        <f t="shared" si="107"/>
        <v>0.26000000000004775</v>
      </c>
      <c r="K767" s="9">
        <f t="shared" si="100"/>
        <v>8.5117527663212131E-4</v>
      </c>
      <c r="L767" s="1">
        <f t="shared" si="101"/>
        <v>1</v>
      </c>
      <c r="M767" s="1">
        <f t="shared" si="102"/>
        <v>308.01</v>
      </c>
      <c r="N767" s="1">
        <f t="shared" si="103"/>
        <v>303.24</v>
      </c>
      <c r="O767" s="1">
        <f t="shared" si="104"/>
        <v>303.76000000000005</v>
      </c>
      <c r="P767" s="1">
        <f t="shared" si="105"/>
        <v>154.97959183673473</v>
      </c>
    </row>
    <row r="768" spans="1:16">
      <c r="A768" s="2">
        <v>41943</v>
      </c>
      <c r="B768" s="1">
        <v>305.14999999999998</v>
      </c>
      <c r="C768" s="1">
        <v>305.72000000000003</v>
      </c>
      <c r="D768" s="1">
        <v>301.5</v>
      </c>
      <c r="E768" s="1">
        <v>305.45999999999998</v>
      </c>
      <c r="F768" s="1">
        <v>4550700</v>
      </c>
      <c r="G768" s="1">
        <v>305.45999999999998</v>
      </c>
      <c r="H768" s="1">
        <f t="shared" si="99"/>
        <v>4.2200000000000273</v>
      </c>
      <c r="I768" s="9">
        <f t="shared" si="106"/>
        <v>1.3996683250414685E-2</v>
      </c>
      <c r="J768" s="1">
        <f t="shared" si="107"/>
        <v>6.3899999999999864</v>
      </c>
      <c r="K768" s="9">
        <f t="shared" si="100"/>
        <v>2.136623532952147E-2</v>
      </c>
      <c r="L768" s="1">
        <f t="shared" si="101"/>
        <v>1</v>
      </c>
      <c r="M768" s="1">
        <f t="shared" si="102"/>
        <v>305.72000000000003</v>
      </c>
      <c r="N768" s="1">
        <f t="shared" si="103"/>
        <v>301.5</v>
      </c>
      <c r="O768" s="1">
        <f t="shared" si="104"/>
        <v>303.5</v>
      </c>
      <c r="P768" s="1">
        <f t="shared" si="105"/>
        <v>154.84693877551021</v>
      </c>
    </row>
    <row r="769" spans="1:16">
      <c r="A769" s="2">
        <v>41942</v>
      </c>
      <c r="B769" s="1">
        <v>293.98</v>
      </c>
      <c r="C769" s="1">
        <v>299.74</v>
      </c>
      <c r="D769" s="1">
        <v>292.36</v>
      </c>
      <c r="E769" s="1">
        <v>299.07</v>
      </c>
      <c r="F769" s="1">
        <v>4055200</v>
      </c>
      <c r="G769" s="1">
        <v>299.07</v>
      </c>
      <c r="H769" s="1">
        <f t="shared" si="99"/>
        <v>7.3799999999999955</v>
      </c>
      <c r="I769" s="9">
        <f t="shared" si="106"/>
        <v>2.5242851279244749E-2</v>
      </c>
      <c r="J769" s="1">
        <f t="shared" si="107"/>
        <v>4.9499999999999886</v>
      </c>
      <c r="K769" s="9">
        <f t="shared" si="100"/>
        <v>1.6829865361077074E-2</v>
      </c>
      <c r="L769" s="1">
        <f t="shared" si="101"/>
        <v>1</v>
      </c>
      <c r="M769" s="1">
        <f t="shared" si="102"/>
        <v>299.74</v>
      </c>
      <c r="N769" s="1">
        <f t="shared" si="103"/>
        <v>292.36</v>
      </c>
      <c r="O769" s="1">
        <f t="shared" si="104"/>
        <v>297.11</v>
      </c>
      <c r="P769" s="1">
        <f t="shared" si="105"/>
        <v>151.58673469387756</v>
      </c>
    </row>
    <row r="770" spans="1:16">
      <c r="A770" s="2">
        <v>41941</v>
      </c>
      <c r="B770" s="1">
        <v>299.11</v>
      </c>
      <c r="C770" s="1">
        <v>299.61</v>
      </c>
      <c r="D770" s="1">
        <v>293.07</v>
      </c>
      <c r="E770" s="1">
        <v>294.12</v>
      </c>
      <c r="F770" s="1">
        <v>4881900</v>
      </c>
      <c r="G770" s="1">
        <v>294.12</v>
      </c>
      <c r="H770" s="1">
        <f t="shared" si="99"/>
        <v>6.5400000000000205</v>
      </c>
      <c r="I770" s="9">
        <f t="shared" si="106"/>
        <v>2.2315487767427648E-2</v>
      </c>
      <c r="J770" s="1">
        <f t="shared" si="107"/>
        <v>-1.4699999999999704</v>
      </c>
      <c r="K770" s="9">
        <f t="shared" si="100"/>
        <v>-4.9731046381811649E-3</v>
      </c>
      <c r="L770" s="1">
        <f t="shared" si="101"/>
        <v>1</v>
      </c>
      <c r="M770" s="1">
        <f t="shared" si="102"/>
        <v>299.61</v>
      </c>
      <c r="N770" s="1">
        <f t="shared" si="103"/>
        <v>293.07</v>
      </c>
      <c r="O770" s="1">
        <f t="shared" si="104"/>
        <v>292.16000000000003</v>
      </c>
      <c r="P770" s="1">
        <f t="shared" si="105"/>
        <v>149.06122448979593</v>
      </c>
    </row>
    <row r="771" spans="1:16">
      <c r="A771" s="2">
        <v>41940</v>
      </c>
      <c r="B771" s="1">
        <v>289.76</v>
      </c>
      <c r="C771" s="1">
        <v>298</v>
      </c>
      <c r="D771" s="1">
        <v>289.76</v>
      </c>
      <c r="E771" s="1">
        <v>295.58999999999997</v>
      </c>
      <c r="F771" s="1">
        <v>5572600</v>
      </c>
      <c r="G771" s="1">
        <v>295.58999999999997</v>
      </c>
      <c r="H771" s="1">
        <f t="shared" ref="H771:H834" si="108">C771-D771</f>
        <v>8.2400000000000091</v>
      </c>
      <c r="I771" s="9">
        <f t="shared" si="106"/>
        <v>2.8437327443401467E-2</v>
      </c>
      <c r="J771" s="1">
        <f t="shared" si="107"/>
        <v>5.6199999999999477</v>
      </c>
      <c r="K771" s="9">
        <f t="shared" ref="K771:K834" si="109">(G771-G772)/G772</f>
        <v>1.9381315308480005E-2</v>
      </c>
      <c r="L771" s="1">
        <f t="shared" ref="L771:L834" si="110">G771/E771</f>
        <v>1</v>
      </c>
      <c r="M771" s="1">
        <f t="shared" ref="M771:M834" si="111">L771*C771</f>
        <v>298</v>
      </c>
      <c r="N771" s="1">
        <f t="shared" ref="N771:N834" si="112">L771*D771</f>
        <v>289.76</v>
      </c>
      <c r="O771" s="1">
        <f t="shared" ref="O771:O834" si="113">G771-$G$5163</f>
        <v>293.63</v>
      </c>
      <c r="P771" s="1">
        <f t="shared" ref="P771:P834" si="114">(G771-$G$5163)/$G$5163</f>
        <v>149.81122448979593</v>
      </c>
    </row>
    <row r="772" spans="1:16">
      <c r="A772" s="2">
        <v>41939</v>
      </c>
      <c r="B772" s="1">
        <v>285.7</v>
      </c>
      <c r="C772" s="1">
        <v>290.42</v>
      </c>
      <c r="D772" s="1">
        <v>285.02</v>
      </c>
      <c r="E772" s="1">
        <v>289.97000000000003</v>
      </c>
      <c r="F772" s="1">
        <v>5950600</v>
      </c>
      <c r="G772" s="1">
        <v>289.97000000000003</v>
      </c>
      <c r="H772" s="1">
        <f t="shared" si="108"/>
        <v>5.4000000000000341</v>
      </c>
      <c r="I772" s="9">
        <f t="shared" ref="I772:I835" si="115">(C772-D772)/D772</f>
        <v>1.8946038874465072E-2</v>
      </c>
      <c r="J772" s="1">
        <f t="shared" ref="J772:J835" si="116">G772-G773</f>
        <v>2.910000000000025</v>
      </c>
      <c r="K772" s="9">
        <f t="shared" si="109"/>
        <v>1.0137253535846252E-2</v>
      </c>
      <c r="L772" s="1">
        <f t="shared" si="110"/>
        <v>1</v>
      </c>
      <c r="M772" s="1">
        <f t="shared" si="111"/>
        <v>290.42</v>
      </c>
      <c r="N772" s="1">
        <f t="shared" si="112"/>
        <v>285.02</v>
      </c>
      <c r="O772" s="1">
        <f t="shared" si="113"/>
        <v>288.01000000000005</v>
      </c>
      <c r="P772" s="1">
        <f t="shared" si="114"/>
        <v>146.94387755102045</v>
      </c>
    </row>
    <row r="773" spans="1:16">
      <c r="A773" s="2">
        <v>41936</v>
      </c>
      <c r="B773" s="1">
        <v>284.39999999999998</v>
      </c>
      <c r="C773" s="1">
        <v>293.81</v>
      </c>
      <c r="D773" s="1">
        <v>284</v>
      </c>
      <c r="E773" s="1">
        <v>287.06</v>
      </c>
      <c r="F773" s="1">
        <v>19801100</v>
      </c>
      <c r="G773" s="1">
        <v>287.06</v>
      </c>
      <c r="H773" s="1">
        <f t="shared" si="108"/>
        <v>9.8100000000000023</v>
      </c>
      <c r="I773" s="9">
        <f t="shared" si="115"/>
        <v>3.4542253521126769E-2</v>
      </c>
      <c r="J773" s="1">
        <f t="shared" si="116"/>
        <v>-26.120000000000005</v>
      </c>
      <c r="K773" s="9">
        <f t="shared" si="109"/>
        <v>-8.3402516124912202E-2</v>
      </c>
      <c r="L773" s="1">
        <f t="shared" si="110"/>
        <v>1</v>
      </c>
      <c r="M773" s="1">
        <f t="shared" si="111"/>
        <v>293.81</v>
      </c>
      <c r="N773" s="1">
        <f t="shared" si="112"/>
        <v>284</v>
      </c>
      <c r="O773" s="1">
        <f t="shared" si="113"/>
        <v>285.10000000000002</v>
      </c>
      <c r="P773" s="1">
        <f t="shared" si="114"/>
        <v>145.4591836734694</v>
      </c>
    </row>
    <row r="774" spans="1:16">
      <c r="A774" s="2">
        <v>41935</v>
      </c>
      <c r="B774" s="1">
        <v>313.39999999999998</v>
      </c>
      <c r="C774" s="1">
        <v>316.8</v>
      </c>
      <c r="D774" s="1">
        <v>311.39999999999998</v>
      </c>
      <c r="E774" s="1">
        <v>313.18</v>
      </c>
      <c r="F774" s="1">
        <v>9038200</v>
      </c>
      <c r="G774" s="1">
        <v>313.18</v>
      </c>
      <c r="H774" s="1">
        <f t="shared" si="108"/>
        <v>5.4000000000000341</v>
      </c>
      <c r="I774" s="9">
        <f t="shared" si="115"/>
        <v>1.7341040462427855E-2</v>
      </c>
      <c r="J774" s="1">
        <f t="shared" si="116"/>
        <v>0.20999999999997954</v>
      </c>
      <c r="K774" s="9">
        <f t="shared" si="109"/>
        <v>6.7099082979192744E-4</v>
      </c>
      <c r="L774" s="1">
        <f t="shared" si="110"/>
        <v>1</v>
      </c>
      <c r="M774" s="1">
        <f t="shared" si="111"/>
        <v>316.8</v>
      </c>
      <c r="N774" s="1">
        <f t="shared" si="112"/>
        <v>311.39999999999998</v>
      </c>
      <c r="O774" s="1">
        <f t="shared" si="113"/>
        <v>311.22000000000003</v>
      </c>
      <c r="P774" s="1">
        <f t="shared" si="114"/>
        <v>158.78571428571431</v>
      </c>
    </row>
    <row r="775" spans="1:16">
      <c r="A775" s="2">
        <v>41934</v>
      </c>
      <c r="B775" s="1">
        <v>315.43</v>
      </c>
      <c r="C775" s="1">
        <v>318.98</v>
      </c>
      <c r="D775" s="1">
        <v>312.64</v>
      </c>
      <c r="E775" s="1">
        <v>312.97000000000003</v>
      </c>
      <c r="F775" s="1">
        <v>3125900</v>
      </c>
      <c r="G775" s="1">
        <v>312.97000000000003</v>
      </c>
      <c r="H775" s="1">
        <f t="shared" si="108"/>
        <v>6.3400000000000318</v>
      </c>
      <c r="I775" s="9">
        <f t="shared" si="115"/>
        <v>2.0278915046059467E-2</v>
      </c>
      <c r="J775" s="1">
        <f t="shared" si="116"/>
        <v>-2.3599999999999568</v>
      </c>
      <c r="K775" s="9">
        <f t="shared" si="109"/>
        <v>-7.4842228776201341E-3</v>
      </c>
      <c r="L775" s="1">
        <f t="shared" si="110"/>
        <v>1</v>
      </c>
      <c r="M775" s="1">
        <f t="shared" si="111"/>
        <v>318.98</v>
      </c>
      <c r="N775" s="1">
        <f t="shared" si="112"/>
        <v>312.64</v>
      </c>
      <c r="O775" s="1">
        <f t="shared" si="113"/>
        <v>311.01000000000005</v>
      </c>
      <c r="P775" s="1">
        <f t="shared" si="114"/>
        <v>158.67857142857144</v>
      </c>
    </row>
    <row r="776" spans="1:16">
      <c r="A776" s="2">
        <v>41933</v>
      </c>
      <c r="B776" s="1">
        <v>309.89999999999998</v>
      </c>
      <c r="C776" s="1">
        <v>315.64</v>
      </c>
      <c r="D776" s="1">
        <v>307.07</v>
      </c>
      <c r="E776" s="1">
        <v>315.33</v>
      </c>
      <c r="F776" s="1">
        <v>3559300</v>
      </c>
      <c r="G776" s="1">
        <v>315.33</v>
      </c>
      <c r="H776" s="1">
        <f t="shared" si="108"/>
        <v>8.5699999999999932</v>
      </c>
      <c r="I776" s="9">
        <f t="shared" si="115"/>
        <v>2.7908945842967381E-2</v>
      </c>
      <c r="J776" s="1">
        <f t="shared" si="116"/>
        <v>9.1200000000000045</v>
      </c>
      <c r="K776" s="9">
        <f t="shared" si="109"/>
        <v>2.9783481924169703E-2</v>
      </c>
      <c r="L776" s="1">
        <f t="shared" si="110"/>
        <v>1</v>
      </c>
      <c r="M776" s="1">
        <f t="shared" si="111"/>
        <v>315.64</v>
      </c>
      <c r="N776" s="1">
        <f t="shared" si="112"/>
        <v>307.07</v>
      </c>
      <c r="O776" s="1">
        <f t="shared" si="113"/>
        <v>313.37</v>
      </c>
      <c r="P776" s="1">
        <f t="shared" si="114"/>
        <v>159.88265306122449</v>
      </c>
    </row>
    <row r="777" spans="1:16">
      <c r="A777" s="2">
        <v>41932</v>
      </c>
      <c r="B777" s="1">
        <v>302.95</v>
      </c>
      <c r="C777" s="1">
        <v>306.52999999999997</v>
      </c>
      <c r="D777" s="1">
        <v>302.02</v>
      </c>
      <c r="E777" s="1">
        <v>306.20999999999998</v>
      </c>
      <c r="F777" s="1">
        <v>3234500</v>
      </c>
      <c r="G777" s="1">
        <v>306.20999999999998</v>
      </c>
      <c r="H777" s="1">
        <f t="shared" si="108"/>
        <v>4.5099999999999909</v>
      </c>
      <c r="I777" s="9">
        <f t="shared" si="115"/>
        <v>1.493278590821797E-2</v>
      </c>
      <c r="J777" s="1">
        <f t="shared" si="116"/>
        <v>2.5699999999999932</v>
      </c>
      <c r="K777" s="9">
        <f t="shared" si="109"/>
        <v>8.4639704913713389E-3</v>
      </c>
      <c r="L777" s="1">
        <f t="shared" si="110"/>
        <v>1</v>
      </c>
      <c r="M777" s="1">
        <f t="shared" si="111"/>
        <v>306.52999999999997</v>
      </c>
      <c r="N777" s="1">
        <f t="shared" si="112"/>
        <v>302.02</v>
      </c>
      <c r="O777" s="1">
        <f t="shared" si="113"/>
        <v>304.25</v>
      </c>
      <c r="P777" s="1">
        <f t="shared" si="114"/>
        <v>155.2295918367347</v>
      </c>
    </row>
    <row r="778" spans="1:16">
      <c r="A778" s="2">
        <v>41929</v>
      </c>
      <c r="B778" s="1">
        <v>307.14999999999998</v>
      </c>
      <c r="C778" s="1">
        <v>309.2</v>
      </c>
      <c r="D778" s="1">
        <v>302.72000000000003</v>
      </c>
      <c r="E778" s="1">
        <v>303.64</v>
      </c>
      <c r="F778" s="1">
        <v>4405100</v>
      </c>
      <c r="G778" s="1">
        <v>303.64</v>
      </c>
      <c r="H778" s="1">
        <f t="shared" si="108"/>
        <v>6.4799999999999613</v>
      </c>
      <c r="I778" s="9">
        <f t="shared" si="115"/>
        <v>2.1405919661733486E-2</v>
      </c>
      <c r="J778" s="1">
        <f t="shared" si="116"/>
        <v>0.77999999999997272</v>
      </c>
      <c r="K778" s="9">
        <f t="shared" si="109"/>
        <v>2.575447401439519E-3</v>
      </c>
      <c r="L778" s="1">
        <f t="shared" si="110"/>
        <v>1</v>
      </c>
      <c r="M778" s="1">
        <f t="shared" si="111"/>
        <v>309.2</v>
      </c>
      <c r="N778" s="1">
        <f t="shared" si="112"/>
        <v>302.72000000000003</v>
      </c>
      <c r="O778" s="1">
        <f t="shared" si="113"/>
        <v>301.68</v>
      </c>
      <c r="P778" s="1">
        <f t="shared" si="114"/>
        <v>153.91836734693879</v>
      </c>
    </row>
    <row r="779" spans="1:16">
      <c r="A779" s="2">
        <v>41928</v>
      </c>
      <c r="B779" s="1">
        <v>293.83</v>
      </c>
      <c r="C779" s="1">
        <v>306.82</v>
      </c>
      <c r="D779" s="1">
        <v>293.83</v>
      </c>
      <c r="E779" s="1">
        <v>302.86</v>
      </c>
      <c r="F779" s="1">
        <v>4731300</v>
      </c>
      <c r="G779" s="1">
        <v>302.86</v>
      </c>
      <c r="H779" s="1">
        <f t="shared" si="108"/>
        <v>12.990000000000009</v>
      </c>
      <c r="I779" s="9">
        <f t="shared" si="115"/>
        <v>4.4209236633427525E-2</v>
      </c>
      <c r="J779" s="1">
        <f t="shared" si="116"/>
        <v>-3.1100000000000136</v>
      </c>
      <c r="K779" s="9">
        <f t="shared" si="109"/>
        <v>-1.0164395202144044E-2</v>
      </c>
      <c r="L779" s="1">
        <f t="shared" si="110"/>
        <v>1</v>
      </c>
      <c r="M779" s="1">
        <f t="shared" si="111"/>
        <v>306.82</v>
      </c>
      <c r="N779" s="1">
        <f t="shared" si="112"/>
        <v>293.83</v>
      </c>
      <c r="O779" s="1">
        <f t="shared" si="113"/>
        <v>300.90000000000003</v>
      </c>
      <c r="P779" s="1">
        <f t="shared" si="114"/>
        <v>153.52040816326533</v>
      </c>
    </row>
    <row r="780" spans="1:16">
      <c r="A780" s="2">
        <v>41927</v>
      </c>
      <c r="B780" s="1">
        <v>304.35000000000002</v>
      </c>
      <c r="C780" s="1">
        <v>307.89999999999998</v>
      </c>
      <c r="D780" s="1">
        <v>299.10000000000002</v>
      </c>
      <c r="E780" s="1">
        <v>305.97000000000003</v>
      </c>
      <c r="F780" s="1">
        <v>5343900</v>
      </c>
      <c r="G780" s="1">
        <v>305.97000000000003</v>
      </c>
      <c r="H780" s="1">
        <f t="shared" si="108"/>
        <v>8.7999999999999545</v>
      </c>
      <c r="I780" s="9">
        <f t="shared" si="115"/>
        <v>2.9421598127716327E-2</v>
      </c>
      <c r="J780" s="1">
        <f t="shared" si="116"/>
        <v>-2.339999999999975</v>
      </c>
      <c r="K780" s="9">
        <f t="shared" si="109"/>
        <v>-7.5897635496739481E-3</v>
      </c>
      <c r="L780" s="1">
        <f t="shared" si="110"/>
        <v>1</v>
      </c>
      <c r="M780" s="1">
        <f t="shared" si="111"/>
        <v>307.89999999999998</v>
      </c>
      <c r="N780" s="1">
        <f t="shared" si="112"/>
        <v>299.10000000000002</v>
      </c>
      <c r="O780" s="1">
        <f t="shared" si="113"/>
        <v>304.01000000000005</v>
      </c>
      <c r="P780" s="1">
        <f t="shared" si="114"/>
        <v>155.10714285714289</v>
      </c>
    </row>
    <row r="781" spans="1:16">
      <c r="A781" s="2">
        <v>41926</v>
      </c>
      <c r="B781" s="1">
        <v>308</v>
      </c>
      <c r="C781" s="1">
        <v>312.24</v>
      </c>
      <c r="D781" s="1">
        <v>305.75</v>
      </c>
      <c r="E781" s="1">
        <v>308.31</v>
      </c>
      <c r="F781" s="1">
        <v>3385800</v>
      </c>
      <c r="G781" s="1">
        <v>308.31</v>
      </c>
      <c r="H781" s="1">
        <f t="shared" si="108"/>
        <v>6.4900000000000091</v>
      </c>
      <c r="I781" s="9">
        <f t="shared" si="115"/>
        <v>2.1226492232215892E-2</v>
      </c>
      <c r="J781" s="1">
        <f t="shared" si="116"/>
        <v>1.8600000000000136</v>
      </c>
      <c r="K781" s="9">
        <f t="shared" si="109"/>
        <v>6.0695056289770391E-3</v>
      </c>
      <c r="L781" s="1">
        <f t="shared" si="110"/>
        <v>1</v>
      </c>
      <c r="M781" s="1">
        <f t="shared" si="111"/>
        <v>312.24</v>
      </c>
      <c r="N781" s="1">
        <f t="shared" si="112"/>
        <v>305.75</v>
      </c>
      <c r="O781" s="1">
        <f t="shared" si="113"/>
        <v>306.35000000000002</v>
      </c>
      <c r="P781" s="1">
        <f t="shared" si="114"/>
        <v>156.30102040816328</v>
      </c>
    </row>
    <row r="782" spans="1:16">
      <c r="A782" s="2">
        <v>41925</v>
      </c>
      <c r="B782" s="1">
        <v>309.87</v>
      </c>
      <c r="C782" s="1">
        <v>313.2</v>
      </c>
      <c r="D782" s="1">
        <v>303.47000000000003</v>
      </c>
      <c r="E782" s="1">
        <v>306.45</v>
      </c>
      <c r="F782" s="1">
        <v>4363900</v>
      </c>
      <c r="G782" s="1">
        <v>306.45</v>
      </c>
      <c r="H782" s="1">
        <f t="shared" si="108"/>
        <v>9.7299999999999613</v>
      </c>
      <c r="I782" s="9">
        <f t="shared" si="115"/>
        <v>3.2062477345371737E-2</v>
      </c>
      <c r="J782" s="1">
        <f t="shared" si="116"/>
        <v>-4.9399999999999977</v>
      </c>
      <c r="K782" s="9">
        <f t="shared" si="109"/>
        <v>-1.5864350171810263E-2</v>
      </c>
      <c r="L782" s="1">
        <f t="shared" si="110"/>
        <v>1</v>
      </c>
      <c r="M782" s="1">
        <f t="shared" si="111"/>
        <v>313.2</v>
      </c>
      <c r="N782" s="1">
        <f t="shared" si="112"/>
        <v>303.47000000000003</v>
      </c>
      <c r="O782" s="1">
        <f t="shared" si="113"/>
        <v>304.49</v>
      </c>
      <c r="P782" s="1">
        <f t="shared" si="114"/>
        <v>155.35204081632654</v>
      </c>
    </row>
    <row r="783" spans="1:16">
      <c r="A783" s="2">
        <v>41922</v>
      </c>
      <c r="B783" s="1">
        <v>314.02</v>
      </c>
      <c r="C783" s="1">
        <v>317.77</v>
      </c>
      <c r="D783" s="1">
        <v>311.38</v>
      </c>
      <c r="E783" s="1">
        <v>311.39</v>
      </c>
      <c r="F783" s="1">
        <v>3681900</v>
      </c>
      <c r="G783" s="1">
        <v>311.39</v>
      </c>
      <c r="H783" s="1">
        <f t="shared" si="108"/>
        <v>6.3899999999999864</v>
      </c>
      <c r="I783" s="9">
        <f t="shared" si="115"/>
        <v>2.0521549232449053E-2</v>
      </c>
      <c r="J783" s="1">
        <f t="shared" si="116"/>
        <v>-3.9800000000000182</v>
      </c>
      <c r="K783" s="9">
        <f t="shared" si="109"/>
        <v>-1.2620097028886761E-2</v>
      </c>
      <c r="L783" s="1">
        <f t="shared" si="110"/>
        <v>1</v>
      </c>
      <c r="M783" s="1">
        <f t="shared" si="111"/>
        <v>317.77</v>
      </c>
      <c r="N783" s="1">
        <f t="shared" si="112"/>
        <v>311.38</v>
      </c>
      <c r="O783" s="1">
        <f t="shared" si="113"/>
        <v>309.43</v>
      </c>
      <c r="P783" s="1">
        <f t="shared" si="114"/>
        <v>157.87244897959184</v>
      </c>
    </row>
    <row r="784" spans="1:16">
      <c r="A784" s="2">
        <v>41921</v>
      </c>
      <c r="B784" s="1">
        <v>321.49</v>
      </c>
      <c r="C784" s="1">
        <v>322.27</v>
      </c>
      <c r="D784" s="1">
        <v>314.52</v>
      </c>
      <c r="E784" s="1">
        <v>315.37</v>
      </c>
      <c r="F784" s="1">
        <v>3587900</v>
      </c>
      <c r="G784" s="1">
        <v>315.37</v>
      </c>
      <c r="H784" s="1">
        <f t="shared" si="108"/>
        <v>7.75</v>
      </c>
      <c r="I784" s="9">
        <f t="shared" si="115"/>
        <v>2.4640722370596467E-2</v>
      </c>
      <c r="J784" s="1">
        <f t="shared" si="116"/>
        <v>-7.3299999999999841</v>
      </c>
      <c r="K784" s="9">
        <f t="shared" si="109"/>
        <v>-2.2714595599628087E-2</v>
      </c>
      <c r="L784" s="1">
        <f t="shared" si="110"/>
        <v>1</v>
      </c>
      <c r="M784" s="1">
        <f t="shared" si="111"/>
        <v>322.27</v>
      </c>
      <c r="N784" s="1">
        <f t="shared" si="112"/>
        <v>314.52</v>
      </c>
      <c r="O784" s="1">
        <f t="shared" si="113"/>
        <v>313.41000000000003</v>
      </c>
      <c r="P784" s="1">
        <f t="shared" si="114"/>
        <v>159.90306122448982</v>
      </c>
    </row>
    <row r="785" spans="1:16">
      <c r="A785" s="2">
        <v>41920</v>
      </c>
      <c r="B785" s="1">
        <v>316.58</v>
      </c>
      <c r="C785" s="1">
        <v>324.11</v>
      </c>
      <c r="D785" s="1">
        <v>314.14</v>
      </c>
      <c r="E785" s="1">
        <v>322.7</v>
      </c>
      <c r="F785" s="1">
        <v>3452800</v>
      </c>
      <c r="G785" s="1">
        <v>322.7</v>
      </c>
      <c r="H785" s="1">
        <f t="shared" si="108"/>
        <v>9.9700000000000273</v>
      </c>
      <c r="I785" s="9">
        <f t="shared" si="115"/>
        <v>3.1737441904883264E-2</v>
      </c>
      <c r="J785" s="1">
        <f t="shared" si="116"/>
        <v>5.7199999999999704</v>
      </c>
      <c r="K785" s="9">
        <f t="shared" si="109"/>
        <v>1.8045302542747083E-2</v>
      </c>
      <c r="L785" s="1">
        <f t="shared" si="110"/>
        <v>1</v>
      </c>
      <c r="M785" s="1">
        <f t="shared" si="111"/>
        <v>324.11</v>
      </c>
      <c r="N785" s="1">
        <f t="shared" si="112"/>
        <v>314.14</v>
      </c>
      <c r="O785" s="1">
        <f t="shared" si="113"/>
        <v>320.74</v>
      </c>
      <c r="P785" s="1">
        <f t="shared" si="114"/>
        <v>163.64285714285714</v>
      </c>
    </row>
    <row r="786" spans="1:16">
      <c r="A786" s="2">
        <v>41919</v>
      </c>
      <c r="B786" s="1">
        <v>319.43</v>
      </c>
      <c r="C786" s="1">
        <v>322</v>
      </c>
      <c r="D786" s="1">
        <v>316.67</v>
      </c>
      <c r="E786" s="1">
        <v>316.98</v>
      </c>
      <c r="F786" s="1">
        <v>2365400</v>
      </c>
      <c r="G786" s="1">
        <v>316.98</v>
      </c>
      <c r="H786" s="1">
        <f t="shared" si="108"/>
        <v>5.3299999999999841</v>
      </c>
      <c r="I786" s="9">
        <f t="shared" si="115"/>
        <v>1.6831401774718108E-2</v>
      </c>
      <c r="J786" s="1">
        <f t="shared" si="116"/>
        <v>-5.2199999999999704</v>
      </c>
      <c r="K786" s="9">
        <f t="shared" si="109"/>
        <v>-1.6201117318435664E-2</v>
      </c>
      <c r="L786" s="1">
        <f t="shared" si="110"/>
        <v>1</v>
      </c>
      <c r="M786" s="1">
        <f t="shared" si="111"/>
        <v>322</v>
      </c>
      <c r="N786" s="1">
        <f t="shared" si="112"/>
        <v>316.67</v>
      </c>
      <c r="O786" s="1">
        <f t="shared" si="113"/>
        <v>315.02000000000004</v>
      </c>
      <c r="P786" s="1">
        <f t="shared" si="114"/>
        <v>160.7244897959184</v>
      </c>
    </row>
    <row r="787" spans="1:16">
      <c r="A787" s="2">
        <v>41918</v>
      </c>
      <c r="B787" s="1">
        <v>323.5</v>
      </c>
      <c r="C787" s="1">
        <v>324.13</v>
      </c>
      <c r="D787" s="1">
        <v>319.60000000000002</v>
      </c>
      <c r="E787" s="1">
        <v>322.2</v>
      </c>
      <c r="F787" s="1">
        <v>2290300</v>
      </c>
      <c r="G787" s="1">
        <v>322.2</v>
      </c>
      <c r="H787" s="1">
        <f t="shared" si="108"/>
        <v>4.5299999999999727</v>
      </c>
      <c r="I787" s="9">
        <f t="shared" si="115"/>
        <v>1.4173967459324069E-2</v>
      </c>
      <c r="J787" s="1">
        <f t="shared" si="116"/>
        <v>-0.54000000000002046</v>
      </c>
      <c r="K787" s="9">
        <f t="shared" si="109"/>
        <v>-1.67317345231462E-3</v>
      </c>
      <c r="L787" s="1">
        <f t="shared" si="110"/>
        <v>1</v>
      </c>
      <c r="M787" s="1">
        <f t="shared" si="111"/>
        <v>324.13</v>
      </c>
      <c r="N787" s="1">
        <f t="shared" si="112"/>
        <v>319.60000000000002</v>
      </c>
      <c r="O787" s="1">
        <f t="shared" si="113"/>
        <v>320.24</v>
      </c>
      <c r="P787" s="1">
        <f t="shared" si="114"/>
        <v>163.38775510204081</v>
      </c>
    </row>
    <row r="788" spans="1:16">
      <c r="A788" s="2">
        <v>41915</v>
      </c>
      <c r="B788" s="1">
        <v>320.36</v>
      </c>
      <c r="C788" s="1">
        <v>325.16000000000003</v>
      </c>
      <c r="D788" s="1">
        <v>319.52999999999997</v>
      </c>
      <c r="E788" s="1">
        <v>322.74</v>
      </c>
      <c r="F788" s="1">
        <v>3037400</v>
      </c>
      <c r="G788" s="1">
        <v>322.74</v>
      </c>
      <c r="H788" s="1">
        <f t="shared" si="108"/>
        <v>5.6300000000000523</v>
      </c>
      <c r="I788" s="9">
        <f t="shared" si="115"/>
        <v>1.7619628829843997E-2</v>
      </c>
      <c r="J788" s="1">
        <f t="shared" si="116"/>
        <v>4.3299999999999841</v>
      </c>
      <c r="K788" s="9">
        <f t="shared" si="109"/>
        <v>1.3598819132564881E-2</v>
      </c>
      <c r="L788" s="1">
        <f t="shared" si="110"/>
        <v>1</v>
      </c>
      <c r="M788" s="1">
        <f t="shared" si="111"/>
        <v>325.16000000000003</v>
      </c>
      <c r="N788" s="1">
        <f t="shared" si="112"/>
        <v>319.52999999999997</v>
      </c>
      <c r="O788" s="1">
        <f t="shared" si="113"/>
        <v>320.78000000000003</v>
      </c>
      <c r="P788" s="1">
        <f t="shared" si="114"/>
        <v>163.66326530612247</v>
      </c>
    </row>
    <row r="789" spans="1:16">
      <c r="A789" s="2">
        <v>41914</v>
      </c>
      <c r="B789" s="1">
        <v>316.92</v>
      </c>
      <c r="C789" s="1">
        <v>318.52999999999997</v>
      </c>
      <c r="D789" s="1">
        <v>311.31</v>
      </c>
      <c r="E789" s="1">
        <v>318.41000000000003</v>
      </c>
      <c r="F789" s="1">
        <v>3553900</v>
      </c>
      <c r="G789" s="1">
        <v>318.41000000000003</v>
      </c>
      <c r="H789" s="1">
        <f t="shared" si="108"/>
        <v>7.2199999999999704</v>
      </c>
      <c r="I789" s="9">
        <f t="shared" si="115"/>
        <v>2.3192316340625005E-2</v>
      </c>
      <c r="J789" s="1">
        <f t="shared" si="116"/>
        <v>0.95000000000004547</v>
      </c>
      <c r="K789" s="9">
        <f t="shared" si="109"/>
        <v>2.9925029925031358E-3</v>
      </c>
      <c r="L789" s="1">
        <f t="shared" si="110"/>
        <v>1</v>
      </c>
      <c r="M789" s="1">
        <f t="shared" si="111"/>
        <v>318.52999999999997</v>
      </c>
      <c r="N789" s="1">
        <f t="shared" si="112"/>
        <v>311.31</v>
      </c>
      <c r="O789" s="1">
        <f t="shared" si="113"/>
        <v>316.45000000000005</v>
      </c>
      <c r="P789" s="1">
        <f t="shared" si="114"/>
        <v>161.4540816326531</v>
      </c>
    </row>
    <row r="790" spans="1:16">
      <c r="A790" s="2">
        <v>41913</v>
      </c>
      <c r="B790" s="1">
        <v>322.04000000000002</v>
      </c>
      <c r="C790" s="1">
        <v>322.17</v>
      </c>
      <c r="D790" s="1">
        <v>315.55</v>
      </c>
      <c r="E790" s="1">
        <v>317.45999999999998</v>
      </c>
      <c r="F790" s="1">
        <v>3089100</v>
      </c>
      <c r="G790" s="1">
        <v>317.45999999999998</v>
      </c>
      <c r="H790" s="1">
        <f t="shared" si="108"/>
        <v>6.6200000000000045</v>
      </c>
      <c r="I790" s="9">
        <f t="shared" si="115"/>
        <v>2.0979242592299174E-2</v>
      </c>
      <c r="J790" s="1">
        <f t="shared" si="116"/>
        <v>-4.9800000000000182</v>
      </c>
      <c r="K790" s="9">
        <f t="shared" si="109"/>
        <v>-1.5444733903982193E-2</v>
      </c>
      <c r="L790" s="1">
        <f t="shared" si="110"/>
        <v>1</v>
      </c>
      <c r="M790" s="1">
        <f t="shared" si="111"/>
        <v>322.17</v>
      </c>
      <c r="N790" s="1">
        <f t="shared" si="112"/>
        <v>315.55</v>
      </c>
      <c r="O790" s="1">
        <f t="shared" si="113"/>
        <v>315.5</v>
      </c>
      <c r="P790" s="1">
        <f t="shared" si="114"/>
        <v>160.96938775510205</v>
      </c>
    </row>
    <row r="791" spans="1:16">
      <c r="A791" s="2">
        <v>41912</v>
      </c>
      <c r="B791" s="1">
        <v>321.36</v>
      </c>
      <c r="C791" s="1">
        <v>323.43</v>
      </c>
      <c r="D791" s="1">
        <v>318.51</v>
      </c>
      <c r="E791" s="1">
        <v>322.44</v>
      </c>
      <c r="F791" s="1">
        <v>2636200</v>
      </c>
      <c r="G791" s="1">
        <v>322.44</v>
      </c>
      <c r="H791" s="1">
        <f t="shared" si="108"/>
        <v>4.9200000000000159</v>
      </c>
      <c r="I791" s="9">
        <f t="shared" si="115"/>
        <v>1.5446924743336209E-2</v>
      </c>
      <c r="J791" s="1">
        <f t="shared" si="116"/>
        <v>0.62000000000000455</v>
      </c>
      <c r="K791" s="9">
        <f t="shared" si="109"/>
        <v>1.9265427878938678E-3</v>
      </c>
      <c r="L791" s="1">
        <f t="shared" si="110"/>
        <v>1</v>
      </c>
      <c r="M791" s="1">
        <f t="shared" si="111"/>
        <v>323.43</v>
      </c>
      <c r="N791" s="1">
        <f t="shared" si="112"/>
        <v>318.51</v>
      </c>
      <c r="O791" s="1">
        <f t="shared" si="113"/>
        <v>320.48</v>
      </c>
      <c r="P791" s="1">
        <f t="shared" si="114"/>
        <v>163.51020408163268</v>
      </c>
    </row>
    <row r="792" spans="1:16">
      <c r="A792" s="2">
        <v>41911</v>
      </c>
      <c r="B792" s="1">
        <v>320.5</v>
      </c>
      <c r="C792" s="1">
        <v>323.75</v>
      </c>
      <c r="D792" s="1">
        <v>319</v>
      </c>
      <c r="E792" s="1">
        <v>321.82</v>
      </c>
      <c r="F792" s="1">
        <v>1924600</v>
      </c>
      <c r="G792" s="1">
        <v>321.82</v>
      </c>
      <c r="H792" s="1">
        <f t="shared" si="108"/>
        <v>4.75</v>
      </c>
      <c r="I792" s="9">
        <f t="shared" si="115"/>
        <v>1.4890282131661442E-2</v>
      </c>
      <c r="J792" s="1">
        <f t="shared" si="116"/>
        <v>-1.3899999999999864</v>
      </c>
      <c r="K792" s="9">
        <f t="shared" si="109"/>
        <v>-4.3006095108443004E-3</v>
      </c>
      <c r="L792" s="1">
        <f t="shared" si="110"/>
        <v>1</v>
      </c>
      <c r="M792" s="1">
        <f t="shared" si="111"/>
        <v>323.75</v>
      </c>
      <c r="N792" s="1">
        <f t="shared" si="112"/>
        <v>319</v>
      </c>
      <c r="O792" s="1">
        <f t="shared" si="113"/>
        <v>319.86</v>
      </c>
      <c r="P792" s="1">
        <f t="shared" si="114"/>
        <v>163.19387755102042</v>
      </c>
    </row>
    <row r="793" spans="1:16">
      <c r="A793" s="2">
        <v>41908</v>
      </c>
      <c r="B793" s="1">
        <v>320.60000000000002</v>
      </c>
      <c r="C793" s="1">
        <v>323.5</v>
      </c>
      <c r="D793" s="1">
        <v>317.64</v>
      </c>
      <c r="E793" s="1">
        <v>323.20999999999998</v>
      </c>
      <c r="F793" s="1">
        <v>3638000</v>
      </c>
      <c r="G793" s="1">
        <v>323.20999999999998</v>
      </c>
      <c r="H793" s="1">
        <f t="shared" si="108"/>
        <v>5.8600000000000136</v>
      </c>
      <c r="I793" s="9">
        <f t="shared" si="115"/>
        <v>1.8448558116106326E-2</v>
      </c>
      <c r="J793" s="1">
        <f t="shared" si="116"/>
        <v>1.2799999999999727</v>
      </c>
      <c r="K793" s="9">
        <f t="shared" si="109"/>
        <v>3.9760196315968459E-3</v>
      </c>
      <c r="L793" s="1">
        <f t="shared" si="110"/>
        <v>1</v>
      </c>
      <c r="M793" s="1">
        <f t="shared" si="111"/>
        <v>323.5</v>
      </c>
      <c r="N793" s="1">
        <f t="shared" si="112"/>
        <v>317.64</v>
      </c>
      <c r="O793" s="1">
        <f t="shared" si="113"/>
        <v>321.25</v>
      </c>
      <c r="P793" s="1">
        <f t="shared" si="114"/>
        <v>163.90306122448979</v>
      </c>
    </row>
    <row r="794" spans="1:16">
      <c r="A794" s="2">
        <v>41907</v>
      </c>
      <c r="B794" s="1">
        <v>327.99</v>
      </c>
      <c r="C794" s="1">
        <v>328.54</v>
      </c>
      <c r="D794" s="1">
        <v>321.39999999999998</v>
      </c>
      <c r="E794" s="1">
        <v>321.93</v>
      </c>
      <c r="F794" s="1">
        <v>2928800</v>
      </c>
      <c r="G794" s="1">
        <v>321.93</v>
      </c>
      <c r="H794" s="1">
        <f t="shared" si="108"/>
        <v>7.1400000000000432</v>
      </c>
      <c r="I794" s="9">
        <f t="shared" si="115"/>
        <v>2.2215308027380348E-2</v>
      </c>
      <c r="J794" s="1">
        <f t="shared" si="116"/>
        <v>-6.2799999999999727</v>
      </c>
      <c r="K794" s="9">
        <f t="shared" si="109"/>
        <v>-1.9134090978336959E-2</v>
      </c>
      <c r="L794" s="1">
        <f t="shared" si="110"/>
        <v>1</v>
      </c>
      <c r="M794" s="1">
        <f t="shared" si="111"/>
        <v>328.54</v>
      </c>
      <c r="N794" s="1">
        <f t="shared" si="112"/>
        <v>321.39999999999998</v>
      </c>
      <c r="O794" s="1">
        <f t="shared" si="113"/>
        <v>319.97000000000003</v>
      </c>
      <c r="P794" s="1">
        <f t="shared" si="114"/>
        <v>163.25000000000003</v>
      </c>
    </row>
    <row r="795" spans="1:16">
      <c r="A795" s="2">
        <v>41906</v>
      </c>
      <c r="B795" s="1">
        <v>324.17</v>
      </c>
      <c r="C795" s="1">
        <v>329.44</v>
      </c>
      <c r="D795" s="1">
        <v>319.56</v>
      </c>
      <c r="E795" s="1">
        <v>328.21</v>
      </c>
      <c r="F795" s="1">
        <v>2642200</v>
      </c>
      <c r="G795" s="1">
        <v>328.21</v>
      </c>
      <c r="H795" s="1">
        <f t="shared" si="108"/>
        <v>9.8799999999999955</v>
      </c>
      <c r="I795" s="9">
        <f t="shared" si="115"/>
        <v>3.0917511578420313E-2</v>
      </c>
      <c r="J795" s="1">
        <f t="shared" si="116"/>
        <v>4.5799999999999841</v>
      </c>
      <c r="K795" s="9">
        <f t="shared" si="109"/>
        <v>1.4151963662206793E-2</v>
      </c>
      <c r="L795" s="1">
        <f t="shared" si="110"/>
        <v>1</v>
      </c>
      <c r="M795" s="1">
        <f t="shared" si="111"/>
        <v>329.44</v>
      </c>
      <c r="N795" s="1">
        <f t="shared" si="112"/>
        <v>319.56</v>
      </c>
      <c r="O795" s="1">
        <f t="shared" si="113"/>
        <v>326.25</v>
      </c>
      <c r="P795" s="1">
        <f t="shared" si="114"/>
        <v>166.45408163265307</v>
      </c>
    </row>
    <row r="796" spans="1:16">
      <c r="A796" s="2">
        <v>41905</v>
      </c>
      <c r="B796" s="1">
        <v>322.45999999999998</v>
      </c>
      <c r="C796" s="1">
        <v>327.60000000000002</v>
      </c>
      <c r="D796" s="1">
        <v>321.25</v>
      </c>
      <c r="E796" s="1">
        <v>323.63</v>
      </c>
      <c r="F796" s="1">
        <v>2352600</v>
      </c>
      <c r="G796" s="1">
        <v>323.63</v>
      </c>
      <c r="H796" s="1">
        <f t="shared" si="108"/>
        <v>6.3500000000000227</v>
      </c>
      <c r="I796" s="9">
        <f t="shared" si="115"/>
        <v>1.9766536964980614E-2</v>
      </c>
      <c r="J796" s="1">
        <f t="shared" si="116"/>
        <v>-0.87000000000000455</v>
      </c>
      <c r="K796" s="9">
        <f t="shared" si="109"/>
        <v>-2.6810477657935425E-3</v>
      </c>
      <c r="L796" s="1">
        <f t="shared" si="110"/>
        <v>1</v>
      </c>
      <c r="M796" s="1">
        <f t="shared" si="111"/>
        <v>327.60000000000002</v>
      </c>
      <c r="N796" s="1">
        <f t="shared" si="112"/>
        <v>321.25</v>
      </c>
      <c r="O796" s="1">
        <f t="shared" si="113"/>
        <v>321.67</v>
      </c>
      <c r="P796" s="1">
        <f t="shared" si="114"/>
        <v>164.11734693877551</v>
      </c>
    </row>
    <row r="797" spans="1:16">
      <c r="A797" s="2">
        <v>41904</v>
      </c>
      <c r="B797" s="1">
        <v>328.49</v>
      </c>
      <c r="C797" s="1">
        <v>329.49</v>
      </c>
      <c r="D797" s="1">
        <v>321.06</v>
      </c>
      <c r="E797" s="1">
        <v>324.5</v>
      </c>
      <c r="F797" s="1">
        <v>3109700</v>
      </c>
      <c r="G797" s="1">
        <v>324.5</v>
      </c>
      <c r="H797" s="1">
        <f t="shared" si="108"/>
        <v>8.4300000000000068</v>
      </c>
      <c r="I797" s="9">
        <f t="shared" si="115"/>
        <v>2.6256774434685128E-2</v>
      </c>
      <c r="J797" s="1">
        <f t="shared" si="116"/>
        <v>-6.8199999999999932</v>
      </c>
      <c r="K797" s="9">
        <f t="shared" si="109"/>
        <v>-2.0584329349269567E-2</v>
      </c>
      <c r="L797" s="1">
        <f t="shared" si="110"/>
        <v>1</v>
      </c>
      <c r="M797" s="1">
        <f t="shared" si="111"/>
        <v>329.49</v>
      </c>
      <c r="N797" s="1">
        <f t="shared" si="112"/>
        <v>321.06</v>
      </c>
      <c r="O797" s="1">
        <f t="shared" si="113"/>
        <v>322.54000000000002</v>
      </c>
      <c r="P797" s="1">
        <f t="shared" si="114"/>
        <v>164.56122448979593</v>
      </c>
    </row>
    <row r="798" spans="1:16">
      <c r="A798" s="2">
        <v>41901</v>
      </c>
      <c r="B798" s="1">
        <v>327.60000000000002</v>
      </c>
      <c r="C798" s="1">
        <v>332.76</v>
      </c>
      <c r="D798" s="1">
        <v>325.57</v>
      </c>
      <c r="E798" s="1">
        <v>331.32</v>
      </c>
      <c r="F798" s="1">
        <v>6886200</v>
      </c>
      <c r="G798" s="1">
        <v>331.32</v>
      </c>
      <c r="H798" s="1">
        <f t="shared" si="108"/>
        <v>7.1899999999999977</v>
      </c>
      <c r="I798" s="9">
        <f t="shared" si="115"/>
        <v>2.2084344380624742E-2</v>
      </c>
      <c r="J798" s="1">
        <f t="shared" si="116"/>
        <v>6.3199999999999932</v>
      </c>
      <c r="K798" s="9">
        <f t="shared" si="109"/>
        <v>1.9446153846153825E-2</v>
      </c>
      <c r="L798" s="1">
        <f t="shared" si="110"/>
        <v>1</v>
      </c>
      <c r="M798" s="1">
        <f t="shared" si="111"/>
        <v>332.76</v>
      </c>
      <c r="N798" s="1">
        <f t="shared" si="112"/>
        <v>325.57</v>
      </c>
      <c r="O798" s="1">
        <f t="shared" si="113"/>
        <v>329.36</v>
      </c>
      <c r="P798" s="1">
        <f t="shared" si="114"/>
        <v>168.04081632653063</v>
      </c>
    </row>
    <row r="799" spans="1:16">
      <c r="A799" s="2">
        <v>41900</v>
      </c>
      <c r="B799" s="1">
        <v>325.44</v>
      </c>
      <c r="C799" s="1">
        <v>327.10000000000002</v>
      </c>
      <c r="D799" s="1">
        <v>323.70999999999998</v>
      </c>
      <c r="E799" s="1">
        <v>325</v>
      </c>
      <c r="F799" s="1">
        <v>2576900</v>
      </c>
      <c r="G799" s="1">
        <v>325</v>
      </c>
      <c r="H799" s="1">
        <f t="shared" si="108"/>
        <v>3.3900000000000432</v>
      </c>
      <c r="I799" s="9">
        <f t="shared" si="115"/>
        <v>1.0472336350437254E-2</v>
      </c>
      <c r="J799" s="1">
        <f t="shared" si="116"/>
        <v>1</v>
      </c>
      <c r="K799" s="9">
        <f t="shared" si="109"/>
        <v>3.0864197530864196E-3</v>
      </c>
      <c r="L799" s="1">
        <f t="shared" si="110"/>
        <v>1</v>
      </c>
      <c r="M799" s="1">
        <f t="shared" si="111"/>
        <v>327.10000000000002</v>
      </c>
      <c r="N799" s="1">
        <f t="shared" si="112"/>
        <v>323.70999999999998</v>
      </c>
      <c r="O799" s="1">
        <f t="shared" si="113"/>
        <v>323.04000000000002</v>
      </c>
      <c r="P799" s="1">
        <f t="shared" si="114"/>
        <v>164.81632653061226</v>
      </c>
    </row>
    <row r="800" spans="1:16">
      <c r="A800" s="2">
        <v>41899</v>
      </c>
      <c r="B800" s="1">
        <v>327.76</v>
      </c>
      <c r="C800" s="1">
        <v>328</v>
      </c>
      <c r="D800" s="1">
        <v>321.52</v>
      </c>
      <c r="E800" s="1">
        <v>324</v>
      </c>
      <c r="F800" s="1">
        <v>4136000</v>
      </c>
      <c r="G800" s="1">
        <v>324</v>
      </c>
      <c r="H800" s="1">
        <f t="shared" si="108"/>
        <v>6.4800000000000182</v>
      </c>
      <c r="I800" s="9">
        <f t="shared" si="115"/>
        <v>2.015426723065445E-2</v>
      </c>
      <c r="J800" s="1">
        <f t="shared" si="116"/>
        <v>-3.7599999999999909</v>
      </c>
      <c r="K800" s="9">
        <f t="shared" si="109"/>
        <v>-1.1471808640468609E-2</v>
      </c>
      <c r="L800" s="1">
        <f t="shared" si="110"/>
        <v>1</v>
      </c>
      <c r="M800" s="1">
        <f t="shared" si="111"/>
        <v>328</v>
      </c>
      <c r="N800" s="1">
        <f t="shared" si="112"/>
        <v>321.52</v>
      </c>
      <c r="O800" s="1">
        <f t="shared" si="113"/>
        <v>322.04000000000002</v>
      </c>
      <c r="P800" s="1">
        <f t="shared" si="114"/>
        <v>164.30612244897961</v>
      </c>
    </row>
    <row r="801" spans="1:16">
      <c r="A801" s="2">
        <v>41898</v>
      </c>
      <c r="B801" s="1">
        <v>321.07</v>
      </c>
      <c r="C801" s="1">
        <v>329.48</v>
      </c>
      <c r="D801" s="1">
        <v>320.10000000000002</v>
      </c>
      <c r="E801" s="1">
        <v>327.76</v>
      </c>
      <c r="F801" s="1">
        <v>3259900</v>
      </c>
      <c r="G801" s="1">
        <v>327.76</v>
      </c>
      <c r="H801" s="1">
        <f t="shared" si="108"/>
        <v>9.3799999999999955</v>
      </c>
      <c r="I801" s="9">
        <f t="shared" si="115"/>
        <v>2.9303342705404543E-2</v>
      </c>
      <c r="J801" s="1">
        <f t="shared" si="116"/>
        <v>3.8700000000000045</v>
      </c>
      <c r="K801" s="9">
        <f t="shared" si="109"/>
        <v>1.1948501034301784E-2</v>
      </c>
      <c r="L801" s="1">
        <f t="shared" si="110"/>
        <v>1</v>
      </c>
      <c r="M801" s="1">
        <f t="shared" si="111"/>
        <v>329.48</v>
      </c>
      <c r="N801" s="1">
        <f t="shared" si="112"/>
        <v>320.10000000000002</v>
      </c>
      <c r="O801" s="1">
        <f t="shared" si="113"/>
        <v>325.8</v>
      </c>
      <c r="P801" s="1">
        <f t="shared" si="114"/>
        <v>166.22448979591837</v>
      </c>
    </row>
    <row r="802" spans="1:16">
      <c r="A802" s="2">
        <v>41897</v>
      </c>
      <c r="B802" s="1">
        <v>330.91</v>
      </c>
      <c r="C802" s="1">
        <v>331.33</v>
      </c>
      <c r="D802" s="1">
        <v>319</v>
      </c>
      <c r="E802" s="1">
        <v>323.89</v>
      </c>
      <c r="F802" s="1">
        <v>4000400</v>
      </c>
      <c r="G802" s="1">
        <v>323.89</v>
      </c>
      <c r="H802" s="1">
        <f t="shared" si="108"/>
        <v>12.329999999999984</v>
      </c>
      <c r="I802" s="9">
        <f t="shared" si="115"/>
        <v>3.8652037617554806E-2</v>
      </c>
      <c r="J802" s="1">
        <f t="shared" si="116"/>
        <v>-7.3000000000000114</v>
      </c>
      <c r="K802" s="9">
        <f t="shared" si="109"/>
        <v>-2.2041728313052966E-2</v>
      </c>
      <c r="L802" s="1">
        <f t="shared" si="110"/>
        <v>1</v>
      </c>
      <c r="M802" s="1">
        <f t="shared" si="111"/>
        <v>331.33</v>
      </c>
      <c r="N802" s="1">
        <f t="shared" si="112"/>
        <v>319</v>
      </c>
      <c r="O802" s="1">
        <f t="shared" si="113"/>
        <v>321.93</v>
      </c>
      <c r="P802" s="1">
        <f t="shared" si="114"/>
        <v>164.25</v>
      </c>
    </row>
    <row r="803" spans="1:16">
      <c r="A803" s="2">
        <v>41894</v>
      </c>
      <c r="B803" s="1">
        <v>329.56</v>
      </c>
      <c r="C803" s="1">
        <v>332.89</v>
      </c>
      <c r="D803" s="1">
        <v>328.79</v>
      </c>
      <c r="E803" s="1">
        <v>331.19</v>
      </c>
      <c r="F803" s="1">
        <v>3429300</v>
      </c>
      <c r="G803" s="1">
        <v>331.19</v>
      </c>
      <c r="H803" s="1">
        <f t="shared" si="108"/>
        <v>4.0999999999999659</v>
      </c>
      <c r="I803" s="9">
        <f t="shared" si="115"/>
        <v>1.2469965631558033E-2</v>
      </c>
      <c r="J803" s="1">
        <f t="shared" si="116"/>
        <v>0.67000000000001592</v>
      </c>
      <c r="K803" s="9">
        <f t="shared" si="109"/>
        <v>2.0271087982573397E-3</v>
      </c>
      <c r="L803" s="1">
        <f t="shared" si="110"/>
        <v>1</v>
      </c>
      <c r="M803" s="1">
        <f t="shared" si="111"/>
        <v>332.89</v>
      </c>
      <c r="N803" s="1">
        <f t="shared" si="112"/>
        <v>328.79</v>
      </c>
      <c r="O803" s="1">
        <f t="shared" si="113"/>
        <v>329.23</v>
      </c>
      <c r="P803" s="1">
        <f t="shared" si="114"/>
        <v>167.97448979591837</v>
      </c>
    </row>
    <row r="804" spans="1:16">
      <c r="A804" s="2">
        <v>41893</v>
      </c>
      <c r="B804" s="1">
        <v>329.94</v>
      </c>
      <c r="C804" s="1">
        <v>333.01</v>
      </c>
      <c r="D804" s="1">
        <v>326.39</v>
      </c>
      <c r="E804" s="1">
        <v>330.52</v>
      </c>
      <c r="F804" s="1">
        <v>2720200</v>
      </c>
      <c r="G804" s="1">
        <v>330.52</v>
      </c>
      <c r="H804" s="1">
        <f t="shared" si="108"/>
        <v>6.6200000000000045</v>
      </c>
      <c r="I804" s="9">
        <f t="shared" si="115"/>
        <v>2.0282484144734842E-2</v>
      </c>
      <c r="J804" s="1">
        <f t="shared" si="116"/>
        <v>-0.81000000000000227</v>
      </c>
      <c r="K804" s="9">
        <f t="shared" si="109"/>
        <v>-2.4446926025412799E-3</v>
      </c>
      <c r="L804" s="1">
        <f t="shared" si="110"/>
        <v>1</v>
      </c>
      <c r="M804" s="1">
        <f t="shared" si="111"/>
        <v>333.01</v>
      </c>
      <c r="N804" s="1">
        <f t="shared" si="112"/>
        <v>326.39</v>
      </c>
      <c r="O804" s="1">
        <f t="shared" si="113"/>
        <v>328.56</v>
      </c>
      <c r="P804" s="1">
        <f t="shared" si="114"/>
        <v>167.63265306122449</v>
      </c>
    </row>
    <row r="805" spans="1:16">
      <c r="A805" s="2">
        <v>41892</v>
      </c>
      <c r="B805" s="1">
        <v>334.3</v>
      </c>
      <c r="C805" s="1">
        <v>334.98</v>
      </c>
      <c r="D805" s="1">
        <v>328.82</v>
      </c>
      <c r="E805" s="1">
        <v>331.33</v>
      </c>
      <c r="F805" s="1">
        <v>3797400</v>
      </c>
      <c r="G805" s="1">
        <v>331.33</v>
      </c>
      <c r="H805" s="1">
        <f t="shared" si="108"/>
        <v>6.160000000000025</v>
      </c>
      <c r="I805" s="9">
        <f t="shared" si="115"/>
        <v>1.8733653670701372E-2</v>
      </c>
      <c r="J805" s="1">
        <f t="shared" si="116"/>
        <v>1.5799999999999841</v>
      </c>
      <c r="K805" s="9">
        <f t="shared" si="109"/>
        <v>4.7915087187262598E-3</v>
      </c>
      <c r="L805" s="1">
        <f t="shared" si="110"/>
        <v>1</v>
      </c>
      <c r="M805" s="1">
        <f t="shared" si="111"/>
        <v>334.98</v>
      </c>
      <c r="N805" s="1">
        <f t="shared" si="112"/>
        <v>328.82</v>
      </c>
      <c r="O805" s="1">
        <f t="shared" si="113"/>
        <v>329.37</v>
      </c>
      <c r="P805" s="1">
        <f t="shared" si="114"/>
        <v>168.04591836734696</v>
      </c>
    </row>
    <row r="806" spans="1:16">
      <c r="A806" s="2">
        <v>41891</v>
      </c>
      <c r="B806" s="1">
        <v>341.61</v>
      </c>
      <c r="C806" s="1">
        <v>341.76</v>
      </c>
      <c r="D806" s="1">
        <v>329.18</v>
      </c>
      <c r="E806" s="1">
        <v>329.75</v>
      </c>
      <c r="F806" s="1">
        <v>4646800</v>
      </c>
      <c r="G806" s="1">
        <v>329.75</v>
      </c>
      <c r="H806" s="1">
        <f t="shared" si="108"/>
        <v>12.579999999999984</v>
      </c>
      <c r="I806" s="9">
        <f t="shared" si="115"/>
        <v>3.8216173522085131E-2</v>
      </c>
      <c r="J806" s="1">
        <f t="shared" si="116"/>
        <v>-12.589999999999975</v>
      </c>
      <c r="K806" s="9">
        <f t="shared" si="109"/>
        <v>-3.6776304258923809E-2</v>
      </c>
      <c r="L806" s="1">
        <f t="shared" si="110"/>
        <v>1</v>
      </c>
      <c r="M806" s="1">
        <f t="shared" si="111"/>
        <v>341.76</v>
      </c>
      <c r="N806" s="1">
        <f t="shared" si="112"/>
        <v>329.18</v>
      </c>
      <c r="O806" s="1">
        <f t="shared" si="113"/>
        <v>327.79</v>
      </c>
      <c r="P806" s="1">
        <f t="shared" si="114"/>
        <v>167.23979591836735</v>
      </c>
    </row>
    <row r="807" spans="1:16">
      <c r="A807" s="2">
        <v>41890</v>
      </c>
      <c r="B807" s="1">
        <v>344.54</v>
      </c>
      <c r="C807" s="1">
        <v>345.81</v>
      </c>
      <c r="D807" s="1">
        <v>339.04</v>
      </c>
      <c r="E807" s="1">
        <v>342.34</v>
      </c>
      <c r="F807" s="1">
        <v>2955300</v>
      </c>
      <c r="G807" s="1">
        <v>342.34</v>
      </c>
      <c r="H807" s="1">
        <f t="shared" si="108"/>
        <v>6.7699999999999818</v>
      </c>
      <c r="I807" s="9">
        <f t="shared" si="115"/>
        <v>1.9968145351580879E-2</v>
      </c>
      <c r="J807" s="1">
        <f t="shared" si="116"/>
        <v>-4.0400000000000205</v>
      </c>
      <c r="K807" s="9">
        <f t="shared" si="109"/>
        <v>-1.1663490963681565E-2</v>
      </c>
      <c r="L807" s="1">
        <f t="shared" si="110"/>
        <v>1</v>
      </c>
      <c r="M807" s="1">
        <f t="shared" si="111"/>
        <v>345.81</v>
      </c>
      <c r="N807" s="1">
        <f t="shared" si="112"/>
        <v>339.04</v>
      </c>
      <c r="O807" s="1">
        <f t="shared" si="113"/>
        <v>340.38</v>
      </c>
      <c r="P807" s="1">
        <f t="shared" si="114"/>
        <v>173.66326530612244</v>
      </c>
    </row>
    <row r="808" spans="1:16">
      <c r="A808" s="2">
        <v>41887</v>
      </c>
      <c r="B808" s="1">
        <v>346.3</v>
      </c>
      <c r="C808" s="1">
        <v>346.83</v>
      </c>
      <c r="D808" s="1">
        <v>342.5</v>
      </c>
      <c r="E808" s="1">
        <v>346.38</v>
      </c>
      <c r="F808" s="1">
        <v>2107000</v>
      </c>
      <c r="G808" s="1">
        <v>346.38</v>
      </c>
      <c r="H808" s="1">
        <f t="shared" si="108"/>
        <v>4.3299999999999841</v>
      </c>
      <c r="I808" s="9">
        <f t="shared" si="115"/>
        <v>1.2642335766423311E-2</v>
      </c>
      <c r="J808" s="1">
        <f t="shared" si="116"/>
        <v>0.43000000000000682</v>
      </c>
      <c r="K808" s="9">
        <f t="shared" si="109"/>
        <v>1.2429541841306746E-3</v>
      </c>
      <c r="L808" s="1">
        <f t="shared" si="110"/>
        <v>1</v>
      </c>
      <c r="M808" s="1">
        <f t="shared" si="111"/>
        <v>346.83</v>
      </c>
      <c r="N808" s="1">
        <f t="shared" si="112"/>
        <v>342.5</v>
      </c>
      <c r="O808" s="1">
        <f t="shared" si="113"/>
        <v>344.42</v>
      </c>
      <c r="P808" s="1">
        <f t="shared" si="114"/>
        <v>175.72448979591837</v>
      </c>
    </row>
    <row r="809" spans="1:16">
      <c r="A809" s="2">
        <v>41886</v>
      </c>
      <c r="B809" s="1">
        <v>343.69</v>
      </c>
      <c r="C809" s="1">
        <v>349.38</v>
      </c>
      <c r="D809" s="1">
        <v>343.58</v>
      </c>
      <c r="E809" s="1">
        <v>345.95</v>
      </c>
      <c r="F809" s="1">
        <v>3965600</v>
      </c>
      <c r="G809" s="1">
        <v>345.95</v>
      </c>
      <c r="H809" s="1">
        <f t="shared" si="108"/>
        <v>5.8000000000000114</v>
      </c>
      <c r="I809" s="9">
        <f t="shared" si="115"/>
        <v>1.6881075731998405E-2</v>
      </c>
      <c r="J809" s="1">
        <f t="shared" si="116"/>
        <v>6.9499999999999886</v>
      </c>
      <c r="K809" s="9">
        <f t="shared" si="109"/>
        <v>2.0501474926253652E-2</v>
      </c>
      <c r="L809" s="1">
        <f t="shared" si="110"/>
        <v>1</v>
      </c>
      <c r="M809" s="1">
        <f t="shared" si="111"/>
        <v>349.38</v>
      </c>
      <c r="N809" s="1">
        <f t="shared" si="112"/>
        <v>343.58</v>
      </c>
      <c r="O809" s="1">
        <f t="shared" si="113"/>
        <v>343.99</v>
      </c>
      <c r="P809" s="1">
        <f t="shared" si="114"/>
        <v>175.50510204081633</v>
      </c>
    </row>
    <row r="810" spans="1:16">
      <c r="A810" s="2">
        <v>41885</v>
      </c>
      <c r="B810" s="1">
        <v>342.54</v>
      </c>
      <c r="C810" s="1">
        <v>343.27</v>
      </c>
      <c r="D810" s="1">
        <v>337.55</v>
      </c>
      <c r="E810" s="1">
        <v>339</v>
      </c>
      <c r="F810" s="1">
        <v>1993700</v>
      </c>
      <c r="G810" s="1">
        <v>339</v>
      </c>
      <c r="H810" s="1">
        <f t="shared" si="108"/>
        <v>5.7199999999999704</v>
      </c>
      <c r="I810" s="9">
        <f t="shared" si="115"/>
        <v>1.6945637683306088E-2</v>
      </c>
      <c r="J810" s="1">
        <f t="shared" si="116"/>
        <v>-3.3799999999999955</v>
      </c>
      <c r="K810" s="9">
        <f t="shared" si="109"/>
        <v>-9.8720719668204792E-3</v>
      </c>
      <c r="L810" s="1">
        <f t="shared" si="110"/>
        <v>1</v>
      </c>
      <c r="M810" s="1">
        <f t="shared" si="111"/>
        <v>343.27</v>
      </c>
      <c r="N810" s="1">
        <f t="shared" si="112"/>
        <v>337.55</v>
      </c>
      <c r="O810" s="1">
        <f t="shared" si="113"/>
        <v>337.04</v>
      </c>
      <c r="P810" s="1">
        <f t="shared" si="114"/>
        <v>171.9591836734694</v>
      </c>
    </row>
    <row r="811" spans="1:16">
      <c r="A811" s="2">
        <v>41884</v>
      </c>
      <c r="B811" s="1">
        <v>339.98</v>
      </c>
      <c r="C811" s="1">
        <v>342.5</v>
      </c>
      <c r="D811" s="1">
        <v>337.16</v>
      </c>
      <c r="E811" s="1">
        <v>342.38</v>
      </c>
      <c r="F811" s="1">
        <v>2326000</v>
      </c>
      <c r="G811" s="1">
        <v>342.38</v>
      </c>
      <c r="H811" s="1">
        <f t="shared" si="108"/>
        <v>5.339999999999975</v>
      </c>
      <c r="I811" s="9">
        <f t="shared" si="115"/>
        <v>1.5838177719776886E-2</v>
      </c>
      <c r="J811" s="1">
        <f t="shared" si="116"/>
        <v>3.339999999999975</v>
      </c>
      <c r="K811" s="9">
        <f t="shared" si="109"/>
        <v>9.8513449740442859E-3</v>
      </c>
      <c r="L811" s="1">
        <f t="shared" si="110"/>
        <v>1</v>
      </c>
      <c r="M811" s="1">
        <f t="shared" si="111"/>
        <v>342.5</v>
      </c>
      <c r="N811" s="1">
        <f t="shared" si="112"/>
        <v>337.16</v>
      </c>
      <c r="O811" s="1">
        <f t="shared" si="113"/>
        <v>340.42</v>
      </c>
      <c r="P811" s="1">
        <f t="shared" si="114"/>
        <v>173.68367346938777</v>
      </c>
    </row>
    <row r="812" spans="1:16">
      <c r="A812" s="2">
        <v>41880</v>
      </c>
      <c r="B812" s="1">
        <v>341.76</v>
      </c>
      <c r="C812" s="1">
        <v>341.82</v>
      </c>
      <c r="D812" s="1">
        <v>337.68</v>
      </c>
      <c r="E812" s="1">
        <v>339.04</v>
      </c>
      <c r="F812" s="1">
        <v>1939500</v>
      </c>
      <c r="G812" s="1">
        <v>339.04</v>
      </c>
      <c r="H812" s="1">
        <f t="shared" si="108"/>
        <v>4.1399999999999864</v>
      </c>
      <c r="I812" s="9">
        <f t="shared" si="115"/>
        <v>1.2260127931769681E-2</v>
      </c>
      <c r="J812" s="1">
        <f t="shared" si="116"/>
        <v>-0.97999999999996135</v>
      </c>
      <c r="K812" s="9">
        <f t="shared" si="109"/>
        <v>-2.8821834009762994E-3</v>
      </c>
      <c r="L812" s="1">
        <f t="shared" si="110"/>
        <v>1</v>
      </c>
      <c r="M812" s="1">
        <f t="shared" si="111"/>
        <v>341.82</v>
      </c>
      <c r="N812" s="1">
        <f t="shared" si="112"/>
        <v>337.68</v>
      </c>
      <c r="O812" s="1">
        <f t="shared" si="113"/>
        <v>337.08000000000004</v>
      </c>
      <c r="P812" s="1">
        <f t="shared" si="114"/>
        <v>171.97959183673473</v>
      </c>
    </row>
    <row r="813" spans="1:16">
      <c r="A813" s="2">
        <v>41879</v>
      </c>
      <c r="B813" s="1">
        <v>340</v>
      </c>
      <c r="C813" s="1">
        <v>341.79</v>
      </c>
      <c r="D813" s="1">
        <v>338.8</v>
      </c>
      <c r="E813" s="1">
        <v>340.02</v>
      </c>
      <c r="F813" s="1">
        <v>2252700</v>
      </c>
      <c r="G813" s="1">
        <v>340.02</v>
      </c>
      <c r="H813" s="1">
        <f t="shared" si="108"/>
        <v>2.9900000000000091</v>
      </c>
      <c r="I813" s="9">
        <f t="shared" si="115"/>
        <v>8.8252656434474885E-3</v>
      </c>
      <c r="J813" s="1">
        <f t="shared" si="116"/>
        <v>-3.160000000000025</v>
      </c>
      <c r="K813" s="9">
        <f t="shared" si="109"/>
        <v>-9.2079958039513517E-3</v>
      </c>
      <c r="L813" s="1">
        <f t="shared" si="110"/>
        <v>1</v>
      </c>
      <c r="M813" s="1">
        <f t="shared" si="111"/>
        <v>341.79</v>
      </c>
      <c r="N813" s="1">
        <f t="shared" si="112"/>
        <v>338.8</v>
      </c>
      <c r="O813" s="1">
        <f t="shared" si="113"/>
        <v>338.06</v>
      </c>
      <c r="P813" s="1">
        <f t="shared" si="114"/>
        <v>172.4795918367347</v>
      </c>
    </row>
    <row r="814" spans="1:16">
      <c r="A814" s="2">
        <v>41878</v>
      </c>
      <c r="B814" s="1">
        <v>342.09</v>
      </c>
      <c r="C814" s="1">
        <v>346.67</v>
      </c>
      <c r="D814" s="1">
        <v>341.34</v>
      </c>
      <c r="E814" s="1">
        <v>343.18</v>
      </c>
      <c r="F814" s="1">
        <v>2961600</v>
      </c>
      <c r="G814" s="1">
        <v>343.18</v>
      </c>
      <c r="H814" s="1">
        <f t="shared" si="108"/>
        <v>5.3300000000000409</v>
      </c>
      <c r="I814" s="9">
        <f t="shared" si="115"/>
        <v>1.5614929395910358E-2</v>
      </c>
      <c r="J814" s="1">
        <f t="shared" si="116"/>
        <v>1.3500000000000227</v>
      </c>
      <c r="K814" s="9">
        <f t="shared" si="109"/>
        <v>3.949331539069195E-3</v>
      </c>
      <c r="L814" s="1">
        <f t="shared" si="110"/>
        <v>1</v>
      </c>
      <c r="M814" s="1">
        <f t="shared" si="111"/>
        <v>346.67</v>
      </c>
      <c r="N814" s="1">
        <f t="shared" si="112"/>
        <v>341.34</v>
      </c>
      <c r="O814" s="1">
        <f t="shared" si="113"/>
        <v>341.22</v>
      </c>
      <c r="P814" s="1">
        <f t="shared" si="114"/>
        <v>174.09183673469389</v>
      </c>
    </row>
    <row r="815" spans="1:16">
      <c r="A815" s="2">
        <v>41877</v>
      </c>
      <c r="B815" s="1">
        <v>337</v>
      </c>
      <c r="C815" s="1">
        <v>344.36</v>
      </c>
      <c r="D815" s="1">
        <v>334.55</v>
      </c>
      <c r="E815" s="1">
        <v>341.83</v>
      </c>
      <c r="F815" s="1">
        <v>3654700</v>
      </c>
      <c r="G815" s="1">
        <v>341.83</v>
      </c>
      <c r="H815" s="1">
        <f t="shared" si="108"/>
        <v>9.8100000000000023</v>
      </c>
      <c r="I815" s="9">
        <f t="shared" si="115"/>
        <v>2.9322971155283224E-2</v>
      </c>
      <c r="J815" s="1">
        <f t="shared" si="116"/>
        <v>7.8100000000000023</v>
      </c>
      <c r="K815" s="9">
        <f t="shared" si="109"/>
        <v>2.3381833423148323E-2</v>
      </c>
      <c r="L815" s="1">
        <f t="shared" si="110"/>
        <v>1</v>
      </c>
      <c r="M815" s="1">
        <f t="shared" si="111"/>
        <v>344.36</v>
      </c>
      <c r="N815" s="1">
        <f t="shared" si="112"/>
        <v>334.55</v>
      </c>
      <c r="O815" s="1">
        <f t="shared" si="113"/>
        <v>339.87</v>
      </c>
      <c r="P815" s="1">
        <f t="shared" si="114"/>
        <v>173.40306122448979</v>
      </c>
    </row>
    <row r="816" spans="1:16">
      <c r="A816" s="2">
        <v>41876</v>
      </c>
      <c r="B816" s="1">
        <v>333.21</v>
      </c>
      <c r="C816" s="1">
        <v>336.77</v>
      </c>
      <c r="D816" s="1">
        <v>332.71</v>
      </c>
      <c r="E816" s="1">
        <v>334.02</v>
      </c>
      <c r="F816" s="1">
        <v>1957700</v>
      </c>
      <c r="G816" s="1">
        <v>334.02</v>
      </c>
      <c r="H816" s="1">
        <f t="shared" si="108"/>
        <v>4.0600000000000023</v>
      </c>
      <c r="I816" s="9">
        <f t="shared" si="115"/>
        <v>1.220281927203872E-2</v>
      </c>
      <c r="J816" s="1">
        <f t="shared" si="116"/>
        <v>2.4300000000000068</v>
      </c>
      <c r="K816" s="9">
        <f t="shared" si="109"/>
        <v>7.32832715099975E-3</v>
      </c>
      <c r="L816" s="1">
        <f t="shared" si="110"/>
        <v>1</v>
      </c>
      <c r="M816" s="1">
        <f t="shared" si="111"/>
        <v>336.77</v>
      </c>
      <c r="N816" s="1">
        <f t="shared" si="112"/>
        <v>332.71</v>
      </c>
      <c r="O816" s="1">
        <f t="shared" si="113"/>
        <v>332.06</v>
      </c>
      <c r="P816" s="1">
        <f t="shared" si="114"/>
        <v>169.41836734693877</v>
      </c>
    </row>
    <row r="817" spans="1:16">
      <c r="A817" s="2">
        <v>41873</v>
      </c>
      <c r="B817" s="1">
        <v>332.99</v>
      </c>
      <c r="C817" s="1">
        <v>334.08</v>
      </c>
      <c r="D817" s="1">
        <v>330.8</v>
      </c>
      <c r="E817" s="1">
        <v>331.59</v>
      </c>
      <c r="F817" s="1">
        <v>2211200</v>
      </c>
      <c r="G817" s="1">
        <v>331.59</v>
      </c>
      <c r="H817" s="1">
        <f t="shared" si="108"/>
        <v>3.2799999999999727</v>
      </c>
      <c r="I817" s="9">
        <f t="shared" si="115"/>
        <v>9.9153567110035444E-3</v>
      </c>
      <c r="J817" s="1">
        <f t="shared" si="116"/>
        <v>-1.32000000000005</v>
      </c>
      <c r="K817" s="9">
        <f t="shared" si="109"/>
        <v>-3.9650355952060611E-3</v>
      </c>
      <c r="L817" s="1">
        <f t="shared" si="110"/>
        <v>1</v>
      </c>
      <c r="M817" s="1">
        <f t="shared" si="111"/>
        <v>334.08</v>
      </c>
      <c r="N817" s="1">
        <f t="shared" si="112"/>
        <v>330.8</v>
      </c>
      <c r="O817" s="1">
        <f t="shared" si="113"/>
        <v>329.63</v>
      </c>
      <c r="P817" s="1">
        <f t="shared" si="114"/>
        <v>168.17857142857142</v>
      </c>
    </row>
    <row r="818" spans="1:16">
      <c r="A818" s="2">
        <v>41872</v>
      </c>
      <c r="B818" s="1">
        <v>336.48</v>
      </c>
      <c r="C818" s="1">
        <v>336.58</v>
      </c>
      <c r="D818" s="1">
        <v>332.23</v>
      </c>
      <c r="E818" s="1">
        <v>332.91</v>
      </c>
      <c r="F818" s="1">
        <v>1971100</v>
      </c>
      <c r="G818" s="1">
        <v>332.91</v>
      </c>
      <c r="H818" s="1">
        <f t="shared" si="108"/>
        <v>4.3499999999999659</v>
      </c>
      <c r="I818" s="9">
        <f t="shared" si="115"/>
        <v>1.3093338951930787E-2</v>
      </c>
      <c r="J818" s="1">
        <f t="shared" si="116"/>
        <v>-2.8699999999999477</v>
      </c>
      <c r="K818" s="9">
        <f t="shared" si="109"/>
        <v>-8.5472630889271185E-3</v>
      </c>
      <c r="L818" s="1">
        <f t="shared" si="110"/>
        <v>1</v>
      </c>
      <c r="M818" s="1">
        <f t="shared" si="111"/>
        <v>336.58</v>
      </c>
      <c r="N818" s="1">
        <f t="shared" si="112"/>
        <v>332.23</v>
      </c>
      <c r="O818" s="1">
        <f t="shared" si="113"/>
        <v>330.95000000000005</v>
      </c>
      <c r="P818" s="1">
        <f t="shared" si="114"/>
        <v>168.85204081632656</v>
      </c>
    </row>
    <row r="819" spans="1:16">
      <c r="A819" s="2">
        <v>41871</v>
      </c>
      <c r="B819" s="1">
        <v>334.68</v>
      </c>
      <c r="C819" s="1">
        <v>337.16</v>
      </c>
      <c r="D819" s="1">
        <v>334.02</v>
      </c>
      <c r="E819" s="1">
        <v>335.78</v>
      </c>
      <c r="F819" s="1">
        <v>1810500</v>
      </c>
      <c r="G819" s="1">
        <v>335.78</v>
      </c>
      <c r="H819" s="1">
        <f t="shared" si="108"/>
        <v>3.1400000000000432</v>
      </c>
      <c r="I819" s="9">
        <f t="shared" si="115"/>
        <v>9.4006346925335112E-3</v>
      </c>
      <c r="J819" s="1">
        <f t="shared" si="116"/>
        <v>0.64999999999997726</v>
      </c>
      <c r="K819" s="9">
        <f t="shared" si="109"/>
        <v>1.9395458478798594E-3</v>
      </c>
      <c r="L819" s="1">
        <f t="shared" si="110"/>
        <v>1</v>
      </c>
      <c r="M819" s="1">
        <f t="shared" si="111"/>
        <v>337.16</v>
      </c>
      <c r="N819" s="1">
        <f t="shared" si="112"/>
        <v>334.02</v>
      </c>
      <c r="O819" s="1">
        <f t="shared" si="113"/>
        <v>333.82</v>
      </c>
      <c r="P819" s="1">
        <f t="shared" si="114"/>
        <v>170.31632653061226</v>
      </c>
    </row>
    <row r="820" spans="1:16">
      <c r="A820" s="2">
        <v>41870</v>
      </c>
      <c r="B820" s="1">
        <v>334.87</v>
      </c>
      <c r="C820" s="1">
        <v>335.81</v>
      </c>
      <c r="D820" s="1">
        <v>333.01</v>
      </c>
      <c r="E820" s="1">
        <v>335.13</v>
      </c>
      <c r="F820" s="1">
        <v>1713800</v>
      </c>
      <c r="G820" s="1">
        <v>335.13</v>
      </c>
      <c r="H820" s="1">
        <f t="shared" si="108"/>
        <v>2.8000000000000114</v>
      </c>
      <c r="I820" s="9">
        <f t="shared" si="115"/>
        <v>8.4081559112339308E-3</v>
      </c>
      <c r="J820" s="1">
        <f t="shared" si="116"/>
        <v>0.60000000000002274</v>
      </c>
      <c r="K820" s="9">
        <f t="shared" si="109"/>
        <v>1.7935611155950821E-3</v>
      </c>
      <c r="L820" s="1">
        <f t="shared" si="110"/>
        <v>1</v>
      </c>
      <c r="M820" s="1">
        <f t="shared" si="111"/>
        <v>335.81</v>
      </c>
      <c r="N820" s="1">
        <f t="shared" si="112"/>
        <v>333.01</v>
      </c>
      <c r="O820" s="1">
        <f t="shared" si="113"/>
        <v>333.17</v>
      </c>
      <c r="P820" s="1">
        <f t="shared" si="114"/>
        <v>169.98469387755102</v>
      </c>
    </row>
    <row r="821" spans="1:16">
      <c r="A821" s="2">
        <v>41869</v>
      </c>
      <c r="B821" s="1">
        <v>335.48</v>
      </c>
      <c r="C821" s="1">
        <v>337.8</v>
      </c>
      <c r="D821" s="1">
        <v>333.77</v>
      </c>
      <c r="E821" s="1">
        <v>334.53</v>
      </c>
      <c r="F821" s="1">
        <v>2485400</v>
      </c>
      <c r="G821" s="1">
        <v>334.53</v>
      </c>
      <c r="H821" s="1">
        <f t="shared" si="108"/>
        <v>4.0300000000000296</v>
      </c>
      <c r="I821" s="9">
        <f t="shared" si="115"/>
        <v>1.2074182820505227E-2</v>
      </c>
      <c r="J821" s="1">
        <f t="shared" si="116"/>
        <v>0.89999999999997726</v>
      </c>
      <c r="K821" s="9">
        <f t="shared" si="109"/>
        <v>2.697599136768208E-3</v>
      </c>
      <c r="L821" s="1">
        <f t="shared" si="110"/>
        <v>1</v>
      </c>
      <c r="M821" s="1">
        <f t="shared" si="111"/>
        <v>337.8</v>
      </c>
      <c r="N821" s="1">
        <f t="shared" si="112"/>
        <v>333.77</v>
      </c>
      <c r="O821" s="1">
        <f t="shared" si="113"/>
        <v>332.57</v>
      </c>
      <c r="P821" s="1">
        <f t="shared" si="114"/>
        <v>169.67857142857142</v>
      </c>
    </row>
    <row r="822" spans="1:16">
      <c r="A822" s="2">
        <v>41866</v>
      </c>
      <c r="B822" s="1">
        <v>334</v>
      </c>
      <c r="C822" s="1">
        <v>335</v>
      </c>
      <c r="D822" s="1">
        <v>328.32</v>
      </c>
      <c r="E822" s="1">
        <v>333.63</v>
      </c>
      <c r="F822" s="1">
        <v>3896700</v>
      </c>
      <c r="G822" s="1">
        <v>333.63</v>
      </c>
      <c r="H822" s="1">
        <f t="shared" si="108"/>
        <v>6.6800000000000068</v>
      </c>
      <c r="I822" s="9">
        <f t="shared" si="115"/>
        <v>2.0346003898635497E-2</v>
      </c>
      <c r="J822" s="1">
        <f t="shared" si="116"/>
        <v>0.42000000000001592</v>
      </c>
      <c r="K822" s="9">
        <f t="shared" si="109"/>
        <v>1.2604663725578943E-3</v>
      </c>
      <c r="L822" s="1">
        <f t="shared" si="110"/>
        <v>1</v>
      </c>
      <c r="M822" s="1">
        <f t="shared" si="111"/>
        <v>335</v>
      </c>
      <c r="N822" s="1">
        <f t="shared" si="112"/>
        <v>328.32</v>
      </c>
      <c r="O822" s="1">
        <f t="shared" si="113"/>
        <v>331.67</v>
      </c>
      <c r="P822" s="1">
        <f t="shared" si="114"/>
        <v>169.21938775510205</v>
      </c>
    </row>
    <row r="823" spans="1:16">
      <c r="A823" s="2">
        <v>41865</v>
      </c>
      <c r="B823" s="1">
        <v>327.8</v>
      </c>
      <c r="C823" s="1">
        <v>334.09</v>
      </c>
      <c r="D823" s="1">
        <v>326.70999999999998</v>
      </c>
      <c r="E823" s="1">
        <v>333.21</v>
      </c>
      <c r="F823" s="1">
        <v>3420400</v>
      </c>
      <c r="G823" s="1">
        <v>333.21</v>
      </c>
      <c r="H823" s="1">
        <f t="shared" si="108"/>
        <v>7.3799999999999955</v>
      </c>
      <c r="I823" s="9">
        <f t="shared" si="115"/>
        <v>2.258884025588441E-2</v>
      </c>
      <c r="J823" s="1">
        <f t="shared" si="116"/>
        <v>6.9300000000000068</v>
      </c>
      <c r="K823" s="9">
        <f t="shared" si="109"/>
        <v>2.1239426259654307E-2</v>
      </c>
      <c r="L823" s="1">
        <f t="shared" si="110"/>
        <v>1</v>
      </c>
      <c r="M823" s="1">
        <f t="shared" si="111"/>
        <v>334.09</v>
      </c>
      <c r="N823" s="1">
        <f t="shared" si="112"/>
        <v>326.70999999999998</v>
      </c>
      <c r="O823" s="1">
        <f t="shared" si="113"/>
        <v>331.25</v>
      </c>
      <c r="P823" s="1">
        <f t="shared" si="114"/>
        <v>169.00510204081633</v>
      </c>
    </row>
    <row r="824" spans="1:16">
      <c r="A824" s="2">
        <v>41864</v>
      </c>
      <c r="B824" s="1">
        <v>327.60000000000002</v>
      </c>
      <c r="C824" s="1">
        <v>331.72</v>
      </c>
      <c r="D824" s="1">
        <v>326.14</v>
      </c>
      <c r="E824" s="1">
        <v>326.27999999999997</v>
      </c>
      <c r="F824" s="1">
        <v>4939100</v>
      </c>
      <c r="G824" s="1">
        <v>326.27999999999997</v>
      </c>
      <c r="H824" s="1">
        <f t="shared" si="108"/>
        <v>5.5800000000000409</v>
      </c>
      <c r="I824" s="9">
        <f t="shared" si="115"/>
        <v>1.7109216900717608E-2</v>
      </c>
      <c r="J824" s="1">
        <f t="shared" si="116"/>
        <v>6.9599999999999795</v>
      </c>
      <c r="K824" s="9">
        <f t="shared" si="109"/>
        <v>2.1796317173994675E-2</v>
      </c>
      <c r="L824" s="1">
        <f t="shared" si="110"/>
        <v>1</v>
      </c>
      <c r="M824" s="1">
        <f t="shared" si="111"/>
        <v>331.72</v>
      </c>
      <c r="N824" s="1">
        <f t="shared" si="112"/>
        <v>326.14</v>
      </c>
      <c r="O824" s="1">
        <f t="shared" si="113"/>
        <v>324.32</v>
      </c>
      <c r="P824" s="1">
        <f t="shared" si="114"/>
        <v>165.46938775510205</v>
      </c>
    </row>
    <row r="825" spans="1:16">
      <c r="A825" s="2">
        <v>41863</v>
      </c>
      <c r="B825" s="1">
        <v>318.89</v>
      </c>
      <c r="C825" s="1">
        <v>321.31</v>
      </c>
      <c r="D825" s="1">
        <v>316.95</v>
      </c>
      <c r="E825" s="1">
        <v>319.32</v>
      </c>
      <c r="F825" s="1">
        <v>1915800</v>
      </c>
      <c r="G825" s="1">
        <v>319.32</v>
      </c>
      <c r="H825" s="1">
        <f t="shared" si="108"/>
        <v>4.3600000000000136</v>
      </c>
      <c r="I825" s="9">
        <f t="shared" si="115"/>
        <v>1.3756112951569692E-2</v>
      </c>
      <c r="J825" s="1">
        <f t="shared" si="116"/>
        <v>0.99000000000000909</v>
      </c>
      <c r="K825" s="9">
        <f t="shared" si="109"/>
        <v>3.1099802092168791E-3</v>
      </c>
      <c r="L825" s="1">
        <f t="shared" si="110"/>
        <v>1</v>
      </c>
      <c r="M825" s="1">
        <f t="shared" si="111"/>
        <v>321.31</v>
      </c>
      <c r="N825" s="1">
        <f t="shared" si="112"/>
        <v>316.95</v>
      </c>
      <c r="O825" s="1">
        <f t="shared" si="113"/>
        <v>317.36</v>
      </c>
      <c r="P825" s="1">
        <f t="shared" si="114"/>
        <v>161.91836734693879</v>
      </c>
    </row>
    <row r="826" spans="1:16">
      <c r="A826" s="2">
        <v>41862</v>
      </c>
      <c r="B826" s="1">
        <v>318.48</v>
      </c>
      <c r="C826" s="1">
        <v>320.38</v>
      </c>
      <c r="D826" s="1">
        <v>316.88</v>
      </c>
      <c r="E826" s="1">
        <v>318.33</v>
      </c>
      <c r="F826" s="1">
        <v>2468600</v>
      </c>
      <c r="G826" s="1">
        <v>318.33</v>
      </c>
      <c r="H826" s="1">
        <f t="shared" si="108"/>
        <v>3.5</v>
      </c>
      <c r="I826" s="9">
        <f t="shared" si="115"/>
        <v>1.1045190608432214E-2</v>
      </c>
      <c r="J826" s="1">
        <f t="shared" si="116"/>
        <v>1.5299999999999727</v>
      </c>
      <c r="K826" s="9">
        <f t="shared" si="109"/>
        <v>4.8295454545453686E-3</v>
      </c>
      <c r="L826" s="1">
        <f t="shared" si="110"/>
        <v>1</v>
      </c>
      <c r="M826" s="1">
        <f t="shared" si="111"/>
        <v>320.38</v>
      </c>
      <c r="N826" s="1">
        <f t="shared" si="112"/>
        <v>316.88</v>
      </c>
      <c r="O826" s="1">
        <f t="shared" si="113"/>
        <v>316.37</v>
      </c>
      <c r="P826" s="1">
        <f t="shared" si="114"/>
        <v>161.41326530612244</v>
      </c>
    </row>
    <row r="827" spans="1:16">
      <c r="A827" s="2">
        <v>41859</v>
      </c>
      <c r="B827" s="1">
        <v>311.94</v>
      </c>
      <c r="C827" s="1">
        <v>317.32</v>
      </c>
      <c r="D827" s="1">
        <v>310.66000000000003</v>
      </c>
      <c r="E827" s="1">
        <v>316.8</v>
      </c>
      <c r="F827" s="1">
        <v>2705900</v>
      </c>
      <c r="G827" s="1">
        <v>316.8</v>
      </c>
      <c r="H827" s="1">
        <f t="shared" si="108"/>
        <v>6.6599999999999682</v>
      </c>
      <c r="I827" s="9">
        <f t="shared" si="115"/>
        <v>2.1438228288160586E-2</v>
      </c>
      <c r="J827" s="1">
        <f t="shared" si="116"/>
        <v>5.3500000000000227</v>
      </c>
      <c r="K827" s="9">
        <f t="shared" si="109"/>
        <v>1.7177717129555379E-2</v>
      </c>
      <c r="L827" s="1">
        <f t="shared" si="110"/>
        <v>1</v>
      </c>
      <c r="M827" s="1">
        <f t="shared" si="111"/>
        <v>317.32</v>
      </c>
      <c r="N827" s="1">
        <f t="shared" si="112"/>
        <v>310.66000000000003</v>
      </c>
      <c r="O827" s="1">
        <f t="shared" si="113"/>
        <v>314.84000000000003</v>
      </c>
      <c r="P827" s="1">
        <f t="shared" si="114"/>
        <v>160.63265306122452</v>
      </c>
    </row>
    <row r="828" spans="1:16">
      <c r="A828" s="2">
        <v>41858</v>
      </c>
      <c r="B828" s="1">
        <v>315.20999999999998</v>
      </c>
      <c r="C828" s="1">
        <v>315.88</v>
      </c>
      <c r="D828" s="1">
        <v>309.64999999999998</v>
      </c>
      <c r="E828" s="1">
        <v>311.45</v>
      </c>
      <c r="F828" s="1">
        <v>2935600</v>
      </c>
      <c r="G828" s="1">
        <v>311.45</v>
      </c>
      <c r="H828" s="1">
        <f t="shared" si="108"/>
        <v>6.2300000000000182</v>
      </c>
      <c r="I828" s="9">
        <f t="shared" si="115"/>
        <v>2.0119489746488032E-2</v>
      </c>
      <c r="J828" s="1">
        <f t="shared" si="116"/>
        <v>-2.4399999999999977</v>
      </c>
      <c r="K828" s="9">
        <f t="shared" si="109"/>
        <v>-7.7734238108891577E-3</v>
      </c>
      <c r="L828" s="1">
        <f t="shared" si="110"/>
        <v>1</v>
      </c>
      <c r="M828" s="1">
        <f t="shared" si="111"/>
        <v>315.88</v>
      </c>
      <c r="N828" s="1">
        <f t="shared" si="112"/>
        <v>309.64999999999998</v>
      </c>
      <c r="O828" s="1">
        <f t="shared" si="113"/>
        <v>309.49</v>
      </c>
      <c r="P828" s="1">
        <f t="shared" si="114"/>
        <v>157.90306122448979</v>
      </c>
    </row>
    <row r="829" spans="1:16">
      <c r="A829" s="2">
        <v>41857</v>
      </c>
      <c r="B829" s="1">
        <v>310.83</v>
      </c>
      <c r="C829" s="1">
        <v>315.77999999999997</v>
      </c>
      <c r="D829" s="1">
        <v>310.2</v>
      </c>
      <c r="E829" s="1">
        <v>313.89</v>
      </c>
      <c r="F829" s="1">
        <v>2296900</v>
      </c>
      <c r="G829" s="1">
        <v>313.89</v>
      </c>
      <c r="H829" s="1">
        <f t="shared" si="108"/>
        <v>5.5799999999999841</v>
      </c>
      <c r="I829" s="9">
        <f t="shared" si="115"/>
        <v>1.7988394584139214E-2</v>
      </c>
      <c r="J829" s="1">
        <f t="shared" si="116"/>
        <v>1.5699999999999932</v>
      </c>
      <c r="K829" s="9">
        <f t="shared" si="109"/>
        <v>5.0268954918032569E-3</v>
      </c>
      <c r="L829" s="1">
        <f t="shared" si="110"/>
        <v>1</v>
      </c>
      <c r="M829" s="1">
        <f t="shared" si="111"/>
        <v>315.77999999999997</v>
      </c>
      <c r="N829" s="1">
        <f t="shared" si="112"/>
        <v>310.2</v>
      </c>
      <c r="O829" s="1">
        <f t="shared" si="113"/>
        <v>311.93</v>
      </c>
      <c r="P829" s="1">
        <f t="shared" si="114"/>
        <v>159.14795918367346</v>
      </c>
    </row>
    <row r="830" spans="1:16">
      <c r="A830" s="2">
        <v>41856</v>
      </c>
      <c r="B830" s="1">
        <v>313.3</v>
      </c>
      <c r="C830" s="1">
        <v>314.55</v>
      </c>
      <c r="D830" s="1">
        <v>310.06</v>
      </c>
      <c r="E830" s="1">
        <v>312.32</v>
      </c>
      <c r="F830" s="1">
        <v>2852100</v>
      </c>
      <c r="G830" s="1">
        <v>312.32</v>
      </c>
      <c r="H830" s="1">
        <f t="shared" si="108"/>
        <v>4.4900000000000091</v>
      </c>
      <c r="I830" s="9">
        <f t="shared" si="115"/>
        <v>1.4481068180352219E-2</v>
      </c>
      <c r="J830" s="1">
        <f t="shared" si="116"/>
        <v>-1.3299999999999841</v>
      </c>
      <c r="K830" s="9">
        <f t="shared" si="109"/>
        <v>-4.2403953451298718E-3</v>
      </c>
      <c r="L830" s="1">
        <f t="shared" si="110"/>
        <v>1</v>
      </c>
      <c r="M830" s="1">
        <f t="shared" si="111"/>
        <v>314.55</v>
      </c>
      <c r="N830" s="1">
        <f t="shared" si="112"/>
        <v>310.06</v>
      </c>
      <c r="O830" s="1">
        <f t="shared" si="113"/>
        <v>310.36</v>
      </c>
      <c r="P830" s="1">
        <f t="shared" si="114"/>
        <v>158.34693877551021</v>
      </c>
    </row>
    <row r="831" spans="1:16">
      <c r="A831" s="2">
        <v>41855</v>
      </c>
      <c r="B831" s="1">
        <v>308.83999999999997</v>
      </c>
      <c r="C831" s="1">
        <v>316.18</v>
      </c>
      <c r="D831" s="1">
        <v>308.5</v>
      </c>
      <c r="E831" s="1">
        <v>313.64999999999998</v>
      </c>
      <c r="F831" s="1">
        <v>4200900</v>
      </c>
      <c r="G831" s="1">
        <v>313.64999999999998</v>
      </c>
      <c r="H831" s="1">
        <f t="shared" si="108"/>
        <v>7.6800000000000068</v>
      </c>
      <c r="I831" s="9">
        <f t="shared" si="115"/>
        <v>2.4894651539708289E-2</v>
      </c>
      <c r="J831" s="1">
        <f t="shared" si="116"/>
        <v>6.589999999999975</v>
      </c>
      <c r="K831" s="9">
        <f t="shared" si="109"/>
        <v>2.1461603595388443E-2</v>
      </c>
      <c r="L831" s="1">
        <f t="shared" si="110"/>
        <v>1</v>
      </c>
      <c r="M831" s="1">
        <f t="shared" si="111"/>
        <v>316.18</v>
      </c>
      <c r="N831" s="1">
        <f t="shared" si="112"/>
        <v>308.5</v>
      </c>
      <c r="O831" s="1">
        <f t="shared" si="113"/>
        <v>311.69</v>
      </c>
      <c r="P831" s="1">
        <f t="shared" si="114"/>
        <v>159.02551020408163</v>
      </c>
    </row>
    <row r="832" spans="1:16">
      <c r="A832" s="2">
        <v>41852</v>
      </c>
      <c r="B832" s="1">
        <v>313.69</v>
      </c>
      <c r="C832" s="1">
        <v>315.83</v>
      </c>
      <c r="D832" s="1">
        <v>304.58999999999997</v>
      </c>
      <c r="E832" s="1">
        <v>307.06</v>
      </c>
      <c r="F832" s="1">
        <v>7441500</v>
      </c>
      <c r="G832" s="1">
        <v>307.06</v>
      </c>
      <c r="H832" s="1">
        <f t="shared" si="108"/>
        <v>11.240000000000009</v>
      </c>
      <c r="I832" s="9">
        <f t="shared" si="115"/>
        <v>3.6902065071079189E-2</v>
      </c>
      <c r="J832" s="1">
        <f t="shared" si="116"/>
        <v>-5.9300000000000068</v>
      </c>
      <c r="K832" s="9">
        <f t="shared" si="109"/>
        <v>-1.8946292213808769E-2</v>
      </c>
      <c r="L832" s="1">
        <f t="shared" si="110"/>
        <v>1</v>
      </c>
      <c r="M832" s="1">
        <f t="shared" si="111"/>
        <v>315.83</v>
      </c>
      <c r="N832" s="1">
        <f t="shared" si="112"/>
        <v>304.58999999999997</v>
      </c>
      <c r="O832" s="1">
        <f t="shared" si="113"/>
        <v>305.10000000000002</v>
      </c>
      <c r="P832" s="1">
        <f t="shared" si="114"/>
        <v>155.66326530612247</v>
      </c>
    </row>
    <row r="833" spans="1:16">
      <c r="A833" s="2">
        <v>41851</v>
      </c>
      <c r="B833" s="1">
        <v>320.01</v>
      </c>
      <c r="C833" s="1">
        <v>320.68</v>
      </c>
      <c r="D833" s="1">
        <v>311.86</v>
      </c>
      <c r="E833" s="1">
        <v>312.99</v>
      </c>
      <c r="F833" s="1">
        <v>5192000</v>
      </c>
      <c r="G833" s="1">
        <v>312.99</v>
      </c>
      <c r="H833" s="1">
        <f t="shared" si="108"/>
        <v>8.8199999999999932</v>
      </c>
      <c r="I833" s="9">
        <f t="shared" si="115"/>
        <v>2.8281921374975927E-2</v>
      </c>
      <c r="J833" s="1">
        <f t="shared" si="116"/>
        <v>-9.5199999999999818</v>
      </c>
      <c r="K833" s="9">
        <f t="shared" si="109"/>
        <v>-2.9518464543735023E-2</v>
      </c>
      <c r="L833" s="1">
        <f t="shared" si="110"/>
        <v>1</v>
      </c>
      <c r="M833" s="1">
        <f t="shared" si="111"/>
        <v>320.68</v>
      </c>
      <c r="N833" s="1">
        <f t="shared" si="112"/>
        <v>311.86</v>
      </c>
      <c r="O833" s="1">
        <f t="shared" si="113"/>
        <v>311.03000000000003</v>
      </c>
      <c r="P833" s="1">
        <f t="shared" si="114"/>
        <v>158.6887755102041</v>
      </c>
    </row>
    <row r="834" spans="1:16">
      <c r="A834" s="2">
        <v>41850</v>
      </c>
      <c r="B834" s="1">
        <v>321.45</v>
      </c>
      <c r="C834" s="1">
        <v>322.73</v>
      </c>
      <c r="D834" s="1">
        <v>318.5</v>
      </c>
      <c r="E834" s="1">
        <v>322.51</v>
      </c>
      <c r="F834" s="1">
        <v>3969000</v>
      </c>
      <c r="G834" s="1">
        <v>322.51</v>
      </c>
      <c r="H834" s="1">
        <f t="shared" si="108"/>
        <v>4.2300000000000182</v>
      </c>
      <c r="I834" s="9">
        <f t="shared" si="115"/>
        <v>1.3281004709576195E-2</v>
      </c>
      <c r="J834" s="1">
        <f t="shared" si="116"/>
        <v>2.5099999999999909</v>
      </c>
      <c r="K834" s="9">
        <f t="shared" si="109"/>
        <v>7.8437499999999723E-3</v>
      </c>
      <c r="L834" s="1">
        <f t="shared" si="110"/>
        <v>1</v>
      </c>
      <c r="M834" s="1">
        <f t="shared" si="111"/>
        <v>322.73</v>
      </c>
      <c r="N834" s="1">
        <f t="shared" si="112"/>
        <v>318.5</v>
      </c>
      <c r="O834" s="1">
        <f t="shared" si="113"/>
        <v>320.55</v>
      </c>
      <c r="P834" s="1">
        <f t="shared" si="114"/>
        <v>163.54591836734696</v>
      </c>
    </row>
    <row r="835" spans="1:16">
      <c r="A835" s="2">
        <v>41849</v>
      </c>
      <c r="B835" s="1">
        <v>321.98</v>
      </c>
      <c r="C835" s="1">
        <v>322.89999999999998</v>
      </c>
      <c r="D835" s="1">
        <v>319.5</v>
      </c>
      <c r="E835" s="1">
        <v>320</v>
      </c>
      <c r="F835" s="1">
        <v>2883800</v>
      </c>
      <c r="G835" s="1">
        <v>320</v>
      </c>
      <c r="H835" s="1">
        <f t="shared" ref="H835:H898" si="117">C835-D835</f>
        <v>3.3999999999999773</v>
      </c>
      <c r="I835" s="9">
        <f t="shared" si="115"/>
        <v>1.0641627543035923E-2</v>
      </c>
      <c r="J835" s="1">
        <f t="shared" si="116"/>
        <v>-0.41000000000002501</v>
      </c>
      <c r="K835" s="9">
        <f t="shared" ref="K835:K898" si="118">(G835-G836)/G836</f>
        <v>-1.2796104990481726E-3</v>
      </c>
      <c r="L835" s="1">
        <f t="shared" ref="L835:L898" si="119">G835/E835</f>
        <v>1</v>
      </c>
      <c r="M835" s="1">
        <f t="shared" ref="M835:M898" si="120">L835*C835</f>
        <v>322.89999999999998</v>
      </c>
      <c r="N835" s="1">
        <f t="shared" ref="N835:N898" si="121">L835*D835</f>
        <v>319.5</v>
      </c>
      <c r="O835" s="1">
        <f t="shared" ref="O835:O898" si="122">G835-$G$5163</f>
        <v>318.04000000000002</v>
      </c>
      <c r="P835" s="1">
        <f t="shared" ref="P835:P898" si="123">(G835-$G$5163)/$G$5163</f>
        <v>162.265306122449</v>
      </c>
    </row>
    <row r="836" spans="1:16">
      <c r="A836" s="2">
        <v>41848</v>
      </c>
      <c r="B836" s="1">
        <v>324.25</v>
      </c>
      <c r="C836" s="1">
        <v>324.82</v>
      </c>
      <c r="D836" s="1">
        <v>316.5</v>
      </c>
      <c r="E836" s="1">
        <v>320.41000000000003</v>
      </c>
      <c r="F836" s="1">
        <v>5932000</v>
      </c>
      <c r="G836" s="1">
        <v>320.41000000000003</v>
      </c>
      <c r="H836" s="1">
        <f t="shared" si="117"/>
        <v>8.3199999999999932</v>
      </c>
      <c r="I836" s="9">
        <f t="shared" ref="I836:I899" si="124">(C836-D836)/D836</f>
        <v>2.6287519747235366E-2</v>
      </c>
      <c r="J836" s="1">
        <f t="shared" ref="J836:J899" si="125">G836-G837</f>
        <v>-3.5999999999999659</v>
      </c>
      <c r="K836" s="9">
        <f t="shared" si="118"/>
        <v>-1.1110768186166988E-2</v>
      </c>
      <c r="L836" s="1">
        <f t="shared" si="119"/>
        <v>1</v>
      </c>
      <c r="M836" s="1">
        <f t="shared" si="120"/>
        <v>324.82</v>
      </c>
      <c r="N836" s="1">
        <f t="shared" si="121"/>
        <v>316.5</v>
      </c>
      <c r="O836" s="1">
        <f t="shared" si="122"/>
        <v>318.45000000000005</v>
      </c>
      <c r="P836" s="1">
        <f t="shared" si="123"/>
        <v>162.4744897959184</v>
      </c>
    </row>
    <row r="837" spans="1:16">
      <c r="A837" s="2">
        <v>41845</v>
      </c>
      <c r="B837" s="1">
        <v>317.3</v>
      </c>
      <c r="C837" s="1">
        <v>324.87</v>
      </c>
      <c r="D837" s="1">
        <v>314.76</v>
      </c>
      <c r="E837" s="1">
        <v>324.01</v>
      </c>
      <c r="F837" s="1">
        <v>17846500</v>
      </c>
      <c r="G837" s="1">
        <v>324.01</v>
      </c>
      <c r="H837" s="1">
        <f t="shared" si="117"/>
        <v>10.110000000000014</v>
      </c>
      <c r="I837" s="9">
        <f t="shared" si="124"/>
        <v>3.2119710255432754E-2</v>
      </c>
      <c r="J837" s="1">
        <f t="shared" si="125"/>
        <v>-34.600000000000023</v>
      </c>
      <c r="K837" s="9">
        <f t="shared" si="118"/>
        <v>-9.6483645185577713E-2</v>
      </c>
      <c r="L837" s="1">
        <f t="shared" si="119"/>
        <v>1</v>
      </c>
      <c r="M837" s="1">
        <f t="shared" si="120"/>
        <v>324.87</v>
      </c>
      <c r="N837" s="1">
        <f t="shared" si="121"/>
        <v>314.76</v>
      </c>
      <c r="O837" s="1">
        <f t="shared" si="122"/>
        <v>322.05</v>
      </c>
      <c r="P837" s="1">
        <f t="shared" si="123"/>
        <v>164.31122448979593</v>
      </c>
    </row>
    <row r="838" spans="1:16">
      <c r="A838" s="2">
        <v>41844</v>
      </c>
      <c r="B838" s="1">
        <v>359.98</v>
      </c>
      <c r="C838" s="1">
        <v>364.85</v>
      </c>
      <c r="D838" s="1">
        <v>358.52</v>
      </c>
      <c r="E838" s="1">
        <v>358.61</v>
      </c>
      <c r="F838" s="1">
        <v>7088700</v>
      </c>
      <c r="G838" s="1">
        <v>358.61</v>
      </c>
      <c r="H838" s="1">
        <f t="shared" si="117"/>
        <v>6.3300000000000409</v>
      </c>
      <c r="I838" s="9">
        <f t="shared" si="124"/>
        <v>1.7655918777195252E-2</v>
      </c>
      <c r="J838" s="1">
        <f t="shared" si="125"/>
        <v>0.47000000000002728</v>
      </c>
      <c r="K838" s="9">
        <f t="shared" si="118"/>
        <v>1.3123359580053257E-3</v>
      </c>
      <c r="L838" s="1">
        <f t="shared" si="119"/>
        <v>1</v>
      </c>
      <c r="M838" s="1">
        <f t="shared" si="120"/>
        <v>364.85</v>
      </c>
      <c r="N838" s="1">
        <f t="shared" si="121"/>
        <v>358.52</v>
      </c>
      <c r="O838" s="1">
        <f t="shared" si="122"/>
        <v>356.65000000000003</v>
      </c>
      <c r="P838" s="1">
        <f t="shared" si="123"/>
        <v>181.96428571428572</v>
      </c>
    </row>
    <row r="839" spans="1:16">
      <c r="A839" s="2">
        <v>41843</v>
      </c>
      <c r="B839" s="1">
        <v>359.05</v>
      </c>
      <c r="C839" s="1">
        <v>360.63</v>
      </c>
      <c r="D839" s="1">
        <v>356.62</v>
      </c>
      <c r="E839" s="1">
        <v>358.14</v>
      </c>
      <c r="F839" s="1">
        <v>2687300</v>
      </c>
      <c r="G839" s="1">
        <v>358.14</v>
      </c>
      <c r="H839" s="1">
        <f t="shared" si="117"/>
        <v>4.0099999999999909</v>
      </c>
      <c r="I839" s="9">
        <f t="shared" si="124"/>
        <v>1.1244461892210169E-2</v>
      </c>
      <c r="J839" s="1">
        <f t="shared" si="125"/>
        <v>-2.6999999999999886</v>
      </c>
      <c r="K839" s="9">
        <f t="shared" si="118"/>
        <v>-7.4825407382773223E-3</v>
      </c>
      <c r="L839" s="1">
        <f t="shared" si="119"/>
        <v>1</v>
      </c>
      <c r="M839" s="1">
        <f t="shared" si="120"/>
        <v>360.63</v>
      </c>
      <c r="N839" s="1">
        <f t="shared" si="121"/>
        <v>356.62</v>
      </c>
      <c r="O839" s="1">
        <f t="shared" si="122"/>
        <v>356.18</v>
      </c>
      <c r="P839" s="1">
        <f t="shared" si="123"/>
        <v>181.72448979591837</v>
      </c>
    </row>
    <row r="840" spans="1:16">
      <c r="A840" s="2">
        <v>41842</v>
      </c>
      <c r="B840" s="1">
        <v>355.25</v>
      </c>
      <c r="C840" s="1">
        <v>362.93</v>
      </c>
      <c r="D840" s="1">
        <v>355.25</v>
      </c>
      <c r="E840" s="1">
        <v>360.84</v>
      </c>
      <c r="F840" s="1">
        <v>2888900</v>
      </c>
      <c r="G840" s="1">
        <v>360.84</v>
      </c>
      <c r="H840" s="1">
        <f t="shared" si="117"/>
        <v>7.6800000000000068</v>
      </c>
      <c r="I840" s="9">
        <f t="shared" si="124"/>
        <v>2.1618578465869124E-2</v>
      </c>
      <c r="J840" s="1">
        <f t="shared" si="125"/>
        <v>1.0799999999999841</v>
      </c>
      <c r="K840" s="9">
        <f t="shared" si="118"/>
        <v>3.0020013342227712E-3</v>
      </c>
      <c r="L840" s="1">
        <f t="shared" si="119"/>
        <v>1</v>
      </c>
      <c r="M840" s="1">
        <f t="shared" si="120"/>
        <v>362.93</v>
      </c>
      <c r="N840" s="1">
        <f t="shared" si="121"/>
        <v>355.25</v>
      </c>
      <c r="O840" s="1">
        <f t="shared" si="122"/>
        <v>358.88</v>
      </c>
      <c r="P840" s="1">
        <f t="shared" si="123"/>
        <v>183.10204081632654</v>
      </c>
    </row>
    <row r="841" spans="1:16">
      <c r="A841" s="2">
        <v>41841</v>
      </c>
      <c r="B841" s="1">
        <v>358.1</v>
      </c>
      <c r="C841" s="1">
        <v>361.71</v>
      </c>
      <c r="D841" s="1">
        <v>356.72</v>
      </c>
      <c r="E841" s="1">
        <v>359.76</v>
      </c>
      <c r="F841" s="1">
        <v>2278400</v>
      </c>
      <c r="G841" s="1">
        <v>359.76</v>
      </c>
      <c r="H841" s="1">
        <f t="shared" si="117"/>
        <v>4.9899999999999523</v>
      </c>
      <c r="I841" s="9">
        <f t="shared" si="124"/>
        <v>1.3988562457950078E-2</v>
      </c>
      <c r="J841" s="1">
        <f t="shared" si="125"/>
        <v>1.0999999999999659</v>
      </c>
      <c r="K841" s="9">
        <f t="shared" si="118"/>
        <v>3.0669715050464668E-3</v>
      </c>
      <c r="L841" s="1">
        <f t="shared" si="119"/>
        <v>1</v>
      </c>
      <c r="M841" s="1">
        <f t="shared" si="120"/>
        <v>361.71</v>
      </c>
      <c r="N841" s="1">
        <f t="shared" si="121"/>
        <v>356.72</v>
      </c>
      <c r="O841" s="1">
        <f t="shared" si="122"/>
        <v>357.8</v>
      </c>
      <c r="P841" s="1">
        <f t="shared" si="123"/>
        <v>182.55102040816328</v>
      </c>
    </row>
    <row r="842" spans="1:16">
      <c r="A842" s="2">
        <v>41838</v>
      </c>
      <c r="B842" s="1">
        <v>354.4</v>
      </c>
      <c r="C842" s="1">
        <v>359.68</v>
      </c>
      <c r="D842" s="1">
        <v>352.08</v>
      </c>
      <c r="E842" s="1">
        <v>358.66</v>
      </c>
      <c r="F842" s="1">
        <v>3407400</v>
      </c>
      <c r="G842" s="1">
        <v>358.66</v>
      </c>
      <c r="H842" s="1">
        <f t="shared" si="117"/>
        <v>7.6000000000000227</v>
      </c>
      <c r="I842" s="9">
        <f t="shared" si="124"/>
        <v>2.158600318109527E-2</v>
      </c>
      <c r="J842" s="1">
        <f t="shared" si="125"/>
        <v>6.2100000000000364</v>
      </c>
      <c r="K842" s="9">
        <f t="shared" si="118"/>
        <v>1.7619520499361715E-2</v>
      </c>
      <c r="L842" s="1">
        <f t="shared" si="119"/>
        <v>1</v>
      </c>
      <c r="M842" s="1">
        <f t="shared" si="120"/>
        <v>359.68</v>
      </c>
      <c r="N842" s="1">
        <f t="shared" si="121"/>
        <v>352.08</v>
      </c>
      <c r="O842" s="1">
        <f t="shared" si="122"/>
        <v>356.70000000000005</v>
      </c>
      <c r="P842" s="1">
        <f t="shared" si="123"/>
        <v>181.98979591836738</v>
      </c>
    </row>
    <row r="843" spans="1:16">
      <c r="A843" s="2">
        <v>41837</v>
      </c>
      <c r="B843" s="1">
        <v>353.44</v>
      </c>
      <c r="C843" s="1">
        <v>356.96</v>
      </c>
      <c r="D843" s="1">
        <v>351.38</v>
      </c>
      <c r="E843" s="1">
        <v>352.45</v>
      </c>
      <c r="F843" s="1">
        <v>3636000</v>
      </c>
      <c r="G843" s="1">
        <v>352.45</v>
      </c>
      <c r="H843" s="1">
        <f t="shared" si="117"/>
        <v>5.5799999999999841</v>
      </c>
      <c r="I843" s="9">
        <f t="shared" si="124"/>
        <v>1.5880243610905526E-2</v>
      </c>
      <c r="J843" s="1">
        <f t="shared" si="125"/>
        <v>-3.4499999999999886</v>
      </c>
      <c r="K843" s="9">
        <f t="shared" si="118"/>
        <v>-9.6937341949985632E-3</v>
      </c>
      <c r="L843" s="1">
        <f t="shared" si="119"/>
        <v>1</v>
      </c>
      <c r="M843" s="1">
        <f t="shared" si="120"/>
        <v>356.96</v>
      </c>
      <c r="N843" s="1">
        <f t="shared" si="121"/>
        <v>351.38</v>
      </c>
      <c r="O843" s="1">
        <f t="shared" si="122"/>
        <v>350.49</v>
      </c>
      <c r="P843" s="1">
        <f t="shared" si="123"/>
        <v>178.82142857142858</v>
      </c>
    </row>
    <row r="844" spans="1:16">
      <c r="A844" s="2">
        <v>41836</v>
      </c>
      <c r="B844" s="1">
        <v>355.62</v>
      </c>
      <c r="C844" s="1">
        <v>359.32</v>
      </c>
      <c r="D844" s="1">
        <v>353</v>
      </c>
      <c r="E844" s="1">
        <v>355.9</v>
      </c>
      <c r="F844" s="1">
        <v>3503600</v>
      </c>
      <c r="G844" s="1">
        <v>355.9</v>
      </c>
      <c r="H844" s="1">
        <f t="shared" si="117"/>
        <v>6.3199999999999932</v>
      </c>
      <c r="I844" s="9">
        <f t="shared" si="124"/>
        <v>1.7903682719546721E-2</v>
      </c>
      <c r="J844" s="1">
        <f t="shared" si="125"/>
        <v>1.4599999999999795</v>
      </c>
      <c r="K844" s="9">
        <f t="shared" si="118"/>
        <v>4.1191739081367215E-3</v>
      </c>
      <c r="L844" s="1">
        <f t="shared" si="119"/>
        <v>1</v>
      </c>
      <c r="M844" s="1">
        <f t="shared" si="120"/>
        <v>359.32</v>
      </c>
      <c r="N844" s="1">
        <f t="shared" si="121"/>
        <v>353</v>
      </c>
      <c r="O844" s="1">
        <f t="shared" si="122"/>
        <v>353.94</v>
      </c>
      <c r="P844" s="1">
        <f t="shared" si="123"/>
        <v>180.58163265306123</v>
      </c>
    </row>
    <row r="845" spans="1:16">
      <c r="A845" s="2">
        <v>41835</v>
      </c>
      <c r="B845" s="1">
        <v>353.72</v>
      </c>
      <c r="C845" s="1">
        <v>355.59</v>
      </c>
      <c r="D845" s="1">
        <v>349.4</v>
      </c>
      <c r="E845" s="1">
        <v>354.44</v>
      </c>
      <c r="F845" s="1">
        <v>4170900</v>
      </c>
      <c r="G845" s="1">
        <v>354.44</v>
      </c>
      <c r="H845" s="1">
        <f t="shared" si="117"/>
        <v>6.1899999999999977</v>
      </c>
      <c r="I845" s="9">
        <f t="shared" si="124"/>
        <v>1.7716084716657123E-2</v>
      </c>
      <c r="J845" s="1">
        <f t="shared" si="125"/>
        <v>-0.87999999999999545</v>
      </c>
      <c r="K845" s="9">
        <f t="shared" si="118"/>
        <v>-2.4766407745131021E-3</v>
      </c>
      <c r="L845" s="1">
        <f t="shared" si="119"/>
        <v>1</v>
      </c>
      <c r="M845" s="1">
        <f t="shared" si="120"/>
        <v>355.59</v>
      </c>
      <c r="N845" s="1">
        <f t="shared" si="121"/>
        <v>349.4</v>
      </c>
      <c r="O845" s="1">
        <f t="shared" si="122"/>
        <v>352.48</v>
      </c>
      <c r="P845" s="1">
        <f t="shared" si="123"/>
        <v>179.83673469387756</v>
      </c>
    </row>
    <row r="846" spans="1:16">
      <c r="A846" s="2">
        <v>41834</v>
      </c>
      <c r="B846" s="1">
        <v>347.03</v>
      </c>
      <c r="C846" s="1">
        <v>355.77</v>
      </c>
      <c r="D846" s="1">
        <v>345.36</v>
      </c>
      <c r="E846" s="1">
        <v>355.32</v>
      </c>
      <c r="F846" s="1">
        <v>5609900</v>
      </c>
      <c r="G846" s="1">
        <v>355.32</v>
      </c>
      <c r="H846" s="1">
        <f t="shared" si="117"/>
        <v>10.409999999999968</v>
      </c>
      <c r="I846" s="9">
        <f t="shared" si="124"/>
        <v>3.0142460041695528E-2</v>
      </c>
      <c r="J846" s="1">
        <f t="shared" si="125"/>
        <v>9.1200000000000045</v>
      </c>
      <c r="K846" s="9">
        <f t="shared" si="118"/>
        <v>2.6343154246100533E-2</v>
      </c>
      <c r="L846" s="1">
        <f t="shared" si="119"/>
        <v>1</v>
      </c>
      <c r="M846" s="1">
        <f t="shared" si="120"/>
        <v>355.77</v>
      </c>
      <c r="N846" s="1">
        <f t="shared" si="121"/>
        <v>345.36</v>
      </c>
      <c r="O846" s="1">
        <f t="shared" si="122"/>
        <v>353.36</v>
      </c>
      <c r="P846" s="1">
        <f t="shared" si="123"/>
        <v>180.28571428571431</v>
      </c>
    </row>
    <row r="847" spans="1:16">
      <c r="A847" s="2">
        <v>41831</v>
      </c>
      <c r="B847" s="1">
        <v>334.71</v>
      </c>
      <c r="C847" s="1">
        <v>347</v>
      </c>
      <c r="D847" s="1">
        <v>334.71</v>
      </c>
      <c r="E847" s="1">
        <v>346.2</v>
      </c>
      <c r="F847" s="1">
        <v>8300800</v>
      </c>
      <c r="G847" s="1">
        <v>346.2</v>
      </c>
      <c r="H847" s="1">
        <f t="shared" si="117"/>
        <v>12.29000000000002</v>
      </c>
      <c r="I847" s="9">
        <f t="shared" si="124"/>
        <v>3.6718353201278781E-2</v>
      </c>
      <c r="J847" s="1">
        <f t="shared" si="125"/>
        <v>18.279999999999973</v>
      </c>
      <c r="K847" s="9">
        <f t="shared" si="118"/>
        <v>5.5745303732617622E-2</v>
      </c>
      <c r="L847" s="1">
        <f t="shared" si="119"/>
        <v>1</v>
      </c>
      <c r="M847" s="1">
        <f t="shared" si="120"/>
        <v>347</v>
      </c>
      <c r="N847" s="1">
        <f t="shared" si="121"/>
        <v>334.71</v>
      </c>
      <c r="O847" s="1">
        <f t="shared" si="122"/>
        <v>344.24</v>
      </c>
      <c r="P847" s="1">
        <f t="shared" si="123"/>
        <v>175.63265306122449</v>
      </c>
    </row>
    <row r="848" spans="1:16">
      <c r="A848" s="2">
        <v>41830</v>
      </c>
      <c r="B848" s="1">
        <v>324.33999999999997</v>
      </c>
      <c r="C848" s="1">
        <v>329.98</v>
      </c>
      <c r="D848" s="1">
        <v>322.64999999999998</v>
      </c>
      <c r="E848" s="1">
        <v>327.92</v>
      </c>
      <c r="F848" s="1">
        <v>2665000</v>
      </c>
      <c r="G848" s="1">
        <v>327.92</v>
      </c>
      <c r="H848" s="1">
        <f t="shared" si="117"/>
        <v>7.3300000000000409</v>
      </c>
      <c r="I848" s="9">
        <f t="shared" si="124"/>
        <v>2.2718115605145021E-2</v>
      </c>
      <c r="J848" s="1">
        <f t="shared" si="125"/>
        <v>-2.0500000000000114</v>
      </c>
      <c r="K848" s="9">
        <f t="shared" si="118"/>
        <v>-6.2126860017577695E-3</v>
      </c>
      <c r="L848" s="1">
        <f t="shared" si="119"/>
        <v>1</v>
      </c>
      <c r="M848" s="1">
        <f t="shared" si="120"/>
        <v>329.98</v>
      </c>
      <c r="N848" s="1">
        <f t="shared" si="121"/>
        <v>322.64999999999998</v>
      </c>
      <c r="O848" s="1">
        <f t="shared" si="122"/>
        <v>325.96000000000004</v>
      </c>
      <c r="P848" s="1">
        <f t="shared" si="123"/>
        <v>166.30612244897961</v>
      </c>
    </row>
    <row r="849" spans="1:16">
      <c r="A849" s="2">
        <v>41829</v>
      </c>
      <c r="B849" s="1">
        <v>324.70999999999998</v>
      </c>
      <c r="C849" s="1">
        <v>330.2</v>
      </c>
      <c r="D849" s="1">
        <v>323.14999999999998</v>
      </c>
      <c r="E849" s="1">
        <v>329.97</v>
      </c>
      <c r="F849" s="1">
        <v>3166100</v>
      </c>
      <c r="G849" s="1">
        <v>329.97</v>
      </c>
      <c r="H849" s="1">
        <f t="shared" si="117"/>
        <v>7.0500000000000114</v>
      </c>
      <c r="I849" s="9">
        <f t="shared" si="124"/>
        <v>2.181649388828721E-2</v>
      </c>
      <c r="J849" s="1">
        <f t="shared" si="125"/>
        <v>6.160000000000025</v>
      </c>
      <c r="K849" s="9">
        <f t="shared" si="118"/>
        <v>1.9023501436027376E-2</v>
      </c>
      <c r="L849" s="1">
        <f t="shared" si="119"/>
        <v>1</v>
      </c>
      <c r="M849" s="1">
        <f t="shared" si="120"/>
        <v>330.2</v>
      </c>
      <c r="N849" s="1">
        <f t="shared" si="121"/>
        <v>323.14999999999998</v>
      </c>
      <c r="O849" s="1">
        <f t="shared" si="122"/>
        <v>328.01000000000005</v>
      </c>
      <c r="P849" s="1">
        <f t="shared" si="123"/>
        <v>167.35204081632656</v>
      </c>
    </row>
    <row r="850" spans="1:16">
      <c r="A850" s="2">
        <v>41828</v>
      </c>
      <c r="B850" s="1">
        <v>333.1</v>
      </c>
      <c r="C850" s="1">
        <v>333.74</v>
      </c>
      <c r="D850" s="1">
        <v>321.39999999999998</v>
      </c>
      <c r="E850" s="1">
        <v>323.81</v>
      </c>
      <c r="F850" s="1">
        <v>4271600</v>
      </c>
      <c r="G850" s="1">
        <v>323.81</v>
      </c>
      <c r="H850" s="1">
        <f t="shared" si="117"/>
        <v>12.340000000000032</v>
      </c>
      <c r="I850" s="9">
        <f t="shared" si="124"/>
        <v>3.839452395768523E-2</v>
      </c>
      <c r="J850" s="1">
        <f t="shared" si="125"/>
        <v>-9.7400000000000091</v>
      </c>
      <c r="K850" s="9">
        <f t="shared" si="118"/>
        <v>-2.9201019337430696E-2</v>
      </c>
      <c r="L850" s="1">
        <f t="shared" si="119"/>
        <v>1</v>
      </c>
      <c r="M850" s="1">
        <f t="shared" si="120"/>
        <v>333.74</v>
      </c>
      <c r="N850" s="1">
        <f t="shared" si="121"/>
        <v>321.39999999999998</v>
      </c>
      <c r="O850" s="1">
        <f t="shared" si="122"/>
        <v>321.85000000000002</v>
      </c>
      <c r="P850" s="1">
        <f t="shared" si="123"/>
        <v>164.2091836734694</v>
      </c>
    </row>
    <row r="851" spans="1:16">
      <c r="A851" s="2">
        <v>41827</v>
      </c>
      <c r="B851" s="1">
        <v>337.5</v>
      </c>
      <c r="C851" s="1">
        <v>337.55</v>
      </c>
      <c r="D851" s="1">
        <v>332.52</v>
      </c>
      <c r="E851" s="1">
        <v>333.55</v>
      </c>
      <c r="F851" s="1">
        <v>2128900</v>
      </c>
      <c r="G851" s="1">
        <v>333.55</v>
      </c>
      <c r="H851" s="1">
        <f t="shared" si="117"/>
        <v>5.0300000000000296</v>
      </c>
      <c r="I851" s="9">
        <f t="shared" si="124"/>
        <v>1.5126909659569438E-2</v>
      </c>
      <c r="J851" s="1">
        <f t="shared" si="125"/>
        <v>-3.9399999999999977</v>
      </c>
      <c r="K851" s="9">
        <f t="shared" si="118"/>
        <v>-1.1674419982814299E-2</v>
      </c>
      <c r="L851" s="1">
        <f t="shared" si="119"/>
        <v>1</v>
      </c>
      <c r="M851" s="1">
        <f t="shared" si="120"/>
        <v>337.55</v>
      </c>
      <c r="N851" s="1">
        <f t="shared" si="121"/>
        <v>332.52</v>
      </c>
      <c r="O851" s="1">
        <f t="shared" si="122"/>
        <v>331.59000000000003</v>
      </c>
      <c r="P851" s="1">
        <f t="shared" si="123"/>
        <v>169.17857142857144</v>
      </c>
    </row>
    <row r="852" spans="1:16">
      <c r="A852" s="2">
        <v>41823</v>
      </c>
      <c r="B852" s="1">
        <v>334.83</v>
      </c>
      <c r="C852" s="1">
        <v>338.3</v>
      </c>
      <c r="D852" s="1">
        <v>333.08</v>
      </c>
      <c r="E852" s="1">
        <v>337.49</v>
      </c>
      <c r="F852" s="1">
        <v>1944300</v>
      </c>
      <c r="G852" s="1">
        <v>337.49</v>
      </c>
      <c r="H852" s="1">
        <f t="shared" si="117"/>
        <v>5.2200000000000273</v>
      </c>
      <c r="I852" s="9">
        <f t="shared" si="124"/>
        <v>1.5671910652095677E-2</v>
      </c>
      <c r="J852" s="1">
        <f t="shared" si="125"/>
        <v>4.6399999999999864</v>
      </c>
      <c r="K852" s="9">
        <f t="shared" si="118"/>
        <v>1.3940213309298441E-2</v>
      </c>
      <c r="L852" s="1">
        <f t="shared" si="119"/>
        <v>1</v>
      </c>
      <c r="M852" s="1">
        <f t="shared" si="120"/>
        <v>338.3</v>
      </c>
      <c r="N852" s="1">
        <f t="shared" si="121"/>
        <v>333.08</v>
      </c>
      <c r="O852" s="1">
        <f t="shared" si="122"/>
        <v>335.53000000000003</v>
      </c>
      <c r="P852" s="1">
        <f t="shared" si="123"/>
        <v>171.1887755102041</v>
      </c>
    </row>
    <row r="853" spans="1:16">
      <c r="A853" s="2">
        <v>41822</v>
      </c>
      <c r="B853" s="1">
        <v>333.2</v>
      </c>
      <c r="C853" s="1">
        <v>336.76</v>
      </c>
      <c r="D853" s="1">
        <v>331.66</v>
      </c>
      <c r="E853" s="1">
        <v>332.85</v>
      </c>
      <c r="F853" s="1">
        <v>2681300</v>
      </c>
      <c r="G853" s="1">
        <v>332.85</v>
      </c>
      <c r="H853" s="1">
        <f t="shared" si="117"/>
        <v>5.0999999999999659</v>
      </c>
      <c r="I853" s="9">
        <f t="shared" si="124"/>
        <v>1.5377193511427261E-2</v>
      </c>
      <c r="J853" s="1">
        <f t="shared" si="125"/>
        <v>0.46000000000003638</v>
      </c>
      <c r="K853" s="9">
        <f t="shared" si="118"/>
        <v>1.3839164836488354E-3</v>
      </c>
      <c r="L853" s="1">
        <f t="shared" si="119"/>
        <v>1</v>
      </c>
      <c r="M853" s="1">
        <f t="shared" si="120"/>
        <v>336.76</v>
      </c>
      <c r="N853" s="1">
        <f t="shared" si="121"/>
        <v>331.66</v>
      </c>
      <c r="O853" s="1">
        <f t="shared" si="122"/>
        <v>330.89000000000004</v>
      </c>
      <c r="P853" s="1">
        <f t="shared" si="123"/>
        <v>168.82142857142858</v>
      </c>
    </row>
    <row r="854" spans="1:16">
      <c r="A854" s="2">
        <v>41821</v>
      </c>
      <c r="B854" s="1">
        <v>325.86</v>
      </c>
      <c r="C854" s="1">
        <v>333.2</v>
      </c>
      <c r="D854" s="1">
        <v>325.10000000000002</v>
      </c>
      <c r="E854" s="1">
        <v>332.39</v>
      </c>
      <c r="F854" s="1">
        <v>3173600</v>
      </c>
      <c r="G854" s="1">
        <v>332.39</v>
      </c>
      <c r="H854" s="1">
        <f t="shared" si="117"/>
        <v>8.0999999999999659</v>
      </c>
      <c r="I854" s="9">
        <f t="shared" si="124"/>
        <v>2.4915410642879006E-2</v>
      </c>
      <c r="J854" s="1">
        <f t="shared" si="125"/>
        <v>7.6100000000000136</v>
      </c>
      <c r="K854" s="9">
        <f t="shared" si="118"/>
        <v>2.3431245766364968E-2</v>
      </c>
      <c r="L854" s="1">
        <f t="shared" si="119"/>
        <v>1</v>
      </c>
      <c r="M854" s="1">
        <f t="shared" si="120"/>
        <v>333.2</v>
      </c>
      <c r="N854" s="1">
        <f t="shared" si="121"/>
        <v>325.10000000000002</v>
      </c>
      <c r="O854" s="1">
        <f t="shared" si="122"/>
        <v>330.43</v>
      </c>
      <c r="P854" s="1">
        <f t="shared" si="123"/>
        <v>168.58673469387756</v>
      </c>
    </row>
    <row r="855" spans="1:16">
      <c r="A855" s="2">
        <v>41820</v>
      </c>
      <c r="B855" s="1">
        <v>324.98</v>
      </c>
      <c r="C855" s="1">
        <v>326.98</v>
      </c>
      <c r="D855" s="1">
        <v>322.24</v>
      </c>
      <c r="E855" s="1">
        <v>324.77999999999997</v>
      </c>
      <c r="F855" s="1">
        <v>2671300</v>
      </c>
      <c r="G855" s="1">
        <v>324.77999999999997</v>
      </c>
      <c r="H855" s="1">
        <f t="shared" si="117"/>
        <v>4.7400000000000091</v>
      </c>
      <c r="I855" s="9">
        <f t="shared" si="124"/>
        <v>1.4709533267130117E-2</v>
      </c>
      <c r="J855" s="1">
        <f t="shared" si="125"/>
        <v>0.20999999999997954</v>
      </c>
      <c r="K855" s="9">
        <f t="shared" si="118"/>
        <v>6.4700989000825561E-4</v>
      </c>
      <c r="L855" s="1">
        <f t="shared" si="119"/>
        <v>1</v>
      </c>
      <c r="M855" s="1">
        <f t="shared" si="120"/>
        <v>326.98</v>
      </c>
      <c r="N855" s="1">
        <f t="shared" si="121"/>
        <v>322.24</v>
      </c>
      <c r="O855" s="1">
        <f t="shared" si="122"/>
        <v>322.82</v>
      </c>
      <c r="P855" s="1">
        <f t="shared" si="123"/>
        <v>164.70408163265307</v>
      </c>
    </row>
    <row r="856" spans="1:16">
      <c r="A856" s="2">
        <v>41817</v>
      </c>
      <c r="B856" s="1">
        <v>325.88</v>
      </c>
      <c r="C856" s="1">
        <v>326.52</v>
      </c>
      <c r="D856" s="1">
        <v>323.27</v>
      </c>
      <c r="E856" s="1">
        <v>324.57</v>
      </c>
      <c r="F856" s="1">
        <v>2416200</v>
      </c>
      <c r="G856" s="1">
        <v>324.57</v>
      </c>
      <c r="H856" s="1">
        <f t="shared" si="117"/>
        <v>3.25</v>
      </c>
      <c r="I856" s="9">
        <f t="shared" si="124"/>
        <v>1.0053515637083553E-2</v>
      </c>
      <c r="J856" s="1">
        <f t="shared" si="125"/>
        <v>-1.1200000000000045</v>
      </c>
      <c r="K856" s="9">
        <f t="shared" si="118"/>
        <v>-3.4388528969265392E-3</v>
      </c>
      <c r="L856" s="1">
        <f t="shared" si="119"/>
        <v>1</v>
      </c>
      <c r="M856" s="1">
        <f t="shared" si="120"/>
        <v>326.52</v>
      </c>
      <c r="N856" s="1">
        <f t="shared" si="121"/>
        <v>323.27</v>
      </c>
      <c r="O856" s="1">
        <f t="shared" si="122"/>
        <v>322.61</v>
      </c>
      <c r="P856" s="1">
        <f t="shared" si="123"/>
        <v>164.59693877551021</v>
      </c>
    </row>
    <row r="857" spans="1:16">
      <c r="A857" s="2">
        <v>41816</v>
      </c>
      <c r="B857" s="1">
        <v>328.49</v>
      </c>
      <c r="C857" s="1">
        <v>328.65</v>
      </c>
      <c r="D857" s="1">
        <v>322.13</v>
      </c>
      <c r="E857" s="1">
        <v>325.69</v>
      </c>
      <c r="F857" s="1">
        <v>2699500</v>
      </c>
      <c r="G857" s="1">
        <v>325.69</v>
      </c>
      <c r="H857" s="1">
        <f t="shared" si="117"/>
        <v>6.5199999999999818</v>
      </c>
      <c r="I857" s="9">
        <f t="shared" si="124"/>
        <v>2.0240275665104095E-2</v>
      </c>
      <c r="J857" s="1">
        <f t="shared" si="125"/>
        <v>-1.75</v>
      </c>
      <c r="K857" s="9">
        <f t="shared" si="118"/>
        <v>-5.3444905936965549E-3</v>
      </c>
      <c r="L857" s="1">
        <f t="shared" si="119"/>
        <v>1</v>
      </c>
      <c r="M857" s="1">
        <f t="shared" si="120"/>
        <v>328.65</v>
      </c>
      <c r="N857" s="1">
        <f t="shared" si="121"/>
        <v>322.13</v>
      </c>
      <c r="O857" s="1">
        <f t="shared" si="122"/>
        <v>323.73</v>
      </c>
      <c r="P857" s="1">
        <f t="shared" si="123"/>
        <v>165.16836734693879</v>
      </c>
    </row>
    <row r="858" spans="1:16">
      <c r="A858" s="2">
        <v>41815</v>
      </c>
      <c r="B858" s="1">
        <v>324.33</v>
      </c>
      <c r="C858" s="1">
        <v>328.15</v>
      </c>
      <c r="D858" s="1">
        <v>321.74</v>
      </c>
      <c r="E858" s="1">
        <v>327.44</v>
      </c>
      <c r="F858" s="1">
        <v>2327800</v>
      </c>
      <c r="G858" s="1">
        <v>327.44</v>
      </c>
      <c r="H858" s="1">
        <f t="shared" si="117"/>
        <v>6.4099999999999682</v>
      </c>
      <c r="I858" s="9">
        <f t="shared" si="124"/>
        <v>1.9922919127245503E-2</v>
      </c>
      <c r="J858" s="1">
        <f t="shared" si="125"/>
        <v>3.2799999999999727</v>
      </c>
      <c r="K858" s="9">
        <f t="shared" si="118"/>
        <v>1.0118460019743251E-2</v>
      </c>
      <c r="L858" s="1">
        <f t="shared" si="119"/>
        <v>1</v>
      </c>
      <c r="M858" s="1">
        <f t="shared" si="120"/>
        <v>328.15</v>
      </c>
      <c r="N858" s="1">
        <f t="shared" si="121"/>
        <v>321.74</v>
      </c>
      <c r="O858" s="1">
        <f t="shared" si="122"/>
        <v>325.48</v>
      </c>
      <c r="P858" s="1">
        <f t="shared" si="123"/>
        <v>166.06122448979593</v>
      </c>
    </row>
    <row r="859" spans="1:16">
      <c r="A859" s="2">
        <v>41814</v>
      </c>
      <c r="B859" s="1">
        <v>327.54000000000002</v>
      </c>
      <c r="C859" s="1">
        <v>329.73</v>
      </c>
      <c r="D859" s="1">
        <v>322.74</v>
      </c>
      <c r="E859" s="1">
        <v>324.16000000000003</v>
      </c>
      <c r="F859" s="1">
        <v>2626600</v>
      </c>
      <c r="G859" s="1">
        <v>324.16000000000003</v>
      </c>
      <c r="H859" s="1">
        <f t="shared" si="117"/>
        <v>6.9900000000000091</v>
      </c>
      <c r="I859" s="9">
        <f t="shared" si="124"/>
        <v>2.165830079940512E-2</v>
      </c>
      <c r="J859" s="1">
        <f t="shared" si="125"/>
        <v>-3.0799999999999841</v>
      </c>
      <c r="K859" s="9">
        <f t="shared" si="118"/>
        <v>-9.4120523163426957E-3</v>
      </c>
      <c r="L859" s="1">
        <f t="shared" si="119"/>
        <v>1</v>
      </c>
      <c r="M859" s="1">
        <f t="shared" si="120"/>
        <v>329.73</v>
      </c>
      <c r="N859" s="1">
        <f t="shared" si="121"/>
        <v>322.74</v>
      </c>
      <c r="O859" s="1">
        <f t="shared" si="122"/>
        <v>322.20000000000005</v>
      </c>
      <c r="P859" s="1">
        <f t="shared" si="123"/>
        <v>164.38775510204084</v>
      </c>
    </row>
    <row r="860" spans="1:16">
      <c r="A860" s="2">
        <v>41813</v>
      </c>
      <c r="B860" s="1">
        <v>323.33</v>
      </c>
      <c r="C860" s="1">
        <v>327.55</v>
      </c>
      <c r="D860" s="1">
        <v>321.41000000000003</v>
      </c>
      <c r="E860" s="1">
        <v>327.24</v>
      </c>
      <c r="F860" s="1">
        <v>2604800</v>
      </c>
      <c r="G860" s="1">
        <v>327.24</v>
      </c>
      <c r="H860" s="1">
        <f t="shared" si="117"/>
        <v>6.1399999999999864</v>
      </c>
      <c r="I860" s="9">
        <f t="shared" si="124"/>
        <v>1.9103325969944886E-2</v>
      </c>
      <c r="J860" s="1">
        <f t="shared" si="125"/>
        <v>3.0400000000000205</v>
      </c>
      <c r="K860" s="9">
        <f t="shared" si="118"/>
        <v>9.3769278223319579E-3</v>
      </c>
      <c r="L860" s="1">
        <f t="shared" si="119"/>
        <v>1</v>
      </c>
      <c r="M860" s="1">
        <f t="shared" si="120"/>
        <v>327.55</v>
      </c>
      <c r="N860" s="1">
        <f t="shared" si="121"/>
        <v>321.41000000000003</v>
      </c>
      <c r="O860" s="1">
        <f t="shared" si="122"/>
        <v>325.28000000000003</v>
      </c>
      <c r="P860" s="1">
        <f t="shared" si="123"/>
        <v>165.9591836734694</v>
      </c>
    </row>
    <row r="861" spans="1:16">
      <c r="A861" s="2">
        <v>41810</v>
      </c>
      <c r="B861" s="1">
        <v>327.76</v>
      </c>
      <c r="C861" s="1">
        <v>328.22</v>
      </c>
      <c r="D861" s="1">
        <v>320.42</v>
      </c>
      <c r="E861" s="1">
        <v>324.2</v>
      </c>
      <c r="F861" s="1">
        <v>6054000</v>
      </c>
      <c r="G861" s="1">
        <v>324.2</v>
      </c>
      <c r="H861" s="1">
        <f t="shared" si="117"/>
        <v>7.8000000000000114</v>
      </c>
      <c r="I861" s="9">
        <f t="shared" si="124"/>
        <v>2.4343049747206826E-2</v>
      </c>
      <c r="J861" s="1">
        <f t="shared" si="125"/>
        <v>-2.8000000000000114</v>
      </c>
      <c r="K861" s="9">
        <f t="shared" si="118"/>
        <v>-8.5626911314985055E-3</v>
      </c>
      <c r="L861" s="1">
        <f t="shared" si="119"/>
        <v>1</v>
      </c>
      <c r="M861" s="1">
        <f t="shared" si="120"/>
        <v>328.22</v>
      </c>
      <c r="N861" s="1">
        <f t="shared" si="121"/>
        <v>320.42</v>
      </c>
      <c r="O861" s="1">
        <f t="shared" si="122"/>
        <v>322.24</v>
      </c>
      <c r="P861" s="1">
        <f t="shared" si="123"/>
        <v>164.40816326530614</v>
      </c>
    </row>
    <row r="862" spans="1:16">
      <c r="A862" s="2">
        <v>41809</v>
      </c>
      <c r="B862" s="1">
        <v>335.26</v>
      </c>
      <c r="C862" s="1">
        <v>338.9</v>
      </c>
      <c r="D862" s="1">
        <v>325.98</v>
      </c>
      <c r="E862" s="1">
        <v>327</v>
      </c>
      <c r="F862" s="1">
        <v>5320600</v>
      </c>
      <c r="G862" s="1">
        <v>327</v>
      </c>
      <c r="H862" s="1">
        <f t="shared" si="117"/>
        <v>12.919999999999959</v>
      </c>
      <c r="I862" s="9">
        <f t="shared" si="124"/>
        <v>3.9634333394686666E-2</v>
      </c>
      <c r="J862" s="1">
        <f t="shared" si="125"/>
        <v>-7.3799999999999955</v>
      </c>
      <c r="K862" s="9">
        <f t="shared" si="118"/>
        <v>-2.2070698008254067E-2</v>
      </c>
      <c r="L862" s="1">
        <f t="shared" si="119"/>
        <v>1</v>
      </c>
      <c r="M862" s="1">
        <f t="shared" si="120"/>
        <v>338.9</v>
      </c>
      <c r="N862" s="1">
        <f t="shared" si="121"/>
        <v>325.98</v>
      </c>
      <c r="O862" s="1">
        <f t="shared" si="122"/>
        <v>325.04000000000002</v>
      </c>
      <c r="P862" s="1">
        <f t="shared" si="123"/>
        <v>165.83673469387756</v>
      </c>
    </row>
    <row r="863" spans="1:16">
      <c r="A863" s="2">
        <v>41808</v>
      </c>
      <c r="B863" s="1">
        <v>328</v>
      </c>
      <c r="C863" s="1">
        <v>335.75</v>
      </c>
      <c r="D863" s="1">
        <v>325</v>
      </c>
      <c r="E863" s="1">
        <v>334.38</v>
      </c>
      <c r="F863" s="1">
        <v>6401500</v>
      </c>
      <c r="G863" s="1">
        <v>334.38</v>
      </c>
      <c r="H863" s="1">
        <f t="shared" si="117"/>
        <v>10.75</v>
      </c>
      <c r="I863" s="9">
        <f t="shared" si="124"/>
        <v>3.307692307692308E-2</v>
      </c>
      <c r="J863" s="1">
        <f t="shared" si="125"/>
        <v>8.7599999999999909</v>
      </c>
      <c r="K863" s="9">
        <f t="shared" si="118"/>
        <v>2.6902524414962197E-2</v>
      </c>
      <c r="L863" s="1">
        <f t="shared" si="119"/>
        <v>1</v>
      </c>
      <c r="M863" s="1">
        <f t="shared" si="120"/>
        <v>335.75</v>
      </c>
      <c r="N863" s="1">
        <f t="shared" si="121"/>
        <v>325</v>
      </c>
      <c r="O863" s="1">
        <f t="shared" si="122"/>
        <v>332.42</v>
      </c>
      <c r="P863" s="1">
        <f t="shared" si="123"/>
        <v>169.60204081632654</v>
      </c>
    </row>
    <row r="864" spans="1:16">
      <c r="A864" s="2">
        <v>41807</v>
      </c>
      <c r="B864" s="1">
        <v>327.54000000000002</v>
      </c>
      <c r="C864" s="1">
        <v>331.34</v>
      </c>
      <c r="D864" s="1">
        <v>325.23</v>
      </c>
      <c r="E864" s="1">
        <v>325.62</v>
      </c>
      <c r="F864" s="1">
        <v>2924100</v>
      </c>
      <c r="G864" s="1">
        <v>325.62</v>
      </c>
      <c r="H864" s="1">
        <f t="shared" si="117"/>
        <v>6.1099999999999568</v>
      </c>
      <c r="I864" s="9">
        <f t="shared" si="124"/>
        <v>1.8786704793530597E-2</v>
      </c>
      <c r="J864" s="1">
        <f t="shared" si="125"/>
        <v>-2</v>
      </c>
      <c r="K864" s="9">
        <f t="shared" si="118"/>
        <v>-6.1046334167633234E-3</v>
      </c>
      <c r="L864" s="1">
        <f t="shared" si="119"/>
        <v>1</v>
      </c>
      <c r="M864" s="1">
        <f t="shared" si="120"/>
        <v>331.34</v>
      </c>
      <c r="N864" s="1">
        <f t="shared" si="121"/>
        <v>325.23</v>
      </c>
      <c r="O864" s="1">
        <f t="shared" si="122"/>
        <v>323.66000000000003</v>
      </c>
      <c r="P864" s="1">
        <f t="shared" si="123"/>
        <v>165.13265306122452</v>
      </c>
    </row>
    <row r="865" spans="1:16">
      <c r="A865" s="2">
        <v>41806</v>
      </c>
      <c r="B865" s="1">
        <v>324.86</v>
      </c>
      <c r="C865" s="1">
        <v>328.69</v>
      </c>
      <c r="D865" s="1">
        <v>323.52</v>
      </c>
      <c r="E865" s="1">
        <v>327.62</v>
      </c>
      <c r="F865" s="1">
        <v>2449800</v>
      </c>
      <c r="G865" s="1">
        <v>327.62</v>
      </c>
      <c r="H865" s="1">
        <f t="shared" si="117"/>
        <v>5.1700000000000159</v>
      </c>
      <c r="I865" s="9">
        <f t="shared" si="124"/>
        <v>1.5980464886251287E-2</v>
      </c>
      <c r="J865" s="1">
        <f t="shared" si="125"/>
        <v>1.3500000000000227</v>
      </c>
      <c r="K865" s="9">
        <f t="shared" si="118"/>
        <v>4.1376773837619851E-3</v>
      </c>
      <c r="L865" s="1">
        <f t="shared" si="119"/>
        <v>1</v>
      </c>
      <c r="M865" s="1">
        <f t="shared" si="120"/>
        <v>328.69</v>
      </c>
      <c r="N865" s="1">
        <f t="shared" si="121"/>
        <v>323.52</v>
      </c>
      <c r="O865" s="1">
        <f t="shared" si="122"/>
        <v>325.66000000000003</v>
      </c>
      <c r="P865" s="1">
        <f t="shared" si="123"/>
        <v>166.15306122448982</v>
      </c>
    </row>
    <row r="866" spans="1:16">
      <c r="A866" s="2">
        <v>41803</v>
      </c>
      <c r="B866" s="1">
        <v>327.05</v>
      </c>
      <c r="C866" s="1">
        <v>329.3</v>
      </c>
      <c r="D866" s="1">
        <v>323.52999999999997</v>
      </c>
      <c r="E866" s="1">
        <v>326.27</v>
      </c>
      <c r="F866" s="1">
        <v>2764800</v>
      </c>
      <c r="G866" s="1">
        <v>326.27</v>
      </c>
      <c r="H866" s="1">
        <f t="shared" si="117"/>
        <v>5.7700000000000387</v>
      </c>
      <c r="I866" s="9">
        <f t="shared" si="124"/>
        <v>1.7834513028158253E-2</v>
      </c>
      <c r="J866" s="1">
        <f t="shared" si="125"/>
        <v>0.3599999999999568</v>
      </c>
      <c r="K866" s="9">
        <f t="shared" si="118"/>
        <v>1.1045994292901622E-3</v>
      </c>
      <c r="L866" s="1">
        <f t="shared" si="119"/>
        <v>1</v>
      </c>
      <c r="M866" s="1">
        <f t="shared" si="120"/>
        <v>329.3</v>
      </c>
      <c r="N866" s="1">
        <f t="shared" si="121"/>
        <v>323.52999999999997</v>
      </c>
      <c r="O866" s="1">
        <f t="shared" si="122"/>
        <v>324.31</v>
      </c>
      <c r="P866" s="1">
        <f t="shared" si="123"/>
        <v>165.46428571428572</v>
      </c>
    </row>
    <row r="867" spans="1:16">
      <c r="A867" s="2">
        <v>41802</v>
      </c>
      <c r="B867" s="1">
        <v>335.55</v>
      </c>
      <c r="C867" s="1">
        <v>335.55</v>
      </c>
      <c r="D867" s="1">
        <v>324.66000000000003</v>
      </c>
      <c r="E867" s="1">
        <v>325.91000000000003</v>
      </c>
      <c r="F867" s="1">
        <v>4276300</v>
      </c>
      <c r="G867" s="1">
        <v>325.91000000000003</v>
      </c>
      <c r="H867" s="1">
        <f t="shared" si="117"/>
        <v>10.889999999999986</v>
      </c>
      <c r="I867" s="9">
        <f t="shared" si="124"/>
        <v>3.3542783219367912E-2</v>
      </c>
      <c r="J867" s="1">
        <f t="shared" si="125"/>
        <v>-9.2899999999999636</v>
      </c>
      <c r="K867" s="9">
        <f t="shared" si="118"/>
        <v>-2.7714797136038079E-2</v>
      </c>
      <c r="L867" s="1">
        <f t="shared" si="119"/>
        <v>1</v>
      </c>
      <c r="M867" s="1">
        <f t="shared" si="120"/>
        <v>335.55</v>
      </c>
      <c r="N867" s="1">
        <f t="shared" si="121"/>
        <v>324.66000000000003</v>
      </c>
      <c r="O867" s="1">
        <f t="shared" si="122"/>
        <v>323.95000000000005</v>
      </c>
      <c r="P867" s="1">
        <f t="shared" si="123"/>
        <v>165.28061224489798</v>
      </c>
    </row>
    <row r="868" spans="1:16">
      <c r="A868" s="2">
        <v>41801</v>
      </c>
      <c r="B868" s="1">
        <v>336</v>
      </c>
      <c r="C868" s="1">
        <v>340.72</v>
      </c>
      <c r="D868" s="1">
        <v>333.88</v>
      </c>
      <c r="E868" s="1">
        <v>335.2</v>
      </c>
      <c r="F868" s="1">
        <v>4436800</v>
      </c>
      <c r="G868" s="1">
        <v>335.2</v>
      </c>
      <c r="H868" s="1">
        <f t="shared" si="117"/>
        <v>6.8400000000000318</v>
      </c>
      <c r="I868" s="9">
        <f t="shared" si="124"/>
        <v>2.0486402300227722E-2</v>
      </c>
      <c r="J868" s="1">
        <f t="shared" si="125"/>
        <v>2.7899999999999636</v>
      </c>
      <c r="K868" s="9">
        <f t="shared" si="118"/>
        <v>8.3932493005624484E-3</v>
      </c>
      <c r="L868" s="1">
        <f t="shared" si="119"/>
        <v>1</v>
      </c>
      <c r="M868" s="1">
        <f t="shared" si="120"/>
        <v>340.72</v>
      </c>
      <c r="N868" s="1">
        <f t="shared" si="121"/>
        <v>333.88</v>
      </c>
      <c r="O868" s="1">
        <f t="shared" si="122"/>
        <v>333.24</v>
      </c>
      <c r="P868" s="1">
        <f t="shared" si="123"/>
        <v>170.0204081632653</v>
      </c>
    </row>
    <row r="869" spans="1:16">
      <c r="A869" s="2">
        <v>41800</v>
      </c>
      <c r="B869" s="1">
        <v>327.64999999999998</v>
      </c>
      <c r="C869" s="1">
        <v>335.5</v>
      </c>
      <c r="D869" s="1">
        <v>327.5</v>
      </c>
      <c r="E869" s="1">
        <v>332.41</v>
      </c>
      <c r="F869" s="1">
        <v>3663400</v>
      </c>
      <c r="G869" s="1">
        <v>332.41</v>
      </c>
      <c r="H869" s="1">
        <f t="shared" si="117"/>
        <v>8</v>
      </c>
      <c r="I869" s="9">
        <f t="shared" si="124"/>
        <v>2.4427480916030534E-2</v>
      </c>
      <c r="J869" s="1">
        <f t="shared" si="125"/>
        <v>4.910000000000025</v>
      </c>
      <c r="K869" s="9">
        <f t="shared" si="118"/>
        <v>1.4992366412213817E-2</v>
      </c>
      <c r="L869" s="1">
        <f t="shared" si="119"/>
        <v>1</v>
      </c>
      <c r="M869" s="1">
        <f t="shared" si="120"/>
        <v>335.5</v>
      </c>
      <c r="N869" s="1">
        <f t="shared" si="121"/>
        <v>327.5</v>
      </c>
      <c r="O869" s="1">
        <f t="shared" si="122"/>
        <v>330.45000000000005</v>
      </c>
      <c r="P869" s="1">
        <f t="shared" si="123"/>
        <v>168.59693877551024</v>
      </c>
    </row>
    <row r="870" spans="1:16">
      <c r="A870" s="2">
        <v>41799</v>
      </c>
      <c r="B870" s="1">
        <v>331.57</v>
      </c>
      <c r="C870" s="1">
        <v>333</v>
      </c>
      <c r="D870" s="1">
        <v>325.64999999999998</v>
      </c>
      <c r="E870" s="1">
        <v>327.5</v>
      </c>
      <c r="F870" s="1">
        <v>3212200</v>
      </c>
      <c r="G870" s="1">
        <v>327.5</v>
      </c>
      <c r="H870" s="1">
        <f t="shared" si="117"/>
        <v>7.3500000000000227</v>
      </c>
      <c r="I870" s="9">
        <f t="shared" si="124"/>
        <v>2.2570244127130427E-2</v>
      </c>
      <c r="J870" s="1">
        <f t="shared" si="125"/>
        <v>-2.1700000000000159</v>
      </c>
      <c r="K870" s="9">
        <f t="shared" si="118"/>
        <v>-6.5823399156732972E-3</v>
      </c>
      <c r="L870" s="1">
        <f t="shared" si="119"/>
        <v>1</v>
      </c>
      <c r="M870" s="1">
        <f t="shared" si="120"/>
        <v>333</v>
      </c>
      <c r="N870" s="1">
        <f t="shared" si="121"/>
        <v>325.64999999999998</v>
      </c>
      <c r="O870" s="1">
        <f t="shared" si="122"/>
        <v>325.54000000000002</v>
      </c>
      <c r="P870" s="1">
        <f t="shared" si="123"/>
        <v>166.09183673469389</v>
      </c>
    </row>
    <row r="871" spans="1:16">
      <c r="A871" s="2">
        <v>41796</v>
      </c>
      <c r="B871" s="1">
        <v>325</v>
      </c>
      <c r="C871" s="1">
        <v>330.88</v>
      </c>
      <c r="D871" s="1">
        <v>324.93</v>
      </c>
      <c r="E871" s="1">
        <v>329.67</v>
      </c>
      <c r="F871" s="1">
        <v>5244000</v>
      </c>
      <c r="G871" s="1">
        <v>329.67</v>
      </c>
      <c r="H871" s="1">
        <f t="shared" si="117"/>
        <v>5.9499999999999886</v>
      </c>
      <c r="I871" s="9">
        <f t="shared" si="124"/>
        <v>1.8311636352445107E-2</v>
      </c>
      <c r="J871" s="1">
        <f t="shared" si="125"/>
        <v>6.1000000000000227</v>
      </c>
      <c r="K871" s="9">
        <f t="shared" si="118"/>
        <v>1.8852180362827278E-2</v>
      </c>
      <c r="L871" s="1">
        <f t="shared" si="119"/>
        <v>1</v>
      </c>
      <c r="M871" s="1">
        <f t="shared" si="120"/>
        <v>330.88</v>
      </c>
      <c r="N871" s="1">
        <f t="shared" si="121"/>
        <v>324.93</v>
      </c>
      <c r="O871" s="1">
        <f t="shared" si="122"/>
        <v>327.71000000000004</v>
      </c>
      <c r="P871" s="1">
        <f t="shared" si="123"/>
        <v>167.19897959183675</v>
      </c>
    </row>
    <row r="872" spans="1:16">
      <c r="A872" s="2">
        <v>41795</v>
      </c>
      <c r="B872" s="1">
        <v>308.10000000000002</v>
      </c>
      <c r="C872" s="1">
        <v>327.94</v>
      </c>
      <c r="D872" s="1">
        <v>306.89999999999998</v>
      </c>
      <c r="E872" s="1">
        <v>323.57</v>
      </c>
      <c r="F872" s="1">
        <v>7796700</v>
      </c>
      <c r="G872" s="1">
        <v>323.57</v>
      </c>
      <c r="H872" s="1">
        <f t="shared" si="117"/>
        <v>21.04000000000002</v>
      </c>
      <c r="I872" s="9">
        <f t="shared" si="124"/>
        <v>6.8556533072662171E-2</v>
      </c>
      <c r="J872" s="1">
        <f t="shared" si="125"/>
        <v>16.79000000000002</v>
      </c>
      <c r="K872" s="9">
        <f t="shared" si="118"/>
        <v>5.4729773779255565E-2</v>
      </c>
      <c r="L872" s="1">
        <f t="shared" si="119"/>
        <v>1</v>
      </c>
      <c r="M872" s="1">
        <f t="shared" si="120"/>
        <v>327.94</v>
      </c>
      <c r="N872" s="1">
        <f t="shared" si="121"/>
        <v>306.89999999999998</v>
      </c>
      <c r="O872" s="1">
        <f t="shared" si="122"/>
        <v>321.61</v>
      </c>
      <c r="P872" s="1">
        <f t="shared" si="123"/>
        <v>164.08673469387756</v>
      </c>
    </row>
    <row r="873" spans="1:16">
      <c r="A873" s="2">
        <v>41794</v>
      </c>
      <c r="B873" s="1">
        <v>306.85000000000002</v>
      </c>
      <c r="C873" s="1">
        <v>309.5</v>
      </c>
      <c r="D873" s="1">
        <v>303.83999999999997</v>
      </c>
      <c r="E873" s="1">
        <v>306.77999999999997</v>
      </c>
      <c r="F873" s="1">
        <v>2107100</v>
      </c>
      <c r="G873" s="1">
        <v>306.77999999999997</v>
      </c>
      <c r="H873" s="1">
        <f t="shared" si="117"/>
        <v>5.660000000000025</v>
      </c>
      <c r="I873" s="9">
        <f t="shared" si="124"/>
        <v>1.8628225381779967E-2</v>
      </c>
      <c r="J873" s="1">
        <f t="shared" si="125"/>
        <v>-0.41000000000002501</v>
      </c>
      <c r="K873" s="9">
        <f t="shared" si="118"/>
        <v>-1.3346788632443277E-3</v>
      </c>
      <c r="L873" s="1">
        <f t="shared" si="119"/>
        <v>1</v>
      </c>
      <c r="M873" s="1">
        <f t="shared" si="120"/>
        <v>309.5</v>
      </c>
      <c r="N873" s="1">
        <f t="shared" si="121"/>
        <v>303.83999999999997</v>
      </c>
      <c r="O873" s="1">
        <f t="shared" si="122"/>
        <v>304.82</v>
      </c>
      <c r="P873" s="1">
        <f t="shared" si="123"/>
        <v>155.5204081632653</v>
      </c>
    </row>
    <row r="874" spans="1:16">
      <c r="A874" s="2">
        <v>41793</v>
      </c>
      <c r="B874" s="1">
        <v>305.75</v>
      </c>
      <c r="C874" s="1">
        <v>307.92</v>
      </c>
      <c r="D874" s="1">
        <v>305.07</v>
      </c>
      <c r="E874" s="1">
        <v>307.19</v>
      </c>
      <c r="F874" s="1">
        <v>2379200</v>
      </c>
      <c r="G874" s="1">
        <v>307.19</v>
      </c>
      <c r="H874" s="1">
        <f t="shared" si="117"/>
        <v>2.8500000000000227</v>
      </c>
      <c r="I874" s="9">
        <f t="shared" si="124"/>
        <v>9.3421182023798559E-3</v>
      </c>
      <c r="J874" s="1">
        <f t="shared" si="125"/>
        <v>-1.6499999999999773</v>
      </c>
      <c r="K874" s="9">
        <f t="shared" si="118"/>
        <v>-5.3425722056727673E-3</v>
      </c>
      <c r="L874" s="1">
        <f t="shared" si="119"/>
        <v>1</v>
      </c>
      <c r="M874" s="1">
        <f t="shared" si="120"/>
        <v>307.92</v>
      </c>
      <c r="N874" s="1">
        <f t="shared" si="121"/>
        <v>305.07</v>
      </c>
      <c r="O874" s="1">
        <f t="shared" si="122"/>
        <v>305.23</v>
      </c>
      <c r="P874" s="1">
        <f t="shared" si="123"/>
        <v>155.7295918367347</v>
      </c>
    </row>
    <row r="875" spans="1:16">
      <c r="A875" s="2">
        <v>41792</v>
      </c>
      <c r="B875" s="1">
        <v>312.58999999999997</v>
      </c>
      <c r="C875" s="1">
        <v>312.60000000000002</v>
      </c>
      <c r="D875" s="1">
        <v>307</v>
      </c>
      <c r="E875" s="1">
        <v>308.83999999999997</v>
      </c>
      <c r="F875" s="1">
        <v>2203400</v>
      </c>
      <c r="G875" s="1">
        <v>308.83999999999997</v>
      </c>
      <c r="H875" s="1">
        <f t="shared" si="117"/>
        <v>5.6000000000000227</v>
      </c>
      <c r="I875" s="9">
        <f t="shared" si="124"/>
        <v>1.8241042345276948E-2</v>
      </c>
      <c r="J875" s="1">
        <f t="shared" si="125"/>
        <v>-3.7100000000000364</v>
      </c>
      <c r="K875" s="9">
        <f t="shared" si="118"/>
        <v>-1.1870100783874696E-2</v>
      </c>
      <c r="L875" s="1">
        <f t="shared" si="119"/>
        <v>1</v>
      </c>
      <c r="M875" s="1">
        <f t="shared" si="120"/>
        <v>312.60000000000002</v>
      </c>
      <c r="N875" s="1">
        <f t="shared" si="121"/>
        <v>307</v>
      </c>
      <c r="O875" s="1">
        <f t="shared" si="122"/>
        <v>306.88</v>
      </c>
      <c r="P875" s="1">
        <f t="shared" si="123"/>
        <v>156.57142857142858</v>
      </c>
    </row>
    <row r="876" spans="1:16">
      <c r="A876" s="2">
        <v>41789</v>
      </c>
      <c r="B876" s="1">
        <v>314.43</v>
      </c>
      <c r="C876" s="1">
        <v>314.64999999999998</v>
      </c>
      <c r="D876" s="1">
        <v>307.57</v>
      </c>
      <c r="E876" s="1">
        <v>312.55</v>
      </c>
      <c r="F876" s="1">
        <v>4260200</v>
      </c>
      <c r="G876" s="1">
        <v>312.55</v>
      </c>
      <c r="H876" s="1">
        <f t="shared" si="117"/>
        <v>7.0799999999999841</v>
      </c>
      <c r="I876" s="9">
        <f t="shared" si="124"/>
        <v>2.3019150112169536E-2</v>
      </c>
      <c r="J876" s="1">
        <f t="shared" si="125"/>
        <v>-1.2299999999999613</v>
      </c>
      <c r="K876" s="9">
        <f t="shared" si="118"/>
        <v>-3.9199439097455588E-3</v>
      </c>
      <c r="L876" s="1">
        <f t="shared" si="119"/>
        <v>1</v>
      </c>
      <c r="M876" s="1">
        <f t="shared" si="120"/>
        <v>314.64999999999998</v>
      </c>
      <c r="N876" s="1">
        <f t="shared" si="121"/>
        <v>307.57</v>
      </c>
      <c r="O876" s="1">
        <f t="shared" si="122"/>
        <v>310.59000000000003</v>
      </c>
      <c r="P876" s="1">
        <f t="shared" si="123"/>
        <v>158.46428571428572</v>
      </c>
    </row>
    <row r="877" spans="1:16">
      <c r="A877" s="2">
        <v>41788</v>
      </c>
      <c r="B877" s="1">
        <v>310.42</v>
      </c>
      <c r="C877" s="1">
        <v>314.87</v>
      </c>
      <c r="D877" s="1">
        <v>310.2</v>
      </c>
      <c r="E877" s="1">
        <v>313.77999999999997</v>
      </c>
      <c r="F877" s="1">
        <v>2365500</v>
      </c>
      <c r="G877" s="1">
        <v>313.77999999999997</v>
      </c>
      <c r="H877" s="1">
        <f t="shared" si="117"/>
        <v>4.6700000000000159</v>
      </c>
      <c r="I877" s="9">
        <f t="shared" si="124"/>
        <v>1.5054803352675745E-2</v>
      </c>
      <c r="J877" s="1">
        <f t="shared" si="125"/>
        <v>3.6199999999999477</v>
      </c>
      <c r="K877" s="9">
        <f t="shared" si="118"/>
        <v>1.1671395408821084E-2</v>
      </c>
      <c r="L877" s="1">
        <f t="shared" si="119"/>
        <v>1</v>
      </c>
      <c r="M877" s="1">
        <f t="shared" si="120"/>
        <v>314.87</v>
      </c>
      <c r="N877" s="1">
        <f t="shared" si="121"/>
        <v>310.2</v>
      </c>
      <c r="O877" s="1">
        <f t="shared" si="122"/>
        <v>311.82</v>
      </c>
      <c r="P877" s="1">
        <f t="shared" si="123"/>
        <v>159.09183673469389</v>
      </c>
    </row>
    <row r="878" spans="1:16">
      <c r="A878" s="2">
        <v>41787</v>
      </c>
      <c r="B878" s="1">
        <v>309.5</v>
      </c>
      <c r="C878" s="1">
        <v>313.82</v>
      </c>
      <c r="D878" s="1">
        <v>307.42</v>
      </c>
      <c r="E878" s="1">
        <v>310.16000000000003</v>
      </c>
      <c r="F878" s="1">
        <v>2726000</v>
      </c>
      <c r="G878" s="1">
        <v>310.16000000000003</v>
      </c>
      <c r="H878" s="1">
        <f t="shared" si="117"/>
        <v>6.3999999999999773</v>
      </c>
      <c r="I878" s="9">
        <f t="shared" si="124"/>
        <v>2.0818424305510303E-2</v>
      </c>
      <c r="J878" s="1">
        <f t="shared" si="125"/>
        <v>-0.65999999999996817</v>
      </c>
      <c r="K878" s="9">
        <f t="shared" si="118"/>
        <v>-2.1234154816291363E-3</v>
      </c>
      <c r="L878" s="1">
        <f t="shared" si="119"/>
        <v>1</v>
      </c>
      <c r="M878" s="1">
        <f t="shared" si="120"/>
        <v>313.82</v>
      </c>
      <c r="N878" s="1">
        <f t="shared" si="121"/>
        <v>307.42</v>
      </c>
      <c r="O878" s="1">
        <f t="shared" si="122"/>
        <v>308.20000000000005</v>
      </c>
      <c r="P878" s="1">
        <f t="shared" si="123"/>
        <v>157.2448979591837</v>
      </c>
    </row>
    <row r="879" spans="1:16">
      <c r="A879" s="2">
        <v>41786</v>
      </c>
      <c r="B879" s="1">
        <v>314.41000000000003</v>
      </c>
      <c r="C879" s="1">
        <v>314.63</v>
      </c>
      <c r="D879" s="1">
        <v>307.38</v>
      </c>
      <c r="E879" s="1">
        <v>310.82</v>
      </c>
      <c r="F879" s="1">
        <v>4862100</v>
      </c>
      <c r="G879" s="1">
        <v>310.82</v>
      </c>
      <c r="H879" s="1">
        <f t="shared" si="117"/>
        <v>7.25</v>
      </c>
      <c r="I879" s="9">
        <f t="shared" si="124"/>
        <v>2.3586440236840395E-2</v>
      </c>
      <c r="J879" s="1">
        <f t="shared" si="125"/>
        <v>-1.4200000000000159</v>
      </c>
      <c r="K879" s="9">
        <f t="shared" si="118"/>
        <v>-4.5477837560851135E-3</v>
      </c>
      <c r="L879" s="1">
        <f t="shared" si="119"/>
        <v>1</v>
      </c>
      <c r="M879" s="1">
        <f t="shared" si="120"/>
        <v>314.63</v>
      </c>
      <c r="N879" s="1">
        <f t="shared" si="121"/>
        <v>307.38</v>
      </c>
      <c r="O879" s="1">
        <f t="shared" si="122"/>
        <v>308.86</v>
      </c>
      <c r="P879" s="1">
        <f t="shared" si="123"/>
        <v>157.58163265306123</v>
      </c>
    </row>
    <row r="880" spans="1:16">
      <c r="A880" s="2">
        <v>41782</v>
      </c>
      <c r="B880" s="1">
        <v>305.45999999999998</v>
      </c>
      <c r="C880" s="1">
        <v>312.35000000000002</v>
      </c>
      <c r="D880" s="1">
        <v>304.89999999999998</v>
      </c>
      <c r="E880" s="1">
        <v>312.24</v>
      </c>
      <c r="F880" s="1">
        <v>3052900</v>
      </c>
      <c r="G880" s="1">
        <v>312.24</v>
      </c>
      <c r="H880" s="1">
        <f t="shared" si="117"/>
        <v>7.4500000000000455</v>
      </c>
      <c r="I880" s="9">
        <f t="shared" si="124"/>
        <v>2.4434240734667254E-2</v>
      </c>
      <c r="J880" s="1">
        <f t="shared" si="125"/>
        <v>7.3299999999999841</v>
      </c>
      <c r="K880" s="9">
        <f t="shared" si="118"/>
        <v>2.4039880620510917E-2</v>
      </c>
      <c r="L880" s="1">
        <f t="shared" si="119"/>
        <v>1</v>
      </c>
      <c r="M880" s="1">
        <f t="shared" si="120"/>
        <v>312.35000000000002</v>
      </c>
      <c r="N880" s="1">
        <f t="shared" si="121"/>
        <v>304.89999999999998</v>
      </c>
      <c r="O880" s="1">
        <f t="shared" si="122"/>
        <v>310.28000000000003</v>
      </c>
      <c r="P880" s="1">
        <f t="shared" si="123"/>
        <v>158.30612244897961</v>
      </c>
    </row>
    <row r="881" spans="1:16">
      <c r="A881" s="2">
        <v>41781</v>
      </c>
      <c r="B881" s="1">
        <v>305.05</v>
      </c>
      <c r="C881" s="1">
        <v>308.54000000000002</v>
      </c>
      <c r="D881" s="1">
        <v>303.01</v>
      </c>
      <c r="E881" s="1">
        <v>304.91000000000003</v>
      </c>
      <c r="F881" s="1">
        <v>2576800</v>
      </c>
      <c r="G881" s="1">
        <v>304.91000000000003</v>
      </c>
      <c r="H881" s="1">
        <f t="shared" si="117"/>
        <v>5.5300000000000296</v>
      </c>
      <c r="I881" s="9">
        <f t="shared" si="124"/>
        <v>1.8250222764925349E-2</v>
      </c>
      <c r="J881" s="1">
        <f t="shared" si="125"/>
        <v>-9.9999999999965894E-2</v>
      </c>
      <c r="K881" s="9">
        <f t="shared" si="118"/>
        <v>-3.2785810301290413E-4</v>
      </c>
      <c r="L881" s="1">
        <f t="shared" si="119"/>
        <v>1</v>
      </c>
      <c r="M881" s="1">
        <f t="shared" si="120"/>
        <v>308.54000000000002</v>
      </c>
      <c r="N881" s="1">
        <f t="shared" si="121"/>
        <v>303.01</v>
      </c>
      <c r="O881" s="1">
        <f t="shared" si="122"/>
        <v>302.95000000000005</v>
      </c>
      <c r="P881" s="1">
        <f t="shared" si="123"/>
        <v>154.56632653061226</v>
      </c>
    </row>
    <row r="882" spans="1:16">
      <c r="A882" s="2">
        <v>41780</v>
      </c>
      <c r="B882" s="1">
        <v>302.20999999999998</v>
      </c>
      <c r="C882" s="1">
        <v>305.95999999999998</v>
      </c>
      <c r="D882" s="1">
        <v>301.52</v>
      </c>
      <c r="E882" s="1">
        <v>305.01</v>
      </c>
      <c r="F882" s="1">
        <v>3408800</v>
      </c>
      <c r="G882" s="1">
        <v>305.01</v>
      </c>
      <c r="H882" s="1">
        <f t="shared" si="117"/>
        <v>4.4399999999999977</v>
      </c>
      <c r="I882" s="9">
        <f t="shared" si="124"/>
        <v>1.472539135049084E-2</v>
      </c>
      <c r="J882" s="1">
        <f t="shared" si="125"/>
        <v>3.8199999999999932</v>
      </c>
      <c r="K882" s="9">
        <f t="shared" si="118"/>
        <v>1.2683024004781013E-2</v>
      </c>
      <c r="L882" s="1">
        <f t="shared" si="119"/>
        <v>1</v>
      </c>
      <c r="M882" s="1">
        <f t="shared" si="120"/>
        <v>305.95999999999998</v>
      </c>
      <c r="N882" s="1">
        <f t="shared" si="121"/>
        <v>301.52</v>
      </c>
      <c r="O882" s="1">
        <f t="shared" si="122"/>
        <v>303.05</v>
      </c>
      <c r="P882" s="1">
        <f t="shared" si="123"/>
        <v>154.61734693877551</v>
      </c>
    </row>
    <row r="883" spans="1:16">
      <c r="A883" s="2">
        <v>41779</v>
      </c>
      <c r="B883" s="1">
        <v>297.10000000000002</v>
      </c>
      <c r="C883" s="1">
        <v>304.45999999999998</v>
      </c>
      <c r="D883" s="1">
        <v>296.75</v>
      </c>
      <c r="E883" s="1">
        <v>301.19</v>
      </c>
      <c r="F883" s="1">
        <v>4095700</v>
      </c>
      <c r="G883" s="1">
        <v>301.19</v>
      </c>
      <c r="H883" s="1">
        <f t="shared" si="117"/>
        <v>7.7099999999999795</v>
      </c>
      <c r="I883" s="9">
        <f t="shared" si="124"/>
        <v>2.5981465880370612E-2</v>
      </c>
      <c r="J883" s="1">
        <f t="shared" si="125"/>
        <v>4.4300000000000068</v>
      </c>
      <c r="K883" s="9">
        <f t="shared" si="118"/>
        <v>1.4927887855506156E-2</v>
      </c>
      <c r="L883" s="1">
        <f t="shared" si="119"/>
        <v>1</v>
      </c>
      <c r="M883" s="1">
        <f t="shared" si="120"/>
        <v>304.45999999999998</v>
      </c>
      <c r="N883" s="1">
        <f t="shared" si="121"/>
        <v>296.75</v>
      </c>
      <c r="O883" s="1">
        <f t="shared" si="122"/>
        <v>299.23</v>
      </c>
      <c r="P883" s="1">
        <f t="shared" si="123"/>
        <v>152.66836734693879</v>
      </c>
    </row>
    <row r="884" spans="1:16">
      <c r="A884" s="2">
        <v>41778</v>
      </c>
      <c r="B884" s="1">
        <v>295.76</v>
      </c>
      <c r="C884" s="1">
        <v>299</v>
      </c>
      <c r="D884" s="1">
        <v>293.81</v>
      </c>
      <c r="E884" s="1">
        <v>296.76</v>
      </c>
      <c r="F884" s="1">
        <v>2284200</v>
      </c>
      <c r="G884" s="1">
        <v>296.76</v>
      </c>
      <c r="H884" s="1">
        <f t="shared" si="117"/>
        <v>5.1899999999999977</v>
      </c>
      <c r="I884" s="9">
        <f t="shared" si="124"/>
        <v>1.7664477042986956E-2</v>
      </c>
      <c r="J884" s="1">
        <f t="shared" si="125"/>
        <v>-0.93999999999999773</v>
      </c>
      <c r="K884" s="9">
        <f t="shared" si="118"/>
        <v>-3.1575411488075169E-3</v>
      </c>
      <c r="L884" s="1">
        <f t="shared" si="119"/>
        <v>1</v>
      </c>
      <c r="M884" s="1">
        <f t="shared" si="120"/>
        <v>299</v>
      </c>
      <c r="N884" s="1">
        <f t="shared" si="121"/>
        <v>293.81</v>
      </c>
      <c r="O884" s="1">
        <f t="shared" si="122"/>
        <v>294.8</v>
      </c>
      <c r="P884" s="1">
        <f t="shared" si="123"/>
        <v>150.40816326530614</v>
      </c>
    </row>
    <row r="885" spans="1:16">
      <c r="A885" s="2">
        <v>41775</v>
      </c>
      <c r="B885" s="1">
        <v>292.8</v>
      </c>
      <c r="C885" s="1">
        <v>298.88</v>
      </c>
      <c r="D885" s="1">
        <v>291.55</v>
      </c>
      <c r="E885" s="1">
        <v>297.7</v>
      </c>
      <c r="F885" s="1">
        <v>3636800</v>
      </c>
      <c r="G885" s="1">
        <v>297.7</v>
      </c>
      <c r="H885" s="1">
        <f t="shared" si="117"/>
        <v>7.3299999999999841</v>
      </c>
      <c r="I885" s="9">
        <f t="shared" si="124"/>
        <v>2.5141485165494713E-2</v>
      </c>
      <c r="J885" s="1">
        <f t="shared" si="125"/>
        <v>2.5099999999999909</v>
      </c>
      <c r="K885" s="9">
        <f t="shared" si="118"/>
        <v>8.5029980690402487E-3</v>
      </c>
      <c r="L885" s="1">
        <f t="shared" si="119"/>
        <v>1</v>
      </c>
      <c r="M885" s="1">
        <f t="shared" si="120"/>
        <v>298.88</v>
      </c>
      <c r="N885" s="1">
        <f t="shared" si="121"/>
        <v>291.55</v>
      </c>
      <c r="O885" s="1">
        <f t="shared" si="122"/>
        <v>295.74</v>
      </c>
      <c r="P885" s="1">
        <f t="shared" si="123"/>
        <v>150.88775510204081</v>
      </c>
    </row>
    <row r="886" spans="1:16">
      <c r="A886" s="2">
        <v>41774</v>
      </c>
      <c r="B886" s="1">
        <v>298.02</v>
      </c>
      <c r="C886" s="1">
        <v>299.2</v>
      </c>
      <c r="D886" s="1">
        <v>290.38</v>
      </c>
      <c r="E886" s="1">
        <v>295.19</v>
      </c>
      <c r="F886" s="1">
        <v>4295100</v>
      </c>
      <c r="G886" s="1">
        <v>295.19</v>
      </c>
      <c r="H886" s="1">
        <f t="shared" si="117"/>
        <v>8.8199999999999932</v>
      </c>
      <c r="I886" s="9">
        <f t="shared" si="124"/>
        <v>3.0373992699221686E-2</v>
      </c>
      <c r="J886" s="1">
        <f t="shared" si="125"/>
        <v>-2.4300000000000068</v>
      </c>
      <c r="K886" s="9">
        <f t="shared" si="118"/>
        <v>-8.1647738727236296E-3</v>
      </c>
      <c r="L886" s="1">
        <f t="shared" si="119"/>
        <v>1</v>
      </c>
      <c r="M886" s="1">
        <f t="shared" si="120"/>
        <v>299.2</v>
      </c>
      <c r="N886" s="1">
        <f t="shared" si="121"/>
        <v>290.38</v>
      </c>
      <c r="O886" s="1">
        <f t="shared" si="122"/>
        <v>293.23</v>
      </c>
      <c r="P886" s="1">
        <f t="shared" si="123"/>
        <v>149.60714285714286</v>
      </c>
    </row>
    <row r="887" spans="1:16">
      <c r="A887" s="2">
        <v>41773</v>
      </c>
      <c r="B887" s="1">
        <v>302.5</v>
      </c>
      <c r="C887" s="1">
        <v>304.64</v>
      </c>
      <c r="D887" s="1">
        <v>296.66000000000003</v>
      </c>
      <c r="E887" s="1">
        <v>297.62</v>
      </c>
      <c r="F887" s="1">
        <v>3323300</v>
      </c>
      <c r="G887" s="1">
        <v>297.62</v>
      </c>
      <c r="H887" s="1">
        <f t="shared" si="117"/>
        <v>7.9799999999999613</v>
      </c>
      <c r="I887" s="9">
        <f t="shared" si="124"/>
        <v>2.6899480887210815E-2</v>
      </c>
      <c r="J887" s="1">
        <f t="shared" si="125"/>
        <v>-7.0199999999999818</v>
      </c>
      <c r="K887" s="9">
        <f t="shared" si="118"/>
        <v>-2.3043592436974732E-2</v>
      </c>
      <c r="L887" s="1">
        <f t="shared" si="119"/>
        <v>1</v>
      </c>
      <c r="M887" s="1">
        <f t="shared" si="120"/>
        <v>304.64</v>
      </c>
      <c r="N887" s="1">
        <f t="shared" si="121"/>
        <v>296.66000000000003</v>
      </c>
      <c r="O887" s="1">
        <f t="shared" si="122"/>
        <v>295.66000000000003</v>
      </c>
      <c r="P887" s="1">
        <f t="shared" si="123"/>
        <v>150.84693877551021</v>
      </c>
    </row>
    <row r="888" spans="1:16">
      <c r="A888" s="2">
        <v>41772</v>
      </c>
      <c r="B888" s="1">
        <v>302.60000000000002</v>
      </c>
      <c r="C888" s="1">
        <v>305.60000000000002</v>
      </c>
      <c r="D888" s="1">
        <v>300.75</v>
      </c>
      <c r="E888" s="1">
        <v>304.64</v>
      </c>
      <c r="F888" s="1">
        <v>3509900</v>
      </c>
      <c r="G888" s="1">
        <v>304.64</v>
      </c>
      <c r="H888" s="1">
        <f t="shared" si="117"/>
        <v>4.8500000000000227</v>
      </c>
      <c r="I888" s="9">
        <f t="shared" si="124"/>
        <v>1.612635078969251E-2</v>
      </c>
      <c r="J888" s="1">
        <f t="shared" si="125"/>
        <v>1.7799999999999727</v>
      </c>
      <c r="K888" s="9">
        <f t="shared" si="118"/>
        <v>5.8773030443108124E-3</v>
      </c>
      <c r="L888" s="1">
        <f t="shared" si="119"/>
        <v>1</v>
      </c>
      <c r="M888" s="1">
        <f t="shared" si="120"/>
        <v>305.60000000000002</v>
      </c>
      <c r="N888" s="1">
        <f t="shared" si="121"/>
        <v>300.75</v>
      </c>
      <c r="O888" s="1">
        <f t="shared" si="122"/>
        <v>302.68</v>
      </c>
      <c r="P888" s="1">
        <f t="shared" si="123"/>
        <v>154.42857142857144</v>
      </c>
    </row>
    <row r="889" spans="1:16">
      <c r="A889" s="2">
        <v>41771</v>
      </c>
      <c r="B889" s="1">
        <v>294.3</v>
      </c>
      <c r="C889" s="1">
        <v>303.33999999999997</v>
      </c>
      <c r="D889" s="1">
        <v>294.16000000000003</v>
      </c>
      <c r="E889" s="1">
        <v>302.86</v>
      </c>
      <c r="F889" s="1">
        <v>3729600</v>
      </c>
      <c r="G889" s="1">
        <v>302.86</v>
      </c>
      <c r="H889" s="1">
        <f t="shared" si="117"/>
        <v>9.17999999999995</v>
      </c>
      <c r="I889" s="9">
        <f t="shared" si="124"/>
        <v>3.1207506119118673E-2</v>
      </c>
      <c r="J889" s="1">
        <f t="shared" si="125"/>
        <v>10.620000000000005</v>
      </c>
      <c r="K889" s="9">
        <f t="shared" si="118"/>
        <v>3.6339994525047922E-2</v>
      </c>
      <c r="L889" s="1">
        <f t="shared" si="119"/>
        <v>1</v>
      </c>
      <c r="M889" s="1">
        <f t="shared" si="120"/>
        <v>303.33999999999997</v>
      </c>
      <c r="N889" s="1">
        <f t="shared" si="121"/>
        <v>294.16000000000003</v>
      </c>
      <c r="O889" s="1">
        <f t="shared" si="122"/>
        <v>300.90000000000003</v>
      </c>
      <c r="P889" s="1">
        <f t="shared" si="123"/>
        <v>153.52040816326533</v>
      </c>
    </row>
    <row r="890" spans="1:16">
      <c r="A890" s="2">
        <v>41768</v>
      </c>
      <c r="B890" s="1">
        <v>290.57</v>
      </c>
      <c r="C890" s="1">
        <v>293.68</v>
      </c>
      <c r="D890" s="1">
        <v>284.38</v>
      </c>
      <c r="E890" s="1">
        <v>292.24</v>
      </c>
      <c r="F890" s="1">
        <v>4063000</v>
      </c>
      <c r="G890" s="1">
        <v>292.24</v>
      </c>
      <c r="H890" s="1">
        <f t="shared" si="117"/>
        <v>9.3000000000000114</v>
      </c>
      <c r="I890" s="9">
        <f t="shared" si="124"/>
        <v>3.2702721710387551E-2</v>
      </c>
      <c r="J890" s="1">
        <f t="shared" si="125"/>
        <v>3.9200000000000159</v>
      </c>
      <c r="K890" s="9">
        <f t="shared" si="118"/>
        <v>1.359600443951171E-2</v>
      </c>
      <c r="L890" s="1">
        <f t="shared" si="119"/>
        <v>1</v>
      </c>
      <c r="M890" s="1">
        <f t="shared" si="120"/>
        <v>293.68</v>
      </c>
      <c r="N890" s="1">
        <f t="shared" si="121"/>
        <v>284.38</v>
      </c>
      <c r="O890" s="1">
        <f t="shared" si="122"/>
        <v>290.28000000000003</v>
      </c>
      <c r="P890" s="1">
        <f t="shared" si="123"/>
        <v>148.10204081632654</v>
      </c>
    </row>
    <row r="891" spans="1:16">
      <c r="A891" s="2">
        <v>41767</v>
      </c>
      <c r="B891" s="1">
        <v>290.82</v>
      </c>
      <c r="C891" s="1">
        <v>295.88</v>
      </c>
      <c r="D891" s="1">
        <v>287.23</v>
      </c>
      <c r="E891" s="1">
        <v>288.32</v>
      </c>
      <c r="F891" s="1">
        <v>3848200</v>
      </c>
      <c r="G891" s="1">
        <v>288.32</v>
      </c>
      <c r="H891" s="1">
        <f t="shared" si="117"/>
        <v>8.6499999999999773</v>
      </c>
      <c r="I891" s="9">
        <f t="shared" si="124"/>
        <v>3.0115238658914377E-2</v>
      </c>
      <c r="J891" s="1">
        <f t="shared" si="125"/>
        <v>-4.3899999999999864</v>
      </c>
      <c r="K891" s="9">
        <f t="shared" si="118"/>
        <v>-1.4997779372074704E-2</v>
      </c>
      <c r="L891" s="1">
        <f t="shared" si="119"/>
        <v>1</v>
      </c>
      <c r="M891" s="1">
        <f t="shared" si="120"/>
        <v>295.88</v>
      </c>
      <c r="N891" s="1">
        <f t="shared" si="121"/>
        <v>287.23</v>
      </c>
      <c r="O891" s="1">
        <f t="shared" si="122"/>
        <v>286.36</v>
      </c>
      <c r="P891" s="1">
        <f t="shared" si="123"/>
        <v>146.10204081632654</v>
      </c>
    </row>
    <row r="892" spans="1:16">
      <c r="A892" s="2">
        <v>41766</v>
      </c>
      <c r="B892" s="1">
        <v>295.56</v>
      </c>
      <c r="C892" s="1">
        <v>296.39999999999998</v>
      </c>
      <c r="D892" s="1">
        <v>286.68</v>
      </c>
      <c r="E892" s="1">
        <v>292.70999999999998</v>
      </c>
      <c r="F892" s="1">
        <v>7015200</v>
      </c>
      <c r="G892" s="1">
        <v>292.70999999999998</v>
      </c>
      <c r="H892" s="1">
        <f t="shared" si="117"/>
        <v>9.7199999999999704</v>
      </c>
      <c r="I892" s="9">
        <f t="shared" si="124"/>
        <v>3.3905399748848784E-2</v>
      </c>
      <c r="J892" s="1">
        <f t="shared" si="125"/>
        <v>-4.6700000000000159</v>
      </c>
      <c r="K892" s="9">
        <f t="shared" si="118"/>
        <v>-1.5703813302844899E-2</v>
      </c>
      <c r="L892" s="1">
        <f t="shared" si="119"/>
        <v>1</v>
      </c>
      <c r="M892" s="1">
        <f t="shared" si="120"/>
        <v>296.39999999999998</v>
      </c>
      <c r="N892" s="1">
        <f t="shared" si="121"/>
        <v>286.68</v>
      </c>
      <c r="O892" s="1">
        <f t="shared" si="122"/>
        <v>290.75</v>
      </c>
      <c r="P892" s="1">
        <f t="shared" si="123"/>
        <v>148.34183673469389</v>
      </c>
    </row>
    <row r="893" spans="1:16">
      <c r="A893" s="2">
        <v>41765</v>
      </c>
      <c r="B893" s="1">
        <v>309.52999999999997</v>
      </c>
      <c r="C893" s="1">
        <v>309.81</v>
      </c>
      <c r="D893" s="1">
        <v>297.04000000000002</v>
      </c>
      <c r="E893" s="1">
        <v>297.38</v>
      </c>
      <c r="F893" s="1">
        <v>4682300</v>
      </c>
      <c r="G893" s="1">
        <v>297.38</v>
      </c>
      <c r="H893" s="1">
        <f t="shared" si="117"/>
        <v>12.769999999999982</v>
      </c>
      <c r="I893" s="9">
        <f t="shared" si="124"/>
        <v>4.2990842984109823E-2</v>
      </c>
      <c r="J893" s="1">
        <f t="shared" si="125"/>
        <v>-12.670000000000016</v>
      </c>
      <c r="K893" s="9">
        <f t="shared" si="118"/>
        <v>-4.0864376713433369E-2</v>
      </c>
      <c r="L893" s="1">
        <f t="shared" si="119"/>
        <v>1</v>
      </c>
      <c r="M893" s="1">
        <f t="shared" si="120"/>
        <v>309.81</v>
      </c>
      <c r="N893" s="1">
        <f t="shared" si="121"/>
        <v>297.04000000000002</v>
      </c>
      <c r="O893" s="1">
        <f t="shared" si="122"/>
        <v>295.42</v>
      </c>
      <c r="P893" s="1">
        <f t="shared" si="123"/>
        <v>150.72448979591837</v>
      </c>
    </row>
    <row r="894" spans="1:16">
      <c r="A894" s="2">
        <v>41764</v>
      </c>
      <c r="B894" s="1">
        <v>306.37</v>
      </c>
      <c r="C894" s="1">
        <v>310.23</v>
      </c>
      <c r="D894" s="1">
        <v>305</v>
      </c>
      <c r="E894" s="1">
        <v>310.05</v>
      </c>
      <c r="F894" s="1">
        <v>2519900</v>
      </c>
      <c r="G894" s="1">
        <v>310.05</v>
      </c>
      <c r="H894" s="1">
        <f t="shared" si="117"/>
        <v>5.2300000000000182</v>
      </c>
      <c r="I894" s="9">
        <f t="shared" si="124"/>
        <v>1.7147540983606616E-2</v>
      </c>
      <c r="J894" s="1">
        <f t="shared" si="125"/>
        <v>2.0400000000000205</v>
      </c>
      <c r="K894" s="9">
        <f t="shared" si="118"/>
        <v>6.6231615856628696E-3</v>
      </c>
      <c r="L894" s="1">
        <f t="shared" si="119"/>
        <v>1</v>
      </c>
      <c r="M894" s="1">
        <f t="shared" si="120"/>
        <v>310.23</v>
      </c>
      <c r="N894" s="1">
        <f t="shared" si="121"/>
        <v>305</v>
      </c>
      <c r="O894" s="1">
        <f t="shared" si="122"/>
        <v>308.09000000000003</v>
      </c>
      <c r="P894" s="1">
        <f t="shared" si="123"/>
        <v>157.1887755102041</v>
      </c>
    </row>
    <row r="895" spans="1:16">
      <c r="A895" s="2">
        <v>41761</v>
      </c>
      <c r="B895" s="1">
        <v>310.42</v>
      </c>
      <c r="C895" s="1">
        <v>313.29000000000002</v>
      </c>
      <c r="D895" s="1">
        <v>304.31</v>
      </c>
      <c r="E895" s="1">
        <v>308.01</v>
      </c>
      <c r="F895" s="1">
        <v>3995100</v>
      </c>
      <c r="G895" s="1">
        <v>308.01</v>
      </c>
      <c r="H895" s="1">
        <f t="shared" si="117"/>
        <v>8.9800000000000182</v>
      </c>
      <c r="I895" s="9">
        <f t="shared" si="124"/>
        <v>2.9509381880319471E-2</v>
      </c>
      <c r="J895" s="1">
        <f t="shared" si="125"/>
        <v>0.12000000000000455</v>
      </c>
      <c r="K895" s="9">
        <f t="shared" si="118"/>
        <v>3.8974958589107979E-4</v>
      </c>
      <c r="L895" s="1">
        <f t="shared" si="119"/>
        <v>1</v>
      </c>
      <c r="M895" s="1">
        <f t="shared" si="120"/>
        <v>313.29000000000002</v>
      </c>
      <c r="N895" s="1">
        <f t="shared" si="121"/>
        <v>304.31</v>
      </c>
      <c r="O895" s="1">
        <f t="shared" si="122"/>
        <v>306.05</v>
      </c>
      <c r="P895" s="1">
        <f t="shared" si="123"/>
        <v>156.14795918367346</v>
      </c>
    </row>
    <row r="896" spans="1:16">
      <c r="A896" s="2">
        <v>41760</v>
      </c>
      <c r="B896" s="1">
        <v>304.13</v>
      </c>
      <c r="C896" s="1">
        <v>310.48</v>
      </c>
      <c r="D896" s="1">
        <v>304</v>
      </c>
      <c r="E896" s="1">
        <v>307.89</v>
      </c>
      <c r="F896" s="1">
        <v>4328600</v>
      </c>
      <c r="G896" s="1">
        <v>307.89</v>
      </c>
      <c r="H896" s="1">
        <f t="shared" si="117"/>
        <v>6.4800000000000182</v>
      </c>
      <c r="I896" s="9">
        <f t="shared" si="124"/>
        <v>2.1315789473684271E-2</v>
      </c>
      <c r="J896" s="1">
        <f t="shared" si="125"/>
        <v>3.7599999999999909</v>
      </c>
      <c r="K896" s="9">
        <f t="shared" si="118"/>
        <v>1.2363134186038835E-2</v>
      </c>
      <c r="L896" s="1">
        <f t="shared" si="119"/>
        <v>1</v>
      </c>
      <c r="M896" s="1">
        <f t="shared" si="120"/>
        <v>310.48</v>
      </c>
      <c r="N896" s="1">
        <f t="shared" si="121"/>
        <v>304</v>
      </c>
      <c r="O896" s="1">
        <f t="shared" si="122"/>
        <v>305.93</v>
      </c>
      <c r="P896" s="1">
        <f t="shared" si="123"/>
        <v>156.08673469387756</v>
      </c>
    </row>
    <row r="897" spans="1:16">
      <c r="A897" s="2">
        <v>41759</v>
      </c>
      <c r="B897" s="1">
        <v>298.10000000000002</v>
      </c>
      <c r="C897" s="1">
        <v>304.56</v>
      </c>
      <c r="D897" s="1">
        <v>298.10000000000002</v>
      </c>
      <c r="E897" s="1">
        <v>304.13</v>
      </c>
      <c r="F897" s="1">
        <v>4088600</v>
      </c>
      <c r="G897" s="1">
        <v>304.13</v>
      </c>
      <c r="H897" s="1">
        <f t="shared" si="117"/>
        <v>6.4599999999999795</v>
      </c>
      <c r="I897" s="9">
        <f t="shared" si="124"/>
        <v>2.1670580342166988E-2</v>
      </c>
      <c r="J897" s="1">
        <f t="shared" si="125"/>
        <v>3.75</v>
      </c>
      <c r="K897" s="9">
        <f t="shared" si="118"/>
        <v>1.2484186696850657E-2</v>
      </c>
      <c r="L897" s="1">
        <f t="shared" si="119"/>
        <v>1</v>
      </c>
      <c r="M897" s="1">
        <f t="shared" si="120"/>
        <v>304.56</v>
      </c>
      <c r="N897" s="1">
        <f t="shared" si="121"/>
        <v>298.10000000000002</v>
      </c>
      <c r="O897" s="1">
        <f t="shared" si="122"/>
        <v>302.17</v>
      </c>
      <c r="P897" s="1">
        <f t="shared" si="123"/>
        <v>154.16836734693879</v>
      </c>
    </row>
    <row r="898" spans="1:16">
      <c r="A898" s="2">
        <v>41758</v>
      </c>
      <c r="B898" s="1">
        <v>296.44</v>
      </c>
      <c r="C898" s="1">
        <v>301.83999999999997</v>
      </c>
      <c r="D898" s="1">
        <v>290.45</v>
      </c>
      <c r="E898" s="1">
        <v>300.38</v>
      </c>
      <c r="F898" s="1">
        <v>6509300</v>
      </c>
      <c r="G898" s="1">
        <v>300.38</v>
      </c>
      <c r="H898" s="1">
        <f t="shared" si="117"/>
        <v>11.389999999999986</v>
      </c>
      <c r="I898" s="9">
        <f t="shared" si="124"/>
        <v>3.9215011189533439E-2</v>
      </c>
      <c r="J898" s="1">
        <f t="shared" si="125"/>
        <v>3.8000000000000114</v>
      </c>
      <c r="K898" s="9">
        <f t="shared" si="118"/>
        <v>1.2812731809292641E-2</v>
      </c>
      <c r="L898" s="1">
        <f t="shared" si="119"/>
        <v>1</v>
      </c>
      <c r="M898" s="1">
        <f t="shared" si="120"/>
        <v>301.83999999999997</v>
      </c>
      <c r="N898" s="1">
        <f t="shared" si="121"/>
        <v>290.45</v>
      </c>
      <c r="O898" s="1">
        <f t="shared" si="122"/>
        <v>298.42</v>
      </c>
      <c r="P898" s="1">
        <f t="shared" si="123"/>
        <v>152.25510204081633</v>
      </c>
    </row>
    <row r="899" spans="1:16">
      <c r="A899" s="2">
        <v>41757</v>
      </c>
      <c r="B899" s="1">
        <v>304</v>
      </c>
      <c r="C899" s="1">
        <v>304.39</v>
      </c>
      <c r="D899" s="1">
        <v>288</v>
      </c>
      <c r="E899" s="1">
        <v>296.58</v>
      </c>
      <c r="F899" s="1">
        <v>14479800</v>
      </c>
      <c r="G899" s="1">
        <v>296.58</v>
      </c>
      <c r="H899" s="1">
        <f t="shared" ref="H899:H962" si="126">C899-D899</f>
        <v>16.389999999999986</v>
      </c>
      <c r="I899" s="9">
        <f t="shared" si="124"/>
        <v>5.6909722222222174E-2</v>
      </c>
      <c r="J899" s="1">
        <f t="shared" si="125"/>
        <v>-7.25</v>
      </c>
      <c r="K899" s="9">
        <f t="shared" ref="K899:K962" si="127">(G899-G900)/G900</f>
        <v>-2.3862028107823455E-2</v>
      </c>
      <c r="L899" s="1">
        <f t="shared" ref="L899:L962" si="128">G899/E899</f>
        <v>1</v>
      </c>
      <c r="M899" s="1">
        <f t="shared" ref="M899:M962" si="129">L899*C899</f>
        <v>304.39</v>
      </c>
      <c r="N899" s="1">
        <f t="shared" ref="N899:N962" si="130">L899*D899</f>
        <v>288</v>
      </c>
      <c r="O899" s="1">
        <f t="shared" ref="O899:O962" si="131">G899-$G$5163</f>
        <v>294.62</v>
      </c>
      <c r="P899" s="1">
        <f t="shared" ref="P899:P962" si="132">(G899-$G$5163)/$G$5163</f>
        <v>150.31632653061226</v>
      </c>
    </row>
    <row r="900" spans="1:16">
      <c r="A900" s="2">
        <v>41754</v>
      </c>
      <c r="B900" s="1">
        <v>316.25</v>
      </c>
      <c r="C900" s="1">
        <v>316.49</v>
      </c>
      <c r="D900" s="1">
        <v>302.70999999999998</v>
      </c>
      <c r="E900" s="1">
        <v>303.83</v>
      </c>
      <c r="F900" s="1">
        <v>16180200</v>
      </c>
      <c r="G900" s="1">
        <v>303.83</v>
      </c>
      <c r="H900" s="1">
        <f t="shared" si="126"/>
        <v>13.78000000000003</v>
      </c>
      <c r="I900" s="9">
        <f t="shared" ref="I900:I963" si="133">(C900-D900)/D900</f>
        <v>4.552211687753966E-2</v>
      </c>
      <c r="J900" s="1">
        <f t="shared" ref="J900:J963" si="134">G900-G901</f>
        <v>-33.319999999999993</v>
      </c>
      <c r="K900" s="9">
        <f t="shared" si="127"/>
        <v>-9.8828414652231925E-2</v>
      </c>
      <c r="L900" s="1">
        <f t="shared" si="128"/>
        <v>1</v>
      </c>
      <c r="M900" s="1">
        <f t="shared" si="129"/>
        <v>316.49</v>
      </c>
      <c r="N900" s="1">
        <f t="shared" si="130"/>
        <v>302.70999999999998</v>
      </c>
      <c r="O900" s="1">
        <f t="shared" si="131"/>
        <v>301.87</v>
      </c>
      <c r="P900" s="1">
        <f t="shared" si="132"/>
        <v>154.01530612244898</v>
      </c>
    </row>
    <row r="901" spans="1:16">
      <c r="A901" s="2">
        <v>41753</v>
      </c>
      <c r="B901" s="1">
        <v>329.67</v>
      </c>
      <c r="C901" s="1">
        <v>337.4</v>
      </c>
      <c r="D901" s="1">
        <v>322.95</v>
      </c>
      <c r="E901" s="1">
        <v>337.15</v>
      </c>
      <c r="F901" s="1">
        <v>9293700</v>
      </c>
      <c r="G901" s="1">
        <v>337.15</v>
      </c>
      <c r="H901" s="1">
        <f t="shared" si="126"/>
        <v>14.449999999999989</v>
      </c>
      <c r="I901" s="9">
        <f t="shared" si="133"/>
        <v>4.4743768385198911E-2</v>
      </c>
      <c r="J901" s="1">
        <f t="shared" si="134"/>
        <v>12.569999999999993</v>
      </c>
      <c r="K901" s="9">
        <f t="shared" si="127"/>
        <v>3.8726970238461993E-2</v>
      </c>
      <c r="L901" s="1">
        <f t="shared" si="128"/>
        <v>1</v>
      </c>
      <c r="M901" s="1">
        <f t="shared" si="129"/>
        <v>337.4</v>
      </c>
      <c r="N901" s="1">
        <f t="shared" si="130"/>
        <v>322.95</v>
      </c>
      <c r="O901" s="1">
        <f t="shared" si="131"/>
        <v>335.19</v>
      </c>
      <c r="P901" s="1">
        <f t="shared" si="132"/>
        <v>171.01530612244898</v>
      </c>
    </row>
    <row r="902" spans="1:16">
      <c r="A902" s="2">
        <v>41752</v>
      </c>
      <c r="B902" s="1">
        <v>333.06</v>
      </c>
      <c r="C902" s="1">
        <v>333.13</v>
      </c>
      <c r="D902" s="1">
        <v>323.39</v>
      </c>
      <c r="E902" s="1">
        <v>324.58</v>
      </c>
      <c r="F902" s="1">
        <v>3604600</v>
      </c>
      <c r="G902" s="1">
        <v>324.58</v>
      </c>
      <c r="H902" s="1">
        <f t="shared" si="126"/>
        <v>9.7400000000000091</v>
      </c>
      <c r="I902" s="9">
        <f t="shared" si="133"/>
        <v>3.0118432851974426E-2</v>
      </c>
      <c r="J902" s="1">
        <f t="shared" si="134"/>
        <v>-4.7400000000000091</v>
      </c>
      <c r="K902" s="9">
        <f t="shared" si="127"/>
        <v>-1.4393295275112381E-2</v>
      </c>
      <c r="L902" s="1">
        <f t="shared" si="128"/>
        <v>1</v>
      </c>
      <c r="M902" s="1">
        <f t="shared" si="129"/>
        <v>333.13</v>
      </c>
      <c r="N902" s="1">
        <f t="shared" si="130"/>
        <v>323.39</v>
      </c>
      <c r="O902" s="1">
        <f t="shared" si="131"/>
        <v>322.62</v>
      </c>
      <c r="P902" s="1">
        <f t="shared" si="132"/>
        <v>164.60204081632654</v>
      </c>
    </row>
    <row r="903" spans="1:16">
      <c r="A903" s="2">
        <v>41751</v>
      </c>
      <c r="B903" s="1">
        <v>332</v>
      </c>
      <c r="C903" s="1">
        <v>337.5</v>
      </c>
      <c r="D903" s="1">
        <v>328.94</v>
      </c>
      <c r="E903" s="1">
        <v>329.32</v>
      </c>
      <c r="F903" s="1">
        <v>3711600</v>
      </c>
      <c r="G903" s="1">
        <v>329.32</v>
      </c>
      <c r="H903" s="1">
        <f t="shared" si="126"/>
        <v>8.5600000000000023</v>
      </c>
      <c r="I903" s="9">
        <f t="shared" si="133"/>
        <v>2.6022982914817298E-2</v>
      </c>
      <c r="J903" s="1">
        <f t="shared" si="134"/>
        <v>-1.5500000000000114</v>
      </c>
      <c r="K903" s="9">
        <f t="shared" si="127"/>
        <v>-4.6846193368997226E-3</v>
      </c>
      <c r="L903" s="1">
        <f t="shared" si="128"/>
        <v>1</v>
      </c>
      <c r="M903" s="1">
        <f t="shared" si="129"/>
        <v>337.5</v>
      </c>
      <c r="N903" s="1">
        <f t="shared" si="130"/>
        <v>328.94</v>
      </c>
      <c r="O903" s="1">
        <f t="shared" si="131"/>
        <v>327.36</v>
      </c>
      <c r="P903" s="1">
        <f t="shared" si="132"/>
        <v>167.02040816326533</v>
      </c>
    </row>
    <row r="904" spans="1:16">
      <c r="A904" s="2">
        <v>41750</v>
      </c>
      <c r="B904" s="1">
        <v>323.97000000000003</v>
      </c>
      <c r="C904" s="1">
        <v>331.15</v>
      </c>
      <c r="D904" s="1">
        <v>322.31</v>
      </c>
      <c r="E904" s="1">
        <v>330.87</v>
      </c>
      <c r="F904" s="1">
        <v>2999400</v>
      </c>
      <c r="G904" s="1">
        <v>330.87</v>
      </c>
      <c r="H904" s="1">
        <f t="shared" si="126"/>
        <v>8.839999999999975</v>
      </c>
      <c r="I904" s="9">
        <f t="shared" si="133"/>
        <v>2.7427011262449116E-2</v>
      </c>
      <c r="J904" s="1">
        <f t="shared" si="134"/>
        <v>5.9599999999999795</v>
      </c>
      <c r="K904" s="9">
        <f t="shared" si="127"/>
        <v>1.8343541288356711E-2</v>
      </c>
      <c r="L904" s="1">
        <f t="shared" si="128"/>
        <v>1</v>
      </c>
      <c r="M904" s="1">
        <f t="shared" si="129"/>
        <v>331.15</v>
      </c>
      <c r="N904" s="1">
        <f t="shared" si="130"/>
        <v>322.31</v>
      </c>
      <c r="O904" s="1">
        <f t="shared" si="131"/>
        <v>328.91</v>
      </c>
      <c r="P904" s="1">
        <f t="shared" si="132"/>
        <v>167.81122448979593</v>
      </c>
    </row>
    <row r="905" spans="1:16">
      <c r="A905" s="2">
        <v>41746</v>
      </c>
      <c r="B905" s="1">
        <v>319.76</v>
      </c>
      <c r="C905" s="1">
        <v>328.66</v>
      </c>
      <c r="D905" s="1">
        <v>319.76</v>
      </c>
      <c r="E905" s="1">
        <v>324.91000000000003</v>
      </c>
      <c r="F905" s="1">
        <v>4299200</v>
      </c>
      <c r="G905" s="1">
        <v>324.91000000000003</v>
      </c>
      <c r="H905" s="1">
        <f t="shared" si="126"/>
        <v>8.9000000000000341</v>
      </c>
      <c r="I905" s="9">
        <f t="shared" si="133"/>
        <v>2.7833375031273564E-2</v>
      </c>
      <c r="J905" s="1">
        <f t="shared" si="134"/>
        <v>1.2300000000000182</v>
      </c>
      <c r="K905" s="9">
        <f t="shared" si="127"/>
        <v>3.8000494315373768E-3</v>
      </c>
      <c r="L905" s="1">
        <f t="shared" si="128"/>
        <v>1</v>
      </c>
      <c r="M905" s="1">
        <f t="shared" si="129"/>
        <v>328.66</v>
      </c>
      <c r="N905" s="1">
        <f t="shared" si="130"/>
        <v>319.76</v>
      </c>
      <c r="O905" s="1">
        <f t="shared" si="131"/>
        <v>322.95000000000005</v>
      </c>
      <c r="P905" s="1">
        <f t="shared" si="132"/>
        <v>164.77040816326533</v>
      </c>
    </row>
    <row r="906" spans="1:16">
      <c r="A906" s="2">
        <v>41745</v>
      </c>
      <c r="B906" s="1">
        <v>321.17</v>
      </c>
      <c r="C906" s="1">
        <v>324</v>
      </c>
      <c r="D906" s="1">
        <v>314.70999999999998</v>
      </c>
      <c r="E906" s="1">
        <v>323.68</v>
      </c>
      <c r="F906" s="1">
        <v>4284900</v>
      </c>
      <c r="G906" s="1">
        <v>323.68</v>
      </c>
      <c r="H906" s="1">
        <f t="shared" si="126"/>
        <v>9.2900000000000205</v>
      </c>
      <c r="I906" s="9">
        <f t="shared" si="133"/>
        <v>2.9519239935178486E-2</v>
      </c>
      <c r="J906" s="1">
        <f t="shared" si="134"/>
        <v>7.6000000000000227</v>
      </c>
      <c r="K906" s="9">
        <f t="shared" si="127"/>
        <v>2.4044545684636875E-2</v>
      </c>
      <c r="L906" s="1">
        <f t="shared" si="128"/>
        <v>1</v>
      </c>
      <c r="M906" s="1">
        <f t="shared" si="129"/>
        <v>324</v>
      </c>
      <c r="N906" s="1">
        <f t="shared" si="130"/>
        <v>314.70999999999998</v>
      </c>
      <c r="O906" s="1">
        <f t="shared" si="131"/>
        <v>321.72000000000003</v>
      </c>
      <c r="P906" s="1">
        <f t="shared" si="132"/>
        <v>164.14285714285717</v>
      </c>
    </row>
    <row r="907" spans="1:16">
      <c r="A907" s="2">
        <v>41744</v>
      </c>
      <c r="B907" s="1">
        <v>316.7</v>
      </c>
      <c r="C907" s="1">
        <v>318.27999999999997</v>
      </c>
      <c r="D907" s="1">
        <v>305.5</v>
      </c>
      <c r="E907" s="1">
        <v>316.08</v>
      </c>
      <c r="F907" s="1">
        <v>5398600</v>
      </c>
      <c r="G907" s="1">
        <v>316.08</v>
      </c>
      <c r="H907" s="1">
        <f t="shared" si="126"/>
        <v>12.779999999999973</v>
      </c>
      <c r="I907" s="9">
        <f t="shared" si="133"/>
        <v>4.183306055646472E-2</v>
      </c>
      <c r="J907" s="1">
        <f t="shared" si="134"/>
        <v>0.16999999999995907</v>
      </c>
      <c r="K907" s="9">
        <f t="shared" si="127"/>
        <v>5.3812794783311409E-4</v>
      </c>
      <c r="L907" s="1">
        <f t="shared" si="128"/>
        <v>1</v>
      </c>
      <c r="M907" s="1">
        <f t="shared" si="129"/>
        <v>318.27999999999997</v>
      </c>
      <c r="N907" s="1">
        <f t="shared" si="130"/>
        <v>305.5</v>
      </c>
      <c r="O907" s="1">
        <f t="shared" si="131"/>
        <v>314.12</v>
      </c>
      <c r="P907" s="1">
        <f t="shared" si="132"/>
        <v>160.26530612244898</v>
      </c>
    </row>
    <row r="908" spans="1:16">
      <c r="A908" s="2">
        <v>41743</v>
      </c>
      <c r="B908" s="1">
        <v>317.67</v>
      </c>
      <c r="C908" s="1">
        <v>320.48</v>
      </c>
      <c r="D908" s="1">
        <v>311.27999999999997</v>
      </c>
      <c r="E908" s="1">
        <v>315.91000000000003</v>
      </c>
      <c r="F908" s="1">
        <v>4293500</v>
      </c>
      <c r="G908" s="1">
        <v>315.91000000000003</v>
      </c>
      <c r="H908" s="1">
        <f t="shared" si="126"/>
        <v>9.2000000000000455</v>
      </c>
      <c r="I908" s="9">
        <f t="shared" si="133"/>
        <v>2.9555384219995009E-2</v>
      </c>
      <c r="J908" s="1">
        <f t="shared" si="134"/>
        <v>4.1800000000000068</v>
      </c>
      <c r="K908" s="9">
        <f t="shared" si="127"/>
        <v>1.3409039874250173E-2</v>
      </c>
      <c r="L908" s="1">
        <f t="shared" si="128"/>
        <v>1</v>
      </c>
      <c r="M908" s="1">
        <f t="shared" si="129"/>
        <v>320.48</v>
      </c>
      <c r="N908" s="1">
        <f t="shared" si="130"/>
        <v>311.27999999999997</v>
      </c>
      <c r="O908" s="1">
        <f t="shared" si="131"/>
        <v>313.95000000000005</v>
      </c>
      <c r="P908" s="1">
        <f t="shared" si="132"/>
        <v>160.17857142857144</v>
      </c>
    </row>
    <row r="909" spans="1:16">
      <c r="A909" s="2">
        <v>41740</v>
      </c>
      <c r="B909" s="1">
        <v>314</v>
      </c>
      <c r="C909" s="1">
        <v>316.5</v>
      </c>
      <c r="D909" s="1">
        <v>309.5</v>
      </c>
      <c r="E909" s="1">
        <v>311.73</v>
      </c>
      <c r="F909" s="1">
        <v>7287500</v>
      </c>
      <c r="G909" s="1">
        <v>311.73</v>
      </c>
      <c r="H909" s="1">
        <f t="shared" si="126"/>
        <v>7</v>
      </c>
      <c r="I909" s="9">
        <f t="shared" si="133"/>
        <v>2.2617124394184167E-2</v>
      </c>
      <c r="J909" s="1">
        <f t="shared" si="134"/>
        <v>-5.3799999999999955</v>
      </c>
      <c r="K909" s="9">
        <f t="shared" si="127"/>
        <v>-1.6965721673867097E-2</v>
      </c>
      <c r="L909" s="1">
        <f t="shared" si="128"/>
        <v>1</v>
      </c>
      <c r="M909" s="1">
        <f t="shared" si="129"/>
        <v>316.5</v>
      </c>
      <c r="N909" s="1">
        <f t="shared" si="130"/>
        <v>309.5</v>
      </c>
      <c r="O909" s="1">
        <f t="shared" si="131"/>
        <v>309.77000000000004</v>
      </c>
      <c r="P909" s="1">
        <f t="shared" si="132"/>
        <v>158.04591836734696</v>
      </c>
    </row>
    <row r="910" spans="1:16">
      <c r="A910" s="2">
        <v>41739</v>
      </c>
      <c r="B910" s="1">
        <v>330.6</v>
      </c>
      <c r="C910" s="1">
        <v>331</v>
      </c>
      <c r="D910" s="1">
        <v>316.5</v>
      </c>
      <c r="E910" s="1">
        <v>317.11</v>
      </c>
      <c r="F910" s="1">
        <v>6126700</v>
      </c>
      <c r="G910" s="1">
        <v>317.11</v>
      </c>
      <c r="H910" s="1">
        <f t="shared" si="126"/>
        <v>14.5</v>
      </c>
      <c r="I910" s="9">
        <f t="shared" si="133"/>
        <v>4.5813586097946286E-2</v>
      </c>
      <c r="J910" s="1">
        <f t="shared" si="134"/>
        <v>-14.699999999999989</v>
      </c>
      <c r="K910" s="9">
        <f t="shared" si="127"/>
        <v>-4.430246225249386E-2</v>
      </c>
      <c r="L910" s="1">
        <f t="shared" si="128"/>
        <v>1</v>
      </c>
      <c r="M910" s="1">
        <f t="shared" si="129"/>
        <v>331</v>
      </c>
      <c r="N910" s="1">
        <f t="shared" si="130"/>
        <v>316.5</v>
      </c>
      <c r="O910" s="1">
        <f t="shared" si="131"/>
        <v>315.15000000000003</v>
      </c>
      <c r="P910" s="1">
        <f t="shared" si="132"/>
        <v>160.79081632653063</v>
      </c>
    </row>
    <row r="911" spans="1:16">
      <c r="A911" s="2">
        <v>41738</v>
      </c>
      <c r="B911" s="1">
        <v>328.47</v>
      </c>
      <c r="C911" s="1">
        <v>332.18</v>
      </c>
      <c r="D911" s="1">
        <v>322.5</v>
      </c>
      <c r="E911" s="1">
        <v>331.81</v>
      </c>
      <c r="F911" s="1">
        <v>5056600</v>
      </c>
      <c r="G911" s="1">
        <v>331.81</v>
      </c>
      <c r="H911" s="1">
        <f t="shared" si="126"/>
        <v>9.6800000000000068</v>
      </c>
      <c r="I911" s="9">
        <f t="shared" si="133"/>
        <v>3.0015503875969015E-2</v>
      </c>
      <c r="J911" s="1">
        <f t="shared" si="134"/>
        <v>4.7400000000000091</v>
      </c>
      <c r="K911" s="9">
        <f t="shared" si="127"/>
        <v>1.4492310514568774E-2</v>
      </c>
      <c r="L911" s="1">
        <f t="shared" si="128"/>
        <v>1</v>
      </c>
      <c r="M911" s="1">
        <f t="shared" si="129"/>
        <v>332.18</v>
      </c>
      <c r="N911" s="1">
        <f t="shared" si="130"/>
        <v>322.5</v>
      </c>
      <c r="O911" s="1">
        <f t="shared" si="131"/>
        <v>329.85</v>
      </c>
      <c r="P911" s="1">
        <f t="shared" si="132"/>
        <v>168.29081632653063</v>
      </c>
    </row>
    <row r="912" spans="1:16">
      <c r="A912" s="2">
        <v>41737</v>
      </c>
      <c r="B912" s="1">
        <v>321.88</v>
      </c>
      <c r="C912" s="1">
        <v>328</v>
      </c>
      <c r="D912" s="1">
        <v>318.44</v>
      </c>
      <c r="E912" s="1">
        <v>327.07</v>
      </c>
      <c r="F912" s="1">
        <v>6577600</v>
      </c>
      <c r="G912" s="1">
        <v>327.07</v>
      </c>
      <c r="H912" s="1">
        <f t="shared" si="126"/>
        <v>9.5600000000000023</v>
      </c>
      <c r="I912" s="9">
        <f t="shared" si="133"/>
        <v>3.0021354101243569E-2</v>
      </c>
      <c r="J912" s="1">
        <f t="shared" si="134"/>
        <v>9.3100000000000023</v>
      </c>
      <c r="K912" s="9">
        <f t="shared" si="127"/>
        <v>2.9298841893252776E-2</v>
      </c>
      <c r="L912" s="1">
        <f t="shared" si="128"/>
        <v>1</v>
      </c>
      <c r="M912" s="1">
        <f t="shared" si="129"/>
        <v>328</v>
      </c>
      <c r="N912" s="1">
        <f t="shared" si="130"/>
        <v>318.44</v>
      </c>
      <c r="O912" s="1">
        <f t="shared" si="131"/>
        <v>325.11</v>
      </c>
      <c r="P912" s="1">
        <f t="shared" si="132"/>
        <v>165.87244897959184</v>
      </c>
    </row>
    <row r="913" spans="1:16">
      <c r="A913" s="2">
        <v>41736</v>
      </c>
      <c r="B913" s="1">
        <v>320.99</v>
      </c>
      <c r="C913" s="1">
        <v>324.94</v>
      </c>
      <c r="D913" s="1">
        <v>313.13</v>
      </c>
      <c r="E913" s="1">
        <v>317.76</v>
      </c>
      <c r="F913" s="1">
        <v>7077400</v>
      </c>
      <c r="G913" s="1">
        <v>317.76</v>
      </c>
      <c r="H913" s="1">
        <f t="shared" si="126"/>
        <v>11.810000000000002</v>
      </c>
      <c r="I913" s="9">
        <f t="shared" si="133"/>
        <v>3.7715964615335489E-2</v>
      </c>
      <c r="J913" s="1">
        <f t="shared" si="134"/>
        <v>-5.2400000000000091</v>
      </c>
      <c r="K913" s="9">
        <f t="shared" si="127"/>
        <v>-1.6222910216718293E-2</v>
      </c>
      <c r="L913" s="1">
        <f t="shared" si="128"/>
        <v>1</v>
      </c>
      <c r="M913" s="1">
        <f t="shared" si="129"/>
        <v>324.94</v>
      </c>
      <c r="N913" s="1">
        <f t="shared" si="130"/>
        <v>313.13</v>
      </c>
      <c r="O913" s="1">
        <f t="shared" si="131"/>
        <v>315.8</v>
      </c>
      <c r="P913" s="1">
        <f t="shared" si="132"/>
        <v>161.12244897959184</v>
      </c>
    </row>
    <row r="914" spans="1:16">
      <c r="A914" s="2">
        <v>41733</v>
      </c>
      <c r="B914" s="1">
        <v>335.15</v>
      </c>
      <c r="C914" s="1">
        <v>335.44</v>
      </c>
      <c r="D914" s="1">
        <v>315.61</v>
      </c>
      <c r="E914" s="1">
        <v>323</v>
      </c>
      <c r="F914" s="1">
        <v>12534600</v>
      </c>
      <c r="G914" s="1">
        <v>323</v>
      </c>
      <c r="H914" s="1">
        <f t="shared" si="126"/>
        <v>19.829999999999984</v>
      </c>
      <c r="I914" s="9">
        <f t="shared" si="133"/>
        <v>6.283070878616008E-2</v>
      </c>
      <c r="J914" s="1">
        <f t="shared" si="134"/>
        <v>-10.620000000000005</v>
      </c>
      <c r="K914" s="9">
        <f t="shared" si="127"/>
        <v>-3.1832623943408682E-2</v>
      </c>
      <c r="L914" s="1">
        <f t="shared" si="128"/>
        <v>1</v>
      </c>
      <c r="M914" s="1">
        <f t="shared" si="129"/>
        <v>335.44</v>
      </c>
      <c r="N914" s="1">
        <f t="shared" si="130"/>
        <v>315.61</v>
      </c>
      <c r="O914" s="1">
        <f t="shared" si="131"/>
        <v>321.04000000000002</v>
      </c>
      <c r="P914" s="1">
        <f t="shared" si="132"/>
        <v>163.79591836734696</v>
      </c>
    </row>
    <row r="915" spans="1:16">
      <c r="A915" s="2">
        <v>41732</v>
      </c>
      <c r="B915" s="1">
        <v>341.82</v>
      </c>
      <c r="C915" s="1">
        <v>342.5</v>
      </c>
      <c r="D915" s="1">
        <v>328.46</v>
      </c>
      <c r="E915" s="1">
        <v>333.62</v>
      </c>
      <c r="F915" s="1">
        <v>6399300</v>
      </c>
      <c r="G915" s="1">
        <v>333.62</v>
      </c>
      <c r="H915" s="1">
        <f t="shared" si="126"/>
        <v>14.04000000000002</v>
      </c>
      <c r="I915" s="9">
        <f t="shared" si="133"/>
        <v>4.2744930889606104E-2</v>
      </c>
      <c r="J915" s="1">
        <f t="shared" si="134"/>
        <v>-8.339999999999975</v>
      </c>
      <c r="K915" s="9">
        <f t="shared" si="127"/>
        <v>-2.4388817405544435E-2</v>
      </c>
      <c r="L915" s="1">
        <f t="shared" si="128"/>
        <v>1</v>
      </c>
      <c r="M915" s="1">
        <f t="shared" si="129"/>
        <v>342.5</v>
      </c>
      <c r="N915" s="1">
        <f t="shared" si="130"/>
        <v>328.46</v>
      </c>
      <c r="O915" s="1">
        <f t="shared" si="131"/>
        <v>331.66</v>
      </c>
      <c r="P915" s="1">
        <f t="shared" si="132"/>
        <v>169.21428571428572</v>
      </c>
    </row>
    <row r="916" spans="1:16">
      <c r="A916" s="2">
        <v>41731</v>
      </c>
      <c r="B916" s="1">
        <v>345.99</v>
      </c>
      <c r="C916" s="1">
        <v>348.3</v>
      </c>
      <c r="D916" s="1">
        <v>340.38</v>
      </c>
      <c r="E916" s="1">
        <v>341.96</v>
      </c>
      <c r="F916" s="1">
        <v>4475500</v>
      </c>
      <c r="G916" s="1">
        <v>341.96</v>
      </c>
      <c r="H916" s="1">
        <f t="shared" si="126"/>
        <v>7.9200000000000159</v>
      </c>
      <c r="I916" s="9">
        <f t="shared" si="133"/>
        <v>2.326811210999476E-2</v>
      </c>
      <c r="J916" s="1">
        <f t="shared" si="134"/>
        <v>-1.0300000000000296</v>
      </c>
      <c r="K916" s="9">
        <f t="shared" si="127"/>
        <v>-3.0030030030030893E-3</v>
      </c>
      <c r="L916" s="1">
        <f t="shared" si="128"/>
        <v>1</v>
      </c>
      <c r="M916" s="1">
        <f t="shared" si="129"/>
        <v>348.3</v>
      </c>
      <c r="N916" s="1">
        <f t="shared" si="130"/>
        <v>340.38</v>
      </c>
      <c r="O916" s="1">
        <f t="shared" si="131"/>
        <v>340</v>
      </c>
      <c r="P916" s="1">
        <f t="shared" si="132"/>
        <v>173.46938775510205</v>
      </c>
    </row>
    <row r="917" spans="1:16">
      <c r="A917" s="2">
        <v>41730</v>
      </c>
      <c r="B917" s="1">
        <v>338.09</v>
      </c>
      <c r="C917" s="1">
        <v>344.43</v>
      </c>
      <c r="D917" s="1">
        <v>338</v>
      </c>
      <c r="E917" s="1">
        <v>342.99</v>
      </c>
      <c r="F917" s="1">
        <v>3600100</v>
      </c>
      <c r="G917" s="1">
        <v>342.99</v>
      </c>
      <c r="H917" s="1">
        <f t="shared" si="126"/>
        <v>6.4300000000000068</v>
      </c>
      <c r="I917" s="9">
        <f t="shared" si="133"/>
        <v>1.9023668639053276E-2</v>
      </c>
      <c r="J917" s="1">
        <f t="shared" si="134"/>
        <v>6.6200000000000045</v>
      </c>
      <c r="K917" s="9">
        <f t="shared" si="127"/>
        <v>1.968070874334811E-2</v>
      </c>
      <c r="L917" s="1">
        <f t="shared" si="128"/>
        <v>1</v>
      </c>
      <c r="M917" s="1">
        <f t="shared" si="129"/>
        <v>344.43</v>
      </c>
      <c r="N917" s="1">
        <f t="shared" si="130"/>
        <v>338</v>
      </c>
      <c r="O917" s="1">
        <f t="shared" si="131"/>
        <v>341.03000000000003</v>
      </c>
      <c r="P917" s="1">
        <f t="shared" si="132"/>
        <v>173.9948979591837</v>
      </c>
    </row>
    <row r="918" spans="1:16">
      <c r="A918" s="2">
        <v>41729</v>
      </c>
      <c r="B918" s="1">
        <v>342.4</v>
      </c>
      <c r="C918" s="1">
        <v>346.29</v>
      </c>
      <c r="D918" s="1">
        <v>334.06</v>
      </c>
      <c r="E918" s="1">
        <v>336.37</v>
      </c>
      <c r="F918" s="1">
        <v>4297500</v>
      </c>
      <c r="G918" s="1">
        <v>336.37</v>
      </c>
      <c r="H918" s="1">
        <f t="shared" si="126"/>
        <v>12.230000000000018</v>
      </c>
      <c r="I918" s="9">
        <f t="shared" si="133"/>
        <v>3.6610189786265991E-2</v>
      </c>
      <c r="J918" s="1">
        <f t="shared" si="134"/>
        <v>-1.9200000000000159</v>
      </c>
      <c r="K918" s="9">
        <f t="shared" si="127"/>
        <v>-5.6756037719117199E-3</v>
      </c>
      <c r="L918" s="1">
        <f t="shared" si="128"/>
        <v>1</v>
      </c>
      <c r="M918" s="1">
        <f t="shared" si="129"/>
        <v>346.29</v>
      </c>
      <c r="N918" s="1">
        <f t="shared" si="130"/>
        <v>334.06</v>
      </c>
      <c r="O918" s="1">
        <f t="shared" si="131"/>
        <v>334.41</v>
      </c>
      <c r="P918" s="1">
        <f t="shared" si="132"/>
        <v>170.61734693877551</v>
      </c>
    </row>
    <row r="919" spans="1:16">
      <c r="A919" s="2">
        <v>41726</v>
      </c>
      <c r="B919" s="1">
        <v>340.05</v>
      </c>
      <c r="C919" s="1">
        <v>347</v>
      </c>
      <c r="D919" s="1">
        <v>336.08</v>
      </c>
      <c r="E919" s="1">
        <v>338.29</v>
      </c>
      <c r="F919" s="1">
        <v>3986800</v>
      </c>
      <c r="G919" s="1">
        <v>338.29</v>
      </c>
      <c r="H919" s="1">
        <f t="shared" si="126"/>
        <v>10.920000000000016</v>
      </c>
      <c r="I919" s="9">
        <f t="shared" si="133"/>
        <v>3.2492263746727021E-2</v>
      </c>
      <c r="J919" s="1">
        <f t="shared" si="134"/>
        <v>-0.18000000000000682</v>
      </c>
      <c r="K919" s="9">
        <f t="shared" si="127"/>
        <v>-5.318048866960345E-4</v>
      </c>
      <c r="L919" s="1">
        <f t="shared" si="128"/>
        <v>1</v>
      </c>
      <c r="M919" s="1">
        <f t="shared" si="129"/>
        <v>347</v>
      </c>
      <c r="N919" s="1">
        <f t="shared" si="130"/>
        <v>336.08</v>
      </c>
      <c r="O919" s="1">
        <f t="shared" si="131"/>
        <v>336.33000000000004</v>
      </c>
      <c r="P919" s="1">
        <f t="shared" si="132"/>
        <v>171.59693877551024</v>
      </c>
    </row>
    <row r="920" spans="1:16">
      <c r="A920" s="2">
        <v>41725</v>
      </c>
      <c r="B920" s="1">
        <v>343.15</v>
      </c>
      <c r="C920" s="1">
        <v>344</v>
      </c>
      <c r="D920" s="1">
        <v>330.88</v>
      </c>
      <c r="E920" s="1">
        <v>338.47</v>
      </c>
      <c r="F920" s="1">
        <v>5766400</v>
      </c>
      <c r="G920" s="1">
        <v>338.47</v>
      </c>
      <c r="H920" s="1">
        <f t="shared" si="126"/>
        <v>13.120000000000005</v>
      </c>
      <c r="I920" s="9">
        <f t="shared" si="133"/>
        <v>3.9651837524177967E-2</v>
      </c>
      <c r="J920" s="1">
        <f t="shared" si="134"/>
        <v>-4.9399999999999977</v>
      </c>
      <c r="K920" s="9">
        <f t="shared" si="127"/>
        <v>-1.4385137299437982E-2</v>
      </c>
      <c r="L920" s="1">
        <f t="shared" si="128"/>
        <v>1</v>
      </c>
      <c r="M920" s="1">
        <f t="shared" si="129"/>
        <v>344</v>
      </c>
      <c r="N920" s="1">
        <f t="shared" si="130"/>
        <v>330.88</v>
      </c>
      <c r="O920" s="1">
        <f t="shared" si="131"/>
        <v>336.51000000000005</v>
      </c>
      <c r="P920" s="1">
        <f t="shared" si="132"/>
        <v>171.6887755102041</v>
      </c>
    </row>
    <row r="921" spans="1:16">
      <c r="A921" s="2">
        <v>41724</v>
      </c>
      <c r="B921" s="1">
        <v>357.13</v>
      </c>
      <c r="C921" s="1">
        <v>357.6</v>
      </c>
      <c r="D921" s="1">
        <v>343.4</v>
      </c>
      <c r="E921" s="1">
        <v>343.41</v>
      </c>
      <c r="F921" s="1">
        <v>4120700</v>
      </c>
      <c r="G921" s="1">
        <v>343.41</v>
      </c>
      <c r="H921" s="1">
        <f t="shared" si="126"/>
        <v>14.200000000000045</v>
      </c>
      <c r="I921" s="9">
        <f t="shared" si="133"/>
        <v>4.1351193942923838E-2</v>
      </c>
      <c r="J921" s="1">
        <f t="shared" si="134"/>
        <v>-11.299999999999955</v>
      </c>
      <c r="K921" s="9">
        <f t="shared" si="127"/>
        <v>-3.1857009951791478E-2</v>
      </c>
      <c r="L921" s="1">
        <f t="shared" si="128"/>
        <v>1</v>
      </c>
      <c r="M921" s="1">
        <f t="shared" si="129"/>
        <v>357.6</v>
      </c>
      <c r="N921" s="1">
        <f t="shared" si="130"/>
        <v>343.4</v>
      </c>
      <c r="O921" s="1">
        <f t="shared" si="131"/>
        <v>341.45000000000005</v>
      </c>
      <c r="P921" s="1">
        <f t="shared" si="132"/>
        <v>174.20918367346943</v>
      </c>
    </row>
    <row r="922" spans="1:16">
      <c r="A922" s="2">
        <v>41723</v>
      </c>
      <c r="B922" s="1">
        <v>354.03</v>
      </c>
      <c r="C922" s="1">
        <v>358.97</v>
      </c>
      <c r="D922" s="1">
        <v>348.84</v>
      </c>
      <c r="E922" s="1">
        <v>354.71</v>
      </c>
      <c r="F922" s="1">
        <v>4445700</v>
      </c>
      <c r="G922" s="1">
        <v>354.71</v>
      </c>
      <c r="H922" s="1">
        <f t="shared" si="126"/>
        <v>10.130000000000052</v>
      </c>
      <c r="I922" s="9">
        <f t="shared" si="133"/>
        <v>2.9039101020525322E-2</v>
      </c>
      <c r="J922" s="1">
        <f t="shared" si="134"/>
        <v>2.8599999999999568</v>
      </c>
      <c r="K922" s="9">
        <f t="shared" si="127"/>
        <v>8.1284638340200551E-3</v>
      </c>
      <c r="L922" s="1">
        <f t="shared" si="128"/>
        <v>1</v>
      </c>
      <c r="M922" s="1">
        <f t="shared" si="129"/>
        <v>358.97</v>
      </c>
      <c r="N922" s="1">
        <f t="shared" si="130"/>
        <v>348.84</v>
      </c>
      <c r="O922" s="1">
        <f t="shared" si="131"/>
        <v>352.75</v>
      </c>
      <c r="P922" s="1">
        <f t="shared" si="132"/>
        <v>179.97448979591837</v>
      </c>
    </row>
    <row r="923" spans="1:16">
      <c r="A923" s="2">
        <v>41722</v>
      </c>
      <c r="B923" s="1">
        <v>360.09</v>
      </c>
      <c r="C923" s="1">
        <v>361.5</v>
      </c>
      <c r="D923" s="1">
        <v>348.6</v>
      </c>
      <c r="E923" s="1">
        <v>351.85</v>
      </c>
      <c r="F923" s="1">
        <v>4873500</v>
      </c>
      <c r="G923" s="1">
        <v>351.85</v>
      </c>
      <c r="H923" s="1">
        <f t="shared" si="126"/>
        <v>12.899999999999977</v>
      </c>
      <c r="I923" s="9">
        <f t="shared" si="133"/>
        <v>3.7005163511187537E-2</v>
      </c>
      <c r="J923" s="1">
        <f t="shared" si="134"/>
        <v>-8.7699999999999818</v>
      </c>
      <c r="K923" s="9">
        <f t="shared" si="127"/>
        <v>-2.4319227996228668E-2</v>
      </c>
      <c r="L923" s="1">
        <f t="shared" si="128"/>
        <v>1</v>
      </c>
      <c r="M923" s="1">
        <f t="shared" si="129"/>
        <v>361.5</v>
      </c>
      <c r="N923" s="1">
        <f t="shared" si="130"/>
        <v>348.6</v>
      </c>
      <c r="O923" s="1">
        <f t="shared" si="131"/>
        <v>349.89000000000004</v>
      </c>
      <c r="P923" s="1">
        <f t="shared" si="132"/>
        <v>178.515306122449</v>
      </c>
    </row>
    <row r="924" spans="1:16">
      <c r="A924" s="2">
        <v>41719</v>
      </c>
      <c r="B924" s="1">
        <v>371</v>
      </c>
      <c r="C924" s="1">
        <v>372.84</v>
      </c>
      <c r="D924" s="1">
        <v>358.4</v>
      </c>
      <c r="E924" s="1">
        <v>360.62</v>
      </c>
      <c r="F924" s="1">
        <v>5414100</v>
      </c>
      <c r="G924" s="1">
        <v>360.62</v>
      </c>
      <c r="H924" s="1">
        <f t="shared" si="126"/>
        <v>14.439999999999998</v>
      </c>
      <c r="I924" s="9">
        <f t="shared" si="133"/>
        <v>4.0290178571428567E-2</v>
      </c>
      <c r="J924" s="1">
        <f t="shared" si="134"/>
        <v>-8.3500000000000227</v>
      </c>
      <c r="K924" s="9">
        <f t="shared" si="127"/>
        <v>-2.2630566170691445E-2</v>
      </c>
      <c r="L924" s="1">
        <f t="shared" si="128"/>
        <v>1</v>
      </c>
      <c r="M924" s="1">
        <f t="shared" si="129"/>
        <v>372.84</v>
      </c>
      <c r="N924" s="1">
        <f t="shared" si="130"/>
        <v>358.4</v>
      </c>
      <c r="O924" s="1">
        <f t="shared" si="131"/>
        <v>358.66</v>
      </c>
      <c r="P924" s="1">
        <f t="shared" si="132"/>
        <v>182.98979591836735</v>
      </c>
    </row>
    <row r="925" spans="1:16">
      <c r="A925" s="2">
        <v>41718</v>
      </c>
      <c r="B925" s="1">
        <v>370.64</v>
      </c>
      <c r="C925" s="1">
        <v>373</v>
      </c>
      <c r="D925" s="1">
        <v>366.22</v>
      </c>
      <c r="E925" s="1">
        <v>368.97</v>
      </c>
      <c r="F925" s="1">
        <v>2558500</v>
      </c>
      <c r="G925" s="1">
        <v>368.97</v>
      </c>
      <c r="H925" s="1">
        <f t="shared" si="126"/>
        <v>6.7799999999999727</v>
      </c>
      <c r="I925" s="9">
        <f t="shared" si="133"/>
        <v>1.8513461853530588E-2</v>
      </c>
      <c r="J925" s="1">
        <f t="shared" si="134"/>
        <v>-4.2599999999999909</v>
      </c>
      <c r="K925" s="9">
        <f t="shared" si="127"/>
        <v>-1.1413873482838975E-2</v>
      </c>
      <c r="L925" s="1">
        <f t="shared" si="128"/>
        <v>1</v>
      </c>
      <c r="M925" s="1">
        <f t="shared" si="129"/>
        <v>373</v>
      </c>
      <c r="N925" s="1">
        <f t="shared" si="130"/>
        <v>366.22</v>
      </c>
      <c r="O925" s="1">
        <f t="shared" si="131"/>
        <v>367.01000000000005</v>
      </c>
      <c r="P925" s="1">
        <f t="shared" si="132"/>
        <v>187.25000000000003</v>
      </c>
    </row>
    <row r="926" spans="1:16">
      <c r="A926" s="2">
        <v>41717</v>
      </c>
      <c r="B926" s="1">
        <v>378.77</v>
      </c>
      <c r="C926" s="1">
        <v>379</v>
      </c>
      <c r="D926" s="1">
        <v>369.42</v>
      </c>
      <c r="E926" s="1">
        <v>373.23</v>
      </c>
      <c r="F926" s="1">
        <v>2646700</v>
      </c>
      <c r="G926" s="1">
        <v>373.23</v>
      </c>
      <c r="H926" s="1">
        <f t="shared" si="126"/>
        <v>9.5799999999999841</v>
      </c>
      <c r="I926" s="9">
        <f t="shared" si="133"/>
        <v>2.5932542905094429E-2</v>
      </c>
      <c r="J926" s="1">
        <f t="shared" si="134"/>
        <v>-5.5399999999999636</v>
      </c>
      <c r="K926" s="9">
        <f t="shared" si="127"/>
        <v>-1.462629036090494E-2</v>
      </c>
      <c r="L926" s="1">
        <f t="shared" si="128"/>
        <v>1</v>
      </c>
      <c r="M926" s="1">
        <f t="shared" si="129"/>
        <v>379</v>
      </c>
      <c r="N926" s="1">
        <f t="shared" si="130"/>
        <v>369.42</v>
      </c>
      <c r="O926" s="1">
        <f t="shared" si="131"/>
        <v>371.27000000000004</v>
      </c>
      <c r="P926" s="1">
        <f t="shared" si="132"/>
        <v>189.42346938775512</v>
      </c>
    </row>
    <row r="927" spans="1:16">
      <c r="A927" s="2">
        <v>41716</v>
      </c>
      <c r="B927" s="1">
        <v>377.32</v>
      </c>
      <c r="C927" s="1">
        <v>379</v>
      </c>
      <c r="D927" s="1">
        <v>375</v>
      </c>
      <c r="E927" s="1">
        <v>378.77</v>
      </c>
      <c r="F927" s="1">
        <v>2483500</v>
      </c>
      <c r="G927" s="1">
        <v>378.77</v>
      </c>
      <c r="H927" s="1">
        <f t="shared" si="126"/>
        <v>4</v>
      </c>
      <c r="I927" s="9">
        <f t="shared" si="133"/>
        <v>1.0666666666666666E-2</v>
      </c>
      <c r="J927" s="1">
        <f t="shared" si="134"/>
        <v>3.7299999999999613</v>
      </c>
      <c r="K927" s="9">
        <f t="shared" si="127"/>
        <v>9.945605802047678E-3</v>
      </c>
      <c r="L927" s="1">
        <f t="shared" si="128"/>
        <v>1</v>
      </c>
      <c r="M927" s="1">
        <f t="shared" si="129"/>
        <v>379</v>
      </c>
      <c r="N927" s="1">
        <f t="shared" si="130"/>
        <v>375</v>
      </c>
      <c r="O927" s="1">
        <f t="shared" si="131"/>
        <v>376.81</v>
      </c>
      <c r="P927" s="1">
        <f t="shared" si="132"/>
        <v>192.25</v>
      </c>
    </row>
    <row r="928" spans="1:16">
      <c r="A928" s="2">
        <v>41715</v>
      </c>
      <c r="B928" s="1">
        <v>375.72</v>
      </c>
      <c r="C928" s="1">
        <v>378.85</v>
      </c>
      <c r="D928" s="1">
        <v>374.88</v>
      </c>
      <c r="E928" s="1">
        <v>375.04</v>
      </c>
      <c r="F928" s="1">
        <v>2303000</v>
      </c>
      <c r="G928" s="1">
        <v>375.04</v>
      </c>
      <c r="H928" s="1">
        <f t="shared" si="126"/>
        <v>3.9700000000000273</v>
      </c>
      <c r="I928" s="9">
        <f t="shared" si="133"/>
        <v>1.0590055484421754E-2</v>
      </c>
      <c r="J928" s="1">
        <f t="shared" si="134"/>
        <v>1.3000000000000114</v>
      </c>
      <c r="K928" s="9">
        <f t="shared" si="127"/>
        <v>3.4783539358912915E-3</v>
      </c>
      <c r="L928" s="1">
        <f t="shared" si="128"/>
        <v>1</v>
      </c>
      <c r="M928" s="1">
        <f t="shared" si="129"/>
        <v>378.85</v>
      </c>
      <c r="N928" s="1">
        <f t="shared" si="130"/>
        <v>374.88</v>
      </c>
      <c r="O928" s="1">
        <f t="shared" si="131"/>
        <v>373.08000000000004</v>
      </c>
      <c r="P928" s="1">
        <f t="shared" si="132"/>
        <v>190.34693877551024</v>
      </c>
    </row>
    <row r="929" spans="1:16">
      <c r="A929" s="2">
        <v>41712</v>
      </c>
      <c r="B929" s="1">
        <v>372.8</v>
      </c>
      <c r="C929" s="1">
        <v>378.57</v>
      </c>
      <c r="D929" s="1">
        <v>371.55</v>
      </c>
      <c r="E929" s="1">
        <v>373.74</v>
      </c>
      <c r="F929" s="1">
        <v>4402200</v>
      </c>
      <c r="G929" s="1">
        <v>373.74</v>
      </c>
      <c r="H929" s="1">
        <f t="shared" si="126"/>
        <v>7.0199999999999818</v>
      </c>
      <c r="I929" s="9">
        <f t="shared" si="133"/>
        <v>1.8893823173193328E-2</v>
      </c>
      <c r="J929" s="1">
        <f t="shared" si="134"/>
        <v>2.2300000000000182</v>
      </c>
      <c r="K929" s="9">
        <f t="shared" si="127"/>
        <v>6.0025302145299405E-3</v>
      </c>
      <c r="L929" s="1">
        <f t="shared" si="128"/>
        <v>1</v>
      </c>
      <c r="M929" s="1">
        <f t="shared" si="129"/>
        <v>378.57</v>
      </c>
      <c r="N929" s="1">
        <f t="shared" si="130"/>
        <v>371.55</v>
      </c>
      <c r="O929" s="1">
        <f t="shared" si="131"/>
        <v>371.78000000000003</v>
      </c>
      <c r="P929" s="1">
        <f t="shared" si="132"/>
        <v>189.68367346938777</v>
      </c>
    </row>
    <row r="930" spans="1:16">
      <c r="A930" s="2">
        <v>41711</v>
      </c>
      <c r="B930" s="1">
        <v>376.62</v>
      </c>
      <c r="C930" s="1">
        <v>383.11</v>
      </c>
      <c r="D930" s="1">
        <v>368.08</v>
      </c>
      <c r="E930" s="1">
        <v>371.51</v>
      </c>
      <c r="F930" s="1">
        <v>6829000</v>
      </c>
      <c r="G930" s="1">
        <v>371.51</v>
      </c>
      <c r="H930" s="1">
        <f t="shared" si="126"/>
        <v>15.03000000000003</v>
      </c>
      <c r="I930" s="9">
        <f t="shared" si="133"/>
        <v>4.0833514453379779E-2</v>
      </c>
      <c r="J930" s="1">
        <f t="shared" si="134"/>
        <v>0.87000000000000455</v>
      </c>
      <c r="K930" s="9">
        <f t="shared" si="127"/>
        <v>2.347291172026777E-3</v>
      </c>
      <c r="L930" s="1">
        <f t="shared" si="128"/>
        <v>1</v>
      </c>
      <c r="M930" s="1">
        <f t="shared" si="129"/>
        <v>383.11</v>
      </c>
      <c r="N930" s="1">
        <f t="shared" si="130"/>
        <v>368.08</v>
      </c>
      <c r="O930" s="1">
        <f t="shared" si="131"/>
        <v>369.55</v>
      </c>
      <c r="P930" s="1">
        <f t="shared" si="132"/>
        <v>188.54591836734696</v>
      </c>
    </row>
    <row r="931" spans="1:16">
      <c r="A931" s="2">
        <v>41710</v>
      </c>
      <c r="B931" s="1">
        <v>366.4</v>
      </c>
      <c r="C931" s="1">
        <v>371.16</v>
      </c>
      <c r="D931" s="1">
        <v>363.61</v>
      </c>
      <c r="E931" s="1">
        <v>370.64</v>
      </c>
      <c r="F931" s="1">
        <v>2216600</v>
      </c>
      <c r="G931" s="1">
        <v>370.64</v>
      </c>
      <c r="H931" s="1">
        <f t="shared" si="126"/>
        <v>7.5500000000000114</v>
      </c>
      <c r="I931" s="9">
        <f t="shared" si="133"/>
        <v>2.0764005390390833E-2</v>
      </c>
      <c r="J931" s="1">
        <f t="shared" si="134"/>
        <v>1.8199999999999932</v>
      </c>
      <c r="K931" s="9">
        <f t="shared" si="127"/>
        <v>4.934656471991739E-3</v>
      </c>
      <c r="L931" s="1">
        <f t="shared" si="128"/>
        <v>1</v>
      </c>
      <c r="M931" s="1">
        <f t="shared" si="129"/>
        <v>371.16</v>
      </c>
      <c r="N931" s="1">
        <f t="shared" si="130"/>
        <v>363.61</v>
      </c>
      <c r="O931" s="1">
        <f t="shared" si="131"/>
        <v>368.68</v>
      </c>
      <c r="P931" s="1">
        <f t="shared" si="132"/>
        <v>188.10204081632654</v>
      </c>
    </row>
    <row r="932" spans="1:16">
      <c r="A932" s="2">
        <v>41709</v>
      </c>
      <c r="B932" s="1">
        <v>370.99</v>
      </c>
      <c r="C932" s="1">
        <v>372.8</v>
      </c>
      <c r="D932" s="1">
        <v>367.28</v>
      </c>
      <c r="E932" s="1">
        <v>368.82</v>
      </c>
      <c r="F932" s="1">
        <v>2246100</v>
      </c>
      <c r="G932" s="1">
        <v>368.82</v>
      </c>
      <c r="H932" s="1">
        <f t="shared" si="126"/>
        <v>5.5200000000000387</v>
      </c>
      <c r="I932" s="9">
        <f t="shared" si="133"/>
        <v>1.5029405358309843E-2</v>
      </c>
      <c r="J932" s="1">
        <f t="shared" si="134"/>
        <v>-1.7099999999999795</v>
      </c>
      <c r="K932" s="9">
        <f t="shared" si="127"/>
        <v>-4.6150109302889909E-3</v>
      </c>
      <c r="L932" s="1">
        <f t="shared" si="128"/>
        <v>1</v>
      </c>
      <c r="M932" s="1">
        <f t="shared" si="129"/>
        <v>372.8</v>
      </c>
      <c r="N932" s="1">
        <f t="shared" si="130"/>
        <v>367.28</v>
      </c>
      <c r="O932" s="1">
        <f t="shared" si="131"/>
        <v>366.86</v>
      </c>
      <c r="P932" s="1">
        <f t="shared" si="132"/>
        <v>187.17346938775512</v>
      </c>
    </row>
    <row r="933" spans="1:16">
      <c r="A933" s="2">
        <v>41708</v>
      </c>
      <c r="B933" s="1">
        <v>372.69</v>
      </c>
      <c r="C933" s="1">
        <v>372.73</v>
      </c>
      <c r="D933" s="1">
        <v>367</v>
      </c>
      <c r="E933" s="1">
        <v>370.53</v>
      </c>
      <c r="F933" s="1">
        <v>2105800</v>
      </c>
      <c r="G933" s="1">
        <v>370.53</v>
      </c>
      <c r="H933" s="1">
        <f t="shared" si="126"/>
        <v>5.7300000000000182</v>
      </c>
      <c r="I933" s="9">
        <f t="shared" si="133"/>
        <v>1.561307901907362E-2</v>
      </c>
      <c r="J933" s="1">
        <f t="shared" si="134"/>
        <v>-1.5300000000000296</v>
      </c>
      <c r="K933" s="9">
        <f t="shared" si="127"/>
        <v>-4.1122399612966449E-3</v>
      </c>
      <c r="L933" s="1">
        <f t="shared" si="128"/>
        <v>1</v>
      </c>
      <c r="M933" s="1">
        <f t="shared" si="129"/>
        <v>372.73</v>
      </c>
      <c r="N933" s="1">
        <f t="shared" si="130"/>
        <v>367</v>
      </c>
      <c r="O933" s="1">
        <f t="shared" si="131"/>
        <v>368.57</v>
      </c>
      <c r="P933" s="1">
        <f t="shared" si="132"/>
        <v>188.04591836734693</v>
      </c>
    </row>
    <row r="934" spans="1:16">
      <c r="A934" s="2">
        <v>41705</v>
      </c>
      <c r="B934" s="1">
        <v>374.58</v>
      </c>
      <c r="C934" s="1">
        <v>374.99</v>
      </c>
      <c r="D934" s="1">
        <v>369.53</v>
      </c>
      <c r="E934" s="1">
        <v>372.06</v>
      </c>
      <c r="F934" s="1">
        <v>2279800</v>
      </c>
      <c r="G934" s="1">
        <v>372.06</v>
      </c>
      <c r="H934" s="1">
        <f t="shared" si="126"/>
        <v>5.4600000000000364</v>
      </c>
      <c r="I934" s="9">
        <f t="shared" si="133"/>
        <v>1.4775525667740201E-2</v>
      </c>
      <c r="J934" s="1">
        <f t="shared" si="134"/>
        <v>-0.10000000000002274</v>
      </c>
      <c r="K934" s="9">
        <f t="shared" si="127"/>
        <v>-2.6870163370599403E-4</v>
      </c>
      <c r="L934" s="1">
        <f t="shared" si="128"/>
        <v>1</v>
      </c>
      <c r="M934" s="1">
        <f t="shared" si="129"/>
        <v>374.99</v>
      </c>
      <c r="N934" s="1">
        <f t="shared" si="130"/>
        <v>369.53</v>
      </c>
      <c r="O934" s="1">
        <f t="shared" si="131"/>
        <v>370.1</v>
      </c>
      <c r="P934" s="1">
        <f t="shared" si="132"/>
        <v>188.82653061224491</v>
      </c>
    </row>
    <row r="935" spans="1:16">
      <c r="A935" s="2">
        <v>41704</v>
      </c>
      <c r="B935" s="1">
        <v>374.05</v>
      </c>
      <c r="C935" s="1">
        <v>375.33</v>
      </c>
      <c r="D935" s="1">
        <v>368.9</v>
      </c>
      <c r="E935" s="1">
        <v>372.16</v>
      </c>
      <c r="F935" s="1">
        <v>2926600</v>
      </c>
      <c r="G935" s="1">
        <v>372.16</v>
      </c>
      <c r="H935" s="1">
        <f t="shared" si="126"/>
        <v>6.4300000000000068</v>
      </c>
      <c r="I935" s="9">
        <f t="shared" si="133"/>
        <v>1.7430197885605875E-2</v>
      </c>
      <c r="J935" s="1">
        <f t="shared" si="134"/>
        <v>-0.20999999999997954</v>
      </c>
      <c r="K935" s="9">
        <f t="shared" si="127"/>
        <v>-5.639552058435952E-4</v>
      </c>
      <c r="L935" s="1">
        <f t="shared" si="128"/>
        <v>1</v>
      </c>
      <c r="M935" s="1">
        <f t="shared" si="129"/>
        <v>375.33</v>
      </c>
      <c r="N935" s="1">
        <f t="shared" si="130"/>
        <v>368.9</v>
      </c>
      <c r="O935" s="1">
        <f t="shared" si="131"/>
        <v>370.20000000000005</v>
      </c>
      <c r="P935" s="1">
        <f t="shared" si="132"/>
        <v>188.87755102040819</v>
      </c>
    </row>
    <row r="936" spans="1:16">
      <c r="A936" s="2">
        <v>41703</v>
      </c>
      <c r="B936" s="1">
        <v>364.13</v>
      </c>
      <c r="C936" s="1">
        <v>372.73</v>
      </c>
      <c r="D936" s="1">
        <v>363.9</v>
      </c>
      <c r="E936" s="1">
        <v>372.37</v>
      </c>
      <c r="F936" s="1">
        <v>3848300</v>
      </c>
      <c r="G936" s="1">
        <v>372.37</v>
      </c>
      <c r="H936" s="1">
        <f t="shared" si="126"/>
        <v>8.8300000000000409</v>
      </c>
      <c r="I936" s="9">
        <f t="shared" si="133"/>
        <v>2.426490794174235E-2</v>
      </c>
      <c r="J936" s="1">
        <f t="shared" si="134"/>
        <v>8.4700000000000273</v>
      </c>
      <c r="K936" s="9">
        <f t="shared" si="127"/>
        <v>2.3275625171750556E-2</v>
      </c>
      <c r="L936" s="1">
        <f t="shared" si="128"/>
        <v>1</v>
      </c>
      <c r="M936" s="1">
        <f t="shared" si="129"/>
        <v>372.73</v>
      </c>
      <c r="N936" s="1">
        <f t="shared" si="130"/>
        <v>363.9</v>
      </c>
      <c r="O936" s="1">
        <f t="shared" si="131"/>
        <v>370.41</v>
      </c>
      <c r="P936" s="1">
        <f t="shared" si="132"/>
        <v>188.98469387755102</v>
      </c>
    </row>
    <row r="937" spans="1:16">
      <c r="A937" s="2">
        <v>41702</v>
      </c>
      <c r="B937" s="1">
        <v>363.9</v>
      </c>
      <c r="C937" s="1">
        <v>365.68</v>
      </c>
      <c r="D937" s="1">
        <v>362.46</v>
      </c>
      <c r="E937" s="1">
        <v>363.9</v>
      </c>
      <c r="F937" s="1">
        <v>2704400</v>
      </c>
      <c r="G937" s="1">
        <v>363.9</v>
      </c>
      <c r="H937" s="1">
        <f t="shared" si="126"/>
        <v>3.2200000000000273</v>
      </c>
      <c r="I937" s="9">
        <f t="shared" si="133"/>
        <v>8.8837388953264575E-3</v>
      </c>
      <c r="J937" s="1">
        <f t="shared" si="134"/>
        <v>4.1200000000000045</v>
      </c>
      <c r="K937" s="9">
        <f t="shared" si="127"/>
        <v>1.1451442548223929E-2</v>
      </c>
      <c r="L937" s="1">
        <f t="shared" si="128"/>
        <v>1</v>
      </c>
      <c r="M937" s="1">
        <f t="shared" si="129"/>
        <v>365.68</v>
      </c>
      <c r="N937" s="1">
        <f t="shared" si="130"/>
        <v>362.46</v>
      </c>
      <c r="O937" s="1">
        <f t="shared" si="131"/>
        <v>361.94</v>
      </c>
      <c r="P937" s="1">
        <f t="shared" si="132"/>
        <v>184.66326530612244</v>
      </c>
    </row>
    <row r="938" spans="1:16">
      <c r="A938" s="2">
        <v>41701</v>
      </c>
      <c r="B938" s="1">
        <v>358.74</v>
      </c>
      <c r="C938" s="1">
        <v>360.96</v>
      </c>
      <c r="D938" s="1">
        <v>354.48</v>
      </c>
      <c r="E938" s="1">
        <v>359.78</v>
      </c>
      <c r="F938" s="1">
        <v>2798300</v>
      </c>
      <c r="G938" s="1">
        <v>359.78</v>
      </c>
      <c r="H938" s="1">
        <f t="shared" si="126"/>
        <v>6.4799999999999613</v>
      </c>
      <c r="I938" s="9">
        <f t="shared" si="133"/>
        <v>1.828029790115087E-2</v>
      </c>
      <c r="J938" s="1">
        <f t="shared" si="134"/>
        <v>-2.32000000000005</v>
      </c>
      <c r="K938" s="9">
        <f t="shared" si="127"/>
        <v>-6.4070698702017393E-3</v>
      </c>
      <c r="L938" s="1">
        <f t="shared" si="128"/>
        <v>1</v>
      </c>
      <c r="M938" s="1">
        <f t="shared" si="129"/>
        <v>360.96</v>
      </c>
      <c r="N938" s="1">
        <f t="shared" si="130"/>
        <v>354.48</v>
      </c>
      <c r="O938" s="1">
        <f t="shared" si="131"/>
        <v>357.82</v>
      </c>
      <c r="P938" s="1">
        <f t="shared" si="132"/>
        <v>182.5612244897959</v>
      </c>
    </row>
    <row r="939" spans="1:16">
      <c r="A939" s="2">
        <v>41698</v>
      </c>
      <c r="B939" s="1">
        <v>360.6</v>
      </c>
      <c r="C939" s="1">
        <v>365.87</v>
      </c>
      <c r="D939" s="1">
        <v>357.08</v>
      </c>
      <c r="E939" s="1">
        <v>362.1</v>
      </c>
      <c r="F939" s="1">
        <v>3882000</v>
      </c>
      <c r="G939" s="1">
        <v>362.1</v>
      </c>
      <c r="H939" s="1">
        <f t="shared" si="126"/>
        <v>8.7900000000000205</v>
      </c>
      <c r="I939" s="9">
        <f t="shared" si="133"/>
        <v>2.4616332474515574E-2</v>
      </c>
      <c r="J939" s="1">
        <f t="shared" si="134"/>
        <v>1.9700000000000273</v>
      </c>
      <c r="K939" s="9">
        <f t="shared" si="127"/>
        <v>5.4702468553023279E-3</v>
      </c>
      <c r="L939" s="1">
        <f t="shared" si="128"/>
        <v>1</v>
      </c>
      <c r="M939" s="1">
        <f t="shared" si="129"/>
        <v>365.87</v>
      </c>
      <c r="N939" s="1">
        <f t="shared" si="130"/>
        <v>357.08</v>
      </c>
      <c r="O939" s="1">
        <f t="shared" si="131"/>
        <v>360.14000000000004</v>
      </c>
      <c r="P939" s="1">
        <f t="shared" si="132"/>
        <v>183.7448979591837</v>
      </c>
    </row>
    <row r="940" spans="1:16">
      <c r="A940" s="2">
        <v>41697</v>
      </c>
      <c r="B940" s="1">
        <v>357.22</v>
      </c>
      <c r="C940" s="1">
        <v>360.59</v>
      </c>
      <c r="D940" s="1">
        <v>355.5</v>
      </c>
      <c r="E940" s="1">
        <v>360.13</v>
      </c>
      <c r="F940" s="1">
        <v>3104900</v>
      </c>
      <c r="G940" s="1">
        <v>360.13</v>
      </c>
      <c r="H940" s="1">
        <f t="shared" si="126"/>
        <v>5.089999999999975</v>
      </c>
      <c r="I940" s="9">
        <f t="shared" si="133"/>
        <v>1.4317862165963362E-2</v>
      </c>
      <c r="J940" s="1">
        <f t="shared" si="134"/>
        <v>0.32999999999998408</v>
      </c>
      <c r="K940" s="9">
        <f t="shared" si="127"/>
        <v>9.1717620900495854E-4</v>
      </c>
      <c r="L940" s="1">
        <f t="shared" si="128"/>
        <v>1</v>
      </c>
      <c r="M940" s="1">
        <f t="shared" si="129"/>
        <v>360.59</v>
      </c>
      <c r="N940" s="1">
        <f t="shared" si="130"/>
        <v>355.5</v>
      </c>
      <c r="O940" s="1">
        <f t="shared" si="131"/>
        <v>358.17</v>
      </c>
      <c r="P940" s="1">
        <f t="shared" si="132"/>
        <v>182.73979591836735</v>
      </c>
    </row>
    <row r="941" spans="1:16">
      <c r="A941" s="2">
        <v>41696</v>
      </c>
      <c r="B941" s="1">
        <v>359.86</v>
      </c>
      <c r="C941" s="1">
        <v>364.75</v>
      </c>
      <c r="D941" s="1">
        <v>357.17</v>
      </c>
      <c r="E941" s="1">
        <v>359.8</v>
      </c>
      <c r="F941" s="1">
        <v>3622100</v>
      </c>
      <c r="G941" s="1">
        <v>359.8</v>
      </c>
      <c r="H941" s="1">
        <f t="shared" si="126"/>
        <v>7.5799999999999841</v>
      </c>
      <c r="I941" s="9">
        <f t="shared" si="133"/>
        <v>2.1222387098580462E-2</v>
      </c>
      <c r="J941" s="1">
        <f t="shared" si="134"/>
        <v>1.4800000000000182</v>
      </c>
      <c r="K941" s="9">
        <f t="shared" si="127"/>
        <v>4.1303862469301688E-3</v>
      </c>
      <c r="L941" s="1">
        <f t="shared" si="128"/>
        <v>1</v>
      </c>
      <c r="M941" s="1">
        <f t="shared" si="129"/>
        <v>364.75</v>
      </c>
      <c r="N941" s="1">
        <f t="shared" si="130"/>
        <v>357.17</v>
      </c>
      <c r="O941" s="1">
        <f t="shared" si="131"/>
        <v>357.84000000000003</v>
      </c>
      <c r="P941" s="1">
        <f t="shared" si="132"/>
        <v>182.57142857142858</v>
      </c>
    </row>
    <row r="942" spans="1:16">
      <c r="A942" s="2">
        <v>41695</v>
      </c>
      <c r="B942" s="1">
        <v>353</v>
      </c>
      <c r="C942" s="1">
        <v>361.08</v>
      </c>
      <c r="D942" s="1">
        <v>351.58</v>
      </c>
      <c r="E942" s="1">
        <v>358.32</v>
      </c>
      <c r="F942" s="1">
        <v>3736400</v>
      </c>
      <c r="G942" s="1">
        <v>358.32</v>
      </c>
      <c r="H942" s="1">
        <f t="shared" si="126"/>
        <v>9.5</v>
      </c>
      <c r="I942" s="9">
        <f t="shared" si="133"/>
        <v>2.7020877183002449E-2</v>
      </c>
      <c r="J942" s="1">
        <f t="shared" si="134"/>
        <v>6.5400000000000205</v>
      </c>
      <c r="K942" s="9">
        <f t="shared" si="127"/>
        <v>1.8591164932628405E-2</v>
      </c>
      <c r="L942" s="1">
        <f t="shared" si="128"/>
        <v>1</v>
      </c>
      <c r="M942" s="1">
        <f t="shared" si="129"/>
        <v>361.08</v>
      </c>
      <c r="N942" s="1">
        <f t="shared" si="130"/>
        <v>351.58</v>
      </c>
      <c r="O942" s="1">
        <f t="shared" si="131"/>
        <v>356.36</v>
      </c>
      <c r="P942" s="1">
        <f t="shared" si="132"/>
        <v>181.81632653061226</v>
      </c>
    </row>
    <row r="943" spans="1:16">
      <c r="A943" s="2">
        <v>41694</v>
      </c>
      <c r="B943" s="1">
        <v>345.19</v>
      </c>
      <c r="C943" s="1">
        <v>353</v>
      </c>
      <c r="D943" s="1">
        <v>343.29</v>
      </c>
      <c r="E943" s="1">
        <v>351.78</v>
      </c>
      <c r="F943" s="1">
        <v>3644700</v>
      </c>
      <c r="G943" s="1">
        <v>351.78</v>
      </c>
      <c r="H943" s="1">
        <f t="shared" si="126"/>
        <v>9.7099999999999795</v>
      </c>
      <c r="I943" s="9">
        <f t="shared" si="133"/>
        <v>2.8285123365084854E-2</v>
      </c>
      <c r="J943" s="1">
        <f t="shared" si="134"/>
        <v>5.0199999999999818</v>
      </c>
      <c r="K943" s="9">
        <f t="shared" si="127"/>
        <v>1.4476871611489162E-2</v>
      </c>
      <c r="L943" s="1">
        <f t="shared" si="128"/>
        <v>1</v>
      </c>
      <c r="M943" s="1">
        <f t="shared" si="129"/>
        <v>353</v>
      </c>
      <c r="N943" s="1">
        <f t="shared" si="130"/>
        <v>343.29</v>
      </c>
      <c r="O943" s="1">
        <f t="shared" si="131"/>
        <v>349.82</v>
      </c>
      <c r="P943" s="1">
        <f t="shared" si="132"/>
        <v>178.4795918367347</v>
      </c>
    </row>
    <row r="944" spans="1:16">
      <c r="A944" s="2">
        <v>41691</v>
      </c>
      <c r="B944" s="1">
        <v>352.44</v>
      </c>
      <c r="C944" s="1">
        <v>354.14</v>
      </c>
      <c r="D944" s="1">
        <v>346.75</v>
      </c>
      <c r="E944" s="1">
        <v>346.76</v>
      </c>
      <c r="F944" s="1">
        <v>4210000</v>
      </c>
      <c r="G944" s="1">
        <v>346.76</v>
      </c>
      <c r="H944" s="1">
        <f t="shared" si="126"/>
        <v>7.3899999999999864</v>
      </c>
      <c r="I944" s="9">
        <f t="shared" si="133"/>
        <v>2.1312184571016544E-2</v>
      </c>
      <c r="J944" s="1">
        <f t="shared" si="134"/>
        <v>-3.0400000000000205</v>
      </c>
      <c r="K944" s="9">
        <f t="shared" si="127"/>
        <v>-8.6906803887936545E-3</v>
      </c>
      <c r="L944" s="1">
        <f t="shared" si="128"/>
        <v>1</v>
      </c>
      <c r="M944" s="1">
        <f t="shared" si="129"/>
        <v>354.14</v>
      </c>
      <c r="N944" s="1">
        <f t="shared" si="130"/>
        <v>346.75</v>
      </c>
      <c r="O944" s="1">
        <f t="shared" si="131"/>
        <v>344.8</v>
      </c>
      <c r="P944" s="1">
        <f t="shared" si="132"/>
        <v>175.91836734693879</v>
      </c>
    </row>
    <row r="945" spans="1:16">
      <c r="A945" s="2">
        <v>41690</v>
      </c>
      <c r="B945" s="1">
        <v>348.8</v>
      </c>
      <c r="C945" s="1">
        <v>350.46</v>
      </c>
      <c r="D945" s="1">
        <v>344.38</v>
      </c>
      <c r="E945" s="1">
        <v>349.8</v>
      </c>
      <c r="F945" s="1">
        <v>3492800</v>
      </c>
      <c r="G945" s="1">
        <v>349.8</v>
      </c>
      <c r="H945" s="1">
        <f t="shared" si="126"/>
        <v>6.0799999999999841</v>
      </c>
      <c r="I945" s="9">
        <f t="shared" si="133"/>
        <v>1.7654916081073186E-2</v>
      </c>
      <c r="J945" s="1">
        <f t="shared" si="134"/>
        <v>2.4200000000000159</v>
      </c>
      <c r="K945" s="9">
        <f t="shared" si="127"/>
        <v>6.9664344521849731E-3</v>
      </c>
      <c r="L945" s="1">
        <f t="shared" si="128"/>
        <v>1</v>
      </c>
      <c r="M945" s="1">
        <f t="shared" si="129"/>
        <v>350.46</v>
      </c>
      <c r="N945" s="1">
        <f t="shared" si="130"/>
        <v>344.38</v>
      </c>
      <c r="O945" s="1">
        <f t="shared" si="131"/>
        <v>347.84000000000003</v>
      </c>
      <c r="P945" s="1">
        <f t="shared" si="132"/>
        <v>177.46938775510205</v>
      </c>
    </row>
    <row r="946" spans="1:16">
      <c r="A946" s="2">
        <v>41689</v>
      </c>
      <c r="B946" s="1">
        <v>352.64</v>
      </c>
      <c r="C946" s="1">
        <v>354.54</v>
      </c>
      <c r="D946" s="1">
        <v>346.1</v>
      </c>
      <c r="E946" s="1">
        <v>347.38</v>
      </c>
      <c r="F946" s="1">
        <v>4168100</v>
      </c>
      <c r="G946" s="1">
        <v>347.38</v>
      </c>
      <c r="H946" s="1">
        <f t="shared" si="126"/>
        <v>8.4399999999999977</v>
      </c>
      <c r="I946" s="9">
        <f t="shared" si="133"/>
        <v>2.4386015602427036E-2</v>
      </c>
      <c r="J946" s="1">
        <f t="shared" si="134"/>
        <v>-6.2699999999999818</v>
      </c>
      <c r="K946" s="9">
        <f t="shared" si="127"/>
        <v>-1.7729393468118144E-2</v>
      </c>
      <c r="L946" s="1">
        <f t="shared" si="128"/>
        <v>1</v>
      </c>
      <c r="M946" s="1">
        <f t="shared" si="129"/>
        <v>354.54</v>
      </c>
      <c r="N946" s="1">
        <f t="shared" si="130"/>
        <v>346.1</v>
      </c>
      <c r="O946" s="1">
        <f t="shared" si="131"/>
        <v>345.42</v>
      </c>
      <c r="P946" s="1">
        <f t="shared" si="132"/>
        <v>176.23469387755102</v>
      </c>
    </row>
    <row r="947" spans="1:16">
      <c r="A947" s="2">
        <v>41688</v>
      </c>
      <c r="B947" s="1">
        <v>355.28</v>
      </c>
      <c r="C947" s="1">
        <v>355.73</v>
      </c>
      <c r="D947" s="1">
        <v>349.45</v>
      </c>
      <c r="E947" s="1">
        <v>353.65</v>
      </c>
      <c r="F947" s="1">
        <v>4998000</v>
      </c>
      <c r="G947" s="1">
        <v>353.65</v>
      </c>
      <c r="H947" s="1">
        <f t="shared" si="126"/>
        <v>6.2800000000000296</v>
      </c>
      <c r="I947" s="9">
        <f t="shared" si="133"/>
        <v>1.7971097438832535E-2</v>
      </c>
      <c r="J947" s="1">
        <f t="shared" si="134"/>
        <v>-3.7000000000000455</v>
      </c>
      <c r="K947" s="9">
        <f t="shared" si="127"/>
        <v>-1.0353994683083938E-2</v>
      </c>
      <c r="L947" s="1">
        <f t="shared" si="128"/>
        <v>1</v>
      </c>
      <c r="M947" s="1">
        <f t="shared" si="129"/>
        <v>355.73</v>
      </c>
      <c r="N947" s="1">
        <f t="shared" si="130"/>
        <v>349.45</v>
      </c>
      <c r="O947" s="1">
        <f t="shared" si="131"/>
        <v>351.69</v>
      </c>
      <c r="P947" s="1">
        <f t="shared" si="132"/>
        <v>179.43367346938777</v>
      </c>
    </row>
    <row r="948" spans="1:16">
      <c r="A948" s="2">
        <v>41684</v>
      </c>
      <c r="B948" s="1">
        <v>359.34</v>
      </c>
      <c r="C948" s="1">
        <v>359.34</v>
      </c>
      <c r="D948" s="1">
        <v>353.35</v>
      </c>
      <c r="E948" s="1">
        <v>357.35</v>
      </c>
      <c r="F948" s="1">
        <v>3520200</v>
      </c>
      <c r="G948" s="1">
        <v>357.35</v>
      </c>
      <c r="H948" s="1">
        <f t="shared" si="126"/>
        <v>5.9899999999999523</v>
      </c>
      <c r="I948" s="9">
        <f t="shared" si="133"/>
        <v>1.6952030564595873E-2</v>
      </c>
      <c r="J948" s="1">
        <f t="shared" si="134"/>
        <v>0.15000000000003411</v>
      </c>
      <c r="K948" s="9">
        <f t="shared" si="127"/>
        <v>4.1993281075037545E-4</v>
      </c>
      <c r="L948" s="1">
        <f t="shared" si="128"/>
        <v>1</v>
      </c>
      <c r="M948" s="1">
        <f t="shared" si="129"/>
        <v>359.34</v>
      </c>
      <c r="N948" s="1">
        <f t="shared" si="130"/>
        <v>353.35</v>
      </c>
      <c r="O948" s="1">
        <f t="shared" si="131"/>
        <v>355.39000000000004</v>
      </c>
      <c r="P948" s="1">
        <f t="shared" si="132"/>
        <v>181.32142857142858</v>
      </c>
    </row>
    <row r="949" spans="1:16">
      <c r="A949" s="2">
        <v>41683</v>
      </c>
      <c r="B949" s="1">
        <v>347.7</v>
      </c>
      <c r="C949" s="1">
        <v>357.2</v>
      </c>
      <c r="D949" s="1">
        <v>346.5</v>
      </c>
      <c r="E949" s="1">
        <v>357.2</v>
      </c>
      <c r="F949" s="1">
        <v>4175000</v>
      </c>
      <c r="G949" s="1">
        <v>357.2</v>
      </c>
      <c r="H949" s="1">
        <f t="shared" si="126"/>
        <v>10.699999999999989</v>
      </c>
      <c r="I949" s="9">
        <f t="shared" si="133"/>
        <v>3.0880230880230848E-2</v>
      </c>
      <c r="J949" s="1">
        <f t="shared" si="134"/>
        <v>7.9499999999999886</v>
      </c>
      <c r="K949" s="9">
        <f t="shared" si="127"/>
        <v>2.2763063707945567E-2</v>
      </c>
      <c r="L949" s="1">
        <f t="shared" si="128"/>
        <v>1</v>
      </c>
      <c r="M949" s="1">
        <f t="shared" si="129"/>
        <v>357.2</v>
      </c>
      <c r="N949" s="1">
        <f t="shared" si="130"/>
        <v>346.5</v>
      </c>
      <c r="O949" s="1">
        <f t="shared" si="131"/>
        <v>355.24</v>
      </c>
      <c r="P949" s="1">
        <f t="shared" si="132"/>
        <v>181.24489795918367</v>
      </c>
    </row>
    <row r="950" spans="1:16">
      <c r="A950" s="2">
        <v>41682</v>
      </c>
      <c r="B950" s="1">
        <v>356.43</v>
      </c>
      <c r="C950" s="1">
        <v>357.75</v>
      </c>
      <c r="D950" s="1">
        <v>346.32</v>
      </c>
      <c r="E950" s="1">
        <v>349.25</v>
      </c>
      <c r="F950" s="1">
        <v>6587700</v>
      </c>
      <c r="G950" s="1">
        <v>349.25</v>
      </c>
      <c r="H950" s="1">
        <f t="shared" si="126"/>
        <v>11.430000000000007</v>
      </c>
      <c r="I950" s="9">
        <f t="shared" si="133"/>
        <v>3.3004158004158027E-2</v>
      </c>
      <c r="J950" s="1">
        <f t="shared" si="134"/>
        <v>-12.54000000000002</v>
      </c>
      <c r="K950" s="9">
        <f t="shared" si="127"/>
        <v>-3.4660991182730368E-2</v>
      </c>
      <c r="L950" s="1">
        <f t="shared" si="128"/>
        <v>1</v>
      </c>
      <c r="M950" s="1">
        <f t="shared" si="129"/>
        <v>357.75</v>
      </c>
      <c r="N950" s="1">
        <f t="shared" si="130"/>
        <v>346.32</v>
      </c>
      <c r="O950" s="1">
        <f t="shared" si="131"/>
        <v>347.29</v>
      </c>
      <c r="P950" s="1">
        <f t="shared" si="132"/>
        <v>177.1887755102041</v>
      </c>
    </row>
    <row r="951" spans="1:16">
      <c r="A951" s="2">
        <v>41681</v>
      </c>
      <c r="B951" s="1">
        <v>361.84</v>
      </c>
      <c r="C951" s="1">
        <v>363.61</v>
      </c>
      <c r="D951" s="1">
        <v>356.25</v>
      </c>
      <c r="E951" s="1">
        <v>361.79</v>
      </c>
      <c r="F951" s="1">
        <v>3222100</v>
      </c>
      <c r="G951" s="1">
        <v>361.79</v>
      </c>
      <c r="H951" s="1">
        <f t="shared" si="126"/>
        <v>7.3600000000000136</v>
      </c>
      <c r="I951" s="9">
        <f t="shared" si="133"/>
        <v>2.0659649122807055E-2</v>
      </c>
      <c r="J951" s="1">
        <f t="shared" si="134"/>
        <v>0.92000000000001592</v>
      </c>
      <c r="K951" s="9">
        <f t="shared" si="127"/>
        <v>2.5493945188018287E-3</v>
      </c>
      <c r="L951" s="1">
        <f t="shared" si="128"/>
        <v>1</v>
      </c>
      <c r="M951" s="1">
        <f t="shared" si="129"/>
        <v>363.61</v>
      </c>
      <c r="N951" s="1">
        <f t="shared" si="130"/>
        <v>356.25</v>
      </c>
      <c r="O951" s="1">
        <f t="shared" si="131"/>
        <v>359.83000000000004</v>
      </c>
      <c r="P951" s="1">
        <f t="shared" si="132"/>
        <v>183.58673469387759</v>
      </c>
    </row>
    <row r="952" spans="1:16">
      <c r="A952" s="2">
        <v>41680</v>
      </c>
      <c r="B952" s="1">
        <v>361.61</v>
      </c>
      <c r="C952" s="1">
        <v>365</v>
      </c>
      <c r="D952" s="1">
        <v>359.35</v>
      </c>
      <c r="E952" s="1">
        <v>360.87</v>
      </c>
      <c r="F952" s="1">
        <v>3449700</v>
      </c>
      <c r="G952" s="1">
        <v>360.87</v>
      </c>
      <c r="H952" s="1">
        <f t="shared" si="126"/>
        <v>5.6499999999999773</v>
      </c>
      <c r="I952" s="9">
        <f t="shared" si="133"/>
        <v>1.5722832892722909E-2</v>
      </c>
      <c r="J952" s="1">
        <f t="shared" si="134"/>
        <v>-0.20999999999997954</v>
      </c>
      <c r="K952" s="9">
        <f t="shared" si="127"/>
        <v>-5.8158856763038537E-4</v>
      </c>
      <c r="L952" s="1">
        <f t="shared" si="128"/>
        <v>1</v>
      </c>
      <c r="M952" s="1">
        <f t="shared" si="129"/>
        <v>365</v>
      </c>
      <c r="N952" s="1">
        <f t="shared" si="130"/>
        <v>359.35</v>
      </c>
      <c r="O952" s="1">
        <f t="shared" si="131"/>
        <v>358.91</v>
      </c>
      <c r="P952" s="1">
        <f t="shared" si="132"/>
        <v>183.11734693877554</v>
      </c>
    </row>
    <row r="953" spans="1:16">
      <c r="A953" s="2">
        <v>41677</v>
      </c>
      <c r="B953" s="1">
        <v>358.98</v>
      </c>
      <c r="C953" s="1">
        <v>361.8</v>
      </c>
      <c r="D953" s="1">
        <v>352.49</v>
      </c>
      <c r="E953" s="1">
        <v>361.08</v>
      </c>
      <c r="F953" s="1">
        <v>4330500</v>
      </c>
      <c r="G953" s="1">
        <v>361.08</v>
      </c>
      <c r="H953" s="1">
        <f t="shared" si="126"/>
        <v>9.3100000000000023</v>
      </c>
      <c r="I953" s="9">
        <f t="shared" si="133"/>
        <v>2.6412096797072262E-2</v>
      </c>
      <c r="J953" s="1">
        <f t="shared" si="134"/>
        <v>6.4900000000000091</v>
      </c>
      <c r="K953" s="9">
        <f t="shared" si="127"/>
        <v>1.8302828618968411E-2</v>
      </c>
      <c r="L953" s="1">
        <f t="shared" si="128"/>
        <v>1</v>
      </c>
      <c r="M953" s="1">
        <f t="shared" si="129"/>
        <v>361.8</v>
      </c>
      <c r="N953" s="1">
        <f t="shared" si="130"/>
        <v>352.49</v>
      </c>
      <c r="O953" s="1">
        <f t="shared" si="131"/>
        <v>359.12</v>
      </c>
      <c r="P953" s="1">
        <f t="shared" si="132"/>
        <v>183.22448979591837</v>
      </c>
    </row>
    <row r="954" spans="1:16">
      <c r="A954" s="2">
        <v>41676</v>
      </c>
      <c r="B954" s="1">
        <v>347.4</v>
      </c>
      <c r="C954" s="1">
        <v>354.82</v>
      </c>
      <c r="D954" s="1">
        <v>347.4</v>
      </c>
      <c r="E954" s="1">
        <v>354.59</v>
      </c>
      <c r="F954" s="1">
        <v>3335700</v>
      </c>
      <c r="G954" s="1">
        <v>354.59</v>
      </c>
      <c r="H954" s="1">
        <f t="shared" si="126"/>
        <v>7.4200000000000159</v>
      </c>
      <c r="I954" s="9">
        <f t="shared" si="133"/>
        <v>2.1358664363845759E-2</v>
      </c>
      <c r="J954" s="1">
        <f t="shared" si="134"/>
        <v>8.1399999999999864</v>
      </c>
      <c r="K954" s="9">
        <f t="shared" si="127"/>
        <v>2.34954538894501E-2</v>
      </c>
      <c r="L954" s="1">
        <f t="shared" si="128"/>
        <v>1</v>
      </c>
      <c r="M954" s="1">
        <f t="shared" si="129"/>
        <v>354.82</v>
      </c>
      <c r="N954" s="1">
        <f t="shared" si="130"/>
        <v>347.4</v>
      </c>
      <c r="O954" s="1">
        <f t="shared" si="131"/>
        <v>352.63</v>
      </c>
      <c r="P954" s="1">
        <f t="shared" si="132"/>
        <v>179.91326530612244</v>
      </c>
    </row>
    <row r="955" spans="1:16">
      <c r="A955" s="2">
        <v>41675</v>
      </c>
      <c r="B955" s="1">
        <v>346</v>
      </c>
      <c r="C955" s="1">
        <v>349.37</v>
      </c>
      <c r="D955" s="1">
        <v>337.73</v>
      </c>
      <c r="E955" s="1">
        <v>346.45</v>
      </c>
      <c r="F955" s="1">
        <v>4435400</v>
      </c>
      <c r="G955" s="1">
        <v>346.45</v>
      </c>
      <c r="H955" s="1">
        <f t="shared" si="126"/>
        <v>11.639999999999986</v>
      </c>
      <c r="I955" s="9">
        <f t="shared" si="133"/>
        <v>3.4465401356112826E-2</v>
      </c>
      <c r="J955" s="1">
        <f t="shared" si="134"/>
        <v>-1.5</v>
      </c>
      <c r="K955" s="9">
        <f t="shared" si="127"/>
        <v>-4.3109642189969825E-3</v>
      </c>
      <c r="L955" s="1">
        <f t="shared" si="128"/>
        <v>1</v>
      </c>
      <c r="M955" s="1">
        <f t="shared" si="129"/>
        <v>349.37</v>
      </c>
      <c r="N955" s="1">
        <f t="shared" si="130"/>
        <v>337.73</v>
      </c>
      <c r="O955" s="1">
        <f t="shared" si="131"/>
        <v>344.49</v>
      </c>
      <c r="P955" s="1">
        <f t="shared" si="132"/>
        <v>175.76020408163265</v>
      </c>
    </row>
    <row r="956" spans="1:16">
      <c r="A956" s="2">
        <v>41674</v>
      </c>
      <c r="B956" s="1">
        <v>349.59</v>
      </c>
      <c r="C956" s="1">
        <v>354</v>
      </c>
      <c r="D956" s="1">
        <v>344.02</v>
      </c>
      <c r="E956" s="1">
        <v>347.95</v>
      </c>
      <c r="F956" s="1">
        <v>4812900</v>
      </c>
      <c r="G956" s="1">
        <v>347.95</v>
      </c>
      <c r="H956" s="1">
        <f t="shared" si="126"/>
        <v>9.9800000000000182</v>
      </c>
      <c r="I956" s="9">
        <f t="shared" si="133"/>
        <v>2.9009941282483631E-2</v>
      </c>
      <c r="J956" s="1">
        <f t="shared" si="134"/>
        <v>1.8000000000000114</v>
      </c>
      <c r="K956" s="9">
        <f t="shared" si="127"/>
        <v>5.2000577784197932E-3</v>
      </c>
      <c r="L956" s="1">
        <f t="shared" si="128"/>
        <v>1</v>
      </c>
      <c r="M956" s="1">
        <f t="shared" si="129"/>
        <v>354</v>
      </c>
      <c r="N956" s="1">
        <f t="shared" si="130"/>
        <v>344.02</v>
      </c>
      <c r="O956" s="1">
        <f t="shared" si="131"/>
        <v>345.99</v>
      </c>
      <c r="P956" s="1">
        <f t="shared" si="132"/>
        <v>176.52551020408163</v>
      </c>
    </row>
    <row r="957" spans="1:16">
      <c r="A957" s="2">
        <v>41673</v>
      </c>
      <c r="B957" s="1">
        <v>358.98</v>
      </c>
      <c r="C957" s="1">
        <v>360.85</v>
      </c>
      <c r="D957" s="1">
        <v>340.1</v>
      </c>
      <c r="E957" s="1">
        <v>346.15</v>
      </c>
      <c r="F957" s="1">
        <v>10280800</v>
      </c>
      <c r="G957" s="1">
        <v>346.15</v>
      </c>
      <c r="H957" s="1">
        <f t="shared" si="126"/>
        <v>20.75</v>
      </c>
      <c r="I957" s="9">
        <f t="shared" si="133"/>
        <v>6.1011467215524841E-2</v>
      </c>
      <c r="J957" s="1">
        <f t="shared" si="134"/>
        <v>-12.54000000000002</v>
      </c>
      <c r="K957" s="9">
        <f t="shared" si="127"/>
        <v>-3.4960550893529285E-2</v>
      </c>
      <c r="L957" s="1">
        <f t="shared" si="128"/>
        <v>1</v>
      </c>
      <c r="M957" s="1">
        <f t="shared" si="129"/>
        <v>360.85</v>
      </c>
      <c r="N957" s="1">
        <f t="shared" si="130"/>
        <v>340.1</v>
      </c>
      <c r="O957" s="1">
        <f t="shared" si="131"/>
        <v>344.19</v>
      </c>
      <c r="P957" s="1">
        <f t="shared" si="132"/>
        <v>175.60714285714286</v>
      </c>
    </row>
    <row r="958" spans="1:16">
      <c r="A958" s="2">
        <v>41670</v>
      </c>
      <c r="B958" s="1">
        <v>371.76</v>
      </c>
      <c r="C958" s="1">
        <v>375.45</v>
      </c>
      <c r="D958" s="1">
        <v>357.76</v>
      </c>
      <c r="E958" s="1">
        <v>358.69</v>
      </c>
      <c r="F958" s="1">
        <v>16154800</v>
      </c>
      <c r="G958" s="1">
        <v>358.69</v>
      </c>
      <c r="H958" s="1">
        <f t="shared" si="126"/>
        <v>17.689999999999998</v>
      </c>
      <c r="I958" s="9">
        <f t="shared" si="133"/>
        <v>4.9446556350626114E-2</v>
      </c>
      <c r="J958" s="1">
        <f t="shared" si="134"/>
        <v>-44.319999999999993</v>
      </c>
      <c r="K958" s="9">
        <f t="shared" si="127"/>
        <v>-0.10997245725912506</v>
      </c>
      <c r="L958" s="1">
        <f t="shared" si="128"/>
        <v>1</v>
      </c>
      <c r="M958" s="1">
        <f t="shared" si="129"/>
        <v>375.45</v>
      </c>
      <c r="N958" s="1">
        <f t="shared" si="130"/>
        <v>357.76</v>
      </c>
      <c r="O958" s="1">
        <f t="shared" si="131"/>
        <v>356.73</v>
      </c>
      <c r="P958" s="1">
        <f t="shared" si="132"/>
        <v>182.00510204081633</v>
      </c>
    </row>
    <row r="959" spans="1:16">
      <c r="A959" s="2">
        <v>41669</v>
      </c>
      <c r="B959" s="1">
        <v>393.77</v>
      </c>
      <c r="C959" s="1">
        <v>406.25</v>
      </c>
      <c r="D959" s="1">
        <v>387.7</v>
      </c>
      <c r="E959" s="1">
        <v>403.01</v>
      </c>
      <c r="F959" s="1">
        <v>10473900</v>
      </c>
      <c r="G959" s="1">
        <v>403.01</v>
      </c>
      <c r="H959" s="1">
        <f t="shared" si="126"/>
        <v>18.550000000000011</v>
      </c>
      <c r="I959" s="9">
        <f t="shared" si="133"/>
        <v>4.7846272891410913E-2</v>
      </c>
      <c r="J959" s="1">
        <f t="shared" si="134"/>
        <v>18.810000000000002</v>
      </c>
      <c r="K959" s="9">
        <f t="shared" si="127"/>
        <v>4.8958875585632493E-2</v>
      </c>
      <c r="L959" s="1">
        <f t="shared" si="128"/>
        <v>1</v>
      </c>
      <c r="M959" s="1">
        <f t="shared" si="129"/>
        <v>406.25</v>
      </c>
      <c r="N959" s="1">
        <f t="shared" si="130"/>
        <v>387.7</v>
      </c>
      <c r="O959" s="1">
        <f t="shared" si="131"/>
        <v>401.05</v>
      </c>
      <c r="P959" s="1">
        <f t="shared" si="132"/>
        <v>204.61734693877551</v>
      </c>
    </row>
    <row r="960" spans="1:16">
      <c r="A960" s="2">
        <v>41668</v>
      </c>
      <c r="B960" s="1">
        <v>392.16</v>
      </c>
      <c r="C960" s="1">
        <v>392.85</v>
      </c>
      <c r="D960" s="1">
        <v>383.24</v>
      </c>
      <c r="E960" s="1">
        <v>384.2</v>
      </c>
      <c r="F960" s="1">
        <v>3382300</v>
      </c>
      <c r="G960" s="1">
        <v>384.2</v>
      </c>
      <c r="H960" s="1">
        <f t="shared" si="126"/>
        <v>9.6100000000000136</v>
      </c>
      <c r="I960" s="9">
        <f t="shared" si="133"/>
        <v>2.5075670598058694E-2</v>
      </c>
      <c r="J960" s="1">
        <f t="shared" si="134"/>
        <v>-10.230000000000018</v>
      </c>
      <c r="K960" s="9">
        <f t="shared" si="127"/>
        <v>-2.5936161042517097E-2</v>
      </c>
      <c r="L960" s="1">
        <f t="shared" si="128"/>
        <v>1</v>
      </c>
      <c r="M960" s="1">
        <f t="shared" si="129"/>
        <v>392.85</v>
      </c>
      <c r="N960" s="1">
        <f t="shared" si="130"/>
        <v>383.24</v>
      </c>
      <c r="O960" s="1">
        <f t="shared" si="131"/>
        <v>382.24</v>
      </c>
      <c r="P960" s="1">
        <f t="shared" si="132"/>
        <v>195.0204081632653</v>
      </c>
    </row>
    <row r="961" spans="1:16">
      <c r="A961" s="2">
        <v>41667</v>
      </c>
      <c r="B961" s="1">
        <v>387.4</v>
      </c>
      <c r="C961" s="1">
        <v>394.74</v>
      </c>
      <c r="D961" s="1">
        <v>387.12</v>
      </c>
      <c r="E961" s="1">
        <v>394.43</v>
      </c>
      <c r="F961" s="1">
        <v>2894500</v>
      </c>
      <c r="G961" s="1">
        <v>394.43</v>
      </c>
      <c r="H961" s="1">
        <f t="shared" si="126"/>
        <v>7.6200000000000045</v>
      </c>
      <c r="I961" s="9">
        <f t="shared" si="133"/>
        <v>1.9683818970861761E-2</v>
      </c>
      <c r="J961" s="1">
        <f t="shared" si="134"/>
        <v>8.1500000000000341</v>
      </c>
      <c r="K961" s="9">
        <f t="shared" si="127"/>
        <v>2.1098684891788431E-2</v>
      </c>
      <c r="L961" s="1">
        <f t="shared" si="128"/>
        <v>1</v>
      </c>
      <c r="M961" s="1">
        <f t="shared" si="129"/>
        <v>394.74</v>
      </c>
      <c r="N961" s="1">
        <f t="shared" si="130"/>
        <v>387.12</v>
      </c>
      <c r="O961" s="1">
        <f t="shared" si="131"/>
        <v>392.47</v>
      </c>
      <c r="P961" s="1">
        <f t="shared" si="132"/>
        <v>200.23979591836738</v>
      </c>
    </row>
    <row r="962" spans="1:16">
      <c r="A962" s="2">
        <v>41666</v>
      </c>
      <c r="B962" s="1">
        <v>390.5</v>
      </c>
      <c r="C962" s="1">
        <v>394.1</v>
      </c>
      <c r="D962" s="1">
        <v>380.49</v>
      </c>
      <c r="E962" s="1">
        <v>386.28</v>
      </c>
      <c r="F962" s="1">
        <v>3936800</v>
      </c>
      <c r="G962" s="1">
        <v>386.28</v>
      </c>
      <c r="H962" s="1">
        <f t="shared" si="126"/>
        <v>13.610000000000014</v>
      </c>
      <c r="I962" s="9">
        <f t="shared" si="133"/>
        <v>3.5769665431417415E-2</v>
      </c>
      <c r="J962" s="1">
        <f t="shared" si="134"/>
        <v>-1.32000000000005</v>
      </c>
      <c r="K962" s="9">
        <f t="shared" si="127"/>
        <v>-3.4055727554180857E-3</v>
      </c>
      <c r="L962" s="1">
        <f t="shared" si="128"/>
        <v>1</v>
      </c>
      <c r="M962" s="1">
        <f t="shared" si="129"/>
        <v>394.1</v>
      </c>
      <c r="N962" s="1">
        <f t="shared" si="130"/>
        <v>380.49</v>
      </c>
      <c r="O962" s="1">
        <f t="shared" si="131"/>
        <v>384.32</v>
      </c>
      <c r="P962" s="1">
        <f t="shared" si="132"/>
        <v>196.08163265306123</v>
      </c>
    </row>
    <row r="963" spans="1:16">
      <c r="A963" s="2">
        <v>41663</v>
      </c>
      <c r="B963" s="1">
        <v>398.16</v>
      </c>
      <c r="C963" s="1">
        <v>400.2</v>
      </c>
      <c r="D963" s="1">
        <v>387.27</v>
      </c>
      <c r="E963" s="1">
        <v>387.6</v>
      </c>
      <c r="F963" s="1">
        <v>4458400</v>
      </c>
      <c r="G963" s="1">
        <v>387.6</v>
      </c>
      <c r="H963" s="1">
        <f t="shared" ref="H963:H1026" si="135">C963-D963</f>
        <v>12.930000000000007</v>
      </c>
      <c r="I963" s="9">
        <f t="shared" si="133"/>
        <v>3.3387559067317392E-2</v>
      </c>
      <c r="J963" s="1">
        <f t="shared" si="134"/>
        <v>-12.269999999999982</v>
      </c>
      <c r="K963" s="9">
        <f t="shared" ref="K963:K1026" si="136">(G963-G964)/G964</f>
        <v>-3.0684972616100186E-2</v>
      </c>
      <c r="L963" s="1">
        <f t="shared" ref="L963:L1026" si="137">G963/E963</f>
        <v>1</v>
      </c>
      <c r="M963" s="1">
        <f t="shared" ref="M963:M1026" si="138">L963*C963</f>
        <v>400.2</v>
      </c>
      <c r="N963" s="1">
        <f t="shared" ref="N963:N1026" si="139">L963*D963</f>
        <v>387.27</v>
      </c>
      <c r="O963" s="1">
        <f t="shared" ref="O963:O1026" si="140">G963-$G$5163</f>
        <v>385.64000000000004</v>
      </c>
      <c r="P963" s="1">
        <f t="shared" ref="P963:P1026" si="141">(G963-$G$5163)/$G$5163</f>
        <v>196.75510204081635</v>
      </c>
    </row>
    <row r="964" spans="1:16">
      <c r="A964" s="2">
        <v>41662</v>
      </c>
      <c r="B964" s="1">
        <v>401</v>
      </c>
      <c r="C964" s="1">
        <v>406.17</v>
      </c>
      <c r="D964" s="1">
        <v>397.79</v>
      </c>
      <c r="E964" s="1">
        <v>399.87</v>
      </c>
      <c r="F964" s="1">
        <v>3025400</v>
      </c>
      <c r="G964" s="1">
        <v>399.87</v>
      </c>
      <c r="H964" s="1">
        <f t="shared" si="135"/>
        <v>8.3799999999999955</v>
      </c>
      <c r="I964" s="9">
        <f t="shared" ref="I964:I1027" si="142">(C964-D964)/D964</f>
        <v>2.1066391814776628E-2</v>
      </c>
      <c r="J964" s="1">
        <f t="shared" ref="J964:J1027" si="143">G964-G965</f>
        <v>-4.6700000000000159</v>
      </c>
      <c r="K964" s="9">
        <f t="shared" si="136"/>
        <v>-1.1543975873832045E-2</v>
      </c>
      <c r="L964" s="1">
        <f t="shared" si="137"/>
        <v>1</v>
      </c>
      <c r="M964" s="1">
        <f t="shared" si="138"/>
        <v>406.17</v>
      </c>
      <c r="N964" s="1">
        <f t="shared" si="139"/>
        <v>397.79</v>
      </c>
      <c r="O964" s="1">
        <f t="shared" si="140"/>
        <v>397.91</v>
      </c>
      <c r="P964" s="1">
        <f t="shared" si="141"/>
        <v>203.015306122449</v>
      </c>
    </row>
    <row r="965" spans="1:16">
      <c r="A965" s="2">
        <v>41661</v>
      </c>
      <c r="B965" s="1">
        <v>408</v>
      </c>
      <c r="C965" s="1">
        <v>408.06</v>
      </c>
      <c r="D965" s="1">
        <v>402</v>
      </c>
      <c r="E965" s="1">
        <v>404.54</v>
      </c>
      <c r="F965" s="1">
        <v>2060500</v>
      </c>
      <c r="G965" s="1">
        <v>404.54</v>
      </c>
      <c r="H965" s="1">
        <f t="shared" si="135"/>
        <v>6.0600000000000023</v>
      </c>
      <c r="I965" s="9">
        <f t="shared" si="142"/>
        <v>1.5074626865671648E-2</v>
      </c>
      <c r="J965" s="1">
        <f t="shared" si="143"/>
        <v>-2.5099999999999909</v>
      </c>
      <c r="K965" s="9">
        <f t="shared" si="136"/>
        <v>-6.1663186340744159E-3</v>
      </c>
      <c r="L965" s="1">
        <f t="shared" si="137"/>
        <v>1</v>
      </c>
      <c r="M965" s="1">
        <f t="shared" si="138"/>
        <v>408.06</v>
      </c>
      <c r="N965" s="1">
        <f t="shared" si="139"/>
        <v>402</v>
      </c>
      <c r="O965" s="1">
        <f t="shared" si="140"/>
        <v>402.58000000000004</v>
      </c>
      <c r="P965" s="1">
        <f t="shared" si="141"/>
        <v>205.39795918367349</v>
      </c>
    </row>
    <row r="966" spans="1:16">
      <c r="A966" s="2">
        <v>41660</v>
      </c>
      <c r="B966" s="1">
        <v>403</v>
      </c>
      <c r="C966" s="1">
        <v>407.8</v>
      </c>
      <c r="D966" s="1">
        <v>401.6</v>
      </c>
      <c r="E966" s="1">
        <v>407.05</v>
      </c>
      <c r="F966" s="1">
        <v>3122100</v>
      </c>
      <c r="G966" s="1">
        <v>407.05</v>
      </c>
      <c r="H966" s="1">
        <f t="shared" si="135"/>
        <v>6.1999999999999886</v>
      </c>
      <c r="I966" s="9">
        <f t="shared" si="142"/>
        <v>1.5438247011952162E-2</v>
      </c>
      <c r="J966" s="1">
        <f t="shared" si="143"/>
        <v>7.4399999999999977</v>
      </c>
      <c r="K966" s="9">
        <f t="shared" si="136"/>
        <v>1.8618152698881403E-2</v>
      </c>
      <c r="L966" s="1">
        <f t="shared" si="137"/>
        <v>1</v>
      </c>
      <c r="M966" s="1">
        <f t="shared" si="138"/>
        <v>407.8</v>
      </c>
      <c r="N966" s="1">
        <f t="shared" si="139"/>
        <v>401.6</v>
      </c>
      <c r="O966" s="1">
        <f t="shared" si="140"/>
        <v>405.09000000000003</v>
      </c>
      <c r="P966" s="1">
        <f t="shared" si="141"/>
        <v>206.67857142857144</v>
      </c>
    </row>
    <row r="967" spans="1:16">
      <c r="A967" s="2">
        <v>41656</v>
      </c>
      <c r="B967" s="1">
        <v>394.26</v>
      </c>
      <c r="C967" s="1">
        <v>403.49</v>
      </c>
      <c r="D967" s="1">
        <v>393.66</v>
      </c>
      <c r="E967" s="1">
        <v>399.61</v>
      </c>
      <c r="F967" s="1">
        <v>4505100</v>
      </c>
      <c r="G967" s="1">
        <v>399.61</v>
      </c>
      <c r="H967" s="1">
        <f t="shared" si="135"/>
        <v>9.8299999999999841</v>
      </c>
      <c r="I967" s="9">
        <f t="shared" si="142"/>
        <v>2.4970786973530414E-2</v>
      </c>
      <c r="J967" s="1">
        <f t="shared" si="143"/>
        <v>3.8100000000000023</v>
      </c>
      <c r="K967" s="9">
        <f t="shared" si="136"/>
        <v>9.6260737746336582E-3</v>
      </c>
      <c r="L967" s="1">
        <f t="shared" si="137"/>
        <v>1</v>
      </c>
      <c r="M967" s="1">
        <f t="shared" si="138"/>
        <v>403.49</v>
      </c>
      <c r="N967" s="1">
        <f t="shared" si="139"/>
        <v>393.66</v>
      </c>
      <c r="O967" s="1">
        <f t="shared" si="140"/>
        <v>397.65000000000003</v>
      </c>
      <c r="P967" s="1">
        <f t="shared" si="141"/>
        <v>202.88265306122452</v>
      </c>
    </row>
    <row r="968" spans="1:16">
      <c r="A968" s="2">
        <v>41655</v>
      </c>
      <c r="B968" s="1">
        <v>393.68</v>
      </c>
      <c r="C968" s="1">
        <v>399.29</v>
      </c>
      <c r="D968" s="1">
        <v>389.41</v>
      </c>
      <c r="E968" s="1">
        <v>395.8</v>
      </c>
      <c r="F968" s="1">
        <v>2601200</v>
      </c>
      <c r="G968" s="1">
        <v>395.8</v>
      </c>
      <c r="H968" s="1">
        <f t="shared" si="135"/>
        <v>9.8799999999999955</v>
      </c>
      <c r="I968" s="9">
        <f t="shared" si="142"/>
        <v>2.5371716186025E-2</v>
      </c>
      <c r="J968" s="1">
        <f t="shared" si="143"/>
        <v>-6.9999999999993179E-2</v>
      </c>
      <c r="K968" s="9">
        <f t="shared" si="136"/>
        <v>-1.7682572561697823E-4</v>
      </c>
      <c r="L968" s="1">
        <f t="shared" si="137"/>
        <v>1</v>
      </c>
      <c r="M968" s="1">
        <f t="shared" si="138"/>
        <v>399.29</v>
      </c>
      <c r="N968" s="1">
        <f t="shared" si="139"/>
        <v>389.41</v>
      </c>
      <c r="O968" s="1">
        <f t="shared" si="140"/>
        <v>393.84000000000003</v>
      </c>
      <c r="P968" s="1">
        <f t="shared" si="141"/>
        <v>200.9387755102041</v>
      </c>
    </row>
    <row r="969" spans="1:16">
      <c r="A969" s="2">
        <v>41654</v>
      </c>
      <c r="B969" s="1">
        <v>398.94</v>
      </c>
      <c r="C969" s="1">
        <v>399.31</v>
      </c>
      <c r="D969" s="1">
        <v>392.53</v>
      </c>
      <c r="E969" s="1">
        <v>395.87</v>
      </c>
      <c r="F969" s="1">
        <v>2678300</v>
      </c>
      <c r="G969" s="1">
        <v>395.87</v>
      </c>
      <c r="H969" s="1">
        <f t="shared" si="135"/>
        <v>6.7800000000000296</v>
      </c>
      <c r="I969" s="9">
        <f t="shared" si="142"/>
        <v>1.7272565154255803E-2</v>
      </c>
      <c r="J969" s="1">
        <f t="shared" si="143"/>
        <v>-1.6700000000000159</v>
      </c>
      <c r="K969" s="9">
        <f t="shared" si="136"/>
        <v>-4.2008351360869741E-3</v>
      </c>
      <c r="L969" s="1">
        <f t="shared" si="137"/>
        <v>1</v>
      </c>
      <c r="M969" s="1">
        <f t="shared" si="138"/>
        <v>399.31</v>
      </c>
      <c r="N969" s="1">
        <f t="shared" si="139"/>
        <v>392.53</v>
      </c>
      <c r="O969" s="1">
        <f t="shared" si="140"/>
        <v>393.91</v>
      </c>
      <c r="P969" s="1">
        <f t="shared" si="141"/>
        <v>200.97448979591837</v>
      </c>
    </row>
    <row r="970" spans="1:16">
      <c r="A970" s="2">
        <v>41653</v>
      </c>
      <c r="B970" s="1">
        <v>392.13</v>
      </c>
      <c r="C970" s="1">
        <v>398.63</v>
      </c>
      <c r="D970" s="1">
        <v>391.29</v>
      </c>
      <c r="E970" s="1">
        <v>397.54</v>
      </c>
      <c r="F970" s="1">
        <v>2340100</v>
      </c>
      <c r="G970" s="1">
        <v>397.54</v>
      </c>
      <c r="H970" s="1">
        <f t="shared" si="135"/>
        <v>7.339999999999975</v>
      </c>
      <c r="I970" s="9">
        <f t="shared" si="142"/>
        <v>1.8758465588182612E-2</v>
      </c>
      <c r="J970" s="1">
        <f t="shared" si="143"/>
        <v>6.5600000000000023</v>
      </c>
      <c r="K970" s="9">
        <f t="shared" si="136"/>
        <v>1.67783518338534E-2</v>
      </c>
      <c r="L970" s="1">
        <f t="shared" si="137"/>
        <v>1</v>
      </c>
      <c r="M970" s="1">
        <f t="shared" si="138"/>
        <v>398.63</v>
      </c>
      <c r="N970" s="1">
        <f t="shared" si="139"/>
        <v>391.29</v>
      </c>
      <c r="O970" s="1">
        <f t="shared" si="140"/>
        <v>395.58000000000004</v>
      </c>
      <c r="P970" s="1">
        <f t="shared" si="141"/>
        <v>201.82653061224491</v>
      </c>
    </row>
    <row r="971" spans="1:16">
      <c r="A971" s="2">
        <v>41652</v>
      </c>
      <c r="B971" s="1">
        <v>397.98</v>
      </c>
      <c r="C971" s="1">
        <v>399.78</v>
      </c>
      <c r="D971" s="1">
        <v>388.45</v>
      </c>
      <c r="E971" s="1">
        <v>390.98</v>
      </c>
      <c r="F971" s="1">
        <v>2844900</v>
      </c>
      <c r="G971" s="1">
        <v>390.98</v>
      </c>
      <c r="H971" s="1">
        <f t="shared" si="135"/>
        <v>11.329999999999984</v>
      </c>
      <c r="I971" s="9">
        <f t="shared" si="142"/>
        <v>2.9167202986227273E-2</v>
      </c>
      <c r="J971" s="1">
        <f t="shared" si="143"/>
        <v>-6.6800000000000068</v>
      </c>
      <c r="K971" s="9">
        <f t="shared" si="136"/>
        <v>-1.6798269878790944E-2</v>
      </c>
      <c r="L971" s="1">
        <f t="shared" si="137"/>
        <v>1</v>
      </c>
      <c r="M971" s="1">
        <f t="shared" si="138"/>
        <v>399.78</v>
      </c>
      <c r="N971" s="1">
        <f t="shared" si="139"/>
        <v>388.45</v>
      </c>
      <c r="O971" s="1">
        <f t="shared" si="140"/>
        <v>389.02000000000004</v>
      </c>
      <c r="P971" s="1">
        <f t="shared" si="141"/>
        <v>198.47959183673473</v>
      </c>
    </row>
    <row r="972" spans="1:16">
      <c r="A972" s="2">
        <v>41649</v>
      </c>
      <c r="B972" s="1">
        <v>402.53</v>
      </c>
      <c r="C972" s="1">
        <v>403.76</v>
      </c>
      <c r="D972" s="1">
        <v>393.8</v>
      </c>
      <c r="E972" s="1">
        <v>397.66</v>
      </c>
      <c r="F972" s="1">
        <v>2679500</v>
      </c>
      <c r="G972" s="1">
        <v>397.66</v>
      </c>
      <c r="H972" s="1">
        <f t="shared" si="135"/>
        <v>9.9599999999999795</v>
      </c>
      <c r="I972" s="9">
        <f t="shared" si="142"/>
        <v>2.5292026409344793E-2</v>
      </c>
      <c r="J972" s="1">
        <f t="shared" si="143"/>
        <v>-3.3499999999999659</v>
      </c>
      <c r="K972" s="9">
        <f t="shared" si="136"/>
        <v>-8.3539063863743192E-3</v>
      </c>
      <c r="L972" s="1">
        <f t="shared" si="137"/>
        <v>1</v>
      </c>
      <c r="M972" s="1">
        <f t="shared" si="138"/>
        <v>403.76</v>
      </c>
      <c r="N972" s="1">
        <f t="shared" si="139"/>
        <v>393.8</v>
      </c>
      <c r="O972" s="1">
        <f t="shared" si="140"/>
        <v>395.70000000000005</v>
      </c>
      <c r="P972" s="1">
        <f t="shared" si="141"/>
        <v>201.88775510204084</v>
      </c>
    </row>
    <row r="973" spans="1:16">
      <c r="A973" s="2">
        <v>41648</v>
      </c>
      <c r="B973" s="1">
        <v>403.71</v>
      </c>
      <c r="C973" s="1">
        <v>406.89</v>
      </c>
      <c r="D973" s="1">
        <v>398.44</v>
      </c>
      <c r="E973" s="1">
        <v>401.01</v>
      </c>
      <c r="F973" s="1">
        <v>2103000</v>
      </c>
      <c r="G973" s="1">
        <v>401.01</v>
      </c>
      <c r="H973" s="1">
        <f t="shared" si="135"/>
        <v>8.4499999999999886</v>
      </c>
      <c r="I973" s="9">
        <f t="shared" si="142"/>
        <v>2.1207710069270126E-2</v>
      </c>
      <c r="J973" s="1">
        <f t="shared" si="143"/>
        <v>-0.91000000000002501</v>
      </c>
      <c r="K973" s="9">
        <f t="shared" si="136"/>
        <v>-2.2641321656051575E-3</v>
      </c>
      <c r="L973" s="1">
        <f t="shared" si="137"/>
        <v>1</v>
      </c>
      <c r="M973" s="1">
        <f t="shared" si="138"/>
        <v>406.89</v>
      </c>
      <c r="N973" s="1">
        <f t="shared" si="139"/>
        <v>398.44</v>
      </c>
      <c r="O973" s="1">
        <f t="shared" si="140"/>
        <v>399.05</v>
      </c>
      <c r="P973" s="1">
        <f t="shared" si="141"/>
        <v>203.59693877551021</v>
      </c>
    </row>
    <row r="974" spans="1:16">
      <c r="A974" s="2">
        <v>41647</v>
      </c>
      <c r="B974" s="1">
        <v>398.47</v>
      </c>
      <c r="C974" s="1">
        <v>403</v>
      </c>
      <c r="D974" s="1">
        <v>396.04</v>
      </c>
      <c r="E974" s="1">
        <v>401.92</v>
      </c>
      <c r="F974" s="1">
        <v>2316500</v>
      </c>
      <c r="G974" s="1">
        <v>401.92</v>
      </c>
      <c r="H974" s="1">
        <f t="shared" si="135"/>
        <v>6.9599999999999795</v>
      </c>
      <c r="I974" s="9">
        <f t="shared" si="142"/>
        <v>1.7573982426017522E-2</v>
      </c>
      <c r="J974" s="1">
        <f t="shared" si="143"/>
        <v>3.8900000000000432</v>
      </c>
      <c r="K974" s="9">
        <f t="shared" si="136"/>
        <v>9.7731326784414336E-3</v>
      </c>
      <c r="L974" s="1">
        <f t="shared" si="137"/>
        <v>1</v>
      </c>
      <c r="M974" s="1">
        <f t="shared" si="138"/>
        <v>403</v>
      </c>
      <c r="N974" s="1">
        <f t="shared" si="139"/>
        <v>396.04</v>
      </c>
      <c r="O974" s="1">
        <f t="shared" si="140"/>
        <v>399.96000000000004</v>
      </c>
      <c r="P974" s="1">
        <f t="shared" si="141"/>
        <v>204.06122448979593</v>
      </c>
    </row>
    <row r="975" spans="1:16">
      <c r="A975" s="2">
        <v>41646</v>
      </c>
      <c r="B975" s="1">
        <v>395.04</v>
      </c>
      <c r="C975" s="1">
        <v>398.47</v>
      </c>
      <c r="D975" s="1">
        <v>394.29</v>
      </c>
      <c r="E975" s="1">
        <v>398.03</v>
      </c>
      <c r="F975" s="1">
        <v>1916000</v>
      </c>
      <c r="G975" s="1">
        <v>398.03</v>
      </c>
      <c r="H975" s="1">
        <f t="shared" si="135"/>
        <v>4.1800000000000068</v>
      </c>
      <c r="I975" s="9">
        <f t="shared" si="142"/>
        <v>1.0601334043470559E-2</v>
      </c>
      <c r="J975" s="1">
        <f t="shared" si="143"/>
        <v>4.3999999999999773</v>
      </c>
      <c r="K975" s="9">
        <f t="shared" si="136"/>
        <v>1.117800980616309E-2</v>
      </c>
      <c r="L975" s="1">
        <f t="shared" si="137"/>
        <v>1</v>
      </c>
      <c r="M975" s="1">
        <f t="shared" si="138"/>
        <v>398.47</v>
      </c>
      <c r="N975" s="1">
        <f t="shared" si="139"/>
        <v>394.29</v>
      </c>
      <c r="O975" s="1">
        <f t="shared" si="140"/>
        <v>396.07</v>
      </c>
      <c r="P975" s="1">
        <f t="shared" si="141"/>
        <v>202.07653061224491</v>
      </c>
    </row>
    <row r="976" spans="1:16">
      <c r="A976" s="2">
        <v>41645</v>
      </c>
      <c r="B976" s="1">
        <v>395.85</v>
      </c>
      <c r="C976" s="1">
        <v>397</v>
      </c>
      <c r="D976" s="1">
        <v>388.42</v>
      </c>
      <c r="E976" s="1">
        <v>393.63</v>
      </c>
      <c r="F976" s="1">
        <v>3170600</v>
      </c>
      <c r="G976" s="1">
        <v>393.63</v>
      </c>
      <c r="H976" s="1">
        <f t="shared" si="135"/>
        <v>8.5799999999999841</v>
      </c>
      <c r="I976" s="9">
        <f t="shared" si="142"/>
        <v>2.2089490757427485E-2</v>
      </c>
      <c r="J976" s="1">
        <f t="shared" si="143"/>
        <v>-2.8100000000000023</v>
      </c>
      <c r="K976" s="9">
        <f t="shared" si="136"/>
        <v>-7.0880839471294576E-3</v>
      </c>
      <c r="L976" s="1">
        <f t="shared" si="137"/>
        <v>1</v>
      </c>
      <c r="M976" s="1">
        <f t="shared" si="138"/>
        <v>397</v>
      </c>
      <c r="N976" s="1">
        <f t="shared" si="139"/>
        <v>388.42</v>
      </c>
      <c r="O976" s="1">
        <f t="shared" si="140"/>
        <v>391.67</v>
      </c>
      <c r="P976" s="1">
        <f t="shared" si="141"/>
        <v>199.83163265306123</v>
      </c>
    </row>
    <row r="977" spans="1:16">
      <c r="A977" s="2">
        <v>41642</v>
      </c>
      <c r="B977" s="1">
        <v>398.29</v>
      </c>
      <c r="C977" s="1">
        <v>402.71</v>
      </c>
      <c r="D977" s="1">
        <v>396.22</v>
      </c>
      <c r="E977" s="1">
        <v>396.44</v>
      </c>
      <c r="F977" s="1">
        <v>2210200</v>
      </c>
      <c r="G977" s="1">
        <v>396.44</v>
      </c>
      <c r="H977" s="1">
        <f t="shared" si="135"/>
        <v>6.4899999999999523</v>
      </c>
      <c r="I977" s="9">
        <f t="shared" si="142"/>
        <v>1.6379789006107596E-2</v>
      </c>
      <c r="J977" s="1">
        <f t="shared" si="143"/>
        <v>-1.5300000000000296</v>
      </c>
      <c r="K977" s="9">
        <f t="shared" si="136"/>
        <v>-3.8445108927809371E-3</v>
      </c>
      <c r="L977" s="1">
        <f t="shared" si="137"/>
        <v>1</v>
      </c>
      <c r="M977" s="1">
        <f t="shared" si="138"/>
        <v>402.71</v>
      </c>
      <c r="N977" s="1">
        <f t="shared" si="139"/>
        <v>396.22</v>
      </c>
      <c r="O977" s="1">
        <f t="shared" si="140"/>
        <v>394.48</v>
      </c>
      <c r="P977" s="1">
        <f t="shared" si="141"/>
        <v>201.265306122449</v>
      </c>
    </row>
    <row r="978" spans="1:16">
      <c r="A978" s="2">
        <v>41641</v>
      </c>
      <c r="B978" s="1">
        <v>398.8</v>
      </c>
      <c r="C978" s="1">
        <v>399.36</v>
      </c>
      <c r="D978" s="1">
        <v>394.02</v>
      </c>
      <c r="E978" s="1">
        <v>397.97</v>
      </c>
      <c r="F978" s="1">
        <v>2137800</v>
      </c>
      <c r="G978" s="1">
        <v>397.97</v>
      </c>
      <c r="H978" s="1">
        <f t="shared" si="135"/>
        <v>5.3400000000000318</v>
      </c>
      <c r="I978" s="9">
        <f t="shared" si="142"/>
        <v>1.3552611542561373E-2</v>
      </c>
      <c r="J978" s="1">
        <f t="shared" si="143"/>
        <v>-0.81999999999999318</v>
      </c>
      <c r="K978" s="9">
        <f t="shared" si="136"/>
        <v>-2.0562200656987213E-3</v>
      </c>
      <c r="L978" s="1">
        <f t="shared" si="137"/>
        <v>1</v>
      </c>
      <c r="M978" s="1">
        <f t="shared" si="138"/>
        <v>399.36</v>
      </c>
      <c r="N978" s="1">
        <f t="shared" si="139"/>
        <v>394.02</v>
      </c>
      <c r="O978" s="1">
        <f t="shared" si="140"/>
        <v>396.01000000000005</v>
      </c>
      <c r="P978" s="1">
        <f t="shared" si="141"/>
        <v>202.04591836734696</v>
      </c>
    </row>
    <row r="979" spans="1:16">
      <c r="A979" s="2">
        <v>41639</v>
      </c>
      <c r="B979" s="1">
        <v>394.58</v>
      </c>
      <c r="C979" s="1">
        <v>398.83</v>
      </c>
      <c r="D979" s="1">
        <v>393.8</v>
      </c>
      <c r="E979" s="1">
        <v>398.79</v>
      </c>
      <c r="F979" s="1">
        <v>1996500</v>
      </c>
      <c r="G979" s="1">
        <v>398.79</v>
      </c>
      <c r="H979" s="1">
        <f t="shared" si="135"/>
        <v>5.0299999999999727</v>
      </c>
      <c r="I979" s="9">
        <f t="shared" si="142"/>
        <v>1.2772981208735329E-2</v>
      </c>
      <c r="J979" s="1">
        <f t="shared" si="143"/>
        <v>5.4200000000000159</v>
      </c>
      <c r="K979" s="9">
        <f t="shared" si="136"/>
        <v>1.3778376592012649E-2</v>
      </c>
      <c r="L979" s="1">
        <f t="shared" si="137"/>
        <v>1</v>
      </c>
      <c r="M979" s="1">
        <f t="shared" si="138"/>
        <v>398.83</v>
      </c>
      <c r="N979" s="1">
        <f t="shared" si="139"/>
        <v>393.8</v>
      </c>
      <c r="O979" s="1">
        <f t="shared" si="140"/>
        <v>396.83000000000004</v>
      </c>
      <c r="P979" s="1">
        <f t="shared" si="141"/>
        <v>202.46428571428575</v>
      </c>
    </row>
    <row r="980" spans="1:16">
      <c r="A980" s="2">
        <v>41638</v>
      </c>
      <c r="B980" s="1">
        <v>399.41</v>
      </c>
      <c r="C980" s="1">
        <v>399.92</v>
      </c>
      <c r="D980" s="1">
        <v>392.45</v>
      </c>
      <c r="E980" s="1">
        <v>393.37</v>
      </c>
      <c r="F980" s="1">
        <v>2487100</v>
      </c>
      <c r="G980" s="1">
        <v>393.37</v>
      </c>
      <c r="H980" s="1">
        <f t="shared" si="135"/>
        <v>7.4700000000000273</v>
      </c>
      <c r="I980" s="9">
        <f t="shared" si="142"/>
        <v>1.9034271881768448E-2</v>
      </c>
      <c r="J980" s="1">
        <f t="shared" si="143"/>
        <v>-4.7099999999999795</v>
      </c>
      <c r="K980" s="9">
        <f t="shared" si="136"/>
        <v>-1.1831792604501557E-2</v>
      </c>
      <c r="L980" s="1">
        <f t="shared" si="137"/>
        <v>1</v>
      </c>
      <c r="M980" s="1">
        <f t="shared" si="138"/>
        <v>399.92</v>
      </c>
      <c r="N980" s="1">
        <f t="shared" si="139"/>
        <v>392.45</v>
      </c>
      <c r="O980" s="1">
        <f t="shared" si="140"/>
        <v>391.41</v>
      </c>
      <c r="P980" s="1">
        <f t="shared" si="141"/>
        <v>199.69897959183675</v>
      </c>
    </row>
    <row r="981" spans="1:16">
      <c r="A981" s="2">
        <v>41635</v>
      </c>
      <c r="B981" s="1">
        <v>404.65</v>
      </c>
      <c r="C981" s="1">
        <v>405.63</v>
      </c>
      <c r="D981" s="1">
        <v>396.25</v>
      </c>
      <c r="E981" s="1">
        <v>398.08</v>
      </c>
      <c r="F981" s="1">
        <v>1986900</v>
      </c>
      <c r="G981" s="1">
        <v>398.08</v>
      </c>
      <c r="H981" s="1">
        <f t="shared" si="135"/>
        <v>9.3799999999999955</v>
      </c>
      <c r="I981" s="9">
        <f t="shared" si="142"/>
        <v>2.367192429022081E-2</v>
      </c>
      <c r="J981" s="1">
        <f t="shared" si="143"/>
        <v>-6.3100000000000023</v>
      </c>
      <c r="K981" s="9">
        <f t="shared" si="136"/>
        <v>-1.5603748856302091E-2</v>
      </c>
      <c r="L981" s="1">
        <f t="shared" si="137"/>
        <v>1</v>
      </c>
      <c r="M981" s="1">
        <f t="shared" si="138"/>
        <v>405.63</v>
      </c>
      <c r="N981" s="1">
        <f t="shared" si="139"/>
        <v>396.25</v>
      </c>
      <c r="O981" s="1">
        <f t="shared" si="140"/>
        <v>396.12</v>
      </c>
      <c r="P981" s="1">
        <f t="shared" si="141"/>
        <v>202.10204081632654</v>
      </c>
    </row>
    <row r="982" spans="1:16">
      <c r="A982" s="2">
        <v>41634</v>
      </c>
      <c r="B982" s="1">
        <v>401.79</v>
      </c>
      <c r="C982" s="1">
        <v>404.52</v>
      </c>
      <c r="D982" s="1">
        <v>396.81</v>
      </c>
      <c r="E982" s="1">
        <v>404.39</v>
      </c>
      <c r="F982" s="1">
        <v>1868500</v>
      </c>
      <c r="G982" s="1">
        <v>404.39</v>
      </c>
      <c r="H982" s="1">
        <f t="shared" si="135"/>
        <v>7.7099999999999795</v>
      </c>
      <c r="I982" s="9">
        <f t="shared" si="142"/>
        <v>1.9429953882210579E-2</v>
      </c>
      <c r="J982" s="1">
        <f t="shared" si="143"/>
        <v>5.1899999999999977</v>
      </c>
      <c r="K982" s="9">
        <f t="shared" si="136"/>
        <v>1.300100200400801E-2</v>
      </c>
      <c r="L982" s="1">
        <f t="shared" si="137"/>
        <v>1</v>
      </c>
      <c r="M982" s="1">
        <f t="shared" si="138"/>
        <v>404.52</v>
      </c>
      <c r="N982" s="1">
        <f t="shared" si="139"/>
        <v>396.81</v>
      </c>
      <c r="O982" s="1">
        <f t="shared" si="140"/>
        <v>402.43</v>
      </c>
      <c r="P982" s="1">
        <f t="shared" si="141"/>
        <v>205.32142857142858</v>
      </c>
    </row>
    <row r="983" spans="1:16">
      <c r="A983" s="2">
        <v>41632</v>
      </c>
      <c r="B983" s="1">
        <v>402.52</v>
      </c>
      <c r="C983" s="1">
        <v>403.72</v>
      </c>
      <c r="D983" s="1">
        <v>396.37</v>
      </c>
      <c r="E983" s="1">
        <v>399.2</v>
      </c>
      <c r="F983" s="1">
        <v>1380400</v>
      </c>
      <c r="G983" s="1">
        <v>399.2</v>
      </c>
      <c r="H983" s="1">
        <f t="shared" si="135"/>
        <v>7.3500000000000227</v>
      </c>
      <c r="I983" s="9">
        <f t="shared" si="142"/>
        <v>1.8543280268436116E-2</v>
      </c>
      <c r="J983" s="1">
        <f t="shared" si="143"/>
        <v>-3.7200000000000273</v>
      </c>
      <c r="K983" s="9">
        <f t="shared" si="136"/>
        <v>-9.2326020053609334E-3</v>
      </c>
      <c r="L983" s="1">
        <f t="shared" si="137"/>
        <v>1</v>
      </c>
      <c r="M983" s="1">
        <f t="shared" si="138"/>
        <v>403.72</v>
      </c>
      <c r="N983" s="1">
        <f t="shared" si="139"/>
        <v>396.37</v>
      </c>
      <c r="O983" s="1">
        <f t="shared" si="140"/>
        <v>397.24</v>
      </c>
      <c r="P983" s="1">
        <f t="shared" si="141"/>
        <v>202.67346938775512</v>
      </c>
    </row>
    <row r="984" spans="1:16">
      <c r="A984" s="2">
        <v>41631</v>
      </c>
      <c r="B984" s="1">
        <v>403.69</v>
      </c>
      <c r="C984" s="1">
        <v>405</v>
      </c>
      <c r="D984" s="1">
        <v>399.2</v>
      </c>
      <c r="E984" s="1">
        <v>402.92</v>
      </c>
      <c r="F984" s="1">
        <v>2659500</v>
      </c>
      <c r="G984" s="1">
        <v>402.92</v>
      </c>
      <c r="H984" s="1">
        <f t="shared" si="135"/>
        <v>5.8000000000000114</v>
      </c>
      <c r="I984" s="9">
        <f t="shared" si="142"/>
        <v>1.4529058116232493E-2</v>
      </c>
      <c r="J984" s="1">
        <f t="shared" si="143"/>
        <v>0.72000000000002728</v>
      </c>
      <c r="K984" s="9">
        <f t="shared" si="136"/>
        <v>1.7901541521631709E-3</v>
      </c>
      <c r="L984" s="1">
        <f t="shared" si="137"/>
        <v>1</v>
      </c>
      <c r="M984" s="1">
        <f t="shared" si="138"/>
        <v>405</v>
      </c>
      <c r="N984" s="1">
        <f t="shared" si="139"/>
        <v>399.2</v>
      </c>
      <c r="O984" s="1">
        <f t="shared" si="140"/>
        <v>400.96000000000004</v>
      </c>
      <c r="P984" s="1">
        <f t="shared" si="141"/>
        <v>204.57142857142858</v>
      </c>
    </row>
    <row r="985" spans="1:16">
      <c r="A985" s="2">
        <v>41628</v>
      </c>
      <c r="B985" s="1">
        <v>396.55</v>
      </c>
      <c r="C985" s="1">
        <v>404.72</v>
      </c>
      <c r="D985" s="1">
        <v>395.78</v>
      </c>
      <c r="E985" s="1">
        <v>402.2</v>
      </c>
      <c r="F985" s="1">
        <v>5033900</v>
      </c>
      <c r="G985" s="1">
        <v>402.2</v>
      </c>
      <c r="H985" s="1">
        <f t="shared" si="135"/>
        <v>8.9400000000000546</v>
      </c>
      <c r="I985" s="9">
        <f t="shared" si="142"/>
        <v>2.2588306634999382E-2</v>
      </c>
      <c r="J985" s="1">
        <f t="shared" si="143"/>
        <v>7.0099999999999909</v>
      </c>
      <c r="K985" s="9">
        <f t="shared" si="136"/>
        <v>1.7738303094713911E-2</v>
      </c>
      <c r="L985" s="1">
        <f t="shared" si="137"/>
        <v>1</v>
      </c>
      <c r="M985" s="1">
        <f t="shared" si="138"/>
        <v>404.72</v>
      </c>
      <c r="N985" s="1">
        <f t="shared" si="139"/>
        <v>395.78</v>
      </c>
      <c r="O985" s="1">
        <f t="shared" si="140"/>
        <v>400.24</v>
      </c>
      <c r="P985" s="1">
        <f t="shared" si="141"/>
        <v>204.20408163265307</v>
      </c>
    </row>
    <row r="986" spans="1:16">
      <c r="A986" s="2">
        <v>41627</v>
      </c>
      <c r="B986" s="1">
        <v>394.27</v>
      </c>
      <c r="C986" s="1">
        <v>397.29</v>
      </c>
      <c r="D986" s="1">
        <v>392.6</v>
      </c>
      <c r="E986" s="1">
        <v>395.19</v>
      </c>
      <c r="F986" s="1">
        <v>2427200</v>
      </c>
      <c r="G986" s="1">
        <v>395.19</v>
      </c>
      <c r="H986" s="1">
        <f t="shared" si="135"/>
        <v>4.6899999999999977</v>
      </c>
      <c r="I986" s="9">
        <f t="shared" si="142"/>
        <v>1.1946001018848695E-2</v>
      </c>
      <c r="J986" s="1">
        <f t="shared" si="143"/>
        <v>-0.76999999999998181</v>
      </c>
      <c r="K986" s="9">
        <f t="shared" si="136"/>
        <v>-1.9446408728153901E-3</v>
      </c>
      <c r="L986" s="1">
        <f t="shared" si="137"/>
        <v>1</v>
      </c>
      <c r="M986" s="1">
        <f t="shared" si="138"/>
        <v>397.29</v>
      </c>
      <c r="N986" s="1">
        <f t="shared" si="139"/>
        <v>392.6</v>
      </c>
      <c r="O986" s="1">
        <f t="shared" si="140"/>
        <v>393.23</v>
      </c>
      <c r="P986" s="1">
        <f t="shared" si="141"/>
        <v>200.62755102040816</v>
      </c>
    </row>
    <row r="987" spans="1:16">
      <c r="A987" s="2">
        <v>41626</v>
      </c>
      <c r="B987" s="1">
        <v>389.23</v>
      </c>
      <c r="C987" s="1">
        <v>396.3</v>
      </c>
      <c r="D987" s="1">
        <v>383.1</v>
      </c>
      <c r="E987" s="1">
        <v>395.96</v>
      </c>
      <c r="F987" s="1">
        <v>3489100</v>
      </c>
      <c r="G987" s="1">
        <v>395.96</v>
      </c>
      <c r="H987" s="1">
        <f t="shared" si="135"/>
        <v>13.199999999999989</v>
      </c>
      <c r="I987" s="9">
        <f t="shared" si="142"/>
        <v>3.4455755677368805E-2</v>
      </c>
      <c r="J987" s="1">
        <f t="shared" si="143"/>
        <v>8.3100000000000023</v>
      </c>
      <c r="K987" s="9">
        <f t="shared" si="136"/>
        <v>2.1436863149748492E-2</v>
      </c>
      <c r="L987" s="1">
        <f t="shared" si="137"/>
        <v>1</v>
      </c>
      <c r="M987" s="1">
        <f t="shared" si="138"/>
        <v>396.3</v>
      </c>
      <c r="N987" s="1">
        <f t="shared" si="139"/>
        <v>383.1</v>
      </c>
      <c r="O987" s="1">
        <f t="shared" si="140"/>
        <v>394</v>
      </c>
      <c r="P987" s="1">
        <f t="shared" si="141"/>
        <v>201.0204081632653</v>
      </c>
    </row>
    <row r="988" spans="1:16">
      <c r="A988" s="2">
        <v>41625</v>
      </c>
      <c r="B988" s="1">
        <v>390.65</v>
      </c>
      <c r="C988" s="1">
        <v>391.36</v>
      </c>
      <c r="D988" s="1">
        <v>386.5</v>
      </c>
      <c r="E988" s="1">
        <v>387.65</v>
      </c>
      <c r="F988" s="1">
        <v>2343900</v>
      </c>
      <c r="G988" s="1">
        <v>387.65</v>
      </c>
      <c r="H988" s="1">
        <f t="shared" si="135"/>
        <v>4.8600000000000136</v>
      </c>
      <c r="I988" s="9">
        <f t="shared" si="142"/>
        <v>1.2574385510996154E-2</v>
      </c>
      <c r="J988" s="1">
        <f t="shared" si="143"/>
        <v>-1.32000000000005</v>
      </c>
      <c r="K988" s="9">
        <f t="shared" si="136"/>
        <v>-3.3935779108929991E-3</v>
      </c>
      <c r="L988" s="1">
        <f t="shared" si="137"/>
        <v>1</v>
      </c>
      <c r="M988" s="1">
        <f t="shared" si="138"/>
        <v>391.36</v>
      </c>
      <c r="N988" s="1">
        <f t="shared" si="139"/>
        <v>386.5</v>
      </c>
      <c r="O988" s="1">
        <f t="shared" si="140"/>
        <v>385.69</v>
      </c>
      <c r="P988" s="1">
        <f t="shared" si="141"/>
        <v>196.78061224489795</v>
      </c>
    </row>
    <row r="989" spans="1:16">
      <c r="A989" s="2">
        <v>41624</v>
      </c>
      <c r="B989" s="1">
        <v>385.03</v>
      </c>
      <c r="C989" s="1">
        <v>391.7</v>
      </c>
      <c r="D989" s="1">
        <v>385</v>
      </c>
      <c r="E989" s="1">
        <v>388.97</v>
      </c>
      <c r="F989" s="1">
        <v>2251700</v>
      </c>
      <c r="G989" s="1">
        <v>388.97</v>
      </c>
      <c r="H989" s="1">
        <f t="shared" si="135"/>
        <v>6.6999999999999886</v>
      </c>
      <c r="I989" s="9">
        <f t="shared" si="142"/>
        <v>1.7402597402597374E-2</v>
      </c>
      <c r="J989" s="1">
        <f t="shared" si="143"/>
        <v>4.7300000000000182</v>
      </c>
      <c r="K989" s="9">
        <f t="shared" si="136"/>
        <v>1.231001457422449E-2</v>
      </c>
      <c r="L989" s="1">
        <f t="shared" si="137"/>
        <v>1</v>
      </c>
      <c r="M989" s="1">
        <f t="shared" si="138"/>
        <v>391.7</v>
      </c>
      <c r="N989" s="1">
        <f t="shared" si="139"/>
        <v>385</v>
      </c>
      <c r="O989" s="1">
        <f t="shared" si="140"/>
        <v>387.01000000000005</v>
      </c>
      <c r="P989" s="1">
        <f t="shared" si="141"/>
        <v>197.4540816326531</v>
      </c>
    </row>
    <row r="990" spans="1:16">
      <c r="A990" s="2">
        <v>41621</v>
      </c>
      <c r="B990" s="1">
        <v>385.32</v>
      </c>
      <c r="C990" s="1">
        <v>389.42</v>
      </c>
      <c r="D990" s="1">
        <v>383.8</v>
      </c>
      <c r="E990" s="1">
        <v>384.24</v>
      </c>
      <c r="F990" s="1">
        <v>3025000</v>
      </c>
      <c r="G990" s="1">
        <v>384.24</v>
      </c>
      <c r="H990" s="1">
        <f t="shared" si="135"/>
        <v>5.6200000000000045</v>
      </c>
      <c r="I990" s="9">
        <f t="shared" si="142"/>
        <v>1.4643043251693601E-2</v>
      </c>
      <c r="J990" s="1">
        <f t="shared" si="143"/>
        <v>2.9900000000000091</v>
      </c>
      <c r="K990" s="9">
        <f t="shared" si="136"/>
        <v>7.842622950819696E-3</v>
      </c>
      <c r="L990" s="1">
        <f t="shared" si="137"/>
        <v>1</v>
      </c>
      <c r="M990" s="1">
        <f t="shared" si="138"/>
        <v>389.42</v>
      </c>
      <c r="N990" s="1">
        <f t="shared" si="139"/>
        <v>383.8</v>
      </c>
      <c r="O990" s="1">
        <f t="shared" si="140"/>
        <v>382.28000000000003</v>
      </c>
      <c r="P990" s="1">
        <f t="shared" si="141"/>
        <v>195.04081632653063</v>
      </c>
    </row>
    <row r="991" spans="1:16">
      <c r="A991" s="2">
        <v>41620</v>
      </c>
      <c r="B991" s="1">
        <v>381.26</v>
      </c>
      <c r="C991" s="1">
        <v>385</v>
      </c>
      <c r="D991" s="1">
        <v>379.5</v>
      </c>
      <c r="E991" s="1">
        <v>381.25</v>
      </c>
      <c r="F991" s="1">
        <v>2123700</v>
      </c>
      <c r="G991" s="1">
        <v>381.25</v>
      </c>
      <c r="H991" s="1">
        <f t="shared" si="135"/>
        <v>5.5</v>
      </c>
      <c r="I991" s="9">
        <f t="shared" si="142"/>
        <v>1.4492753623188406E-2</v>
      </c>
      <c r="J991" s="1">
        <f t="shared" si="143"/>
        <v>-0.93999999999999773</v>
      </c>
      <c r="K991" s="9">
        <f t="shared" si="136"/>
        <v>-2.4595096679661888E-3</v>
      </c>
      <c r="L991" s="1">
        <f t="shared" si="137"/>
        <v>1</v>
      </c>
      <c r="M991" s="1">
        <f t="shared" si="138"/>
        <v>385</v>
      </c>
      <c r="N991" s="1">
        <f t="shared" si="139"/>
        <v>379.5</v>
      </c>
      <c r="O991" s="1">
        <f t="shared" si="140"/>
        <v>379.29</v>
      </c>
      <c r="P991" s="1">
        <f t="shared" si="141"/>
        <v>193.515306122449</v>
      </c>
    </row>
    <row r="992" spans="1:16">
      <c r="A992" s="2">
        <v>41619</v>
      </c>
      <c r="B992" s="1">
        <v>387.34</v>
      </c>
      <c r="C992" s="1">
        <v>388.98</v>
      </c>
      <c r="D992" s="1">
        <v>382</v>
      </c>
      <c r="E992" s="1">
        <v>382.19</v>
      </c>
      <c r="F992" s="1">
        <v>2451300</v>
      </c>
      <c r="G992" s="1">
        <v>382.19</v>
      </c>
      <c r="H992" s="1">
        <f t="shared" si="135"/>
        <v>6.9800000000000182</v>
      </c>
      <c r="I992" s="9">
        <f t="shared" si="142"/>
        <v>1.8272251308900572E-2</v>
      </c>
      <c r="J992" s="1">
        <f t="shared" si="143"/>
        <v>-5.589999999999975</v>
      </c>
      <c r="K992" s="9">
        <f t="shared" si="136"/>
        <v>-1.4415390169683778E-2</v>
      </c>
      <c r="L992" s="1">
        <f t="shared" si="137"/>
        <v>1</v>
      </c>
      <c r="M992" s="1">
        <f t="shared" si="138"/>
        <v>388.98</v>
      </c>
      <c r="N992" s="1">
        <f t="shared" si="139"/>
        <v>382</v>
      </c>
      <c r="O992" s="1">
        <f t="shared" si="140"/>
        <v>380.23</v>
      </c>
      <c r="P992" s="1">
        <f t="shared" si="141"/>
        <v>193.99489795918367</v>
      </c>
    </row>
    <row r="993" spans="1:16">
      <c r="A993" s="2">
        <v>41618</v>
      </c>
      <c r="B993" s="1">
        <v>383.74</v>
      </c>
      <c r="C993" s="1">
        <v>389.06</v>
      </c>
      <c r="D993" s="1">
        <v>383.02</v>
      </c>
      <c r="E993" s="1">
        <v>387.78</v>
      </c>
      <c r="F993" s="1">
        <v>2736800</v>
      </c>
      <c r="G993" s="1">
        <v>387.78</v>
      </c>
      <c r="H993" s="1">
        <f t="shared" si="135"/>
        <v>6.0400000000000205</v>
      </c>
      <c r="I993" s="9">
        <f t="shared" si="142"/>
        <v>1.5769411518980786E-2</v>
      </c>
      <c r="J993" s="1">
        <f t="shared" si="143"/>
        <v>2.8899999999999864</v>
      </c>
      <c r="K993" s="9">
        <f t="shared" si="136"/>
        <v>7.5086388318740069E-3</v>
      </c>
      <c r="L993" s="1">
        <f t="shared" si="137"/>
        <v>1</v>
      </c>
      <c r="M993" s="1">
        <f t="shared" si="138"/>
        <v>389.06</v>
      </c>
      <c r="N993" s="1">
        <f t="shared" si="139"/>
        <v>383.02</v>
      </c>
      <c r="O993" s="1">
        <f t="shared" si="140"/>
        <v>385.82</v>
      </c>
      <c r="P993" s="1">
        <f t="shared" si="141"/>
        <v>196.84693877551021</v>
      </c>
    </row>
    <row r="994" spans="1:16">
      <c r="A994" s="2">
        <v>41617</v>
      </c>
      <c r="B994" s="1">
        <v>388.11</v>
      </c>
      <c r="C994" s="1">
        <v>388.21</v>
      </c>
      <c r="D994" s="1">
        <v>382.57</v>
      </c>
      <c r="E994" s="1">
        <v>384.89</v>
      </c>
      <c r="F994" s="1">
        <v>2761800</v>
      </c>
      <c r="G994" s="1">
        <v>384.89</v>
      </c>
      <c r="H994" s="1">
        <f t="shared" si="135"/>
        <v>5.6399999999999864</v>
      </c>
      <c r="I994" s="9">
        <f t="shared" si="142"/>
        <v>1.4742400083644788E-2</v>
      </c>
      <c r="J994" s="1">
        <f t="shared" si="143"/>
        <v>-2.0600000000000023</v>
      </c>
      <c r="K994" s="9">
        <f t="shared" si="136"/>
        <v>-5.3236852306499608E-3</v>
      </c>
      <c r="L994" s="1">
        <f t="shared" si="137"/>
        <v>1</v>
      </c>
      <c r="M994" s="1">
        <f t="shared" si="138"/>
        <v>388.21</v>
      </c>
      <c r="N994" s="1">
        <f t="shared" si="139"/>
        <v>382.57</v>
      </c>
      <c r="O994" s="1">
        <f t="shared" si="140"/>
        <v>382.93</v>
      </c>
      <c r="P994" s="1">
        <f t="shared" si="141"/>
        <v>195.37244897959184</v>
      </c>
    </row>
    <row r="995" spans="1:16">
      <c r="A995" s="2">
        <v>41614</v>
      </c>
      <c r="B995" s="1">
        <v>388.35</v>
      </c>
      <c r="C995" s="1">
        <v>388.35</v>
      </c>
      <c r="D995" s="1">
        <v>383.83</v>
      </c>
      <c r="E995" s="1">
        <v>386.95</v>
      </c>
      <c r="F995" s="1">
        <v>1984700</v>
      </c>
      <c r="G995" s="1">
        <v>386.95</v>
      </c>
      <c r="H995" s="1">
        <f t="shared" si="135"/>
        <v>4.5200000000000387</v>
      </c>
      <c r="I995" s="9">
        <f t="shared" si="142"/>
        <v>1.177604668733564E-2</v>
      </c>
      <c r="J995" s="1">
        <f t="shared" si="143"/>
        <v>2.4599999999999795</v>
      </c>
      <c r="K995" s="9">
        <f t="shared" si="136"/>
        <v>6.3980857759629106E-3</v>
      </c>
      <c r="L995" s="1">
        <f t="shared" si="137"/>
        <v>1</v>
      </c>
      <c r="M995" s="1">
        <f t="shared" si="138"/>
        <v>388.35</v>
      </c>
      <c r="N995" s="1">
        <f t="shared" si="139"/>
        <v>383.83</v>
      </c>
      <c r="O995" s="1">
        <f t="shared" si="140"/>
        <v>384.99</v>
      </c>
      <c r="P995" s="1">
        <f t="shared" si="141"/>
        <v>196.42346938775512</v>
      </c>
    </row>
    <row r="996" spans="1:16">
      <c r="A996" s="2">
        <v>41613</v>
      </c>
      <c r="B996" s="1">
        <v>386.65</v>
      </c>
      <c r="C996" s="1">
        <v>386.65</v>
      </c>
      <c r="D996" s="1">
        <v>381.37</v>
      </c>
      <c r="E996" s="1">
        <v>384.49</v>
      </c>
      <c r="F996" s="1">
        <v>1906500</v>
      </c>
      <c r="G996" s="1">
        <v>384.49</v>
      </c>
      <c r="H996" s="1">
        <f t="shared" si="135"/>
        <v>5.2799999999999727</v>
      </c>
      <c r="I996" s="9">
        <f t="shared" si="142"/>
        <v>1.3844822613210196E-2</v>
      </c>
      <c r="J996" s="1">
        <f t="shared" si="143"/>
        <v>-1.4699999999999704</v>
      </c>
      <c r="K996" s="9">
        <f t="shared" si="136"/>
        <v>-3.8086848378069502E-3</v>
      </c>
      <c r="L996" s="1">
        <f t="shared" si="137"/>
        <v>1</v>
      </c>
      <c r="M996" s="1">
        <f t="shared" si="138"/>
        <v>386.65</v>
      </c>
      <c r="N996" s="1">
        <f t="shared" si="139"/>
        <v>381.37</v>
      </c>
      <c r="O996" s="1">
        <f t="shared" si="140"/>
        <v>382.53000000000003</v>
      </c>
      <c r="P996" s="1">
        <f t="shared" si="141"/>
        <v>195.16836734693879</v>
      </c>
    </row>
    <row r="997" spans="1:16">
      <c r="A997" s="2">
        <v>41612</v>
      </c>
      <c r="B997" s="1">
        <v>383.5</v>
      </c>
      <c r="C997" s="1">
        <v>389.69</v>
      </c>
      <c r="D997" s="1">
        <v>381.49</v>
      </c>
      <c r="E997" s="1">
        <v>385.96</v>
      </c>
      <c r="F997" s="1">
        <v>2355300</v>
      </c>
      <c r="G997" s="1">
        <v>385.96</v>
      </c>
      <c r="H997" s="1">
        <f t="shared" si="135"/>
        <v>8.1999999999999886</v>
      </c>
      <c r="I997" s="9">
        <f t="shared" si="142"/>
        <v>2.1494665653097038E-2</v>
      </c>
      <c r="J997" s="1">
        <f t="shared" si="143"/>
        <v>1.2999999999999545</v>
      </c>
      <c r="K997" s="9">
        <f t="shared" si="136"/>
        <v>3.3796079654758865E-3</v>
      </c>
      <c r="L997" s="1">
        <f t="shared" si="137"/>
        <v>1</v>
      </c>
      <c r="M997" s="1">
        <f t="shared" si="138"/>
        <v>389.69</v>
      </c>
      <c r="N997" s="1">
        <f t="shared" si="139"/>
        <v>381.49</v>
      </c>
      <c r="O997" s="1">
        <f t="shared" si="140"/>
        <v>384</v>
      </c>
      <c r="P997" s="1">
        <f t="shared" si="141"/>
        <v>195.91836734693877</v>
      </c>
    </row>
    <row r="998" spans="1:16">
      <c r="A998" s="2">
        <v>41611</v>
      </c>
      <c r="B998" s="1">
        <v>390.11</v>
      </c>
      <c r="C998" s="1">
        <v>390.95</v>
      </c>
      <c r="D998" s="1">
        <v>383.1</v>
      </c>
      <c r="E998" s="1">
        <v>384.66</v>
      </c>
      <c r="F998" s="1">
        <v>3702900</v>
      </c>
      <c r="G998" s="1">
        <v>384.66</v>
      </c>
      <c r="H998" s="1">
        <f t="shared" si="135"/>
        <v>7.8499999999999659</v>
      </c>
      <c r="I998" s="9">
        <f t="shared" si="142"/>
        <v>2.0490733489950314E-2</v>
      </c>
      <c r="J998" s="1">
        <f t="shared" si="143"/>
        <v>-7.6399999999999864</v>
      </c>
      <c r="K998" s="9">
        <f t="shared" si="136"/>
        <v>-1.9474891664542408E-2</v>
      </c>
      <c r="L998" s="1">
        <f t="shared" si="137"/>
        <v>1</v>
      </c>
      <c r="M998" s="1">
        <f t="shared" si="138"/>
        <v>390.95</v>
      </c>
      <c r="N998" s="1">
        <f t="shared" si="139"/>
        <v>383.1</v>
      </c>
      <c r="O998" s="1">
        <f t="shared" si="140"/>
        <v>382.70000000000005</v>
      </c>
      <c r="P998" s="1">
        <f t="shared" si="141"/>
        <v>195.25510204081635</v>
      </c>
    </row>
    <row r="999" spans="1:16">
      <c r="A999" s="2">
        <v>41610</v>
      </c>
      <c r="B999" s="1">
        <v>399</v>
      </c>
      <c r="C999" s="1">
        <v>399</v>
      </c>
      <c r="D999" s="1">
        <v>389.1</v>
      </c>
      <c r="E999" s="1">
        <v>392.3</v>
      </c>
      <c r="F999" s="1">
        <v>4714000</v>
      </c>
      <c r="G999" s="1">
        <v>392.3</v>
      </c>
      <c r="H999" s="1">
        <f t="shared" si="135"/>
        <v>9.8999999999999773</v>
      </c>
      <c r="I999" s="9">
        <f t="shared" si="142"/>
        <v>2.5443330763299864E-2</v>
      </c>
      <c r="J999" s="1">
        <f t="shared" si="143"/>
        <v>-1.3199999999999932</v>
      </c>
      <c r="K999" s="9">
        <f t="shared" si="136"/>
        <v>-3.3534881357654418E-3</v>
      </c>
      <c r="L999" s="1">
        <f t="shared" si="137"/>
        <v>1</v>
      </c>
      <c r="M999" s="1">
        <f t="shared" si="138"/>
        <v>399</v>
      </c>
      <c r="N999" s="1">
        <f t="shared" si="139"/>
        <v>389.1</v>
      </c>
      <c r="O999" s="1">
        <f t="shared" si="140"/>
        <v>390.34000000000003</v>
      </c>
      <c r="P999" s="1">
        <f t="shared" si="141"/>
        <v>199.15306122448982</v>
      </c>
    </row>
    <row r="1000" spans="1:16">
      <c r="A1000" s="2">
        <v>41607</v>
      </c>
      <c r="B1000" s="1">
        <v>389.1</v>
      </c>
      <c r="C1000" s="1">
        <v>394.1</v>
      </c>
      <c r="D1000" s="1">
        <v>388.62</v>
      </c>
      <c r="E1000" s="1">
        <v>393.62</v>
      </c>
      <c r="F1000" s="1">
        <v>2406000</v>
      </c>
      <c r="G1000" s="1">
        <v>393.62</v>
      </c>
      <c r="H1000" s="1">
        <f t="shared" si="135"/>
        <v>5.4800000000000182</v>
      </c>
      <c r="I1000" s="9">
        <f t="shared" si="142"/>
        <v>1.410117852915449E-2</v>
      </c>
      <c r="J1000" s="1">
        <f t="shared" si="143"/>
        <v>6.910000000000025</v>
      </c>
      <c r="K1000" s="9">
        <f t="shared" si="136"/>
        <v>1.7868687129890683E-2</v>
      </c>
      <c r="L1000" s="1">
        <f t="shared" si="137"/>
        <v>1</v>
      </c>
      <c r="M1000" s="1">
        <f t="shared" si="138"/>
        <v>394.1</v>
      </c>
      <c r="N1000" s="1">
        <f t="shared" si="139"/>
        <v>388.62</v>
      </c>
      <c r="O1000" s="1">
        <f t="shared" si="140"/>
        <v>391.66</v>
      </c>
      <c r="P1000" s="1">
        <f t="shared" si="141"/>
        <v>199.82653061224491</v>
      </c>
    </row>
    <row r="1001" spans="1:16">
      <c r="A1001" s="2">
        <v>41605</v>
      </c>
      <c r="B1001" s="1">
        <v>383.5</v>
      </c>
      <c r="C1001" s="1">
        <v>387</v>
      </c>
      <c r="D1001" s="1">
        <v>382.61</v>
      </c>
      <c r="E1001" s="1">
        <v>386.71</v>
      </c>
      <c r="F1001" s="1">
        <v>2269700</v>
      </c>
      <c r="G1001" s="1">
        <v>386.71</v>
      </c>
      <c r="H1001" s="1">
        <f t="shared" si="135"/>
        <v>4.3899999999999864</v>
      </c>
      <c r="I1001" s="9">
        <f t="shared" si="142"/>
        <v>1.1473824521052733E-2</v>
      </c>
      <c r="J1001" s="1">
        <f t="shared" si="143"/>
        <v>5.339999999999975</v>
      </c>
      <c r="K1001" s="9">
        <f t="shared" si="136"/>
        <v>1.4002150142905774E-2</v>
      </c>
      <c r="L1001" s="1">
        <f t="shared" si="137"/>
        <v>1</v>
      </c>
      <c r="M1001" s="1">
        <f t="shared" si="138"/>
        <v>387</v>
      </c>
      <c r="N1001" s="1">
        <f t="shared" si="139"/>
        <v>382.61</v>
      </c>
      <c r="O1001" s="1">
        <f t="shared" si="140"/>
        <v>384.75</v>
      </c>
      <c r="P1001" s="1">
        <f t="shared" si="141"/>
        <v>196.30102040816328</v>
      </c>
    </row>
    <row r="1002" spans="1:16">
      <c r="A1002" s="2">
        <v>41604</v>
      </c>
      <c r="B1002" s="1">
        <v>377.61</v>
      </c>
      <c r="C1002" s="1">
        <v>382.5</v>
      </c>
      <c r="D1002" s="1">
        <v>374.82</v>
      </c>
      <c r="E1002" s="1">
        <v>381.37</v>
      </c>
      <c r="F1002" s="1">
        <v>2724400</v>
      </c>
      <c r="G1002" s="1">
        <v>381.37</v>
      </c>
      <c r="H1002" s="1">
        <f t="shared" si="135"/>
        <v>7.6800000000000068</v>
      </c>
      <c r="I1002" s="9">
        <f t="shared" si="142"/>
        <v>2.048983512085803E-2</v>
      </c>
      <c r="J1002" s="1">
        <f t="shared" si="143"/>
        <v>4.7300000000000182</v>
      </c>
      <c r="K1002" s="9">
        <f t="shared" si="136"/>
        <v>1.2558411214953319E-2</v>
      </c>
      <c r="L1002" s="1">
        <f t="shared" si="137"/>
        <v>1</v>
      </c>
      <c r="M1002" s="1">
        <f t="shared" si="138"/>
        <v>382.5</v>
      </c>
      <c r="N1002" s="1">
        <f t="shared" si="139"/>
        <v>374.82</v>
      </c>
      <c r="O1002" s="1">
        <f t="shared" si="140"/>
        <v>379.41</v>
      </c>
      <c r="P1002" s="1">
        <f t="shared" si="141"/>
        <v>193.57653061224491</v>
      </c>
    </row>
    <row r="1003" spans="1:16">
      <c r="A1003" s="2">
        <v>41603</v>
      </c>
      <c r="B1003" s="1">
        <v>373.82</v>
      </c>
      <c r="C1003" s="1">
        <v>377.79</v>
      </c>
      <c r="D1003" s="1">
        <v>373.18</v>
      </c>
      <c r="E1003" s="1">
        <v>376.64</v>
      </c>
      <c r="F1003" s="1">
        <v>2972300</v>
      </c>
      <c r="G1003" s="1">
        <v>376.64</v>
      </c>
      <c r="H1003" s="1">
        <f t="shared" si="135"/>
        <v>4.6100000000000136</v>
      </c>
      <c r="I1003" s="9">
        <f t="shared" si="142"/>
        <v>1.2353287957554032E-2</v>
      </c>
      <c r="J1003" s="1">
        <f t="shared" si="143"/>
        <v>4.3299999999999841</v>
      </c>
      <c r="K1003" s="9">
        <f t="shared" si="136"/>
        <v>1.1630093201901599E-2</v>
      </c>
      <c r="L1003" s="1">
        <f t="shared" si="137"/>
        <v>1</v>
      </c>
      <c r="M1003" s="1">
        <f t="shared" si="138"/>
        <v>377.79</v>
      </c>
      <c r="N1003" s="1">
        <f t="shared" si="139"/>
        <v>373.18</v>
      </c>
      <c r="O1003" s="1">
        <f t="shared" si="140"/>
        <v>374.68</v>
      </c>
      <c r="P1003" s="1">
        <f t="shared" si="141"/>
        <v>191.16326530612247</v>
      </c>
    </row>
    <row r="1004" spans="1:16">
      <c r="A1004" s="2">
        <v>41600</v>
      </c>
      <c r="B1004" s="1">
        <v>370</v>
      </c>
      <c r="C1004" s="1">
        <v>374.5</v>
      </c>
      <c r="D1004" s="1">
        <v>366.31</v>
      </c>
      <c r="E1004" s="1">
        <v>372.31</v>
      </c>
      <c r="F1004" s="1">
        <v>2965500</v>
      </c>
      <c r="G1004" s="1">
        <v>372.31</v>
      </c>
      <c r="H1004" s="1">
        <f t="shared" si="135"/>
        <v>8.1899999999999977</v>
      </c>
      <c r="I1004" s="9">
        <f t="shared" si="142"/>
        <v>2.2358111981654875E-2</v>
      </c>
      <c r="J1004" s="1">
        <f t="shared" si="143"/>
        <v>3.3899999999999864</v>
      </c>
      <c r="K1004" s="9">
        <f t="shared" si="136"/>
        <v>9.1889840615851301E-3</v>
      </c>
      <c r="L1004" s="1">
        <f t="shared" si="137"/>
        <v>1</v>
      </c>
      <c r="M1004" s="1">
        <f t="shared" si="138"/>
        <v>374.5</v>
      </c>
      <c r="N1004" s="1">
        <f t="shared" si="139"/>
        <v>366.31</v>
      </c>
      <c r="O1004" s="1">
        <f t="shared" si="140"/>
        <v>370.35</v>
      </c>
      <c r="P1004" s="1">
        <f t="shared" si="141"/>
        <v>188.95408163265307</v>
      </c>
    </row>
    <row r="1005" spans="1:16">
      <c r="A1005" s="2">
        <v>41599</v>
      </c>
      <c r="B1005" s="1">
        <v>364.05</v>
      </c>
      <c r="C1005" s="1">
        <v>369.25</v>
      </c>
      <c r="D1005" s="1">
        <v>363.3</v>
      </c>
      <c r="E1005" s="1">
        <v>368.92</v>
      </c>
      <c r="F1005" s="1">
        <v>1964600</v>
      </c>
      <c r="G1005" s="1">
        <v>368.92</v>
      </c>
      <c r="H1005" s="1">
        <f t="shared" si="135"/>
        <v>5.9499999999999886</v>
      </c>
      <c r="I1005" s="9">
        <f t="shared" si="142"/>
        <v>1.6377649325626173E-2</v>
      </c>
      <c r="J1005" s="1">
        <f t="shared" si="143"/>
        <v>6.3500000000000227</v>
      </c>
      <c r="K1005" s="9">
        <f t="shared" si="136"/>
        <v>1.7513859392669064E-2</v>
      </c>
      <c r="L1005" s="1">
        <f t="shared" si="137"/>
        <v>1</v>
      </c>
      <c r="M1005" s="1">
        <f t="shared" si="138"/>
        <v>369.25</v>
      </c>
      <c r="N1005" s="1">
        <f t="shared" si="139"/>
        <v>363.3</v>
      </c>
      <c r="O1005" s="1">
        <f t="shared" si="140"/>
        <v>366.96000000000004</v>
      </c>
      <c r="P1005" s="1">
        <f t="shared" si="141"/>
        <v>187.2244897959184</v>
      </c>
    </row>
    <row r="1006" spans="1:16">
      <c r="A1006" s="2">
        <v>41598</v>
      </c>
      <c r="B1006" s="1">
        <v>367.56</v>
      </c>
      <c r="C1006" s="1">
        <v>367.56</v>
      </c>
      <c r="D1006" s="1">
        <v>360.45</v>
      </c>
      <c r="E1006" s="1">
        <v>362.57</v>
      </c>
      <c r="F1006" s="1">
        <v>1771500</v>
      </c>
      <c r="G1006" s="1">
        <v>362.57</v>
      </c>
      <c r="H1006" s="1">
        <f t="shared" si="135"/>
        <v>7.1100000000000136</v>
      </c>
      <c r="I1006" s="9">
        <f t="shared" si="142"/>
        <v>1.9725343320848979E-2</v>
      </c>
      <c r="J1006" s="1">
        <f t="shared" si="143"/>
        <v>-2.3700000000000045</v>
      </c>
      <c r="K1006" s="9">
        <f t="shared" si="136"/>
        <v>-6.4942182276538736E-3</v>
      </c>
      <c r="L1006" s="1">
        <f t="shared" si="137"/>
        <v>1</v>
      </c>
      <c r="M1006" s="1">
        <f t="shared" si="138"/>
        <v>367.56</v>
      </c>
      <c r="N1006" s="1">
        <f t="shared" si="139"/>
        <v>360.45</v>
      </c>
      <c r="O1006" s="1">
        <f t="shared" si="140"/>
        <v>360.61</v>
      </c>
      <c r="P1006" s="1">
        <f t="shared" si="141"/>
        <v>183.98469387755102</v>
      </c>
    </row>
    <row r="1007" spans="1:16">
      <c r="A1007" s="2">
        <v>41597</v>
      </c>
      <c r="B1007" s="1">
        <v>365.82</v>
      </c>
      <c r="C1007" s="1">
        <v>368.78</v>
      </c>
      <c r="D1007" s="1">
        <v>362.5</v>
      </c>
      <c r="E1007" s="1">
        <v>364.94</v>
      </c>
      <c r="F1007" s="1">
        <v>1904800</v>
      </c>
      <c r="G1007" s="1">
        <v>364.94</v>
      </c>
      <c r="H1007" s="1">
        <f t="shared" si="135"/>
        <v>6.2799999999999727</v>
      </c>
      <c r="I1007" s="9">
        <f t="shared" si="142"/>
        <v>1.7324137931034409E-2</v>
      </c>
      <c r="J1007" s="1">
        <f t="shared" si="143"/>
        <v>-1.2400000000000091</v>
      </c>
      <c r="K1007" s="9">
        <f t="shared" si="136"/>
        <v>-3.3863127423671667E-3</v>
      </c>
      <c r="L1007" s="1">
        <f t="shared" si="137"/>
        <v>1</v>
      </c>
      <c r="M1007" s="1">
        <f t="shared" si="138"/>
        <v>368.78</v>
      </c>
      <c r="N1007" s="1">
        <f t="shared" si="139"/>
        <v>362.5</v>
      </c>
      <c r="O1007" s="1">
        <f t="shared" si="140"/>
        <v>362.98</v>
      </c>
      <c r="P1007" s="1">
        <f t="shared" si="141"/>
        <v>185.19387755102042</v>
      </c>
    </row>
    <row r="1008" spans="1:16">
      <c r="A1008" s="2">
        <v>41596</v>
      </c>
      <c r="B1008" s="1">
        <v>370.28</v>
      </c>
      <c r="C1008" s="1">
        <v>373.49</v>
      </c>
      <c r="D1008" s="1">
        <v>364.67</v>
      </c>
      <c r="E1008" s="1">
        <v>366.18</v>
      </c>
      <c r="F1008" s="1">
        <v>2737400</v>
      </c>
      <c r="G1008" s="1">
        <v>366.18</v>
      </c>
      <c r="H1008" s="1">
        <f t="shared" si="135"/>
        <v>8.8199999999999932</v>
      </c>
      <c r="I1008" s="9">
        <f t="shared" si="142"/>
        <v>2.4186250582718602E-2</v>
      </c>
      <c r="J1008" s="1">
        <f t="shared" si="143"/>
        <v>-2.9900000000000091</v>
      </c>
      <c r="K1008" s="9">
        <f t="shared" si="136"/>
        <v>-8.0992496681745775E-3</v>
      </c>
      <c r="L1008" s="1">
        <f t="shared" si="137"/>
        <v>1</v>
      </c>
      <c r="M1008" s="1">
        <f t="shared" si="138"/>
        <v>373.49</v>
      </c>
      <c r="N1008" s="1">
        <f t="shared" si="139"/>
        <v>364.67</v>
      </c>
      <c r="O1008" s="1">
        <f t="shared" si="140"/>
        <v>364.22</v>
      </c>
      <c r="P1008" s="1">
        <f t="shared" si="141"/>
        <v>185.82653061224491</v>
      </c>
    </row>
    <row r="1009" spans="1:16">
      <c r="A1009" s="2">
        <v>41593</v>
      </c>
      <c r="B1009" s="1">
        <v>367.63</v>
      </c>
      <c r="C1009" s="1">
        <v>372.9</v>
      </c>
      <c r="D1009" s="1">
        <v>365.55</v>
      </c>
      <c r="E1009" s="1">
        <v>369.17</v>
      </c>
      <c r="F1009" s="1">
        <v>4491600</v>
      </c>
      <c r="G1009" s="1">
        <v>369.17</v>
      </c>
      <c r="H1009" s="1">
        <f t="shared" si="135"/>
        <v>7.3499999999999659</v>
      </c>
      <c r="I1009" s="9">
        <f t="shared" si="142"/>
        <v>2.0106688551497651E-2</v>
      </c>
      <c r="J1009" s="1">
        <f t="shared" si="143"/>
        <v>1.7700000000000387</v>
      </c>
      <c r="K1009" s="9">
        <f t="shared" si="136"/>
        <v>4.8176374523680966E-3</v>
      </c>
      <c r="L1009" s="1">
        <f t="shared" si="137"/>
        <v>1</v>
      </c>
      <c r="M1009" s="1">
        <f t="shared" si="138"/>
        <v>372.9</v>
      </c>
      <c r="N1009" s="1">
        <f t="shared" si="139"/>
        <v>365.55</v>
      </c>
      <c r="O1009" s="1">
        <f t="shared" si="140"/>
        <v>367.21000000000004</v>
      </c>
      <c r="P1009" s="1">
        <f t="shared" si="141"/>
        <v>187.35204081632656</v>
      </c>
    </row>
    <row r="1010" spans="1:16">
      <c r="A1010" s="2">
        <v>41592</v>
      </c>
      <c r="B1010" s="1">
        <v>357.39</v>
      </c>
      <c r="C1010" s="1">
        <v>368.94</v>
      </c>
      <c r="D1010" s="1">
        <v>356.43</v>
      </c>
      <c r="E1010" s="1">
        <v>367.4</v>
      </c>
      <c r="F1010" s="1">
        <v>4159800</v>
      </c>
      <c r="G1010" s="1">
        <v>367.4</v>
      </c>
      <c r="H1010" s="1">
        <f t="shared" si="135"/>
        <v>12.509999999999991</v>
      </c>
      <c r="I1010" s="9">
        <f t="shared" si="142"/>
        <v>3.509805571921553E-2</v>
      </c>
      <c r="J1010" s="1">
        <f t="shared" si="143"/>
        <v>11.17999999999995</v>
      </c>
      <c r="K1010" s="9">
        <f t="shared" si="136"/>
        <v>3.1385099096064087E-2</v>
      </c>
      <c r="L1010" s="1">
        <f t="shared" si="137"/>
        <v>1</v>
      </c>
      <c r="M1010" s="1">
        <f t="shared" si="138"/>
        <v>368.94</v>
      </c>
      <c r="N1010" s="1">
        <f t="shared" si="139"/>
        <v>356.43</v>
      </c>
      <c r="O1010" s="1">
        <f t="shared" si="140"/>
        <v>365.44</v>
      </c>
      <c r="P1010" s="1">
        <f t="shared" si="141"/>
        <v>186.44897959183675</v>
      </c>
    </row>
    <row r="1011" spans="1:16">
      <c r="A1011" s="2">
        <v>41591</v>
      </c>
      <c r="B1011" s="1">
        <v>347.4</v>
      </c>
      <c r="C1011" s="1">
        <v>356.22</v>
      </c>
      <c r="D1011" s="1">
        <v>345.68</v>
      </c>
      <c r="E1011" s="1">
        <v>356.22</v>
      </c>
      <c r="F1011" s="1">
        <v>2773300</v>
      </c>
      <c r="G1011" s="1">
        <v>356.22</v>
      </c>
      <c r="H1011" s="1">
        <f t="shared" si="135"/>
        <v>10.54000000000002</v>
      </c>
      <c r="I1011" s="9">
        <f t="shared" si="142"/>
        <v>3.0490627169636717E-2</v>
      </c>
      <c r="J1011" s="1">
        <f t="shared" si="143"/>
        <v>6.6900000000000546</v>
      </c>
      <c r="K1011" s="9">
        <f t="shared" si="136"/>
        <v>1.9139987983864203E-2</v>
      </c>
      <c r="L1011" s="1">
        <f t="shared" si="137"/>
        <v>1</v>
      </c>
      <c r="M1011" s="1">
        <f t="shared" si="138"/>
        <v>356.22</v>
      </c>
      <c r="N1011" s="1">
        <f t="shared" si="139"/>
        <v>345.68</v>
      </c>
      <c r="O1011" s="1">
        <f t="shared" si="140"/>
        <v>354.26000000000005</v>
      </c>
      <c r="P1011" s="1">
        <f t="shared" si="141"/>
        <v>180.7448979591837</v>
      </c>
    </row>
    <row r="1012" spans="1:16">
      <c r="A1012" s="2">
        <v>41590</v>
      </c>
      <c r="B1012" s="1">
        <v>352.99</v>
      </c>
      <c r="C1012" s="1">
        <v>355.48</v>
      </c>
      <c r="D1012" s="1">
        <v>347.28</v>
      </c>
      <c r="E1012" s="1">
        <v>349.53</v>
      </c>
      <c r="F1012" s="1">
        <v>2343100</v>
      </c>
      <c r="G1012" s="1">
        <v>349.53</v>
      </c>
      <c r="H1012" s="1">
        <f t="shared" si="135"/>
        <v>8.2000000000000455</v>
      </c>
      <c r="I1012" s="9">
        <f t="shared" si="142"/>
        <v>2.361207095139382E-2</v>
      </c>
      <c r="J1012" s="1">
        <f t="shared" si="143"/>
        <v>-4.8500000000000227</v>
      </c>
      <c r="K1012" s="9">
        <f t="shared" si="136"/>
        <v>-1.3685873920650213E-2</v>
      </c>
      <c r="L1012" s="1">
        <f t="shared" si="137"/>
        <v>1</v>
      </c>
      <c r="M1012" s="1">
        <f t="shared" si="138"/>
        <v>355.48</v>
      </c>
      <c r="N1012" s="1">
        <f t="shared" si="139"/>
        <v>347.28</v>
      </c>
      <c r="O1012" s="1">
        <f t="shared" si="140"/>
        <v>347.57</v>
      </c>
      <c r="P1012" s="1">
        <f t="shared" si="141"/>
        <v>177.33163265306123</v>
      </c>
    </row>
    <row r="1013" spans="1:16">
      <c r="A1013" s="2">
        <v>41589</v>
      </c>
      <c r="B1013" s="1">
        <v>350.59</v>
      </c>
      <c r="C1013" s="1">
        <v>355.37</v>
      </c>
      <c r="D1013" s="1">
        <v>348.06</v>
      </c>
      <c r="E1013" s="1">
        <v>354.38</v>
      </c>
      <c r="F1013" s="1">
        <v>2261700</v>
      </c>
      <c r="G1013" s="1">
        <v>354.38</v>
      </c>
      <c r="H1013" s="1">
        <f t="shared" si="135"/>
        <v>7.3100000000000023</v>
      </c>
      <c r="I1013" s="9">
        <f t="shared" si="142"/>
        <v>2.1002126070217786E-2</v>
      </c>
      <c r="J1013" s="1">
        <f t="shared" si="143"/>
        <v>4.0699999999999932</v>
      </c>
      <c r="K1013" s="9">
        <f t="shared" si="136"/>
        <v>1.1618280951157526E-2</v>
      </c>
      <c r="L1013" s="1">
        <f t="shared" si="137"/>
        <v>1</v>
      </c>
      <c r="M1013" s="1">
        <f t="shared" si="138"/>
        <v>355.37</v>
      </c>
      <c r="N1013" s="1">
        <f t="shared" si="139"/>
        <v>348.06</v>
      </c>
      <c r="O1013" s="1">
        <f t="shared" si="140"/>
        <v>352.42</v>
      </c>
      <c r="P1013" s="1">
        <f t="shared" si="141"/>
        <v>179.80612244897961</v>
      </c>
    </row>
    <row r="1014" spans="1:16">
      <c r="A1014" s="2">
        <v>41586</v>
      </c>
      <c r="B1014" s="1">
        <v>345.95</v>
      </c>
      <c r="C1014" s="1">
        <v>351.05</v>
      </c>
      <c r="D1014" s="1">
        <v>344.04</v>
      </c>
      <c r="E1014" s="1">
        <v>350.31</v>
      </c>
      <c r="F1014" s="1">
        <v>2656900</v>
      </c>
      <c r="G1014" s="1">
        <v>350.31</v>
      </c>
      <c r="H1014" s="1">
        <f t="shared" si="135"/>
        <v>7.0099999999999909</v>
      </c>
      <c r="I1014" s="9">
        <f t="shared" si="142"/>
        <v>2.0375537728171116E-2</v>
      </c>
      <c r="J1014" s="1">
        <f t="shared" si="143"/>
        <v>6.75</v>
      </c>
      <c r="K1014" s="9">
        <f t="shared" si="136"/>
        <v>1.9647223192455467E-2</v>
      </c>
      <c r="L1014" s="1">
        <f t="shared" si="137"/>
        <v>1</v>
      </c>
      <c r="M1014" s="1">
        <f t="shared" si="138"/>
        <v>351.05</v>
      </c>
      <c r="N1014" s="1">
        <f t="shared" si="139"/>
        <v>344.04</v>
      </c>
      <c r="O1014" s="1">
        <f t="shared" si="140"/>
        <v>348.35</v>
      </c>
      <c r="P1014" s="1">
        <f t="shared" si="141"/>
        <v>177.7295918367347</v>
      </c>
    </row>
    <row r="1015" spans="1:16">
      <c r="A1015" s="2">
        <v>41585</v>
      </c>
      <c r="B1015" s="1">
        <v>355.86</v>
      </c>
      <c r="C1015" s="1">
        <v>357.9</v>
      </c>
      <c r="D1015" s="1">
        <v>341.88</v>
      </c>
      <c r="E1015" s="1">
        <v>343.56</v>
      </c>
      <c r="F1015" s="1">
        <v>4246300</v>
      </c>
      <c r="G1015" s="1">
        <v>343.56</v>
      </c>
      <c r="H1015" s="1">
        <f t="shared" si="135"/>
        <v>16.019999999999982</v>
      </c>
      <c r="I1015" s="9">
        <f t="shared" si="142"/>
        <v>4.6858546858546804E-2</v>
      </c>
      <c r="J1015" s="1">
        <f t="shared" si="143"/>
        <v>-12.620000000000005</v>
      </c>
      <c r="K1015" s="9">
        <f t="shared" si="136"/>
        <v>-3.5431523387051501E-2</v>
      </c>
      <c r="L1015" s="1">
        <f t="shared" si="137"/>
        <v>1</v>
      </c>
      <c r="M1015" s="1">
        <f t="shared" si="138"/>
        <v>357.9</v>
      </c>
      <c r="N1015" s="1">
        <f t="shared" si="139"/>
        <v>341.88</v>
      </c>
      <c r="O1015" s="1">
        <f t="shared" si="140"/>
        <v>341.6</v>
      </c>
      <c r="P1015" s="1">
        <f t="shared" si="141"/>
        <v>174.28571428571431</v>
      </c>
    </row>
    <row r="1016" spans="1:16">
      <c r="A1016" s="2">
        <v>41584</v>
      </c>
      <c r="B1016" s="1">
        <v>360.45</v>
      </c>
      <c r="C1016" s="1">
        <v>362.87</v>
      </c>
      <c r="D1016" s="1">
        <v>354.5</v>
      </c>
      <c r="E1016" s="1">
        <v>356.18</v>
      </c>
      <c r="F1016" s="1">
        <v>2282300</v>
      </c>
      <c r="G1016" s="1">
        <v>356.18</v>
      </c>
      <c r="H1016" s="1">
        <f t="shared" si="135"/>
        <v>8.3700000000000045</v>
      </c>
      <c r="I1016" s="9">
        <f t="shared" si="142"/>
        <v>2.361071932299014E-2</v>
      </c>
      <c r="J1016" s="1">
        <f t="shared" si="143"/>
        <v>-2.7099999999999795</v>
      </c>
      <c r="K1016" s="9">
        <f t="shared" si="136"/>
        <v>-7.5510602134358151E-3</v>
      </c>
      <c r="L1016" s="1">
        <f t="shared" si="137"/>
        <v>1</v>
      </c>
      <c r="M1016" s="1">
        <f t="shared" si="138"/>
        <v>362.87</v>
      </c>
      <c r="N1016" s="1">
        <f t="shared" si="139"/>
        <v>354.5</v>
      </c>
      <c r="O1016" s="1">
        <f t="shared" si="140"/>
        <v>354.22</v>
      </c>
      <c r="P1016" s="1">
        <f t="shared" si="141"/>
        <v>180.72448979591837</v>
      </c>
    </row>
    <row r="1017" spans="1:16">
      <c r="A1017" s="2">
        <v>41583</v>
      </c>
      <c r="B1017" s="1">
        <v>356.78</v>
      </c>
      <c r="C1017" s="1">
        <v>360.17</v>
      </c>
      <c r="D1017" s="1">
        <v>354.84</v>
      </c>
      <c r="E1017" s="1">
        <v>358.89</v>
      </c>
      <c r="F1017" s="1">
        <v>2007100</v>
      </c>
      <c r="G1017" s="1">
        <v>358.89</v>
      </c>
      <c r="H1017" s="1">
        <f t="shared" si="135"/>
        <v>5.3300000000000409</v>
      </c>
      <c r="I1017" s="9">
        <f t="shared" si="142"/>
        <v>1.5020854469620227E-2</v>
      </c>
      <c r="J1017" s="1">
        <f t="shared" si="143"/>
        <v>0.14999999999997726</v>
      </c>
      <c r="K1017" s="9">
        <f t="shared" si="136"/>
        <v>4.1813012209393225E-4</v>
      </c>
      <c r="L1017" s="1">
        <f t="shared" si="137"/>
        <v>1</v>
      </c>
      <c r="M1017" s="1">
        <f t="shared" si="138"/>
        <v>360.17</v>
      </c>
      <c r="N1017" s="1">
        <f t="shared" si="139"/>
        <v>354.84</v>
      </c>
      <c r="O1017" s="1">
        <f t="shared" si="140"/>
        <v>356.93</v>
      </c>
      <c r="P1017" s="1">
        <f t="shared" si="141"/>
        <v>182.10714285714286</v>
      </c>
    </row>
    <row r="1018" spans="1:16">
      <c r="A1018" s="2">
        <v>41582</v>
      </c>
      <c r="B1018" s="1">
        <v>360.12</v>
      </c>
      <c r="C1018" s="1">
        <v>361</v>
      </c>
      <c r="D1018" s="1">
        <v>354.4</v>
      </c>
      <c r="E1018" s="1">
        <v>358.74</v>
      </c>
      <c r="F1018" s="1">
        <v>1938400</v>
      </c>
      <c r="G1018" s="1">
        <v>358.74</v>
      </c>
      <c r="H1018" s="1">
        <f t="shared" si="135"/>
        <v>6.6000000000000227</v>
      </c>
      <c r="I1018" s="9">
        <f t="shared" si="142"/>
        <v>1.8623024830699841E-2</v>
      </c>
      <c r="J1018" s="1">
        <f t="shared" si="143"/>
        <v>-0.25999999999999091</v>
      </c>
      <c r="K1018" s="9">
        <f t="shared" si="136"/>
        <v>-7.2423398328688271E-4</v>
      </c>
      <c r="L1018" s="1">
        <f t="shared" si="137"/>
        <v>1</v>
      </c>
      <c r="M1018" s="1">
        <f t="shared" si="138"/>
        <v>361</v>
      </c>
      <c r="N1018" s="1">
        <f t="shared" si="139"/>
        <v>354.4</v>
      </c>
      <c r="O1018" s="1">
        <f t="shared" si="140"/>
        <v>356.78000000000003</v>
      </c>
      <c r="P1018" s="1">
        <f t="shared" si="141"/>
        <v>182.03061224489798</v>
      </c>
    </row>
    <row r="1019" spans="1:16">
      <c r="A1019" s="2">
        <v>41579</v>
      </c>
      <c r="B1019" s="1">
        <v>365.63</v>
      </c>
      <c r="C1019" s="1">
        <v>365.77</v>
      </c>
      <c r="D1019" s="1">
        <v>356.1</v>
      </c>
      <c r="E1019" s="1">
        <v>359</v>
      </c>
      <c r="F1019" s="1">
        <v>3331000</v>
      </c>
      <c r="G1019" s="1">
        <v>359</v>
      </c>
      <c r="H1019" s="1">
        <f t="shared" si="135"/>
        <v>9.6699999999999591</v>
      </c>
      <c r="I1019" s="9">
        <f t="shared" si="142"/>
        <v>2.7155293456894013E-2</v>
      </c>
      <c r="J1019" s="1">
        <f t="shared" si="143"/>
        <v>-5.0299999999999727</v>
      </c>
      <c r="K1019" s="9">
        <f t="shared" si="136"/>
        <v>-1.38175425102326E-2</v>
      </c>
      <c r="L1019" s="1">
        <f t="shared" si="137"/>
        <v>1</v>
      </c>
      <c r="M1019" s="1">
        <f t="shared" si="138"/>
        <v>365.77</v>
      </c>
      <c r="N1019" s="1">
        <f t="shared" si="139"/>
        <v>356.1</v>
      </c>
      <c r="O1019" s="1">
        <f t="shared" si="140"/>
        <v>357.04</v>
      </c>
      <c r="P1019" s="1">
        <f t="shared" si="141"/>
        <v>182.16326530612247</v>
      </c>
    </row>
    <row r="1020" spans="1:16">
      <c r="A1020" s="2">
        <v>41578</v>
      </c>
      <c r="B1020" s="1">
        <v>361.73</v>
      </c>
      <c r="C1020" s="1">
        <v>366</v>
      </c>
      <c r="D1020" s="1">
        <v>359</v>
      </c>
      <c r="E1020" s="1">
        <v>364.03</v>
      </c>
      <c r="F1020" s="1">
        <v>2466800</v>
      </c>
      <c r="G1020" s="1">
        <v>364.03</v>
      </c>
      <c r="H1020" s="1">
        <f t="shared" si="135"/>
        <v>7</v>
      </c>
      <c r="I1020" s="9">
        <f t="shared" si="142"/>
        <v>1.9498607242339833E-2</v>
      </c>
      <c r="J1020" s="1">
        <f t="shared" si="143"/>
        <v>2.9499999999999886</v>
      </c>
      <c r="K1020" s="9">
        <f t="shared" si="136"/>
        <v>8.1699346405228451E-3</v>
      </c>
      <c r="L1020" s="1">
        <f t="shared" si="137"/>
        <v>1</v>
      </c>
      <c r="M1020" s="1">
        <f t="shared" si="138"/>
        <v>366</v>
      </c>
      <c r="N1020" s="1">
        <f t="shared" si="139"/>
        <v>359</v>
      </c>
      <c r="O1020" s="1">
        <f t="shared" si="140"/>
        <v>362.07</v>
      </c>
      <c r="P1020" s="1">
        <f t="shared" si="141"/>
        <v>184.7295918367347</v>
      </c>
    </row>
    <row r="1021" spans="1:16">
      <c r="A1021" s="2">
        <v>41577</v>
      </c>
      <c r="B1021" s="1">
        <v>362.62</v>
      </c>
      <c r="C1021" s="1">
        <v>365</v>
      </c>
      <c r="D1021" s="1">
        <v>358.65</v>
      </c>
      <c r="E1021" s="1">
        <v>361.08</v>
      </c>
      <c r="F1021" s="1">
        <v>4502200</v>
      </c>
      <c r="G1021" s="1">
        <v>361.08</v>
      </c>
      <c r="H1021" s="1">
        <f t="shared" si="135"/>
        <v>6.3500000000000227</v>
      </c>
      <c r="I1021" s="9">
        <f t="shared" si="142"/>
        <v>1.7705283702774358E-2</v>
      </c>
      <c r="J1021" s="1">
        <f t="shared" si="143"/>
        <v>-1.6200000000000045</v>
      </c>
      <c r="K1021" s="9">
        <f t="shared" si="136"/>
        <v>-4.4665012406948021E-3</v>
      </c>
      <c r="L1021" s="1">
        <f t="shared" si="137"/>
        <v>1</v>
      </c>
      <c r="M1021" s="1">
        <f t="shared" si="138"/>
        <v>365</v>
      </c>
      <c r="N1021" s="1">
        <f t="shared" si="139"/>
        <v>358.65</v>
      </c>
      <c r="O1021" s="1">
        <f t="shared" si="140"/>
        <v>359.12</v>
      </c>
      <c r="P1021" s="1">
        <f t="shared" si="141"/>
        <v>183.22448979591837</v>
      </c>
    </row>
    <row r="1022" spans="1:16">
      <c r="A1022" s="2">
        <v>41576</v>
      </c>
      <c r="B1022" s="1">
        <v>358.96</v>
      </c>
      <c r="C1022" s="1">
        <v>362.89</v>
      </c>
      <c r="D1022" s="1">
        <v>356.29</v>
      </c>
      <c r="E1022" s="1">
        <v>362.7</v>
      </c>
      <c r="F1022" s="1">
        <v>2185400</v>
      </c>
      <c r="G1022" s="1">
        <v>362.7</v>
      </c>
      <c r="H1022" s="1">
        <f t="shared" si="135"/>
        <v>6.5999999999999659</v>
      </c>
      <c r="I1022" s="9">
        <f t="shared" si="142"/>
        <v>1.8524235875270047E-2</v>
      </c>
      <c r="J1022" s="1">
        <f t="shared" si="143"/>
        <v>4.5399999999999636</v>
      </c>
      <c r="K1022" s="9">
        <f t="shared" si="136"/>
        <v>1.2675899039535301E-2</v>
      </c>
      <c r="L1022" s="1">
        <f t="shared" si="137"/>
        <v>1</v>
      </c>
      <c r="M1022" s="1">
        <f t="shared" si="138"/>
        <v>362.89</v>
      </c>
      <c r="N1022" s="1">
        <f t="shared" si="139"/>
        <v>356.29</v>
      </c>
      <c r="O1022" s="1">
        <f t="shared" si="140"/>
        <v>360.74</v>
      </c>
      <c r="P1022" s="1">
        <f t="shared" si="141"/>
        <v>184.05102040816328</v>
      </c>
    </row>
    <row r="1023" spans="1:16">
      <c r="A1023" s="2">
        <v>41575</v>
      </c>
      <c r="B1023" s="1">
        <v>359.92</v>
      </c>
      <c r="C1023" s="1">
        <v>362.75</v>
      </c>
      <c r="D1023" s="1">
        <v>357.2</v>
      </c>
      <c r="E1023" s="1">
        <v>358.16</v>
      </c>
      <c r="F1023" s="1">
        <v>3635800</v>
      </c>
      <c r="G1023" s="1">
        <v>358.16</v>
      </c>
      <c r="H1023" s="1">
        <f t="shared" si="135"/>
        <v>5.5500000000000114</v>
      </c>
      <c r="I1023" s="9">
        <f t="shared" si="142"/>
        <v>1.5537513997760391E-2</v>
      </c>
      <c r="J1023" s="1">
        <f t="shared" si="143"/>
        <v>-5.2299999999999613</v>
      </c>
      <c r="K1023" s="9">
        <f t="shared" si="136"/>
        <v>-1.4392250749882939E-2</v>
      </c>
      <c r="L1023" s="1">
        <f t="shared" si="137"/>
        <v>1</v>
      </c>
      <c r="M1023" s="1">
        <f t="shared" si="138"/>
        <v>362.75</v>
      </c>
      <c r="N1023" s="1">
        <f t="shared" si="139"/>
        <v>357.2</v>
      </c>
      <c r="O1023" s="1">
        <f t="shared" si="140"/>
        <v>356.20000000000005</v>
      </c>
      <c r="P1023" s="1">
        <f t="shared" si="141"/>
        <v>181.73469387755105</v>
      </c>
    </row>
    <row r="1024" spans="1:16">
      <c r="A1024" s="2">
        <v>41572</v>
      </c>
      <c r="B1024" s="1">
        <v>358.6</v>
      </c>
      <c r="C1024" s="1">
        <v>368.4</v>
      </c>
      <c r="D1024" s="1">
        <v>352.62</v>
      </c>
      <c r="E1024" s="1">
        <v>363.39</v>
      </c>
      <c r="F1024" s="1">
        <v>12036800</v>
      </c>
      <c r="G1024" s="1">
        <v>363.39</v>
      </c>
      <c r="H1024" s="1">
        <f t="shared" si="135"/>
        <v>15.779999999999973</v>
      </c>
      <c r="I1024" s="9">
        <f t="shared" si="142"/>
        <v>4.4750723158073769E-2</v>
      </c>
      <c r="J1024" s="1">
        <f t="shared" si="143"/>
        <v>31.180000000000007</v>
      </c>
      <c r="K1024" s="9">
        <f t="shared" si="136"/>
        <v>9.3856295716564855E-2</v>
      </c>
      <c r="L1024" s="1">
        <f t="shared" si="137"/>
        <v>1</v>
      </c>
      <c r="M1024" s="1">
        <f t="shared" si="138"/>
        <v>368.4</v>
      </c>
      <c r="N1024" s="1">
        <f t="shared" si="139"/>
        <v>352.62</v>
      </c>
      <c r="O1024" s="1">
        <f t="shared" si="140"/>
        <v>361.43</v>
      </c>
      <c r="P1024" s="1">
        <f t="shared" si="141"/>
        <v>184.40306122448979</v>
      </c>
    </row>
    <row r="1025" spans="1:16">
      <c r="A1025" s="2">
        <v>41571</v>
      </c>
      <c r="B1025" s="1">
        <v>329.63</v>
      </c>
      <c r="C1025" s="1">
        <v>332.65</v>
      </c>
      <c r="D1025" s="1">
        <v>326.75</v>
      </c>
      <c r="E1025" s="1">
        <v>332.21</v>
      </c>
      <c r="F1025" s="1">
        <v>5884700</v>
      </c>
      <c r="G1025" s="1">
        <v>332.21</v>
      </c>
      <c r="H1025" s="1">
        <f t="shared" si="135"/>
        <v>5.8999999999999773</v>
      </c>
      <c r="I1025" s="9">
        <f t="shared" si="142"/>
        <v>1.8056618209640329E-2</v>
      </c>
      <c r="J1025" s="1">
        <f t="shared" si="143"/>
        <v>5.4499999999999886</v>
      </c>
      <c r="K1025" s="9">
        <f t="shared" si="136"/>
        <v>1.6678908067082839E-2</v>
      </c>
      <c r="L1025" s="1">
        <f t="shared" si="137"/>
        <v>1</v>
      </c>
      <c r="M1025" s="1">
        <f t="shared" si="138"/>
        <v>332.65</v>
      </c>
      <c r="N1025" s="1">
        <f t="shared" si="139"/>
        <v>326.75</v>
      </c>
      <c r="O1025" s="1">
        <f t="shared" si="140"/>
        <v>330.25</v>
      </c>
      <c r="P1025" s="1">
        <f t="shared" si="141"/>
        <v>168.49489795918367</v>
      </c>
    </row>
    <row r="1026" spans="1:16">
      <c r="A1026" s="2">
        <v>41570</v>
      </c>
      <c r="B1026" s="1">
        <v>330.84</v>
      </c>
      <c r="C1026" s="1">
        <v>331.72</v>
      </c>
      <c r="D1026" s="1">
        <v>324.06</v>
      </c>
      <c r="E1026" s="1">
        <v>326.76</v>
      </c>
      <c r="F1026" s="1">
        <v>2818200</v>
      </c>
      <c r="G1026" s="1">
        <v>326.76</v>
      </c>
      <c r="H1026" s="1">
        <f t="shared" si="135"/>
        <v>7.660000000000025</v>
      </c>
      <c r="I1026" s="9">
        <f t="shared" si="142"/>
        <v>2.3637597975683593E-2</v>
      </c>
      <c r="J1026" s="1">
        <f t="shared" si="143"/>
        <v>-5.7800000000000296</v>
      </c>
      <c r="K1026" s="9">
        <f t="shared" si="136"/>
        <v>-1.7381367655019034E-2</v>
      </c>
      <c r="L1026" s="1">
        <f t="shared" si="137"/>
        <v>1</v>
      </c>
      <c r="M1026" s="1">
        <f t="shared" si="138"/>
        <v>331.72</v>
      </c>
      <c r="N1026" s="1">
        <f t="shared" si="139"/>
        <v>324.06</v>
      </c>
      <c r="O1026" s="1">
        <f t="shared" si="140"/>
        <v>324.8</v>
      </c>
      <c r="P1026" s="1">
        <f t="shared" si="141"/>
        <v>165.71428571428572</v>
      </c>
    </row>
    <row r="1027" spans="1:16">
      <c r="A1027" s="2">
        <v>41569</v>
      </c>
      <c r="B1027" s="1">
        <v>327.72</v>
      </c>
      <c r="C1027" s="1">
        <v>337.11</v>
      </c>
      <c r="D1027" s="1">
        <v>325.68</v>
      </c>
      <c r="E1027" s="1">
        <v>332.54</v>
      </c>
      <c r="F1027" s="1">
        <v>3935500</v>
      </c>
      <c r="G1027" s="1">
        <v>332.54</v>
      </c>
      <c r="H1027" s="1">
        <f t="shared" ref="H1027:H1090" si="144">C1027-D1027</f>
        <v>11.430000000000007</v>
      </c>
      <c r="I1027" s="9">
        <f t="shared" si="142"/>
        <v>3.5095799557848216E-2</v>
      </c>
      <c r="J1027" s="1">
        <f t="shared" si="143"/>
        <v>6.1000000000000227</v>
      </c>
      <c r="K1027" s="9">
        <f t="shared" ref="K1027:K1090" si="145">(G1027-G1028)/G1028</f>
        <v>1.8686435485847391E-2</v>
      </c>
      <c r="L1027" s="1">
        <f t="shared" ref="L1027:L1090" si="146">G1027/E1027</f>
        <v>1</v>
      </c>
      <c r="M1027" s="1">
        <f t="shared" ref="M1027:M1090" si="147">L1027*C1027</f>
        <v>337.11</v>
      </c>
      <c r="N1027" s="1">
        <f t="shared" ref="N1027:N1090" si="148">L1027*D1027</f>
        <v>325.68</v>
      </c>
      <c r="O1027" s="1">
        <f t="shared" ref="O1027:O1090" si="149">G1027-$G$5163</f>
        <v>330.58000000000004</v>
      </c>
      <c r="P1027" s="1">
        <f t="shared" ref="P1027:P1090" si="150">(G1027-$G$5163)/$G$5163</f>
        <v>168.66326530612247</v>
      </c>
    </row>
    <row r="1028" spans="1:16">
      <c r="A1028" s="2">
        <v>41568</v>
      </c>
      <c r="B1028" s="1">
        <v>329.89</v>
      </c>
      <c r="C1028" s="1">
        <v>330</v>
      </c>
      <c r="D1028" s="1">
        <v>323.8</v>
      </c>
      <c r="E1028" s="1">
        <v>326.44</v>
      </c>
      <c r="F1028" s="1">
        <v>2522300</v>
      </c>
      <c r="G1028" s="1">
        <v>326.44</v>
      </c>
      <c r="H1028" s="1">
        <f t="shared" si="144"/>
        <v>6.1999999999999886</v>
      </c>
      <c r="I1028" s="9">
        <f t="shared" ref="I1028:I1091" si="151">(C1028-D1028)/D1028</f>
        <v>1.914762198888199E-2</v>
      </c>
      <c r="J1028" s="1">
        <f t="shared" ref="J1028:J1091" si="152">G1028-G1029</f>
        <v>-2.4900000000000091</v>
      </c>
      <c r="K1028" s="9">
        <f t="shared" si="145"/>
        <v>-7.5699996959839753E-3</v>
      </c>
      <c r="L1028" s="1">
        <f t="shared" si="146"/>
        <v>1</v>
      </c>
      <c r="M1028" s="1">
        <f t="shared" si="147"/>
        <v>330</v>
      </c>
      <c r="N1028" s="1">
        <f t="shared" si="148"/>
        <v>323.8</v>
      </c>
      <c r="O1028" s="1">
        <f t="shared" si="149"/>
        <v>324.48</v>
      </c>
      <c r="P1028" s="1">
        <f t="shared" si="150"/>
        <v>165.55102040816328</v>
      </c>
    </row>
    <row r="1029" spans="1:16">
      <c r="A1029" s="2">
        <v>41565</v>
      </c>
      <c r="B1029" s="1">
        <v>319.36</v>
      </c>
      <c r="C1029" s="1">
        <v>331.89</v>
      </c>
      <c r="D1029" s="1">
        <v>316.75</v>
      </c>
      <c r="E1029" s="1">
        <v>328.93</v>
      </c>
      <c r="F1029" s="1">
        <v>5969800</v>
      </c>
      <c r="G1029" s="1">
        <v>328.93</v>
      </c>
      <c r="H1029" s="1">
        <f t="shared" si="144"/>
        <v>15.139999999999986</v>
      </c>
      <c r="I1029" s="9">
        <f t="shared" si="151"/>
        <v>4.7797947908445104E-2</v>
      </c>
      <c r="J1029" s="1">
        <f t="shared" si="152"/>
        <v>18.160000000000025</v>
      </c>
      <c r="K1029" s="9">
        <f t="shared" si="145"/>
        <v>5.8435498922032453E-2</v>
      </c>
      <c r="L1029" s="1">
        <f t="shared" si="146"/>
        <v>1</v>
      </c>
      <c r="M1029" s="1">
        <f t="shared" si="147"/>
        <v>331.89</v>
      </c>
      <c r="N1029" s="1">
        <f t="shared" si="148"/>
        <v>316.75</v>
      </c>
      <c r="O1029" s="1">
        <f t="shared" si="149"/>
        <v>326.97000000000003</v>
      </c>
      <c r="P1029" s="1">
        <f t="shared" si="150"/>
        <v>166.82142857142858</v>
      </c>
    </row>
    <row r="1030" spans="1:16">
      <c r="A1030" s="2">
        <v>41564</v>
      </c>
      <c r="B1030" s="1">
        <v>307.07</v>
      </c>
      <c r="C1030" s="1">
        <v>311</v>
      </c>
      <c r="D1030" s="1">
        <v>305.24</v>
      </c>
      <c r="E1030" s="1">
        <v>310.77</v>
      </c>
      <c r="F1030" s="1">
        <v>2648400</v>
      </c>
      <c r="G1030" s="1">
        <v>310.77</v>
      </c>
      <c r="H1030" s="1">
        <f t="shared" si="144"/>
        <v>5.7599999999999909</v>
      </c>
      <c r="I1030" s="9">
        <f t="shared" si="151"/>
        <v>1.8870397064604871E-2</v>
      </c>
      <c r="J1030" s="1">
        <f t="shared" si="152"/>
        <v>0.27999999999997272</v>
      </c>
      <c r="K1030" s="9">
        <f t="shared" si="145"/>
        <v>9.0180038004435798E-4</v>
      </c>
      <c r="L1030" s="1">
        <f t="shared" si="146"/>
        <v>1</v>
      </c>
      <c r="M1030" s="1">
        <f t="shared" si="147"/>
        <v>311</v>
      </c>
      <c r="N1030" s="1">
        <f t="shared" si="148"/>
        <v>305.24</v>
      </c>
      <c r="O1030" s="1">
        <f t="shared" si="149"/>
        <v>308.81</v>
      </c>
      <c r="P1030" s="1">
        <f t="shared" si="150"/>
        <v>157.55612244897961</v>
      </c>
    </row>
    <row r="1031" spans="1:16">
      <c r="A1031" s="2">
        <v>41563</v>
      </c>
      <c r="B1031" s="1">
        <v>308.38</v>
      </c>
      <c r="C1031" s="1">
        <v>310.8</v>
      </c>
      <c r="D1031" s="1">
        <v>305.55</v>
      </c>
      <c r="E1031" s="1">
        <v>310.49</v>
      </c>
      <c r="F1031" s="1">
        <v>2170700</v>
      </c>
      <c r="G1031" s="1">
        <v>310.49</v>
      </c>
      <c r="H1031" s="1">
        <f t="shared" si="144"/>
        <v>5.25</v>
      </c>
      <c r="I1031" s="9">
        <f t="shared" si="151"/>
        <v>1.7182130584192438E-2</v>
      </c>
      <c r="J1031" s="1">
        <f t="shared" si="152"/>
        <v>4.0900000000000318</v>
      </c>
      <c r="K1031" s="9">
        <f t="shared" si="145"/>
        <v>1.3348563968668513E-2</v>
      </c>
      <c r="L1031" s="1">
        <f t="shared" si="146"/>
        <v>1</v>
      </c>
      <c r="M1031" s="1">
        <f t="shared" si="147"/>
        <v>310.8</v>
      </c>
      <c r="N1031" s="1">
        <f t="shared" si="148"/>
        <v>305.55</v>
      </c>
      <c r="O1031" s="1">
        <f t="shared" si="149"/>
        <v>308.53000000000003</v>
      </c>
      <c r="P1031" s="1">
        <f t="shared" si="150"/>
        <v>157.41326530612247</v>
      </c>
    </row>
    <row r="1032" spans="1:16">
      <c r="A1032" s="2">
        <v>41562</v>
      </c>
      <c r="B1032" s="1">
        <v>309.87</v>
      </c>
      <c r="C1032" s="1">
        <v>310.79000000000002</v>
      </c>
      <c r="D1032" s="1">
        <v>305.26</v>
      </c>
      <c r="E1032" s="1">
        <v>306.39999999999998</v>
      </c>
      <c r="F1032" s="1">
        <v>2261100</v>
      </c>
      <c r="G1032" s="1">
        <v>306.39999999999998</v>
      </c>
      <c r="H1032" s="1">
        <f t="shared" si="144"/>
        <v>5.5300000000000296</v>
      </c>
      <c r="I1032" s="9">
        <f t="shared" si="151"/>
        <v>1.8115704645220564E-2</v>
      </c>
      <c r="J1032" s="1">
        <f t="shared" si="152"/>
        <v>-4.3000000000000114</v>
      </c>
      <c r="K1032" s="9">
        <f t="shared" si="145"/>
        <v>-1.3839716768587099E-2</v>
      </c>
      <c r="L1032" s="1">
        <f t="shared" si="146"/>
        <v>1</v>
      </c>
      <c r="M1032" s="1">
        <f t="shared" si="147"/>
        <v>310.79000000000002</v>
      </c>
      <c r="N1032" s="1">
        <f t="shared" si="148"/>
        <v>305.26</v>
      </c>
      <c r="O1032" s="1">
        <f t="shared" si="149"/>
        <v>304.44</v>
      </c>
      <c r="P1032" s="1">
        <f t="shared" si="150"/>
        <v>155.32653061224491</v>
      </c>
    </row>
    <row r="1033" spans="1:16">
      <c r="A1033" s="2">
        <v>41561</v>
      </c>
      <c r="B1033" s="1">
        <v>309.22000000000003</v>
      </c>
      <c r="C1033" s="1">
        <v>311.64999999999998</v>
      </c>
      <c r="D1033" s="1">
        <v>307</v>
      </c>
      <c r="E1033" s="1">
        <v>310.7</v>
      </c>
      <c r="F1033" s="1">
        <v>1939100</v>
      </c>
      <c r="G1033" s="1">
        <v>310.7</v>
      </c>
      <c r="H1033" s="1">
        <f t="shared" si="144"/>
        <v>4.6499999999999773</v>
      </c>
      <c r="I1033" s="9">
        <f t="shared" si="151"/>
        <v>1.5146579804560186E-2</v>
      </c>
      <c r="J1033" s="1">
        <f t="shared" si="152"/>
        <v>-0.18999999999999773</v>
      </c>
      <c r="K1033" s="9">
        <f t="shared" si="145"/>
        <v>-6.1114863778184486E-4</v>
      </c>
      <c r="L1033" s="1">
        <f t="shared" si="146"/>
        <v>1</v>
      </c>
      <c r="M1033" s="1">
        <f t="shared" si="147"/>
        <v>311.64999999999998</v>
      </c>
      <c r="N1033" s="1">
        <f t="shared" si="148"/>
        <v>307</v>
      </c>
      <c r="O1033" s="1">
        <f t="shared" si="149"/>
        <v>308.74</v>
      </c>
      <c r="P1033" s="1">
        <f t="shared" si="150"/>
        <v>157.5204081632653</v>
      </c>
    </row>
    <row r="1034" spans="1:16">
      <c r="A1034" s="2">
        <v>41558</v>
      </c>
      <c r="B1034" s="1">
        <v>304.77</v>
      </c>
      <c r="C1034" s="1">
        <v>310.93</v>
      </c>
      <c r="D1034" s="1">
        <v>303.83999999999997</v>
      </c>
      <c r="E1034" s="1">
        <v>310.89</v>
      </c>
      <c r="F1034" s="1">
        <v>2163100</v>
      </c>
      <c r="G1034" s="1">
        <v>310.89</v>
      </c>
      <c r="H1034" s="1">
        <f t="shared" si="144"/>
        <v>7.0900000000000318</v>
      </c>
      <c r="I1034" s="9">
        <f t="shared" si="151"/>
        <v>2.3334649815692575E-2</v>
      </c>
      <c r="J1034" s="1">
        <f t="shared" si="152"/>
        <v>5.7199999999999704</v>
      </c>
      <c r="K1034" s="9">
        <f t="shared" si="145"/>
        <v>1.8743651079725955E-2</v>
      </c>
      <c r="L1034" s="1">
        <f t="shared" si="146"/>
        <v>1</v>
      </c>
      <c r="M1034" s="1">
        <f t="shared" si="147"/>
        <v>310.93</v>
      </c>
      <c r="N1034" s="1">
        <f t="shared" si="148"/>
        <v>303.83999999999997</v>
      </c>
      <c r="O1034" s="1">
        <f t="shared" si="149"/>
        <v>308.93</v>
      </c>
      <c r="P1034" s="1">
        <f t="shared" si="150"/>
        <v>157.61734693877551</v>
      </c>
    </row>
    <row r="1035" spans="1:16">
      <c r="A1035" s="2">
        <v>41557</v>
      </c>
      <c r="B1035" s="1">
        <v>304.63</v>
      </c>
      <c r="C1035" s="1">
        <v>306.7</v>
      </c>
      <c r="D1035" s="1">
        <v>302.58999999999997</v>
      </c>
      <c r="E1035" s="1">
        <v>305.17</v>
      </c>
      <c r="F1035" s="1">
        <v>2555100</v>
      </c>
      <c r="G1035" s="1">
        <v>305.17</v>
      </c>
      <c r="H1035" s="1">
        <f t="shared" si="144"/>
        <v>4.1100000000000136</v>
      </c>
      <c r="I1035" s="9">
        <f t="shared" si="151"/>
        <v>1.3582735714993932E-2</v>
      </c>
      <c r="J1035" s="1">
        <f t="shared" si="152"/>
        <v>6.9399999999999977</v>
      </c>
      <c r="K1035" s="9">
        <f t="shared" si="145"/>
        <v>2.3270630050632055E-2</v>
      </c>
      <c r="L1035" s="1">
        <f t="shared" si="146"/>
        <v>1</v>
      </c>
      <c r="M1035" s="1">
        <f t="shared" si="147"/>
        <v>306.7</v>
      </c>
      <c r="N1035" s="1">
        <f t="shared" si="148"/>
        <v>302.58999999999997</v>
      </c>
      <c r="O1035" s="1">
        <f t="shared" si="149"/>
        <v>303.21000000000004</v>
      </c>
      <c r="P1035" s="1">
        <f t="shared" si="150"/>
        <v>154.69897959183675</v>
      </c>
    </row>
    <row r="1036" spans="1:16">
      <c r="A1036" s="2">
        <v>41556</v>
      </c>
      <c r="B1036" s="1">
        <v>303.42</v>
      </c>
      <c r="C1036" s="1">
        <v>303.5</v>
      </c>
      <c r="D1036" s="1">
        <v>296.5</v>
      </c>
      <c r="E1036" s="1">
        <v>298.23</v>
      </c>
      <c r="F1036" s="1">
        <v>3247400</v>
      </c>
      <c r="G1036" s="1">
        <v>298.23</v>
      </c>
      <c r="H1036" s="1">
        <f t="shared" si="144"/>
        <v>7</v>
      </c>
      <c r="I1036" s="9">
        <f t="shared" si="151"/>
        <v>2.3608768971332208E-2</v>
      </c>
      <c r="J1036" s="1">
        <f t="shared" si="152"/>
        <v>-5</v>
      </c>
      <c r="K1036" s="9">
        <f t="shared" si="145"/>
        <v>-1.6489133660917456E-2</v>
      </c>
      <c r="L1036" s="1">
        <f t="shared" si="146"/>
        <v>1</v>
      </c>
      <c r="M1036" s="1">
        <f t="shared" si="147"/>
        <v>303.5</v>
      </c>
      <c r="N1036" s="1">
        <f t="shared" si="148"/>
        <v>296.5</v>
      </c>
      <c r="O1036" s="1">
        <f t="shared" si="149"/>
        <v>296.27000000000004</v>
      </c>
      <c r="P1036" s="1">
        <f t="shared" si="150"/>
        <v>151.15816326530614</v>
      </c>
    </row>
    <row r="1037" spans="1:16">
      <c r="A1037" s="2">
        <v>41555</v>
      </c>
      <c r="B1037" s="1">
        <v>311.5</v>
      </c>
      <c r="C1037" s="1">
        <v>311.55</v>
      </c>
      <c r="D1037" s="1">
        <v>300.27</v>
      </c>
      <c r="E1037" s="1">
        <v>303.23</v>
      </c>
      <c r="F1037" s="1">
        <v>3166200</v>
      </c>
      <c r="G1037" s="1">
        <v>303.23</v>
      </c>
      <c r="H1037" s="1">
        <f t="shared" si="144"/>
        <v>11.28000000000003</v>
      </c>
      <c r="I1037" s="9">
        <f t="shared" si="151"/>
        <v>3.7566190428614345E-2</v>
      </c>
      <c r="J1037" s="1">
        <f t="shared" si="152"/>
        <v>-6.7999999999999545</v>
      </c>
      <c r="K1037" s="9">
        <f t="shared" si="145"/>
        <v>-2.1933361287617182E-2</v>
      </c>
      <c r="L1037" s="1">
        <f t="shared" si="146"/>
        <v>1</v>
      </c>
      <c r="M1037" s="1">
        <f t="shared" si="147"/>
        <v>311.55</v>
      </c>
      <c r="N1037" s="1">
        <f t="shared" si="148"/>
        <v>300.27</v>
      </c>
      <c r="O1037" s="1">
        <f t="shared" si="149"/>
        <v>301.27000000000004</v>
      </c>
      <c r="P1037" s="1">
        <f t="shared" si="150"/>
        <v>153.7091836734694</v>
      </c>
    </row>
    <row r="1038" spans="1:16">
      <c r="A1038" s="2">
        <v>41554</v>
      </c>
      <c r="B1038" s="1">
        <v>315.24</v>
      </c>
      <c r="C1038" s="1">
        <v>315.33999999999997</v>
      </c>
      <c r="D1038" s="1">
        <v>309.74</v>
      </c>
      <c r="E1038" s="1">
        <v>310.02999999999997</v>
      </c>
      <c r="F1038" s="1">
        <v>2083200</v>
      </c>
      <c r="G1038" s="1">
        <v>310.02999999999997</v>
      </c>
      <c r="H1038" s="1">
        <f t="shared" si="144"/>
        <v>5.5999999999999659</v>
      </c>
      <c r="I1038" s="9">
        <f t="shared" si="151"/>
        <v>1.8079679731387504E-2</v>
      </c>
      <c r="J1038" s="1">
        <f t="shared" si="152"/>
        <v>-9.0100000000000477</v>
      </c>
      <c r="K1038" s="9">
        <f t="shared" si="145"/>
        <v>-2.8240972918756418E-2</v>
      </c>
      <c r="L1038" s="1">
        <f t="shared" si="146"/>
        <v>1</v>
      </c>
      <c r="M1038" s="1">
        <f t="shared" si="147"/>
        <v>315.33999999999997</v>
      </c>
      <c r="N1038" s="1">
        <f t="shared" si="148"/>
        <v>309.74</v>
      </c>
      <c r="O1038" s="1">
        <f t="shared" si="149"/>
        <v>308.07</v>
      </c>
      <c r="P1038" s="1">
        <f t="shared" si="150"/>
        <v>157.17857142857142</v>
      </c>
    </row>
    <row r="1039" spans="1:16">
      <c r="A1039" s="2">
        <v>41551</v>
      </c>
      <c r="B1039" s="1">
        <v>315.13</v>
      </c>
      <c r="C1039" s="1">
        <v>319.2</v>
      </c>
      <c r="D1039" s="1">
        <v>312.62</v>
      </c>
      <c r="E1039" s="1">
        <v>319.04000000000002</v>
      </c>
      <c r="F1039" s="1">
        <v>1815000</v>
      </c>
      <c r="G1039" s="1">
        <v>319.04000000000002</v>
      </c>
      <c r="H1039" s="1">
        <f t="shared" si="144"/>
        <v>6.5799999999999841</v>
      </c>
      <c r="I1039" s="9">
        <f t="shared" si="151"/>
        <v>2.1047917599641686E-2</v>
      </c>
      <c r="J1039" s="1">
        <f t="shared" si="152"/>
        <v>4.2800000000000296</v>
      </c>
      <c r="K1039" s="9">
        <f t="shared" si="145"/>
        <v>1.359766171050969E-2</v>
      </c>
      <c r="L1039" s="1">
        <f t="shared" si="146"/>
        <v>1</v>
      </c>
      <c r="M1039" s="1">
        <f t="shared" si="147"/>
        <v>319.2</v>
      </c>
      <c r="N1039" s="1">
        <f t="shared" si="148"/>
        <v>312.62</v>
      </c>
      <c r="O1039" s="1">
        <f t="shared" si="149"/>
        <v>317.08000000000004</v>
      </c>
      <c r="P1039" s="1">
        <f t="shared" si="150"/>
        <v>161.77551020408166</v>
      </c>
    </row>
    <row r="1040" spans="1:16">
      <c r="A1040" s="2">
        <v>41550</v>
      </c>
      <c r="B1040" s="1">
        <v>320.39</v>
      </c>
      <c r="C1040" s="1">
        <v>322.92</v>
      </c>
      <c r="D1040" s="1">
        <v>313.02</v>
      </c>
      <c r="E1040" s="1">
        <v>314.76</v>
      </c>
      <c r="F1040" s="1">
        <v>2674800</v>
      </c>
      <c r="G1040" s="1">
        <v>314.76</v>
      </c>
      <c r="H1040" s="1">
        <f t="shared" si="144"/>
        <v>9.9000000000000341</v>
      </c>
      <c r="I1040" s="9">
        <f t="shared" si="151"/>
        <v>3.1627372052904078E-2</v>
      </c>
      <c r="J1040" s="1">
        <f t="shared" si="152"/>
        <v>-5.75</v>
      </c>
      <c r="K1040" s="9">
        <f t="shared" si="145"/>
        <v>-1.7940157873389286E-2</v>
      </c>
      <c r="L1040" s="1">
        <f t="shared" si="146"/>
        <v>1</v>
      </c>
      <c r="M1040" s="1">
        <f t="shared" si="147"/>
        <v>322.92</v>
      </c>
      <c r="N1040" s="1">
        <f t="shared" si="148"/>
        <v>313.02</v>
      </c>
      <c r="O1040" s="1">
        <f t="shared" si="149"/>
        <v>312.8</v>
      </c>
      <c r="P1040" s="1">
        <f t="shared" si="150"/>
        <v>159.59183673469389</v>
      </c>
    </row>
    <row r="1041" spans="1:16">
      <c r="A1041" s="2">
        <v>41549</v>
      </c>
      <c r="B1041" s="1">
        <v>318.04000000000002</v>
      </c>
      <c r="C1041" s="1">
        <v>321.73</v>
      </c>
      <c r="D1041" s="1">
        <v>317.52</v>
      </c>
      <c r="E1041" s="1">
        <v>320.51</v>
      </c>
      <c r="F1041" s="1">
        <v>2217400</v>
      </c>
      <c r="G1041" s="1">
        <v>320.51</v>
      </c>
      <c r="H1041" s="1">
        <f t="shared" si="144"/>
        <v>4.2100000000000364</v>
      </c>
      <c r="I1041" s="9">
        <f t="shared" si="151"/>
        <v>1.3259007306626469E-2</v>
      </c>
      <c r="J1041" s="1">
        <f t="shared" si="152"/>
        <v>-0.43999999999999773</v>
      </c>
      <c r="K1041" s="9">
        <f t="shared" si="145"/>
        <v>-1.3709300514098699E-3</v>
      </c>
      <c r="L1041" s="1">
        <f t="shared" si="146"/>
        <v>1</v>
      </c>
      <c r="M1041" s="1">
        <f t="shared" si="147"/>
        <v>321.73</v>
      </c>
      <c r="N1041" s="1">
        <f t="shared" si="148"/>
        <v>317.52</v>
      </c>
      <c r="O1041" s="1">
        <f t="shared" si="149"/>
        <v>318.55</v>
      </c>
      <c r="P1041" s="1">
        <f t="shared" si="150"/>
        <v>162.52551020408166</v>
      </c>
    </row>
    <row r="1042" spans="1:16">
      <c r="A1042" s="2">
        <v>41548</v>
      </c>
      <c r="B1042" s="1">
        <v>314.22000000000003</v>
      </c>
      <c r="C1042" s="1">
        <v>321</v>
      </c>
      <c r="D1042" s="1">
        <v>313.64999999999998</v>
      </c>
      <c r="E1042" s="1">
        <v>320.95</v>
      </c>
      <c r="F1042" s="1">
        <v>2396400</v>
      </c>
      <c r="G1042" s="1">
        <v>320.95</v>
      </c>
      <c r="H1042" s="1">
        <f t="shared" si="144"/>
        <v>7.3500000000000227</v>
      </c>
      <c r="I1042" s="9">
        <f t="shared" si="151"/>
        <v>2.3433763749402273E-2</v>
      </c>
      <c r="J1042" s="1">
        <f t="shared" si="152"/>
        <v>8.3100000000000023</v>
      </c>
      <c r="K1042" s="9">
        <f t="shared" si="145"/>
        <v>2.6580092118730816E-2</v>
      </c>
      <c r="L1042" s="1">
        <f t="shared" si="146"/>
        <v>1</v>
      </c>
      <c r="M1042" s="1">
        <f t="shared" si="147"/>
        <v>321</v>
      </c>
      <c r="N1042" s="1">
        <f t="shared" si="148"/>
        <v>313.64999999999998</v>
      </c>
      <c r="O1042" s="1">
        <f t="shared" si="149"/>
        <v>318.99</v>
      </c>
      <c r="P1042" s="1">
        <f t="shared" si="150"/>
        <v>162.75</v>
      </c>
    </row>
    <row r="1043" spans="1:16">
      <c r="A1043" s="2">
        <v>41547</v>
      </c>
      <c r="B1043" s="1">
        <v>313.41000000000003</v>
      </c>
      <c r="C1043" s="1">
        <v>315.31</v>
      </c>
      <c r="D1043" s="1">
        <v>311.06</v>
      </c>
      <c r="E1043" s="1">
        <v>312.64</v>
      </c>
      <c r="F1043" s="1">
        <v>1623600</v>
      </c>
      <c r="G1043" s="1">
        <v>312.64</v>
      </c>
      <c r="H1043" s="1">
        <f t="shared" si="144"/>
        <v>4.25</v>
      </c>
      <c r="I1043" s="9">
        <f t="shared" si="151"/>
        <v>1.3662958914678841E-2</v>
      </c>
      <c r="J1043" s="1">
        <f t="shared" si="152"/>
        <v>-3.3700000000000045</v>
      </c>
      <c r="K1043" s="9">
        <f t="shared" si="145"/>
        <v>-1.0664219486725118E-2</v>
      </c>
      <c r="L1043" s="1">
        <f t="shared" si="146"/>
        <v>1</v>
      </c>
      <c r="M1043" s="1">
        <f t="shared" si="147"/>
        <v>315.31</v>
      </c>
      <c r="N1043" s="1">
        <f t="shared" si="148"/>
        <v>311.06</v>
      </c>
      <c r="O1043" s="1">
        <f t="shared" si="149"/>
        <v>310.68</v>
      </c>
      <c r="P1043" s="1">
        <f t="shared" si="150"/>
        <v>158.51020408163265</v>
      </c>
    </row>
    <row r="1044" spans="1:16">
      <c r="A1044" s="2">
        <v>41544</v>
      </c>
      <c r="B1044" s="1">
        <v>316.92</v>
      </c>
      <c r="C1044" s="1">
        <v>317.20999999999998</v>
      </c>
      <c r="D1044" s="1">
        <v>313.35000000000002</v>
      </c>
      <c r="E1044" s="1">
        <v>316.01</v>
      </c>
      <c r="F1044" s="1">
        <v>1657500</v>
      </c>
      <c r="G1044" s="1">
        <v>316.01</v>
      </c>
      <c r="H1044" s="1">
        <f t="shared" si="144"/>
        <v>3.8599999999999568</v>
      </c>
      <c r="I1044" s="9">
        <f t="shared" si="151"/>
        <v>1.2318493697143631E-2</v>
      </c>
      <c r="J1044" s="1">
        <f t="shared" si="152"/>
        <v>-2.1100000000000136</v>
      </c>
      <c r="K1044" s="9">
        <f t="shared" si="145"/>
        <v>-6.6327172136301195E-3</v>
      </c>
      <c r="L1044" s="1">
        <f t="shared" si="146"/>
        <v>1</v>
      </c>
      <c r="M1044" s="1">
        <f t="shared" si="147"/>
        <v>317.20999999999998</v>
      </c>
      <c r="N1044" s="1">
        <f t="shared" si="148"/>
        <v>313.35000000000002</v>
      </c>
      <c r="O1044" s="1">
        <f t="shared" si="149"/>
        <v>314.05</v>
      </c>
      <c r="P1044" s="1">
        <f t="shared" si="150"/>
        <v>160.2295918367347</v>
      </c>
    </row>
    <row r="1045" spans="1:16">
      <c r="A1045" s="2">
        <v>41543</v>
      </c>
      <c r="B1045" s="1">
        <v>313.89999999999998</v>
      </c>
      <c r="C1045" s="1">
        <v>319.37</v>
      </c>
      <c r="D1045" s="1">
        <v>313.26</v>
      </c>
      <c r="E1045" s="1">
        <v>318.12</v>
      </c>
      <c r="F1045" s="1">
        <v>1989900</v>
      </c>
      <c r="G1045" s="1">
        <v>318.12</v>
      </c>
      <c r="H1045" s="1">
        <f t="shared" si="144"/>
        <v>6.1100000000000136</v>
      </c>
      <c r="I1045" s="9">
        <f t="shared" si="151"/>
        <v>1.9504564898167702E-2</v>
      </c>
      <c r="J1045" s="1">
        <f t="shared" si="152"/>
        <v>5.4700000000000273</v>
      </c>
      <c r="K1045" s="9">
        <f t="shared" si="145"/>
        <v>1.7495602110986816E-2</v>
      </c>
      <c r="L1045" s="1">
        <f t="shared" si="146"/>
        <v>1</v>
      </c>
      <c r="M1045" s="1">
        <f t="shared" si="147"/>
        <v>319.37</v>
      </c>
      <c r="N1045" s="1">
        <f t="shared" si="148"/>
        <v>313.26</v>
      </c>
      <c r="O1045" s="1">
        <f t="shared" si="149"/>
        <v>316.16000000000003</v>
      </c>
      <c r="P1045" s="1">
        <f t="shared" si="150"/>
        <v>161.30612244897961</v>
      </c>
    </row>
    <row r="1046" spans="1:16">
      <c r="A1046" s="2">
        <v>41542</v>
      </c>
      <c r="B1046" s="1">
        <v>314.52999999999997</v>
      </c>
      <c r="C1046" s="1">
        <v>316.70999999999998</v>
      </c>
      <c r="D1046" s="1">
        <v>310.75</v>
      </c>
      <c r="E1046" s="1">
        <v>312.64999999999998</v>
      </c>
      <c r="F1046" s="1">
        <v>2008600</v>
      </c>
      <c r="G1046" s="1">
        <v>312.64999999999998</v>
      </c>
      <c r="H1046" s="1">
        <f t="shared" si="144"/>
        <v>5.9599999999999795</v>
      </c>
      <c r="I1046" s="9">
        <f t="shared" si="151"/>
        <v>1.9179404666130263E-2</v>
      </c>
      <c r="J1046" s="1">
        <f t="shared" si="152"/>
        <v>-1.4800000000000182</v>
      </c>
      <c r="K1046" s="9">
        <f t="shared" si="145"/>
        <v>-4.7114252061249105E-3</v>
      </c>
      <c r="L1046" s="1">
        <f t="shared" si="146"/>
        <v>1</v>
      </c>
      <c r="M1046" s="1">
        <f t="shared" si="147"/>
        <v>316.70999999999998</v>
      </c>
      <c r="N1046" s="1">
        <f t="shared" si="148"/>
        <v>310.75</v>
      </c>
      <c r="O1046" s="1">
        <f t="shared" si="149"/>
        <v>310.69</v>
      </c>
      <c r="P1046" s="1">
        <f t="shared" si="150"/>
        <v>158.51530612244898</v>
      </c>
    </row>
    <row r="1047" spans="1:16">
      <c r="A1047" s="2">
        <v>41541</v>
      </c>
      <c r="B1047" s="1">
        <v>312.43</v>
      </c>
      <c r="C1047" s="1">
        <v>318.08</v>
      </c>
      <c r="D1047" s="1">
        <v>311.27999999999997</v>
      </c>
      <c r="E1047" s="1">
        <v>314.13</v>
      </c>
      <c r="F1047" s="1">
        <v>2033600</v>
      </c>
      <c r="G1047" s="1">
        <v>314.13</v>
      </c>
      <c r="H1047" s="1">
        <f t="shared" si="144"/>
        <v>6.8000000000000114</v>
      </c>
      <c r="I1047" s="9">
        <f t="shared" si="151"/>
        <v>2.1845283988691892E-2</v>
      </c>
      <c r="J1047" s="1">
        <f t="shared" si="152"/>
        <v>2.6399999999999864</v>
      </c>
      <c r="K1047" s="9">
        <f t="shared" si="145"/>
        <v>8.475392468458012E-3</v>
      </c>
      <c r="L1047" s="1">
        <f t="shared" si="146"/>
        <v>1</v>
      </c>
      <c r="M1047" s="1">
        <f t="shared" si="147"/>
        <v>318.08</v>
      </c>
      <c r="N1047" s="1">
        <f t="shared" si="148"/>
        <v>311.27999999999997</v>
      </c>
      <c r="O1047" s="1">
        <f t="shared" si="149"/>
        <v>312.17</v>
      </c>
      <c r="P1047" s="1">
        <f t="shared" si="150"/>
        <v>159.27040816326533</v>
      </c>
    </row>
    <row r="1048" spans="1:16">
      <c r="A1048" s="2">
        <v>41540</v>
      </c>
      <c r="B1048" s="1">
        <v>314.01</v>
      </c>
      <c r="C1048" s="1">
        <v>315.89999999999998</v>
      </c>
      <c r="D1048" s="1">
        <v>308.77</v>
      </c>
      <c r="E1048" s="1">
        <v>311.49</v>
      </c>
      <c r="F1048" s="1">
        <v>1884900</v>
      </c>
      <c r="G1048" s="1">
        <v>311.49</v>
      </c>
      <c r="H1048" s="1">
        <f t="shared" si="144"/>
        <v>7.1299999999999955</v>
      </c>
      <c r="I1048" s="9">
        <f t="shared" si="151"/>
        <v>2.3091621595362231E-2</v>
      </c>
      <c r="J1048" s="1">
        <f t="shared" si="152"/>
        <v>-4.8499999999999659</v>
      </c>
      <c r="K1048" s="9">
        <f t="shared" si="145"/>
        <v>-1.5331605234873763E-2</v>
      </c>
      <c r="L1048" s="1">
        <f t="shared" si="146"/>
        <v>1</v>
      </c>
      <c r="M1048" s="1">
        <f t="shared" si="147"/>
        <v>315.89999999999998</v>
      </c>
      <c r="N1048" s="1">
        <f t="shared" si="148"/>
        <v>308.77</v>
      </c>
      <c r="O1048" s="1">
        <f t="shared" si="149"/>
        <v>309.53000000000003</v>
      </c>
      <c r="P1048" s="1">
        <f t="shared" si="150"/>
        <v>157.92346938775512</v>
      </c>
    </row>
    <row r="1049" spans="1:16">
      <c r="A1049" s="2">
        <v>41537</v>
      </c>
      <c r="B1049" s="1">
        <v>312.54000000000002</v>
      </c>
      <c r="C1049" s="1">
        <v>320.57</v>
      </c>
      <c r="D1049" s="1">
        <v>312.41000000000003</v>
      </c>
      <c r="E1049" s="1">
        <v>316.33999999999997</v>
      </c>
      <c r="F1049" s="1">
        <v>5302300</v>
      </c>
      <c r="G1049" s="1">
        <v>316.33999999999997</v>
      </c>
      <c r="H1049" s="1">
        <f t="shared" si="144"/>
        <v>8.1599999999999682</v>
      </c>
      <c r="I1049" s="9">
        <f t="shared" si="151"/>
        <v>2.6119522422457565E-2</v>
      </c>
      <c r="J1049" s="1">
        <f t="shared" si="152"/>
        <v>4.2799999999999727</v>
      </c>
      <c r="K1049" s="9">
        <f t="shared" si="145"/>
        <v>1.3715311158110532E-2</v>
      </c>
      <c r="L1049" s="1">
        <f t="shared" si="146"/>
        <v>1</v>
      </c>
      <c r="M1049" s="1">
        <f t="shared" si="147"/>
        <v>320.57</v>
      </c>
      <c r="N1049" s="1">
        <f t="shared" si="148"/>
        <v>312.41000000000003</v>
      </c>
      <c r="O1049" s="1">
        <f t="shared" si="149"/>
        <v>314.38</v>
      </c>
      <c r="P1049" s="1">
        <f t="shared" si="150"/>
        <v>160.39795918367346</v>
      </c>
    </row>
    <row r="1050" spans="1:16">
      <c r="A1050" s="2">
        <v>41536</v>
      </c>
      <c r="B1050" s="1">
        <v>313.77</v>
      </c>
      <c r="C1050" s="1">
        <v>314.54000000000002</v>
      </c>
      <c r="D1050" s="1">
        <v>311.04000000000002</v>
      </c>
      <c r="E1050" s="1">
        <v>312.06</v>
      </c>
      <c r="F1050" s="1">
        <v>2350900</v>
      </c>
      <c r="G1050" s="1">
        <v>312.06</v>
      </c>
      <c r="H1050" s="1">
        <f t="shared" si="144"/>
        <v>3.5</v>
      </c>
      <c r="I1050" s="9">
        <f t="shared" si="151"/>
        <v>1.1252572016460904E-2</v>
      </c>
      <c r="J1050" s="1">
        <f t="shared" si="152"/>
        <v>3.0000000000029559E-2</v>
      </c>
      <c r="K1050" s="9">
        <f t="shared" si="145"/>
        <v>9.61446014807216E-5</v>
      </c>
      <c r="L1050" s="1">
        <f t="shared" si="146"/>
        <v>1</v>
      </c>
      <c r="M1050" s="1">
        <f t="shared" si="147"/>
        <v>314.54000000000002</v>
      </c>
      <c r="N1050" s="1">
        <f t="shared" si="148"/>
        <v>311.04000000000002</v>
      </c>
      <c r="O1050" s="1">
        <f t="shared" si="149"/>
        <v>310.10000000000002</v>
      </c>
      <c r="P1050" s="1">
        <f t="shared" si="150"/>
        <v>158.21428571428572</v>
      </c>
    </row>
    <row r="1051" spans="1:16">
      <c r="A1051" s="2">
        <v>41535</v>
      </c>
      <c r="B1051" s="1">
        <v>304.06</v>
      </c>
      <c r="C1051" s="1">
        <v>312.74</v>
      </c>
      <c r="D1051" s="1">
        <v>302.91000000000003</v>
      </c>
      <c r="E1051" s="1">
        <v>312.02999999999997</v>
      </c>
      <c r="F1051" s="1">
        <v>2946400</v>
      </c>
      <c r="G1051" s="1">
        <v>312.02999999999997</v>
      </c>
      <c r="H1051" s="1">
        <f t="shared" si="144"/>
        <v>9.8299999999999841</v>
      </c>
      <c r="I1051" s="9">
        <f t="shared" si="151"/>
        <v>3.2451883397708832E-2</v>
      </c>
      <c r="J1051" s="1">
        <f t="shared" si="152"/>
        <v>7.8599999999999568</v>
      </c>
      <c r="K1051" s="9">
        <f t="shared" si="145"/>
        <v>2.5840812703422283E-2</v>
      </c>
      <c r="L1051" s="1">
        <f t="shared" si="146"/>
        <v>1</v>
      </c>
      <c r="M1051" s="1">
        <f t="shared" si="147"/>
        <v>312.74</v>
      </c>
      <c r="N1051" s="1">
        <f t="shared" si="148"/>
        <v>302.91000000000003</v>
      </c>
      <c r="O1051" s="1">
        <f t="shared" si="149"/>
        <v>310.07</v>
      </c>
      <c r="P1051" s="1">
        <f t="shared" si="150"/>
        <v>158.19897959183675</v>
      </c>
    </row>
    <row r="1052" spans="1:16">
      <c r="A1052" s="2">
        <v>41534</v>
      </c>
      <c r="B1052" s="1">
        <v>297.63</v>
      </c>
      <c r="C1052" s="1">
        <v>304.64999999999998</v>
      </c>
      <c r="D1052" s="1">
        <v>296.01</v>
      </c>
      <c r="E1052" s="1">
        <v>304.17</v>
      </c>
      <c r="F1052" s="1">
        <v>2296500</v>
      </c>
      <c r="G1052" s="1">
        <v>304.17</v>
      </c>
      <c r="H1052" s="1">
        <f t="shared" si="144"/>
        <v>8.6399999999999864</v>
      </c>
      <c r="I1052" s="9">
        <f t="shared" si="151"/>
        <v>2.9188203101246535E-2</v>
      </c>
      <c r="J1052" s="1">
        <f t="shared" si="152"/>
        <v>8.1100000000000136</v>
      </c>
      <c r="K1052" s="9">
        <f t="shared" si="145"/>
        <v>2.7393095994055306E-2</v>
      </c>
      <c r="L1052" s="1">
        <f t="shared" si="146"/>
        <v>1</v>
      </c>
      <c r="M1052" s="1">
        <f t="shared" si="147"/>
        <v>304.64999999999998</v>
      </c>
      <c r="N1052" s="1">
        <f t="shared" si="148"/>
        <v>296.01</v>
      </c>
      <c r="O1052" s="1">
        <f t="shared" si="149"/>
        <v>302.21000000000004</v>
      </c>
      <c r="P1052" s="1">
        <f t="shared" si="150"/>
        <v>154.1887755102041</v>
      </c>
    </row>
    <row r="1053" spans="1:16">
      <c r="A1053" s="2">
        <v>41533</v>
      </c>
      <c r="B1053" s="1">
        <v>299.82</v>
      </c>
      <c r="C1053" s="1">
        <v>301</v>
      </c>
      <c r="D1053" s="1">
        <v>295.26</v>
      </c>
      <c r="E1053" s="1">
        <v>296.06</v>
      </c>
      <c r="F1053" s="1">
        <v>1808400</v>
      </c>
      <c r="G1053" s="1">
        <v>296.06</v>
      </c>
      <c r="H1053" s="1">
        <f t="shared" si="144"/>
        <v>5.7400000000000091</v>
      </c>
      <c r="I1053" s="9">
        <f t="shared" si="151"/>
        <v>1.9440493124703681E-2</v>
      </c>
      <c r="J1053" s="1">
        <f t="shared" si="152"/>
        <v>-1.8600000000000136</v>
      </c>
      <c r="K1053" s="9">
        <f t="shared" si="145"/>
        <v>-6.2432867883996162E-3</v>
      </c>
      <c r="L1053" s="1">
        <f t="shared" si="146"/>
        <v>1</v>
      </c>
      <c r="M1053" s="1">
        <f t="shared" si="147"/>
        <v>301</v>
      </c>
      <c r="N1053" s="1">
        <f t="shared" si="148"/>
        <v>295.26</v>
      </c>
      <c r="O1053" s="1">
        <f t="shared" si="149"/>
        <v>294.10000000000002</v>
      </c>
      <c r="P1053" s="1">
        <f t="shared" si="150"/>
        <v>150.05102040816328</v>
      </c>
    </row>
    <row r="1054" spans="1:16">
      <c r="A1054" s="2">
        <v>41530</v>
      </c>
      <c r="B1054" s="1">
        <v>300.14</v>
      </c>
      <c r="C1054" s="1">
        <v>300.22000000000003</v>
      </c>
      <c r="D1054" s="1">
        <v>296.2</v>
      </c>
      <c r="E1054" s="1">
        <v>297.92</v>
      </c>
      <c r="F1054" s="1">
        <v>1350600</v>
      </c>
      <c r="G1054" s="1">
        <v>297.92</v>
      </c>
      <c r="H1054" s="1">
        <f t="shared" si="144"/>
        <v>4.0200000000000387</v>
      </c>
      <c r="I1054" s="9">
        <f t="shared" si="151"/>
        <v>1.3571910871033217E-2</v>
      </c>
      <c r="J1054" s="1">
        <f t="shared" si="152"/>
        <v>-0.93999999999999773</v>
      </c>
      <c r="K1054" s="9">
        <f t="shared" si="145"/>
        <v>-3.1452854179214269E-3</v>
      </c>
      <c r="L1054" s="1">
        <f t="shared" si="146"/>
        <v>1</v>
      </c>
      <c r="M1054" s="1">
        <f t="shared" si="147"/>
        <v>300.22000000000003</v>
      </c>
      <c r="N1054" s="1">
        <f t="shared" si="148"/>
        <v>296.2</v>
      </c>
      <c r="O1054" s="1">
        <f t="shared" si="149"/>
        <v>295.96000000000004</v>
      </c>
      <c r="P1054" s="1">
        <f t="shared" si="150"/>
        <v>151.00000000000003</v>
      </c>
    </row>
    <row r="1055" spans="1:16">
      <c r="A1055" s="2">
        <v>41529</v>
      </c>
      <c r="B1055" s="1">
        <v>299.39</v>
      </c>
      <c r="C1055" s="1">
        <v>302</v>
      </c>
      <c r="D1055" s="1">
        <v>297.66000000000003</v>
      </c>
      <c r="E1055" s="1">
        <v>298.86</v>
      </c>
      <c r="F1055" s="1">
        <v>1606200</v>
      </c>
      <c r="G1055" s="1">
        <v>298.86</v>
      </c>
      <c r="H1055" s="1">
        <f t="shared" si="144"/>
        <v>4.339999999999975</v>
      </c>
      <c r="I1055" s="9">
        <f t="shared" si="151"/>
        <v>1.4580393737821591E-2</v>
      </c>
      <c r="J1055" s="1">
        <f t="shared" si="152"/>
        <v>-0.77999999999997272</v>
      </c>
      <c r="K1055" s="9">
        <f t="shared" si="145"/>
        <v>-2.603123748498107E-3</v>
      </c>
      <c r="L1055" s="1">
        <f t="shared" si="146"/>
        <v>1</v>
      </c>
      <c r="M1055" s="1">
        <f t="shared" si="147"/>
        <v>302</v>
      </c>
      <c r="N1055" s="1">
        <f t="shared" si="148"/>
        <v>297.66000000000003</v>
      </c>
      <c r="O1055" s="1">
        <f t="shared" si="149"/>
        <v>296.90000000000003</v>
      </c>
      <c r="P1055" s="1">
        <f t="shared" si="150"/>
        <v>151.47959183673473</v>
      </c>
    </row>
    <row r="1056" spans="1:16">
      <c r="A1056" s="2">
        <v>41528</v>
      </c>
      <c r="B1056" s="1">
        <v>298.91000000000003</v>
      </c>
      <c r="C1056" s="1">
        <v>301.86</v>
      </c>
      <c r="D1056" s="1">
        <v>297.83999999999997</v>
      </c>
      <c r="E1056" s="1">
        <v>299.64</v>
      </c>
      <c r="F1056" s="1">
        <v>1742600</v>
      </c>
      <c r="G1056" s="1">
        <v>299.64</v>
      </c>
      <c r="H1056" s="1">
        <f t="shared" si="144"/>
        <v>4.0200000000000387</v>
      </c>
      <c r="I1056" s="9">
        <f t="shared" si="151"/>
        <v>1.3497179693795457E-2</v>
      </c>
      <c r="J1056" s="1">
        <f t="shared" si="152"/>
        <v>-0.72000000000002728</v>
      </c>
      <c r="K1056" s="9">
        <f t="shared" si="145"/>
        <v>-2.3971234518578616E-3</v>
      </c>
      <c r="L1056" s="1">
        <f t="shared" si="146"/>
        <v>1</v>
      </c>
      <c r="M1056" s="1">
        <f t="shared" si="147"/>
        <v>301.86</v>
      </c>
      <c r="N1056" s="1">
        <f t="shared" si="148"/>
        <v>297.83999999999997</v>
      </c>
      <c r="O1056" s="1">
        <f t="shared" si="149"/>
        <v>297.68</v>
      </c>
      <c r="P1056" s="1">
        <f t="shared" si="150"/>
        <v>151.87755102040816</v>
      </c>
    </row>
    <row r="1057" spans="1:16">
      <c r="A1057" s="2">
        <v>41527</v>
      </c>
      <c r="B1057" s="1">
        <v>300.55</v>
      </c>
      <c r="C1057" s="1">
        <v>301</v>
      </c>
      <c r="D1057" s="1">
        <v>297.22000000000003</v>
      </c>
      <c r="E1057" s="1">
        <v>300.36</v>
      </c>
      <c r="F1057" s="1">
        <v>1778400</v>
      </c>
      <c r="G1057" s="1">
        <v>300.36</v>
      </c>
      <c r="H1057" s="1">
        <f t="shared" si="144"/>
        <v>3.7799999999999727</v>
      </c>
      <c r="I1057" s="9">
        <f t="shared" si="151"/>
        <v>1.2717852096090346E-2</v>
      </c>
      <c r="J1057" s="1">
        <f t="shared" si="152"/>
        <v>0.65000000000003411</v>
      </c>
      <c r="K1057" s="9">
        <f t="shared" si="145"/>
        <v>2.1687631376998903E-3</v>
      </c>
      <c r="L1057" s="1">
        <f t="shared" si="146"/>
        <v>1</v>
      </c>
      <c r="M1057" s="1">
        <f t="shared" si="147"/>
        <v>301</v>
      </c>
      <c r="N1057" s="1">
        <f t="shared" si="148"/>
        <v>297.22000000000003</v>
      </c>
      <c r="O1057" s="1">
        <f t="shared" si="149"/>
        <v>298.40000000000003</v>
      </c>
      <c r="P1057" s="1">
        <f t="shared" si="150"/>
        <v>152.2448979591837</v>
      </c>
    </row>
    <row r="1058" spans="1:16">
      <c r="A1058" s="2">
        <v>41526</v>
      </c>
      <c r="B1058" s="1">
        <v>297.22000000000003</v>
      </c>
      <c r="C1058" s="1">
        <v>299.95999999999998</v>
      </c>
      <c r="D1058" s="1">
        <v>296.60000000000002</v>
      </c>
      <c r="E1058" s="1">
        <v>299.70999999999998</v>
      </c>
      <c r="F1058" s="1">
        <v>1643600</v>
      </c>
      <c r="G1058" s="1">
        <v>299.70999999999998</v>
      </c>
      <c r="H1058" s="1">
        <f t="shared" si="144"/>
        <v>3.3599999999999568</v>
      </c>
      <c r="I1058" s="9">
        <f t="shared" si="151"/>
        <v>1.1328388401887919E-2</v>
      </c>
      <c r="J1058" s="1">
        <f t="shared" si="152"/>
        <v>3.8499999999999659</v>
      </c>
      <c r="K1058" s="9">
        <f t="shared" si="145"/>
        <v>1.3012911512201601E-2</v>
      </c>
      <c r="L1058" s="1">
        <f t="shared" si="146"/>
        <v>1</v>
      </c>
      <c r="M1058" s="1">
        <f t="shared" si="147"/>
        <v>299.95999999999998</v>
      </c>
      <c r="N1058" s="1">
        <f t="shared" si="148"/>
        <v>296.60000000000002</v>
      </c>
      <c r="O1058" s="1">
        <f t="shared" si="149"/>
        <v>297.75</v>
      </c>
      <c r="P1058" s="1">
        <f t="shared" si="150"/>
        <v>151.91326530612244</v>
      </c>
    </row>
    <row r="1059" spans="1:16">
      <c r="A1059" s="2">
        <v>41523</v>
      </c>
      <c r="B1059" s="1">
        <v>295.33</v>
      </c>
      <c r="C1059" s="1">
        <v>298.88</v>
      </c>
      <c r="D1059" s="1">
        <v>290.8</v>
      </c>
      <c r="E1059" s="1">
        <v>295.86</v>
      </c>
      <c r="F1059" s="1">
        <v>2292000</v>
      </c>
      <c r="G1059" s="1">
        <v>295.86</v>
      </c>
      <c r="H1059" s="1">
        <f t="shared" si="144"/>
        <v>8.0799999999999841</v>
      </c>
      <c r="I1059" s="9">
        <f t="shared" si="151"/>
        <v>2.7785419532324565E-2</v>
      </c>
      <c r="J1059" s="1">
        <f t="shared" si="152"/>
        <v>1.7599999999999909</v>
      </c>
      <c r="K1059" s="9">
        <f t="shared" si="145"/>
        <v>5.9843590615436615E-3</v>
      </c>
      <c r="L1059" s="1">
        <f t="shared" si="146"/>
        <v>1</v>
      </c>
      <c r="M1059" s="1">
        <f t="shared" si="147"/>
        <v>298.88</v>
      </c>
      <c r="N1059" s="1">
        <f t="shared" si="148"/>
        <v>290.8</v>
      </c>
      <c r="O1059" s="1">
        <f t="shared" si="149"/>
        <v>293.90000000000003</v>
      </c>
      <c r="P1059" s="1">
        <f t="shared" si="150"/>
        <v>149.94897959183675</v>
      </c>
    </row>
    <row r="1060" spans="1:16">
      <c r="A1060" s="2">
        <v>41522</v>
      </c>
      <c r="B1060" s="1">
        <v>293.63</v>
      </c>
      <c r="C1060" s="1">
        <v>297</v>
      </c>
      <c r="D1060" s="1">
        <v>292.70999999999998</v>
      </c>
      <c r="E1060" s="1">
        <v>294.10000000000002</v>
      </c>
      <c r="F1060" s="1">
        <v>1816600</v>
      </c>
      <c r="G1060" s="1">
        <v>294.10000000000002</v>
      </c>
      <c r="H1060" s="1">
        <f t="shared" si="144"/>
        <v>4.2900000000000205</v>
      </c>
      <c r="I1060" s="9">
        <f t="shared" si="151"/>
        <v>1.4656144306651705E-2</v>
      </c>
      <c r="J1060" s="1">
        <f t="shared" si="152"/>
        <v>0.46000000000003638</v>
      </c>
      <c r="K1060" s="9">
        <f t="shared" si="145"/>
        <v>1.5665440675658507E-3</v>
      </c>
      <c r="L1060" s="1">
        <f t="shared" si="146"/>
        <v>1</v>
      </c>
      <c r="M1060" s="1">
        <f t="shared" si="147"/>
        <v>297</v>
      </c>
      <c r="N1060" s="1">
        <f t="shared" si="148"/>
        <v>292.70999999999998</v>
      </c>
      <c r="O1060" s="1">
        <f t="shared" si="149"/>
        <v>292.14000000000004</v>
      </c>
      <c r="P1060" s="1">
        <f t="shared" si="150"/>
        <v>149.05102040816328</v>
      </c>
    </row>
    <row r="1061" spans="1:16">
      <c r="A1061" s="2">
        <v>41521</v>
      </c>
      <c r="B1061" s="1">
        <v>288.33</v>
      </c>
      <c r="C1061" s="1">
        <v>295.23</v>
      </c>
      <c r="D1061" s="1">
        <v>287.58</v>
      </c>
      <c r="E1061" s="1">
        <v>293.64</v>
      </c>
      <c r="F1061" s="1">
        <v>2438600</v>
      </c>
      <c r="G1061" s="1">
        <v>293.64</v>
      </c>
      <c r="H1061" s="1">
        <f t="shared" si="144"/>
        <v>7.6500000000000341</v>
      </c>
      <c r="I1061" s="9">
        <f t="shared" si="151"/>
        <v>2.6601293553098388E-2</v>
      </c>
      <c r="J1061" s="1">
        <f t="shared" si="152"/>
        <v>4.839999999999975</v>
      </c>
      <c r="K1061" s="9">
        <f t="shared" si="145"/>
        <v>1.6759002770083017E-2</v>
      </c>
      <c r="L1061" s="1">
        <f t="shared" si="146"/>
        <v>1</v>
      </c>
      <c r="M1061" s="1">
        <f t="shared" si="147"/>
        <v>295.23</v>
      </c>
      <c r="N1061" s="1">
        <f t="shared" si="148"/>
        <v>287.58</v>
      </c>
      <c r="O1061" s="1">
        <f t="shared" si="149"/>
        <v>291.68</v>
      </c>
      <c r="P1061" s="1">
        <f t="shared" si="150"/>
        <v>148.81632653061226</v>
      </c>
    </row>
    <row r="1062" spans="1:16">
      <c r="A1062" s="2">
        <v>41520</v>
      </c>
      <c r="B1062" s="1">
        <v>284.73</v>
      </c>
      <c r="C1062" s="1">
        <v>291.39</v>
      </c>
      <c r="D1062" s="1">
        <v>284.17</v>
      </c>
      <c r="E1062" s="1">
        <v>288.8</v>
      </c>
      <c r="F1062" s="1">
        <v>2897600</v>
      </c>
      <c r="G1062" s="1">
        <v>288.8</v>
      </c>
      <c r="H1062" s="1">
        <f t="shared" si="144"/>
        <v>7.2199999999999704</v>
      </c>
      <c r="I1062" s="9">
        <f t="shared" si="151"/>
        <v>2.540732660027438E-2</v>
      </c>
      <c r="J1062" s="1">
        <f t="shared" si="152"/>
        <v>7.8199999999999932</v>
      </c>
      <c r="K1062" s="9">
        <f t="shared" si="145"/>
        <v>2.7831162360310316E-2</v>
      </c>
      <c r="L1062" s="1">
        <f t="shared" si="146"/>
        <v>1</v>
      </c>
      <c r="M1062" s="1">
        <f t="shared" si="147"/>
        <v>291.39</v>
      </c>
      <c r="N1062" s="1">
        <f t="shared" si="148"/>
        <v>284.17</v>
      </c>
      <c r="O1062" s="1">
        <f t="shared" si="149"/>
        <v>286.84000000000003</v>
      </c>
      <c r="P1062" s="1">
        <f t="shared" si="150"/>
        <v>146.34693877551021</v>
      </c>
    </row>
    <row r="1063" spans="1:16">
      <c r="A1063" s="2">
        <v>41516</v>
      </c>
      <c r="B1063" s="1">
        <v>284.58999999999997</v>
      </c>
      <c r="C1063" s="1">
        <v>284.87</v>
      </c>
      <c r="D1063" s="1">
        <v>280</v>
      </c>
      <c r="E1063" s="1">
        <v>280.98</v>
      </c>
      <c r="F1063" s="1">
        <v>1534700</v>
      </c>
      <c r="G1063" s="1">
        <v>280.98</v>
      </c>
      <c r="H1063" s="1">
        <f t="shared" si="144"/>
        <v>4.8700000000000045</v>
      </c>
      <c r="I1063" s="9">
        <f t="shared" si="151"/>
        <v>1.7392857142857158E-2</v>
      </c>
      <c r="J1063" s="1">
        <f t="shared" si="152"/>
        <v>-3</v>
      </c>
      <c r="K1063" s="9">
        <f t="shared" si="145"/>
        <v>-1.0564124234100993E-2</v>
      </c>
      <c r="L1063" s="1">
        <f t="shared" si="146"/>
        <v>1</v>
      </c>
      <c r="M1063" s="1">
        <f t="shared" si="147"/>
        <v>284.87</v>
      </c>
      <c r="N1063" s="1">
        <f t="shared" si="148"/>
        <v>280</v>
      </c>
      <c r="O1063" s="1">
        <f t="shared" si="149"/>
        <v>279.02000000000004</v>
      </c>
      <c r="P1063" s="1">
        <f t="shared" si="150"/>
        <v>142.35714285714289</v>
      </c>
    </row>
    <row r="1064" spans="1:16">
      <c r="A1064" s="2">
        <v>41515</v>
      </c>
      <c r="B1064" s="1">
        <v>281.45</v>
      </c>
      <c r="C1064" s="1">
        <v>285.98</v>
      </c>
      <c r="D1064" s="1">
        <v>280</v>
      </c>
      <c r="E1064" s="1">
        <v>283.98</v>
      </c>
      <c r="F1064" s="1">
        <v>1566400</v>
      </c>
      <c r="G1064" s="1">
        <v>283.98</v>
      </c>
      <c r="H1064" s="1">
        <f t="shared" si="144"/>
        <v>5.9800000000000182</v>
      </c>
      <c r="I1064" s="9">
        <f t="shared" si="151"/>
        <v>2.1357142857142922E-2</v>
      </c>
      <c r="J1064" s="1">
        <f t="shared" si="152"/>
        <v>2.4000000000000341</v>
      </c>
      <c r="K1064" s="9">
        <f t="shared" si="145"/>
        <v>8.523332623055737E-3</v>
      </c>
      <c r="L1064" s="1">
        <f t="shared" si="146"/>
        <v>1</v>
      </c>
      <c r="M1064" s="1">
        <f t="shared" si="147"/>
        <v>285.98</v>
      </c>
      <c r="N1064" s="1">
        <f t="shared" si="148"/>
        <v>280</v>
      </c>
      <c r="O1064" s="1">
        <f t="shared" si="149"/>
        <v>282.02000000000004</v>
      </c>
      <c r="P1064" s="1">
        <f t="shared" si="150"/>
        <v>143.88775510204084</v>
      </c>
    </row>
    <row r="1065" spans="1:16">
      <c r="A1065" s="2">
        <v>41514</v>
      </c>
      <c r="B1065" s="1">
        <v>280.36</v>
      </c>
      <c r="C1065" s="1">
        <v>283</v>
      </c>
      <c r="D1065" s="1">
        <v>279.33</v>
      </c>
      <c r="E1065" s="1">
        <v>281.58</v>
      </c>
      <c r="F1065" s="1">
        <v>1457100</v>
      </c>
      <c r="G1065" s="1">
        <v>281.58</v>
      </c>
      <c r="H1065" s="1">
        <f t="shared" si="144"/>
        <v>3.6700000000000159</v>
      </c>
      <c r="I1065" s="9">
        <f t="shared" si="151"/>
        <v>1.313858160598581E-2</v>
      </c>
      <c r="J1065" s="1">
        <f t="shared" si="152"/>
        <v>0.64999999999997726</v>
      </c>
      <c r="K1065" s="9">
        <f t="shared" si="145"/>
        <v>2.3137436372049165E-3</v>
      </c>
      <c r="L1065" s="1">
        <f t="shared" si="146"/>
        <v>1</v>
      </c>
      <c r="M1065" s="1">
        <f t="shared" si="147"/>
        <v>283</v>
      </c>
      <c r="N1065" s="1">
        <f t="shared" si="148"/>
        <v>279.33</v>
      </c>
      <c r="O1065" s="1">
        <f t="shared" si="149"/>
        <v>279.62</v>
      </c>
      <c r="P1065" s="1">
        <f t="shared" si="150"/>
        <v>142.66326530612244</v>
      </c>
    </row>
    <row r="1066" spans="1:16">
      <c r="A1066" s="2">
        <v>41513</v>
      </c>
      <c r="B1066" s="1">
        <v>283.87</v>
      </c>
      <c r="C1066" s="1">
        <v>285.27999999999997</v>
      </c>
      <c r="D1066" s="1">
        <v>279.74</v>
      </c>
      <c r="E1066" s="1">
        <v>280.93</v>
      </c>
      <c r="F1066" s="1">
        <v>2476000</v>
      </c>
      <c r="G1066" s="1">
        <v>280.93</v>
      </c>
      <c r="H1066" s="1">
        <f t="shared" si="144"/>
        <v>5.5399999999999636</v>
      </c>
      <c r="I1066" s="9">
        <f t="shared" si="151"/>
        <v>1.9804103810681217E-2</v>
      </c>
      <c r="J1066" s="1">
        <f t="shared" si="152"/>
        <v>-5.2799999999999727</v>
      </c>
      <c r="K1066" s="9">
        <f t="shared" si="145"/>
        <v>-1.8447992732608831E-2</v>
      </c>
      <c r="L1066" s="1">
        <f t="shared" si="146"/>
        <v>1</v>
      </c>
      <c r="M1066" s="1">
        <f t="shared" si="147"/>
        <v>285.27999999999997</v>
      </c>
      <c r="N1066" s="1">
        <f t="shared" si="148"/>
        <v>279.74</v>
      </c>
      <c r="O1066" s="1">
        <f t="shared" si="149"/>
        <v>278.97000000000003</v>
      </c>
      <c r="P1066" s="1">
        <f t="shared" si="150"/>
        <v>142.33163265306123</v>
      </c>
    </row>
    <row r="1067" spans="1:16">
      <c r="A1067" s="2">
        <v>41512</v>
      </c>
      <c r="B1067" s="1">
        <v>290.43</v>
      </c>
      <c r="C1067" s="1">
        <v>291.05</v>
      </c>
      <c r="D1067" s="1">
        <v>285.62</v>
      </c>
      <c r="E1067" s="1">
        <v>286.20999999999998</v>
      </c>
      <c r="F1067" s="1">
        <v>1711700</v>
      </c>
      <c r="G1067" s="1">
        <v>286.20999999999998</v>
      </c>
      <c r="H1067" s="1">
        <f t="shared" si="144"/>
        <v>5.4300000000000068</v>
      </c>
      <c r="I1067" s="9">
        <f t="shared" si="151"/>
        <v>1.901127372032773E-2</v>
      </c>
      <c r="J1067" s="1">
        <f t="shared" si="152"/>
        <v>-3.8000000000000114</v>
      </c>
      <c r="K1067" s="9">
        <f t="shared" si="145"/>
        <v>-1.3102996448398371E-2</v>
      </c>
      <c r="L1067" s="1">
        <f t="shared" si="146"/>
        <v>1</v>
      </c>
      <c r="M1067" s="1">
        <f t="shared" si="147"/>
        <v>291.05</v>
      </c>
      <c r="N1067" s="1">
        <f t="shared" si="148"/>
        <v>285.62</v>
      </c>
      <c r="O1067" s="1">
        <f t="shared" si="149"/>
        <v>284.25</v>
      </c>
      <c r="P1067" s="1">
        <f t="shared" si="150"/>
        <v>145.02551020408163</v>
      </c>
    </row>
    <row r="1068" spans="1:16">
      <c r="A1068" s="2">
        <v>41509</v>
      </c>
      <c r="B1068" s="1">
        <v>291.20999999999998</v>
      </c>
      <c r="C1068" s="1">
        <v>291.5</v>
      </c>
      <c r="D1068" s="1">
        <v>287.89999999999998</v>
      </c>
      <c r="E1068" s="1">
        <v>290.01</v>
      </c>
      <c r="F1068" s="1">
        <v>1961900</v>
      </c>
      <c r="G1068" s="1">
        <v>290.01</v>
      </c>
      <c r="H1068" s="1">
        <f t="shared" si="144"/>
        <v>3.6000000000000227</v>
      </c>
      <c r="I1068" s="9">
        <f t="shared" si="151"/>
        <v>1.2504341785342212E-2</v>
      </c>
      <c r="J1068" s="1">
        <f t="shared" si="152"/>
        <v>0.27999999999997272</v>
      </c>
      <c r="K1068" s="9">
        <f t="shared" si="145"/>
        <v>9.6641700893926308E-4</v>
      </c>
      <c r="L1068" s="1">
        <f t="shared" si="146"/>
        <v>1</v>
      </c>
      <c r="M1068" s="1">
        <f t="shared" si="147"/>
        <v>291.5</v>
      </c>
      <c r="N1068" s="1">
        <f t="shared" si="148"/>
        <v>287.89999999999998</v>
      </c>
      <c r="O1068" s="1">
        <f t="shared" si="149"/>
        <v>288.05</v>
      </c>
      <c r="P1068" s="1">
        <f t="shared" si="150"/>
        <v>146.96428571428572</v>
      </c>
    </row>
    <row r="1069" spans="1:16">
      <c r="A1069" s="2">
        <v>41508</v>
      </c>
      <c r="B1069" s="1">
        <v>284.8</v>
      </c>
      <c r="C1069" s="1">
        <v>289.87</v>
      </c>
      <c r="D1069" s="1">
        <v>284.8</v>
      </c>
      <c r="E1069" s="1">
        <v>289.73</v>
      </c>
      <c r="F1069" s="1">
        <v>1422600</v>
      </c>
      <c r="G1069" s="1">
        <v>289.73</v>
      </c>
      <c r="H1069" s="1">
        <f t="shared" si="144"/>
        <v>5.0699999999999932</v>
      </c>
      <c r="I1069" s="9">
        <f t="shared" si="151"/>
        <v>1.7801966292134808E-2</v>
      </c>
      <c r="J1069" s="1">
        <f t="shared" si="152"/>
        <v>5.160000000000025</v>
      </c>
      <c r="K1069" s="9">
        <f t="shared" si="145"/>
        <v>1.8132621147696613E-2</v>
      </c>
      <c r="L1069" s="1">
        <f t="shared" si="146"/>
        <v>1</v>
      </c>
      <c r="M1069" s="1">
        <f t="shared" si="147"/>
        <v>289.87</v>
      </c>
      <c r="N1069" s="1">
        <f t="shared" si="148"/>
        <v>284.8</v>
      </c>
      <c r="O1069" s="1">
        <f t="shared" si="149"/>
        <v>287.77000000000004</v>
      </c>
      <c r="P1069" s="1">
        <f t="shared" si="150"/>
        <v>146.82142857142858</v>
      </c>
    </row>
    <row r="1070" spans="1:16">
      <c r="A1070" s="2">
        <v>41507</v>
      </c>
      <c r="B1070" s="1">
        <v>285.08999999999997</v>
      </c>
      <c r="C1070" s="1">
        <v>288.5</v>
      </c>
      <c r="D1070" s="1">
        <v>283.83</v>
      </c>
      <c r="E1070" s="1">
        <v>284.57</v>
      </c>
      <c r="F1070" s="1">
        <v>1815300</v>
      </c>
      <c r="G1070" s="1">
        <v>284.57</v>
      </c>
      <c r="H1070" s="1">
        <f t="shared" si="144"/>
        <v>4.6700000000000159</v>
      </c>
      <c r="I1070" s="9">
        <f t="shared" si="151"/>
        <v>1.6453510904414673E-2</v>
      </c>
      <c r="J1070" s="1">
        <f t="shared" si="152"/>
        <v>-2.5199999999999818</v>
      </c>
      <c r="K1070" s="9">
        <f t="shared" si="145"/>
        <v>-8.7777352049879208E-3</v>
      </c>
      <c r="L1070" s="1">
        <f t="shared" si="146"/>
        <v>1</v>
      </c>
      <c r="M1070" s="1">
        <f t="shared" si="147"/>
        <v>288.5</v>
      </c>
      <c r="N1070" s="1">
        <f t="shared" si="148"/>
        <v>283.83</v>
      </c>
      <c r="O1070" s="1">
        <f t="shared" si="149"/>
        <v>282.61</v>
      </c>
      <c r="P1070" s="1">
        <f t="shared" si="150"/>
        <v>144.1887755102041</v>
      </c>
    </row>
    <row r="1071" spans="1:16">
      <c r="A1071" s="2">
        <v>41506</v>
      </c>
      <c r="B1071" s="1">
        <v>285.88</v>
      </c>
      <c r="C1071" s="1">
        <v>289.51</v>
      </c>
      <c r="D1071" s="1">
        <v>285.74</v>
      </c>
      <c r="E1071" s="1">
        <v>287.08999999999997</v>
      </c>
      <c r="F1071" s="1">
        <v>1586300</v>
      </c>
      <c r="G1071" s="1">
        <v>287.08999999999997</v>
      </c>
      <c r="H1071" s="1">
        <f t="shared" si="144"/>
        <v>3.7699999999999818</v>
      </c>
      <c r="I1071" s="9">
        <f t="shared" si="151"/>
        <v>1.3193812556869817E-2</v>
      </c>
      <c r="J1071" s="1">
        <f t="shared" si="152"/>
        <v>1.5199999999999818</v>
      </c>
      <c r="K1071" s="9">
        <f t="shared" si="145"/>
        <v>5.3226879574184332E-3</v>
      </c>
      <c r="L1071" s="1">
        <f t="shared" si="146"/>
        <v>1</v>
      </c>
      <c r="M1071" s="1">
        <f t="shared" si="147"/>
        <v>289.51</v>
      </c>
      <c r="N1071" s="1">
        <f t="shared" si="148"/>
        <v>285.74</v>
      </c>
      <c r="O1071" s="1">
        <f t="shared" si="149"/>
        <v>285.13</v>
      </c>
      <c r="P1071" s="1">
        <f t="shared" si="150"/>
        <v>145.47448979591837</v>
      </c>
    </row>
    <row r="1072" spans="1:16">
      <c r="A1072" s="2">
        <v>41505</v>
      </c>
      <c r="B1072" s="1">
        <v>285.19</v>
      </c>
      <c r="C1072" s="1">
        <v>289.56</v>
      </c>
      <c r="D1072" s="1">
        <v>283.48</v>
      </c>
      <c r="E1072" s="1">
        <v>285.57</v>
      </c>
      <c r="F1072" s="1">
        <v>2477400</v>
      </c>
      <c r="G1072" s="1">
        <v>285.57</v>
      </c>
      <c r="H1072" s="1">
        <f t="shared" si="144"/>
        <v>6.0799999999999841</v>
      </c>
      <c r="I1072" s="9">
        <f t="shared" si="151"/>
        <v>2.1447721179624606E-2</v>
      </c>
      <c r="J1072" s="1">
        <f t="shared" si="152"/>
        <v>0.75</v>
      </c>
      <c r="K1072" s="9">
        <f t="shared" si="145"/>
        <v>2.6332420476090162E-3</v>
      </c>
      <c r="L1072" s="1">
        <f t="shared" si="146"/>
        <v>1</v>
      </c>
      <c r="M1072" s="1">
        <f t="shared" si="147"/>
        <v>289.56</v>
      </c>
      <c r="N1072" s="1">
        <f t="shared" si="148"/>
        <v>283.48</v>
      </c>
      <c r="O1072" s="1">
        <f t="shared" si="149"/>
        <v>283.61</v>
      </c>
      <c r="P1072" s="1">
        <f t="shared" si="150"/>
        <v>144.69897959183675</v>
      </c>
    </row>
    <row r="1073" spans="1:16">
      <c r="A1073" s="2">
        <v>41502</v>
      </c>
      <c r="B1073" s="1">
        <v>286.55</v>
      </c>
      <c r="C1073" s="1">
        <v>288.33</v>
      </c>
      <c r="D1073" s="1">
        <v>284.5</v>
      </c>
      <c r="E1073" s="1">
        <v>284.82</v>
      </c>
      <c r="F1073" s="1">
        <v>2422500</v>
      </c>
      <c r="G1073" s="1">
        <v>284.82</v>
      </c>
      <c r="H1073" s="1">
        <f t="shared" si="144"/>
        <v>3.8299999999999841</v>
      </c>
      <c r="I1073" s="9">
        <f t="shared" si="151"/>
        <v>1.3462214411247748E-2</v>
      </c>
      <c r="J1073" s="1">
        <f t="shared" si="152"/>
        <v>-1.6500000000000341</v>
      </c>
      <c r="K1073" s="9">
        <f t="shared" si="145"/>
        <v>-5.7597654204629943E-3</v>
      </c>
      <c r="L1073" s="1">
        <f t="shared" si="146"/>
        <v>1</v>
      </c>
      <c r="M1073" s="1">
        <f t="shared" si="147"/>
        <v>288.33</v>
      </c>
      <c r="N1073" s="1">
        <f t="shared" si="148"/>
        <v>284.5</v>
      </c>
      <c r="O1073" s="1">
        <f t="shared" si="149"/>
        <v>282.86</v>
      </c>
      <c r="P1073" s="1">
        <f t="shared" si="150"/>
        <v>144.31632653061226</v>
      </c>
    </row>
    <row r="1074" spans="1:16">
      <c r="A1074" s="2">
        <v>41501</v>
      </c>
      <c r="B1074" s="1">
        <v>288.79000000000002</v>
      </c>
      <c r="C1074" s="1">
        <v>289.3</v>
      </c>
      <c r="D1074" s="1">
        <v>285.14999999999998</v>
      </c>
      <c r="E1074" s="1">
        <v>286.47000000000003</v>
      </c>
      <c r="F1074" s="1">
        <v>2261400</v>
      </c>
      <c r="G1074" s="1">
        <v>286.47000000000003</v>
      </c>
      <c r="H1074" s="1">
        <f t="shared" si="144"/>
        <v>4.1500000000000341</v>
      </c>
      <c r="I1074" s="9">
        <f t="shared" si="151"/>
        <v>1.4553743643696422E-2</v>
      </c>
      <c r="J1074" s="1">
        <f t="shared" si="152"/>
        <v>-4.8699999999999477</v>
      </c>
      <c r="K1074" s="9">
        <f t="shared" si="145"/>
        <v>-1.6715864625523266E-2</v>
      </c>
      <c r="L1074" s="1">
        <f t="shared" si="146"/>
        <v>1</v>
      </c>
      <c r="M1074" s="1">
        <f t="shared" si="147"/>
        <v>289.3</v>
      </c>
      <c r="N1074" s="1">
        <f t="shared" si="148"/>
        <v>285.14999999999998</v>
      </c>
      <c r="O1074" s="1">
        <f t="shared" si="149"/>
        <v>284.51000000000005</v>
      </c>
      <c r="P1074" s="1">
        <f t="shared" si="150"/>
        <v>145.15816326530614</v>
      </c>
    </row>
    <row r="1075" spans="1:16">
      <c r="A1075" s="2">
        <v>41500</v>
      </c>
      <c r="B1075" s="1">
        <v>294.29000000000002</v>
      </c>
      <c r="C1075" s="1">
        <v>294.29000000000002</v>
      </c>
      <c r="D1075" s="1">
        <v>290.54000000000002</v>
      </c>
      <c r="E1075" s="1">
        <v>291.33999999999997</v>
      </c>
      <c r="F1075" s="1">
        <v>1415000</v>
      </c>
      <c r="G1075" s="1">
        <v>291.33999999999997</v>
      </c>
      <c r="H1075" s="1">
        <f t="shared" si="144"/>
        <v>3.75</v>
      </c>
      <c r="I1075" s="9">
        <f t="shared" si="151"/>
        <v>1.2907000757210711E-2</v>
      </c>
      <c r="J1075" s="1">
        <f t="shared" si="152"/>
        <v>-2.6300000000000523</v>
      </c>
      <c r="K1075" s="9">
        <f t="shared" si="145"/>
        <v>-8.94649113855173E-3</v>
      </c>
      <c r="L1075" s="1">
        <f t="shared" si="146"/>
        <v>1</v>
      </c>
      <c r="M1075" s="1">
        <f t="shared" si="147"/>
        <v>294.29000000000002</v>
      </c>
      <c r="N1075" s="1">
        <f t="shared" si="148"/>
        <v>290.54000000000002</v>
      </c>
      <c r="O1075" s="1">
        <f t="shared" si="149"/>
        <v>289.38</v>
      </c>
      <c r="P1075" s="1">
        <f t="shared" si="150"/>
        <v>147.64285714285714</v>
      </c>
    </row>
    <row r="1076" spans="1:16">
      <c r="A1076" s="2">
        <v>41499</v>
      </c>
      <c r="B1076" s="1">
        <v>295.88</v>
      </c>
      <c r="C1076" s="1">
        <v>296.37</v>
      </c>
      <c r="D1076" s="1">
        <v>290.67</v>
      </c>
      <c r="E1076" s="1">
        <v>293.97000000000003</v>
      </c>
      <c r="F1076" s="1">
        <v>2349900</v>
      </c>
      <c r="G1076" s="1">
        <v>293.97000000000003</v>
      </c>
      <c r="H1076" s="1">
        <f t="shared" si="144"/>
        <v>5.6999999999999886</v>
      </c>
      <c r="I1076" s="9">
        <f t="shared" si="151"/>
        <v>1.9609866859324969E-2</v>
      </c>
      <c r="J1076" s="1">
        <f t="shared" si="152"/>
        <v>-2.7199999999999704</v>
      </c>
      <c r="K1076" s="9">
        <f t="shared" si="145"/>
        <v>-9.1678182614849529E-3</v>
      </c>
      <c r="L1076" s="1">
        <f t="shared" si="146"/>
        <v>1</v>
      </c>
      <c r="M1076" s="1">
        <f t="shared" si="147"/>
        <v>296.37</v>
      </c>
      <c r="N1076" s="1">
        <f t="shared" si="148"/>
        <v>290.67</v>
      </c>
      <c r="O1076" s="1">
        <f t="shared" si="149"/>
        <v>292.01000000000005</v>
      </c>
      <c r="P1076" s="1">
        <f t="shared" si="150"/>
        <v>148.98469387755105</v>
      </c>
    </row>
    <row r="1077" spans="1:16">
      <c r="A1077" s="2">
        <v>41498</v>
      </c>
      <c r="B1077" s="1">
        <v>295.79000000000002</v>
      </c>
      <c r="C1077" s="1">
        <v>299.08</v>
      </c>
      <c r="D1077" s="1">
        <v>295.26</v>
      </c>
      <c r="E1077" s="1">
        <v>296.69</v>
      </c>
      <c r="F1077" s="1">
        <v>1504500</v>
      </c>
      <c r="G1077" s="1">
        <v>296.69</v>
      </c>
      <c r="H1077" s="1">
        <f t="shared" si="144"/>
        <v>3.8199999999999932</v>
      </c>
      <c r="I1077" s="9">
        <f t="shared" si="151"/>
        <v>1.2937749779855021E-2</v>
      </c>
      <c r="J1077" s="1">
        <f t="shared" si="152"/>
        <v>-0.56999999999999318</v>
      </c>
      <c r="K1077" s="9">
        <f t="shared" si="145"/>
        <v>-1.9175132880306573E-3</v>
      </c>
      <c r="L1077" s="1">
        <f t="shared" si="146"/>
        <v>1</v>
      </c>
      <c r="M1077" s="1">
        <f t="shared" si="147"/>
        <v>299.08</v>
      </c>
      <c r="N1077" s="1">
        <f t="shared" si="148"/>
        <v>295.26</v>
      </c>
      <c r="O1077" s="1">
        <f t="shared" si="149"/>
        <v>294.73</v>
      </c>
      <c r="P1077" s="1">
        <f t="shared" si="150"/>
        <v>150.37244897959184</v>
      </c>
    </row>
    <row r="1078" spans="1:16">
      <c r="A1078" s="2">
        <v>41495</v>
      </c>
      <c r="B1078" s="1">
        <v>295.68</v>
      </c>
      <c r="C1078" s="1">
        <v>299.27</v>
      </c>
      <c r="D1078" s="1">
        <v>294.3</v>
      </c>
      <c r="E1078" s="1">
        <v>297.26</v>
      </c>
      <c r="F1078" s="1">
        <v>1950300</v>
      </c>
      <c r="G1078" s="1">
        <v>297.26</v>
      </c>
      <c r="H1078" s="1">
        <f t="shared" si="144"/>
        <v>4.9699999999999704</v>
      </c>
      <c r="I1078" s="9">
        <f t="shared" si="151"/>
        <v>1.6887529731566327E-2</v>
      </c>
      <c r="J1078" s="1">
        <f t="shared" si="152"/>
        <v>1.5199999999999818</v>
      </c>
      <c r="K1078" s="9">
        <f t="shared" si="145"/>
        <v>5.1396496922972261E-3</v>
      </c>
      <c r="L1078" s="1">
        <f t="shared" si="146"/>
        <v>1</v>
      </c>
      <c r="M1078" s="1">
        <f t="shared" si="147"/>
        <v>299.27</v>
      </c>
      <c r="N1078" s="1">
        <f t="shared" si="148"/>
        <v>294.3</v>
      </c>
      <c r="O1078" s="1">
        <f t="shared" si="149"/>
        <v>295.3</v>
      </c>
      <c r="P1078" s="1">
        <f t="shared" si="150"/>
        <v>150.66326530612247</v>
      </c>
    </row>
    <row r="1079" spans="1:16">
      <c r="A1079" s="2">
        <v>41494</v>
      </c>
      <c r="B1079" s="1">
        <v>298.52</v>
      </c>
      <c r="C1079" s="1">
        <v>298.52</v>
      </c>
      <c r="D1079" s="1">
        <v>292.55</v>
      </c>
      <c r="E1079" s="1">
        <v>295.74</v>
      </c>
      <c r="F1079" s="1">
        <v>2343400</v>
      </c>
      <c r="G1079" s="1">
        <v>295.74</v>
      </c>
      <c r="H1079" s="1">
        <f t="shared" si="144"/>
        <v>5.9699999999999704</v>
      </c>
      <c r="I1079" s="9">
        <f t="shared" si="151"/>
        <v>2.0406768073833431E-2</v>
      </c>
      <c r="J1079" s="1">
        <f t="shared" si="152"/>
        <v>-1.1700000000000159</v>
      </c>
      <c r="K1079" s="9">
        <f t="shared" si="145"/>
        <v>-3.9405880569870193E-3</v>
      </c>
      <c r="L1079" s="1">
        <f t="shared" si="146"/>
        <v>1</v>
      </c>
      <c r="M1079" s="1">
        <f t="shared" si="147"/>
        <v>298.52</v>
      </c>
      <c r="N1079" s="1">
        <f t="shared" si="148"/>
        <v>292.55</v>
      </c>
      <c r="O1079" s="1">
        <f t="shared" si="149"/>
        <v>293.78000000000003</v>
      </c>
      <c r="P1079" s="1">
        <f t="shared" si="150"/>
        <v>149.88775510204084</v>
      </c>
    </row>
    <row r="1080" spans="1:16">
      <c r="A1080" s="2">
        <v>41493</v>
      </c>
      <c r="B1080" s="1">
        <v>300.14999999999998</v>
      </c>
      <c r="C1080" s="1">
        <v>300.99</v>
      </c>
      <c r="D1080" s="1">
        <v>296.14999999999998</v>
      </c>
      <c r="E1080" s="1">
        <v>296.91000000000003</v>
      </c>
      <c r="F1080" s="1">
        <v>1961000</v>
      </c>
      <c r="G1080" s="1">
        <v>296.91000000000003</v>
      </c>
      <c r="H1080" s="1">
        <f t="shared" si="144"/>
        <v>4.8400000000000318</v>
      </c>
      <c r="I1080" s="9">
        <f t="shared" si="151"/>
        <v>1.6343069390511673E-2</v>
      </c>
      <c r="J1080" s="1">
        <f t="shared" si="152"/>
        <v>-3.839999999999975</v>
      </c>
      <c r="K1080" s="9">
        <f t="shared" si="145"/>
        <v>-1.2768079800498671E-2</v>
      </c>
      <c r="L1080" s="1">
        <f t="shared" si="146"/>
        <v>1</v>
      </c>
      <c r="M1080" s="1">
        <f t="shared" si="147"/>
        <v>300.99</v>
      </c>
      <c r="N1080" s="1">
        <f t="shared" si="148"/>
        <v>296.14999999999998</v>
      </c>
      <c r="O1080" s="1">
        <f t="shared" si="149"/>
        <v>294.95000000000005</v>
      </c>
      <c r="P1080" s="1">
        <f t="shared" si="150"/>
        <v>150.48469387755105</v>
      </c>
    </row>
    <row r="1081" spans="1:16">
      <c r="A1081" s="2">
        <v>41492</v>
      </c>
      <c r="B1081" s="1">
        <v>300.51</v>
      </c>
      <c r="C1081" s="1">
        <v>301.36</v>
      </c>
      <c r="D1081" s="1">
        <v>297.52</v>
      </c>
      <c r="E1081" s="1">
        <v>300.75</v>
      </c>
      <c r="F1081" s="1">
        <v>1849000</v>
      </c>
      <c r="G1081" s="1">
        <v>300.75</v>
      </c>
      <c r="H1081" s="1">
        <f t="shared" si="144"/>
        <v>3.8400000000000318</v>
      </c>
      <c r="I1081" s="9">
        <f t="shared" si="151"/>
        <v>1.2906695348211993E-2</v>
      </c>
      <c r="J1081" s="1">
        <f t="shared" si="152"/>
        <v>-0.24000000000000909</v>
      </c>
      <c r="K1081" s="9">
        <f t="shared" si="145"/>
        <v>-7.9736868334499183E-4</v>
      </c>
      <c r="L1081" s="1">
        <f t="shared" si="146"/>
        <v>1</v>
      </c>
      <c r="M1081" s="1">
        <f t="shared" si="147"/>
        <v>301.36</v>
      </c>
      <c r="N1081" s="1">
        <f t="shared" si="148"/>
        <v>297.52</v>
      </c>
      <c r="O1081" s="1">
        <f t="shared" si="149"/>
        <v>298.79000000000002</v>
      </c>
      <c r="P1081" s="1">
        <f t="shared" si="150"/>
        <v>152.44387755102042</v>
      </c>
    </row>
    <row r="1082" spans="1:16">
      <c r="A1082" s="2">
        <v>41491</v>
      </c>
      <c r="B1082" s="1">
        <v>303.39999999999998</v>
      </c>
      <c r="C1082" s="1">
        <v>303.62</v>
      </c>
      <c r="D1082" s="1">
        <v>298.3</v>
      </c>
      <c r="E1082" s="1">
        <v>300.99</v>
      </c>
      <c r="F1082" s="1">
        <v>2233200</v>
      </c>
      <c r="G1082" s="1">
        <v>300.99</v>
      </c>
      <c r="H1082" s="1">
        <f t="shared" si="144"/>
        <v>5.3199999999999932</v>
      </c>
      <c r="I1082" s="9">
        <f t="shared" si="151"/>
        <v>1.7834394904458574E-2</v>
      </c>
      <c r="J1082" s="1">
        <f t="shared" si="152"/>
        <v>-3.2199999999999704</v>
      </c>
      <c r="K1082" s="9">
        <f t="shared" si="145"/>
        <v>-1.0584793399296442E-2</v>
      </c>
      <c r="L1082" s="1">
        <f t="shared" si="146"/>
        <v>1</v>
      </c>
      <c r="M1082" s="1">
        <f t="shared" si="147"/>
        <v>303.62</v>
      </c>
      <c r="N1082" s="1">
        <f t="shared" si="148"/>
        <v>298.3</v>
      </c>
      <c r="O1082" s="1">
        <f t="shared" si="149"/>
        <v>299.03000000000003</v>
      </c>
      <c r="P1082" s="1">
        <f t="shared" si="150"/>
        <v>152.56632653061226</v>
      </c>
    </row>
    <row r="1083" spans="1:16">
      <c r="A1083" s="2">
        <v>41488</v>
      </c>
      <c r="B1083" s="1">
        <v>304.63</v>
      </c>
      <c r="C1083" s="1">
        <v>305.33</v>
      </c>
      <c r="D1083" s="1">
        <v>301.5</v>
      </c>
      <c r="E1083" s="1">
        <v>304.20999999999998</v>
      </c>
      <c r="F1083" s="1">
        <v>2502600</v>
      </c>
      <c r="G1083" s="1">
        <v>304.20999999999998</v>
      </c>
      <c r="H1083" s="1">
        <f t="shared" si="144"/>
        <v>3.8299999999999841</v>
      </c>
      <c r="I1083" s="9">
        <f t="shared" si="151"/>
        <v>1.2703150912106083E-2</v>
      </c>
      <c r="J1083" s="1">
        <f t="shared" si="152"/>
        <v>-1.3600000000000136</v>
      </c>
      <c r="K1083" s="9">
        <f t="shared" si="145"/>
        <v>-4.45069869424359E-3</v>
      </c>
      <c r="L1083" s="1">
        <f t="shared" si="146"/>
        <v>1</v>
      </c>
      <c r="M1083" s="1">
        <f t="shared" si="147"/>
        <v>305.33</v>
      </c>
      <c r="N1083" s="1">
        <f t="shared" si="148"/>
        <v>301.5</v>
      </c>
      <c r="O1083" s="1">
        <f t="shared" si="149"/>
        <v>302.25</v>
      </c>
      <c r="P1083" s="1">
        <f t="shared" si="150"/>
        <v>154.2091836734694</v>
      </c>
    </row>
    <row r="1084" spans="1:16">
      <c r="A1084" s="2">
        <v>41487</v>
      </c>
      <c r="B1084" s="1">
        <v>303.08</v>
      </c>
      <c r="C1084" s="1">
        <v>306.20999999999998</v>
      </c>
      <c r="D1084" s="1">
        <v>298.89999999999998</v>
      </c>
      <c r="E1084" s="1">
        <v>305.57</v>
      </c>
      <c r="F1084" s="1">
        <v>2971700</v>
      </c>
      <c r="G1084" s="1">
        <v>305.57</v>
      </c>
      <c r="H1084" s="1">
        <f t="shared" si="144"/>
        <v>7.3100000000000023</v>
      </c>
      <c r="I1084" s="9">
        <f t="shared" si="151"/>
        <v>2.4456339913014397E-2</v>
      </c>
      <c r="J1084" s="1">
        <f t="shared" si="152"/>
        <v>4.3499999999999659</v>
      </c>
      <c r="K1084" s="9">
        <f t="shared" si="145"/>
        <v>1.4441272159883027E-2</v>
      </c>
      <c r="L1084" s="1">
        <f t="shared" si="146"/>
        <v>1</v>
      </c>
      <c r="M1084" s="1">
        <f t="shared" si="147"/>
        <v>306.20999999999998</v>
      </c>
      <c r="N1084" s="1">
        <f t="shared" si="148"/>
        <v>298.89999999999998</v>
      </c>
      <c r="O1084" s="1">
        <f t="shared" si="149"/>
        <v>303.61</v>
      </c>
      <c r="P1084" s="1">
        <f t="shared" si="150"/>
        <v>154.90306122448982</v>
      </c>
    </row>
    <row r="1085" spans="1:16">
      <c r="A1085" s="2">
        <v>41486</v>
      </c>
      <c r="B1085" s="1">
        <v>303.91000000000003</v>
      </c>
      <c r="C1085" s="1">
        <v>305.14999999999998</v>
      </c>
      <c r="D1085" s="1">
        <v>301</v>
      </c>
      <c r="E1085" s="1">
        <v>301.22000000000003</v>
      </c>
      <c r="F1085" s="1">
        <v>1891300</v>
      </c>
      <c r="G1085" s="1">
        <v>301.22000000000003</v>
      </c>
      <c r="H1085" s="1">
        <f t="shared" si="144"/>
        <v>4.1499999999999773</v>
      </c>
      <c r="I1085" s="9">
        <f t="shared" si="151"/>
        <v>1.3787375415282316E-2</v>
      </c>
      <c r="J1085" s="1">
        <f t="shared" si="152"/>
        <v>-1.1899999999999977</v>
      </c>
      <c r="K1085" s="9">
        <f t="shared" si="145"/>
        <v>-3.9350550577031103E-3</v>
      </c>
      <c r="L1085" s="1">
        <f t="shared" si="146"/>
        <v>1</v>
      </c>
      <c r="M1085" s="1">
        <f t="shared" si="147"/>
        <v>305.14999999999998</v>
      </c>
      <c r="N1085" s="1">
        <f t="shared" si="148"/>
        <v>301</v>
      </c>
      <c r="O1085" s="1">
        <f t="shared" si="149"/>
        <v>299.26000000000005</v>
      </c>
      <c r="P1085" s="1">
        <f t="shared" si="150"/>
        <v>152.68367346938777</v>
      </c>
    </row>
    <row r="1086" spans="1:16">
      <c r="A1086" s="2">
        <v>41485</v>
      </c>
      <c r="B1086" s="1">
        <v>307.72000000000003</v>
      </c>
      <c r="C1086" s="1">
        <v>309.77999999999997</v>
      </c>
      <c r="D1086" s="1">
        <v>301.57</v>
      </c>
      <c r="E1086" s="1">
        <v>302.41000000000003</v>
      </c>
      <c r="F1086" s="1">
        <v>3053400</v>
      </c>
      <c r="G1086" s="1">
        <v>302.41000000000003</v>
      </c>
      <c r="H1086" s="1">
        <f t="shared" si="144"/>
        <v>8.2099999999999795</v>
      </c>
      <c r="I1086" s="9">
        <f t="shared" si="151"/>
        <v>2.7224193387936399E-2</v>
      </c>
      <c r="J1086" s="1">
        <f t="shared" si="152"/>
        <v>-3.6899999999999977</v>
      </c>
      <c r="K1086" s="9">
        <f t="shared" si="145"/>
        <v>-1.205488402482848E-2</v>
      </c>
      <c r="L1086" s="1">
        <f t="shared" si="146"/>
        <v>1</v>
      </c>
      <c r="M1086" s="1">
        <f t="shared" si="147"/>
        <v>309.77999999999997</v>
      </c>
      <c r="N1086" s="1">
        <f t="shared" si="148"/>
        <v>301.57</v>
      </c>
      <c r="O1086" s="1">
        <f t="shared" si="149"/>
        <v>300.45000000000005</v>
      </c>
      <c r="P1086" s="1">
        <f t="shared" si="150"/>
        <v>153.29081632653063</v>
      </c>
    </row>
    <row r="1087" spans="1:16">
      <c r="A1087" s="2">
        <v>41484</v>
      </c>
      <c r="B1087" s="1">
        <v>311.07</v>
      </c>
      <c r="C1087" s="1">
        <v>313</v>
      </c>
      <c r="D1087" s="1">
        <v>305.89999999999998</v>
      </c>
      <c r="E1087" s="1">
        <v>306.10000000000002</v>
      </c>
      <c r="F1087" s="1">
        <v>3211800</v>
      </c>
      <c r="G1087" s="1">
        <v>306.10000000000002</v>
      </c>
      <c r="H1087" s="1">
        <f t="shared" si="144"/>
        <v>7.1000000000000227</v>
      </c>
      <c r="I1087" s="9">
        <f t="shared" si="151"/>
        <v>2.3210199411572485E-2</v>
      </c>
      <c r="J1087" s="1">
        <f t="shared" si="152"/>
        <v>-5.9099999999999682</v>
      </c>
      <c r="K1087" s="9">
        <f t="shared" si="145"/>
        <v>-1.8941700586519561E-2</v>
      </c>
      <c r="L1087" s="1">
        <f t="shared" si="146"/>
        <v>1</v>
      </c>
      <c r="M1087" s="1">
        <f t="shared" si="147"/>
        <v>313</v>
      </c>
      <c r="N1087" s="1">
        <f t="shared" si="148"/>
        <v>305.89999999999998</v>
      </c>
      <c r="O1087" s="1">
        <f t="shared" si="149"/>
        <v>304.14000000000004</v>
      </c>
      <c r="P1087" s="1">
        <f t="shared" si="150"/>
        <v>155.17346938775512</v>
      </c>
    </row>
    <row r="1088" spans="1:16">
      <c r="A1088" s="2">
        <v>41481</v>
      </c>
      <c r="B1088" s="1">
        <v>299.55</v>
      </c>
      <c r="C1088" s="1">
        <v>313.62</v>
      </c>
      <c r="D1088" s="1">
        <v>295.55</v>
      </c>
      <c r="E1088" s="1">
        <v>312.01</v>
      </c>
      <c r="F1088" s="1">
        <v>8817500</v>
      </c>
      <c r="G1088" s="1">
        <v>312.01</v>
      </c>
      <c r="H1088" s="1">
        <f t="shared" si="144"/>
        <v>18.069999999999993</v>
      </c>
      <c r="I1088" s="9">
        <f t="shared" si="151"/>
        <v>6.1140246997123983E-2</v>
      </c>
      <c r="J1088" s="1">
        <f t="shared" si="152"/>
        <v>8.6100000000000136</v>
      </c>
      <c r="K1088" s="9">
        <f t="shared" si="145"/>
        <v>2.8378378378378425E-2</v>
      </c>
      <c r="L1088" s="1">
        <f t="shared" si="146"/>
        <v>1</v>
      </c>
      <c r="M1088" s="1">
        <f t="shared" si="147"/>
        <v>313.62</v>
      </c>
      <c r="N1088" s="1">
        <f t="shared" si="148"/>
        <v>295.55</v>
      </c>
      <c r="O1088" s="1">
        <f t="shared" si="149"/>
        <v>310.05</v>
      </c>
      <c r="P1088" s="1">
        <f t="shared" si="150"/>
        <v>158.1887755102041</v>
      </c>
    </row>
    <row r="1089" spans="1:16">
      <c r="A1089" s="2">
        <v>41480</v>
      </c>
      <c r="B1089" s="1">
        <v>299</v>
      </c>
      <c r="C1089" s="1">
        <v>304.5</v>
      </c>
      <c r="D1089" s="1">
        <v>296.75</v>
      </c>
      <c r="E1089" s="1">
        <v>303.39999999999998</v>
      </c>
      <c r="F1089" s="1">
        <v>5405800</v>
      </c>
      <c r="G1089" s="1">
        <v>303.39999999999998</v>
      </c>
      <c r="H1089" s="1">
        <f t="shared" si="144"/>
        <v>7.75</v>
      </c>
      <c r="I1089" s="9">
        <f t="shared" si="151"/>
        <v>2.6116259477674809E-2</v>
      </c>
      <c r="J1089" s="1">
        <f t="shared" si="152"/>
        <v>4.4599999999999795</v>
      </c>
      <c r="K1089" s="9">
        <f t="shared" si="145"/>
        <v>1.4919381815748912E-2</v>
      </c>
      <c r="L1089" s="1">
        <f t="shared" si="146"/>
        <v>1</v>
      </c>
      <c r="M1089" s="1">
        <f t="shared" si="147"/>
        <v>304.5</v>
      </c>
      <c r="N1089" s="1">
        <f t="shared" si="148"/>
        <v>296.75</v>
      </c>
      <c r="O1089" s="1">
        <f t="shared" si="149"/>
        <v>301.44</v>
      </c>
      <c r="P1089" s="1">
        <f t="shared" si="150"/>
        <v>153.79591836734693</v>
      </c>
    </row>
    <row r="1090" spans="1:16">
      <c r="A1090" s="2">
        <v>41479</v>
      </c>
      <c r="B1090" s="1">
        <v>303.02</v>
      </c>
      <c r="C1090" s="1">
        <v>303.83999999999997</v>
      </c>
      <c r="D1090" s="1">
        <v>298.04000000000002</v>
      </c>
      <c r="E1090" s="1">
        <v>298.94</v>
      </c>
      <c r="F1090" s="1">
        <v>2000500</v>
      </c>
      <c r="G1090" s="1">
        <v>298.94</v>
      </c>
      <c r="H1090" s="1">
        <f t="shared" si="144"/>
        <v>5.7999999999999545</v>
      </c>
      <c r="I1090" s="9">
        <f t="shared" si="151"/>
        <v>1.946047510401273E-2</v>
      </c>
      <c r="J1090" s="1">
        <f t="shared" si="152"/>
        <v>-2.1200000000000045</v>
      </c>
      <c r="K1090" s="9">
        <f t="shared" si="145"/>
        <v>-7.0417856905600363E-3</v>
      </c>
      <c r="L1090" s="1">
        <f t="shared" si="146"/>
        <v>1</v>
      </c>
      <c r="M1090" s="1">
        <f t="shared" si="147"/>
        <v>303.83999999999997</v>
      </c>
      <c r="N1090" s="1">
        <f t="shared" si="148"/>
        <v>298.04000000000002</v>
      </c>
      <c r="O1090" s="1">
        <f t="shared" si="149"/>
        <v>296.98</v>
      </c>
      <c r="P1090" s="1">
        <f t="shared" si="150"/>
        <v>151.52040816326533</v>
      </c>
    </row>
    <row r="1091" spans="1:16">
      <c r="A1091" s="2">
        <v>41478</v>
      </c>
      <c r="B1091" s="1">
        <v>303.16000000000003</v>
      </c>
      <c r="C1091" s="1">
        <v>305.06</v>
      </c>
      <c r="D1091" s="1">
        <v>300.56</v>
      </c>
      <c r="E1091" s="1">
        <v>301.06</v>
      </c>
      <c r="F1091" s="1">
        <v>1999600</v>
      </c>
      <c r="G1091" s="1">
        <v>301.06</v>
      </c>
      <c r="H1091" s="1">
        <f t="shared" ref="H1091:H1154" si="153">C1091-D1091</f>
        <v>4.5</v>
      </c>
      <c r="I1091" s="9">
        <f t="shared" si="151"/>
        <v>1.4972052169284003E-2</v>
      </c>
      <c r="J1091" s="1">
        <f t="shared" si="152"/>
        <v>-2.4200000000000159</v>
      </c>
      <c r="K1091" s="9">
        <f t="shared" ref="K1091:K1154" si="154">(G1091-G1092)/G1092</f>
        <v>-7.9741663371557126E-3</v>
      </c>
      <c r="L1091" s="1">
        <f t="shared" ref="L1091:L1154" si="155">G1091/E1091</f>
        <v>1</v>
      </c>
      <c r="M1091" s="1">
        <f t="shared" ref="M1091:M1154" si="156">L1091*C1091</f>
        <v>305.06</v>
      </c>
      <c r="N1091" s="1">
        <f t="shared" ref="N1091:N1154" si="157">L1091*D1091</f>
        <v>300.56</v>
      </c>
      <c r="O1091" s="1">
        <f t="shared" ref="O1091:O1154" si="158">G1091-$G$5163</f>
        <v>299.10000000000002</v>
      </c>
      <c r="P1091" s="1">
        <f t="shared" ref="P1091:P1154" si="159">(G1091-$G$5163)/$G$5163</f>
        <v>152.60204081632654</v>
      </c>
    </row>
    <row r="1092" spans="1:16">
      <c r="A1092" s="2">
        <v>41477</v>
      </c>
      <c r="B1092" s="1">
        <v>309.25</v>
      </c>
      <c r="C1092" s="1">
        <v>309.25</v>
      </c>
      <c r="D1092" s="1">
        <v>302</v>
      </c>
      <c r="E1092" s="1">
        <v>303.48</v>
      </c>
      <c r="F1092" s="1">
        <v>2520700</v>
      </c>
      <c r="G1092" s="1">
        <v>303.48</v>
      </c>
      <c r="H1092" s="1">
        <f t="shared" si="153"/>
        <v>7.25</v>
      </c>
      <c r="I1092" s="9">
        <f t="shared" ref="I1092:I1155" si="160">(C1092-D1092)/D1092</f>
        <v>2.4006622516556293E-2</v>
      </c>
      <c r="J1092" s="1">
        <f t="shared" ref="J1092:J1155" si="161">G1092-G1093</f>
        <v>-1.75</v>
      </c>
      <c r="K1092" s="9">
        <f t="shared" si="154"/>
        <v>-5.7333813845296989E-3</v>
      </c>
      <c r="L1092" s="1">
        <f t="shared" si="155"/>
        <v>1</v>
      </c>
      <c r="M1092" s="1">
        <f t="shared" si="156"/>
        <v>309.25</v>
      </c>
      <c r="N1092" s="1">
        <f t="shared" si="157"/>
        <v>302</v>
      </c>
      <c r="O1092" s="1">
        <f t="shared" si="158"/>
        <v>301.52000000000004</v>
      </c>
      <c r="P1092" s="1">
        <f t="shared" si="159"/>
        <v>153.83673469387756</v>
      </c>
    </row>
    <row r="1093" spans="1:16">
      <c r="A1093" s="2">
        <v>41474</v>
      </c>
      <c r="B1093" s="1">
        <v>304.39</v>
      </c>
      <c r="C1093" s="1">
        <v>305.79000000000002</v>
      </c>
      <c r="D1093" s="1">
        <v>301.91000000000003</v>
      </c>
      <c r="E1093" s="1">
        <v>305.23</v>
      </c>
      <c r="F1093" s="1">
        <v>2973100</v>
      </c>
      <c r="G1093" s="1">
        <v>305.23</v>
      </c>
      <c r="H1093" s="1">
        <f t="shared" si="153"/>
        <v>3.8799999999999955</v>
      </c>
      <c r="I1093" s="9">
        <f t="shared" si="160"/>
        <v>1.2851512040011908E-2</v>
      </c>
      <c r="J1093" s="1">
        <f t="shared" si="161"/>
        <v>1.1200000000000045</v>
      </c>
      <c r="K1093" s="9">
        <f t="shared" si="154"/>
        <v>3.6828779060208627E-3</v>
      </c>
      <c r="L1093" s="1">
        <f t="shared" si="155"/>
        <v>1</v>
      </c>
      <c r="M1093" s="1">
        <f t="shared" si="156"/>
        <v>305.79000000000002</v>
      </c>
      <c r="N1093" s="1">
        <f t="shared" si="157"/>
        <v>301.91000000000003</v>
      </c>
      <c r="O1093" s="1">
        <f t="shared" si="158"/>
        <v>303.27000000000004</v>
      </c>
      <c r="P1093" s="1">
        <f t="shared" si="159"/>
        <v>154.72959183673473</v>
      </c>
    </row>
    <row r="1094" spans="1:16">
      <c r="A1094" s="2">
        <v>41473</v>
      </c>
      <c r="B1094" s="1">
        <v>306.27</v>
      </c>
      <c r="C1094" s="1">
        <v>306.33999999999997</v>
      </c>
      <c r="D1094" s="1">
        <v>301.87</v>
      </c>
      <c r="E1094" s="1">
        <v>304.11</v>
      </c>
      <c r="F1094" s="1">
        <v>3063800</v>
      </c>
      <c r="G1094" s="1">
        <v>304.11</v>
      </c>
      <c r="H1094" s="1">
        <f t="shared" si="153"/>
        <v>4.4699999999999704</v>
      </c>
      <c r="I1094" s="9">
        <f t="shared" si="160"/>
        <v>1.4807698678238879E-2</v>
      </c>
      <c r="J1094" s="1">
        <f t="shared" si="161"/>
        <v>-4.5799999999999841</v>
      </c>
      <c r="K1094" s="9">
        <f t="shared" si="154"/>
        <v>-1.4836891379701267E-2</v>
      </c>
      <c r="L1094" s="1">
        <f t="shared" si="155"/>
        <v>1</v>
      </c>
      <c r="M1094" s="1">
        <f t="shared" si="156"/>
        <v>306.33999999999997</v>
      </c>
      <c r="N1094" s="1">
        <f t="shared" si="157"/>
        <v>301.87</v>
      </c>
      <c r="O1094" s="1">
        <f t="shared" si="158"/>
        <v>302.15000000000003</v>
      </c>
      <c r="P1094" s="1">
        <f t="shared" si="159"/>
        <v>154.15816326530614</v>
      </c>
    </row>
    <row r="1095" spans="1:16">
      <c r="A1095" s="2">
        <v>41472</v>
      </c>
      <c r="B1095" s="1">
        <v>306.97000000000003</v>
      </c>
      <c r="C1095" s="1">
        <v>308.8</v>
      </c>
      <c r="D1095" s="1">
        <v>305.69</v>
      </c>
      <c r="E1095" s="1">
        <v>308.69</v>
      </c>
      <c r="F1095" s="1">
        <v>2029700</v>
      </c>
      <c r="G1095" s="1">
        <v>308.69</v>
      </c>
      <c r="H1095" s="1">
        <f t="shared" si="153"/>
        <v>3.1100000000000136</v>
      </c>
      <c r="I1095" s="9">
        <f t="shared" si="160"/>
        <v>1.0173705387811226E-2</v>
      </c>
      <c r="J1095" s="1">
        <f t="shared" si="161"/>
        <v>1.8199999999999932</v>
      </c>
      <c r="K1095" s="9">
        <f t="shared" si="154"/>
        <v>5.9308501971518657E-3</v>
      </c>
      <c r="L1095" s="1">
        <f t="shared" si="155"/>
        <v>1</v>
      </c>
      <c r="M1095" s="1">
        <f t="shared" si="156"/>
        <v>308.8</v>
      </c>
      <c r="N1095" s="1">
        <f t="shared" si="157"/>
        <v>305.69</v>
      </c>
      <c r="O1095" s="1">
        <f t="shared" si="158"/>
        <v>306.73</v>
      </c>
      <c r="P1095" s="1">
        <f t="shared" si="159"/>
        <v>156.49489795918367</v>
      </c>
    </row>
    <row r="1096" spans="1:16">
      <c r="A1096" s="2">
        <v>41471</v>
      </c>
      <c r="B1096" s="1">
        <v>307.3</v>
      </c>
      <c r="C1096" s="1">
        <v>309.39</v>
      </c>
      <c r="D1096" s="1">
        <v>305.51</v>
      </c>
      <c r="E1096" s="1">
        <v>306.87</v>
      </c>
      <c r="F1096" s="1">
        <v>2660200</v>
      </c>
      <c r="G1096" s="1">
        <v>306.87</v>
      </c>
      <c r="H1096" s="1">
        <f t="shared" si="153"/>
        <v>3.8799999999999955</v>
      </c>
      <c r="I1096" s="9">
        <f t="shared" si="160"/>
        <v>1.2700075283951411E-2</v>
      </c>
      <c r="J1096" s="1">
        <f t="shared" si="161"/>
        <v>0.30000000000001137</v>
      </c>
      <c r="K1096" s="9">
        <f t="shared" si="154"/>
        <v>9.7856933163718352E-4</v>
      </c>
      <c r="L1096" s="1">
        <f t="shared" si="155"/>
        <v>1</v>
      </c>
      <c r="M1096" s="1">
        <f t="shared" si="156"/>
        <v>309.39</v>
      </c>
      <c r="N1096" s="1">
        <f t="shared" si="157"/>
        <v>305.51</v>
      </c>
      <c r="O1096" s="1">
        <f t="shared" si="158"/>
        <v>304.91000000000003</v>
      </c>
      <c r="P1096" s="1">
        <f t="shared" si="159"/>
        <v>155.56632653061226</v>
      </c>
    </row>
    <row r="1097" spans="1:16">
      <c r="A1097" s="2">
        <v>41470</v>
      </c>
      <c r="B1097" s="1">
        <v>307.27</v>
      </c>
      <c r="C1097" s="1">
        <v>307.99</v>
      </c>
      <c r="D1097" s="1">
        <v>304.35000000000002</v>
      </c>
      <c r="E1097" s="1">
        <v>306.57</v>
      </c>
      <c r="F1097" s="1">
        <v>2245600</v>
      </c>
      <c r="G1097" s="1">
        <v>306.57</v>
      </c>
      <c r="H1097" s="1">
        <f t="shared" si="153"/>
        <v>3.6399999999999864</v>
      </c>
      <c r="I1097" s="9">
        <f t="shared" si="160"/>
        <v>1.1959914572038726E-2</v>
      </c>
      <c r="J1097" s="1">
        <f t="shared" si="161"/>
        <v>-0.98000000000001819</v>
      </c>
      <c r="K1097" s="9">
        <f t="shared" si="154"/>
        <v>-3.1864737441067085E-3</v>
      </c>
      <c r="L1097" s="1">
        <f t="shared" si="155"/>
        <v>1</v>
      </c>
      <c r="M1097" s="1">
        <f t="shared" si="156"/>
        <v>307.99</v>
      </c>
      <c r="N1097" s="1">
        <f t="shared" si="157"/>
        <v>304.35000000000002</v>
      </c>
      <c r="O1097" s="1">
        <f t="shared" si="158"/>
        <v>304.61</v>
      </c>
      <c r="P1097" s="1">
        <f t="shared" si="159"/>
        <v>155.41326530612247</v>
      </c>
    </row>
    <row r="1098" spans="1:16">
      <c r="A1098" s="2">
        <v>41467</v>
      </c>
      <c r="B1098" s="1">
        <v>298.69</v>
      </c>
      <c r="C1098" s="1">
        <v>307.55</v>
      </c>
      <c r="D1098" s="1">
        <v>298.5</v>
      </c>
      <c r="E1098" s="1">
        <v>307.55</v>
      </c>
      <c r="F1098" s="1">
        <v>4539300</v>
      </c>
      <c r="G1098" s="1">
        <v>307.55</v>
      </c>
      <c r="H1098" s="1">
        <f t="shared" si="153"/>
        <v>9.0500000000000114</v>
      </c>
      <c r="I1098" s="9">
        <f t="shared" si="160"/>
        <v>3.0318257956448949E-2</v>
      </c>
      <c r="J1098" s="1">
        <f t="shared" si="161"/>
        <v>7.8899999999999864</v>
      </c>
      <c r="K1098" s="9">
        <f t="shared" si="154"/>
        <v>2.6329840485883955E-2</v>
      </c>
      <c r="L1098" s="1">
        <f t="shared" si="155"/>
        <v>1</v>
      </c>
      <c r="M1098" s="1">
        <f t="shared" si="156"/>
        <v>307.55</v>
      </c>
      <c r="N1098" s="1">
        <f t="shared" si="157"/>
        <v>298.5</v>
      </c>
      <c r="O1098" s="1">
        <f t="shared" si="158"/>
        <v>305.59000000000003</v>
      </c>
      <c r="P1098" s="1">
        <f t="shared" si="159"/>
        <v>155.91326530612247</v>
      </c>
    </row>
    <row r="1099" spans="1:16">
      <c r="A1099" s="2">
        <v>41466</v>
      </c>
      <c r="B1099" s="1">
        <v>294.99</v>
      </c>
      <c r="C1099" s="1">
        <v>300.69</v>
      </c>
      <c r="D1099" s="1">
        <v>292.10000000000002</v>
      </c>
      <c r="E1099" s="1">
        <v>299.66000000000003</v>
      </c>
      <c r="F1099" s="1">
        <v>4007300</v>
      </c>
      <c r="G1099" s="1">
        <v>299.66000000000003</v>
      </c>
      <c r="H1099" s="1">
        <f t="shared" si="153"/>
        <v>8.589999999999975</v>
      </c>
      <c r="I1099" s="9">
        <f t="shared" si="160"/>
        <v>2.9407737076343629E-2</v>
      </c>
      <c r="J1099" s="1">
        <f t="shared" si="161"/>
        <v>7.3300000000000409</v>
      </c>
      <c r="K1099" s="9">
        <f t="shared" si="154"/>
        <v>2.5074402216673078E-2</v>
      </c>
      <c r="L1099" s="1">
        <f t="shared" si="155"/>
        <v>1</v>
      </c>
      <c r="M1099" s="1">
        <f t="shared" si="156"/>
        <v>300.69</v>
      </c>
      <c r="N1099" s="1">
        <f t="shared" si="157"/>
        <v>292.10000000000002</v>
      </c>
      <c r="O1099" s="1">
        <f t="shared" si="158"/>
        <v>297.70000000000005</v>
      </c>
      <c r="P1099" s="1">
        <f t="shared" si="159"/>
        <v>151.88775510204084</v>
      </c>
    </row>
    <row r="1100" spans="1:16">
      <c r="A1100" s="2">
        <v>41465</v>
      </c>
      <c r="B1100" s="1">
        <v>291.41000000000003</v>
      </c>
      <c r="C1100" s="1">
        <v>293.33999999999997</v>
      </c>
      <c r="D1100" s="1">
        <v>289.39999999999998</v>
      </c>
      <c r="E1100" s="1">
        <v>292.33</v>
      </c>
      <c r="F1100" s="1">
        <v>1810200</v>
      </c>
      <c r="G1100" s="1">
        <v>292.33</v>
      </c>
      <c r="H1100" s="1">
        <f t="shared" si="153"/>
        <v>3.9399999999999977</v>
      </c>
      <c r="I1100" s="9">
        <f t="shared" si="160"/>
        <v>1.3614374568071866E-2</v>
      </c>
      <c r="J1100" s="1">
        <f t="shared" si="161"/>
        <v>0.80000000000001137</v>
      </c>
      <c r="K1100" s="9">
        <f t="shared" si="154"/>
        <v>2.7441429698487683E-3</v>
      </c>
      <c r="L1100" s="1">
        <f t="shared" si="155"/>
        <v>1</v>
      </c>
      <c r="M1100" s="1">
        <f t="shared" si="156"/>
        <v>293.33999999999997</v>
      </c>
      <c r="N1100" s="1">
        <f t="shared" si="157"/>
        <v>289.39999999999998</v>
      </c>
      <c r="O1100" s="1">
        <f t="shared" si="158"/>
        <v>290.37</v>
      </c>
      <c r="P1100" s="1">
        <f t="shared" si="159"/>
        <v>148.14795918367346</v>
      </c>
    </row>
    <row r="1101" spans="1:16">
      <c r="A1101" s="2">
        <v>41464</v>
      </c>
      <c r="B1101" s="1">
        <v>291</v>
      </c>
      <c r="C1101" s="1">
        <v>292.57</v>
      </c>
      <c r="D1101" s="1">
        <v>288.01</v>
      </c>
      <c r="E1101" s="1">
        <v>291.52999999999997</v>
      </c>
      <c r="F1101" s="1">
        <v>2775600</v>
      </c>
      <c r="G1101" s="1">
        <v>291.52999999999997</v>
      </c>
      <c r="H1101" s="1">
        <f t="shared" si="153"/>
        <v>4.5600000000000023</v>
      </c>
      <c r="I1101" s="9">
        <f t="shared" si="160"/>
        <v>1.5832783583903345E-2</v>
      </c>
      <c r="J1101" s="1">
        <f t="shared" si="161"/>
        <v>0.93999999999999773</v>
      </c>
      <c r="K1101" s="9">
        <f t="shared" si="154"/>
        <v>3.2347981692418797E-3</v>
      </c>
      <c r="L1101" s="1">
        <f t="shared" si="155"/>
        <v>1</v>
      </c>
      <c r="M1101" s="1">
        <f t="shared" si="156"/>
        <v>292.57</v>
      </c>
      <c r="N1101" s="1">
        <f t="shared" si="157"/>
        <v>288.01</v>
      </c>
      <c r="O1101" s="1">
        <f t="shared" si="158"/>
        <v>289.57</v>
      </c>
      <c r="P1101" s="1">
        <f t="shared" si="159"/>
        <v>147.73979591836735</v>
      </c>
    </row>
    <row r="1102" spans="1:16">
      <c r="A1102" s="2">
        <v>41463</v>
      </c>
      <c r="B1102" s="1">
        <v>286.42</v>
      </c>
      <c r="C1102" s="1">
        <v>291.67</v>
      </c>
      <c r="D1102" s="1">
        <v>286.14</v>
      </c>
      <c r="E1102" s="1">
        <v>290.58999999999997</v>
      </c>
      <c r="F1102" s="1">
        <v>3046700</v>
      </c>
      <c r="G1102" s="1">
        <v>290.58999999999997</v>
      </c>
      <c r="H1102" s="1">
        <f t="shared" si="153"/>
        <v>5.5300000000000296</v>
      </c>
      <c r="I1102" s="9">
        <f t="shared" si="160"/>
        <v>1.9326203956105507E-2</v>
      </c>
      <c r="J1102" s="1">
        <f t="shared" si="161"/>
        <v>4.7099999999999795</v>
      </c>
      <c r="K1102" s="9">
        <f t="shared" si="154"/>
        <v>1.6475444242339373E-2</v>
      </c>
      <c r="L1102" s="1">
        <f t="shared" si="155"/>
        <v>1</v>
      </c>
      <c r="M1102" s="1">
        <f t="shared" si="156"/>
        <v>291.67</v>
      </c>
      <c r="N1102" s="1">
        <f t="shared" si="157"/>
        <v>286.14</v>
      </c>
      <c r="O1102" s="1">
        <f t="shared" si="158"/>
        <v>288.63</v>
      </c>
      <c r="P1102" s="1">
        <f t="shared" si="159"/>
        <v>147.26020408163265</v>
      </c>
    </row>
    <row r="1103" spans="1:16">
      <c r="A1103" s="2">
        <v>41460</v>
      </c>
      <c r="B1103" s="1">
        <v>285</v>
      </c>
      <c r="C1103" s="1">
        <v>286.38</v>
      </c>
      <c r="D1103" s="1">
        <v>282.07</v>
      </c>
      <c r="E1103" s="1">
        <v>285.88</v>
      </c>
      <c r="F1103" s="1">
        <v>1985400</v>
      </c>
      <c r="G1103" s="1">
        <v>285.88</v>
      </c>
      <c r="H1103" s="1">
        <f t="shared" si="153"/>
        <v>4.3100000000000023</v>
      </c>
      <c r="I1103" s="9">
        <f t="shared" si="160"/>
        <v>1.5279895061509563E-2</v>
      </c>
      <c r="J1103" s="1">
        <f t="shared" si="161"/>
        <v>1.8500000000000227</v>
      </c>
      <c r="K1103" s="9">
        <f t="shared" si="154"/>
        <v>6.5133964722037209E-3</v>
      </c>
      <c r="L1103" s="1">
        <f t="shared" si="155"/>
        <v>1</v>
      </c>
      <c r="M1103" s="1">
        <f t="shared" si="156"/>
        <v>286.38</v>
      </c>
      <c r="N1103" s="1">
        <f t="shared" si="157"/>
        <v>282.07</v>
      </c>
      <c r="O1103" s="1">
        <f t="shared" si="158"/>
        <v>283.92</v>
      </c>
      <c r="P1103" s="1">
        <f t="shared" si="159"/>
        <v>144.85714285714286</v>
      </c>
    </row>
    <row r="1104" spans="1:16">
      <c r="A1104" s="2">
        <v>41458</v>
      </c>
      <c r="B1104" s="1">
        <v>282</v>
      </c>
      <c r="C1104" s="1">
        <v>285.39999999999998</v>
      </c>
      <c r="D1104" s="1">
        <v>282</v>
      </c>
      <c r="E1104" s="1">
        <v>284.02999999999997</v>
      </c>
      <c r="F1104" s="1">
        <v>1373000</v>
      </c>
      <c r="G1104" s="1">
        <v>284.02999999999997</v>
      </c>
      <c r="H1104" s="1">
        <f t="shared" si="153"/>
        <v>3.3999999999999773</v>
      </c>
      <c r="I1104" s="9">
        <f t="shared" si="160"/>
        <v>1.2056737588652401E-2</v>
      </c>
      <c r="J1104" s="1">
        <f t="shared" si="161"/>
        <v>0.29999999999995453</v>
      </c>
      <c r="K1104" s="9">
        <f t="shared" si="154"/>
        <v>1.0573432488631958E-3</v>
      </c>
      <c r="L1104" s="1">
        <f t="shared" si="155"/>
        <v>1</v>
      </c>
      <c r="M1104" s="1">
        <f t="shared" si="156"/>
        <v>285.39999999999998</v>
      </c>
      <c r="N1104" s="1">
        <f t="shared" si="157"/>
        <v>282</v>
      </c>
      <c r="O1104" s="1">
        <f t="shared" si="158"/>
        <v>282.07</v>
      </c>
      <c r="P1104" s="1">
        <f t="shared" si="159"/>
        <v>143.91326530612244</v>
      </c>
    </row>
    <row r="1105" spans="1:16">
      <c r="A1105" s="2">
        <v>41457</v>
      </c>
      <c r="B1105" s="1">
        <v>281.04000000000002</v>
      </c>
      <c r="C1105" s="1">
        <v>286.58</v>
      </c>
      <c r="D1105" s="1">
        <v>280.58999999999997</v>
      </c>
      <c r="E1105" s="1">
        <v>283.73</v>
      </c>
      <c r="F1105" s="1">
        <v>3238200</v>
      </c>
      <c r="G1105" s="1">
        <v>283.73</v>
      </c>
      <c r="H1105" s="1">
        <f t="shared" si="153"/>
        <v>5.9900000000000091</v>
      </c>
      <c r="I1105" s="9">
        <f t="shared" si="160"/>
        <v>2.1347874122385008E-2</v>
      </c>
      <c r="J1105" s="1">
        <f t="shared" si="161"/>
        <v>1.6299999999999955</v>
      </c>
      <c r="K1105" s="9">
        <f t="shared" si="154"/>
        <v>5.7780928748670515E-3</v>
      </c>
      <c r="L1105" s="1">
        <f t="shared" si="155"/>
        <v>1</v>
      </c>
      <c r="M1105" s="1">
        <f t="shared" si="156"/>
        <v>286.58</v>
      </c>
      <c r="N1105" s="1">
        <f t="shared" si="157"/>
        <v>280.58999999999997</v>
      </c>
      <c r="O1105" s="1">
        <f t="shared" si="158"/>
        <v>281.77000000000004</v>
      </c>
      <c r="P1105" s="1">
        <f t="shared" si="159"/>
        <v>143.76020408163268</v>
      </c>
    </row>
    <row r="1106" spans="1:16">
      <c r="A1106" s="2">
        <v>41456</v>
      </c>
      <c r="B1106" s="1">
        <v>279</v>
      </c>
      <c r="C1106" s="1">
        <v>283.29000000000002</v>
      </c>
      <c r="D1106" s="1">
        <v>277.16000000000003</v>
      </c>
      <c r="E1106" s="1">
        <v>282.10000000000002</v>
      </c>
      <c r="F1106" s="1">
        <v>2888200</v>
      </c>
      <c r="G1106" s="1">
        <v>282.10000000000002</v>
      </c>
      <c r="H1106" s="1">
        <f t="shared" si="153"/>
        <v>6.1299999999999955</v>
      </c>
      <c r="I1106" s="9">
        <f t="shared" si="160"/>
        <v>2.2117188627507559E-2</v>
      </c>
      <c r="J1106" s="1">
        <f t="shared" si="161"/>
        <v>4.410000000000025</v>
      </c>
      <c r="K1106" s="9">
        <f t="shared" si="154"/>
        <v>1.5881018401815064E-2</v>
      </c>
      <c r="L1106" s="1">
        <f t="shared" si="155"/>
        <v>1</v>
      </c>
      <c r="M1106" s="1">
        <f t="shared" si="156"/>
        <v>283.29000000000002</v>
      </c>
      <c r="N1106" s="1">
        <f t="shared" si="157"/>
        <v>277.16000000000003</v>
      </c>
      <c r="O1106" s="1">
        <f t="shared" si="158"/>
        <v>280.14000000000004</v>
      </c>
      <c r="P1106" s="1">
        <f t="shared" si="159"/>
        <v>142.92857142857144</v>
      </c>
    </row>
    <row r="1107" spans="1:16">
      <c r="A1107" s="2">
        <v>41453</v>
      </c>
      <c r="B1107" s="1">
        <v>276.19</v>
      </c>
      <c r="C1107" s="1">
        <v>279.83</v>
      </c>
      <c r="D1107" s="1">
        <v>276.19</v>
      </c>
      <c r="E1107" s="1">
        <v>277.69</v>
      </c>
      <c r="F1107" s="1">
        <v>3193300</v>
      </c>
      <c r="G1107" s="1">
        <v>277.69</v>
      </c>
      <c r="H1107" s="1">
        <f t="shared" si="153"/>
        <v>3.6399999999999864</v>
      </c>
      <c r="I1107" s="9">
        <f t="shared" si="160"/>
        <v>1.3179333067815584E-2</v>
      </c>
      <c r="J1107" s="1">
        <f t="shared" si="161"/>
        <v>0.13999999999998636</v>
      </c>
      <c r="K1107" s="9">
        <f t="shared" si="154"/>
        <v>5.0441361916766831E-4</v>
      </c>
      <c r="L1107" s="1">
        <f t="shared" si="155"/>
        <v>1</v>
      </c>
      <c r="M1107" s="1">
        <f t="shared" si="156"/>
        <v>279.83</v>
      </c>
      <c r="N1107" s="1">
        <f t="shared" si="157"/>
        <v>276.19</v>
      </c>
      <c r="O1107" s="1">
        <f t="shared" si="158"/>
        <v>275.73</v>
      </c>
      <c r="P1107" s="1">
        <f t="shared" si="159"/>
        <v>140.67857142857144</v>
      </c>
    </row>
    <row r="1108" spans="1:16">
      <c r="A1108" s="2">
        <v>41452</v>
      </c>
      <c r="B1108" s="1">
        <v>279.18</v>
      </c>
      <c r="C1108" s="1">
        <v>280.2</v>
      </c>
      <c r="D1108" s="1">
        <v>274.54000000000002</v>
      </c>
      <c r="E1108" s="1">
        <v>277.55</v>
      </c>
      <c r="F1108" s="1">
        <v>2519500</v>
      </c>
      <c r="G1108" s="1">
        <v>277.55</v>
      </c>
      <c r="H1108" s="1">
        <f t="shared" si="153"/>
        <v>5.6599999999999682</v>
      </c>
      <c r="I1108" s="9">
        <f t="shared" si="160"/>
        <v>2.0616303635171442E-2</v>
      </c>
      <c r="J1108" s="1">
        <f t="shared" si="161"/>
        <v>-1.999999999998181E-2</v>
      </c>
      <c r="K1108" s="9">
        <f t="shared" si="154"/>
        <v>-7.2053896314377668E-5</v>
      </c>
      <c r="L1108" s="1">
        <f t="shared" si="155"/>
        <v>1</v>
      </c>
      <c r="M1108" s="1">
        <f t="shared" si="156"/>
        <v>280.2</v>
      </c>
      <c r="N1108" s="1">
        <f t="shared" si="157"/>
        <v>274.54000000000002</v>
      </c>
      <c r="O1108" s="1">
        <f t="shared" si="158"/>
        <v>275.59000000000003</v>
      </c>
      <c r="P1108" s="1">
        <f t="shared" si="159"/>
        <v>140.60714285714289</v>
      </c>
    </row>
    <row r="1109" spans="1:16">
      <c r="A1109" s="2">
        <v>41451</v>
      </c>
      <c r="B1109" s="1">
        <v>273.98</v>
      </c>
      <c r="C1109" s="1">
        <v>277.98</v>
      </c>
      <c r="D1109" s="1">
        <v>273.5</v>
      </c>
      <c r="E1109" s="1">
        <v>277.57</v>
      </c>
      <c r="F1109" s="1">
        <v>3029500</v>
      </c>
      <c r="G1109" s="1">
        <v>277.57</v>
      </c>
      <c r="H1109" s="1">
        <f t="shared" si="153"/>
        <v>4.4800000000000182</v>
      </c>
      <c r="I1109" s="9">
        <f t="shared" si="160"/>
        <v>1.6380255941499153E-2</v>
      </c>
      <c r="J1109" s="1">
        <f t="shared" si="161"/>
        <v>5.4800000000000182</v>
      </c>
      <c r="K1109" s="9">
        <f t="shared" si="154"/>
        <v>2.014039472233459E-2</v>
      </c>
      <c r="L1109" s="1">
        <f t="shared" si="155"/>
        <v>1</v>
      </c>
      <c r="M1109" s="1">
        <f t="shared" si="156"/>
        <v>277.98</v>
      </c>
      <c r="N1109" s="1">
        <f t="shared" si="157"/>
        <v>273.5</v>
      </c>
      <c r="O1109" s="1">
        <f t="shared" si="158"/>
        <v>275.61</v>
      </c>
      <c r="P1109" s="1">
        <f t="shared" si="159"/>
        <v>140.61734693877551</v>
      </c>
    </row>
    <row r="1110" spans="1:16">
      <c r="A1110" s="2">
        <v>41450</v>
      </c>
      <c r="B1110" s="1">
        <v>272.3</v>
      </c>
      <c r="C1110" s="1">
        <v>273.47000000000003</v>
      </c>
      <c r="D1110" s="1">
        <v>269</v>
      </c>
      <c r="E1110" s="1">
        <v>272.08999999999997</v>
      </c>
      <c r="F1110" s="1">
        <v>2449600</v>
      </c>
      <c r="G1110" s="1">
        <v>272.08999999999997</v>
      </c>
      <c r="H1110" s="1">
        <f t="shared" si="153"/>
        <v>4.4700000000000273</v>
      </c>
      <c r="I1110" s="9">
        <f t="shared" si="160"/>
        <v>1.6617100371747313E-2</v>
      </c>
      <c r="J1110" s="1">
        <f t="shared" si="161"/>
        <v>1.4799999999999613</v>
      </c>
      <c r="K1110" s="9">
        <f t="shared" si="154"/>
        <v>5.4691253094858328E-3</v>
      </c>
      <c r="L1110" s="1">
        <f t="shared" si="155"/>
        <v>1</v>
      </c>
      <c r="M1110" s="1">
        <f t="shared" si="156"/>
        <v>273.47000000000003</v>
      </c>
      <c r="N1110" s="1">
        <f t="shared" si="157"/>
        <v>269</v>
      </c>
      <c r="O1110" s="1">
        <f t="shared" si="158"/>
        <v>270.13</v>
      </c>
      <c r="P1110" s="1">
        <f t="shared" si="159"/>
        <v>137.82142857142858</v>
      </c>
    </row>
    <row r="1111" spans="1:16">
      <c r="A1111" s="2">
        <v>41449</v>
      </c>
      <c r="B1111" s="1">
        <v>271.29000000000002</v>
      </c>
      <c r="C1111" s="1">
        <v>273.16000000000003</v>
      </c>
      <c r="D1111" s="1">
        <v>265</v>
      </c>
      <c r="E1111" s="1">
        <v>270.61</v>
      </c>
      <c r="F1111" s="1">
        <v>3863800</v>
      </c>
      <c r="G1111" s="1">
        <v>270.61</v>
      </c>
      <c r="H1111" s="1">
        <f t="shared" si="153"/>
        <v>8.160000000000025</v>
      </c>
      <c r="I1111" s="9">
        <f t="shared" si="160"/>
        <v>3.0792452830188773E-2</v>
      </c>
      <c r="J1111" s="1">
        <f t="shared" si="161"/>
        <v>-2.75</v>
      </c>
      <c r="K1111" s="9">
        <f t="shared" si="154"/>
        <v>-1.0059994146912495E-2</v>
      </c>
      <c r="L1111" s="1">
        <f t="shared" si="155"/>
        <v>1</v>
      </c>
      <c r="M1111" s="1">
        <f t="shared" si="156"/>
        <v>273.16000000000003</v>
      </c>
      <c r="N1111" s="1">
        <f t="shared" si="157"/>
        <v>265</v>
      </c>
      <c r="O1111" s="1">
        <f t="shared" si="158"/>
        <v>268.65000000000003</v>
      </c>
      <c r="P1111" s="1">
        <f t="shared" si="159"/>
        <v>137.06632653061226</v>
      </c>
    </row>
    <row r="1112" spans="1:16">
      <c r="A1112" s="2">
        <v>41446</v>
      </c>
      <c r="B1112" s="1">
        <v>274.57</v>
      </c>
      <c r="C1112" s="1">
        <v>275.83999999999997</v>
      </c>
      <c r="D1112" s="1">
        <v>269.79000000000002</v>
      </c>
      <c r="E1112" s="1">
        <v>273.36</v>
      </c>
      <c r="F1112" s="1">
        <v>4201000</v>
      </c>
      <c r="G1112" s="1">
        <v>273.36</v>
      </c>
      <c r="H1112" s="1">
        <f t="shared" si="153"/>
        <v>6.0499999999999545</v>
      </c>
      <c r="I1112" s="9">
        <f t="shared" si="160"/>
        <v>2.2424848956595699E-2</v>
      </c>
      <c r="J1112" s="1">
        <f t="shared" si="161"/>
        <v>-7.9999999999984084E-2</v>
      </c>
      <c r="K1112" s="9">
        <f t="shared" si="154"/>
        <v>-2.925687536570512E-4</v>
      </c>
      <c r="L1112" s="1">
        <f t="shared" si="155"/>
        <v>1</v>
      </c>
      <c r="M1112" s="1">
        <f t="shared" si="156"/>
        <v>275.83999999999997</v>
      </c>
      <c r="N1112" s="1">
        <f t="shared" si="157"/>
        <v>269.79000000000002</v>
      </c>
      <c r="O1112" s="1">
        <f t="shared" si="158"/>
        <v>271.40000000000003</v>
      </c>
      <c r="P1112" s="1">
        <f t="shared" si="159"/>
        <v>138.46938775510205</v>
      </c>
    </row>
    <row r="1113" spans="1:16">
      <c r="A1113" s="2">
        <v>41445</v>
      </c>
      <c r="B1113" s="1">
        <v>275.14</v>
      </c>
      <c r="C1113" s="1">
        <v>278.60000000000002</v>
      </c>
      <c r="D1113" s="1">
        <v>272.39</v>
      </c>
      <c r="E1113" s="1">
        <v>273.44</v>
      </c>
      <c r="F1113" s="1">
        <v>2984000</v>
      </c>
      <c r="G1113" s="1">
        <v>273.44</v>
      </c>
      <c r="H1113" s="1">
        <f t="shared" si="153"/>
        <v>6.2100000000000364</v>
      </c>
      <c r="I1113" s="9">
        <f t="shared" si="160"/>
        <v>2.2798193766291115E-2</v>
      </c>
      <c r="J1113" s="1">
        <f t="shared" si="161"/>
        <v>-4.7200000000000273</v>
      </c>
      <c r="K1113" s="9">
        <f t="shared" si="154"/>
        <v>-1.6968651136036909E-2</v>
      </c>
      <c r="L1113" s="1">
        <f t="shared" si="155"/>
        <v>1</v>
      </c>
      <c r="M1113" s="1">
        <f t="shared" si="156"/>
        <v>278.60000000000002</v>
      </c>
      <c r="N1113" s="1">
        <f t="shared" si="157"/>
        <v>272.39</v>
      </c>
      <c r="O1113" s="1">
        <f t="shared" si="158"/>
        <v>271.48</v>
      </c>
      <c r="P1113" s="1">
        <f t="shared" si="159"/>
        <v>138.51020408163265</v>
      </c>
    </row>
    <row r="1114" spans="1:16">
      <c r="A1114" s="2">
        <v>41444</v>
      </c>
      <c r="B1114" s="1">
        <v>281.26</v>
      </c>
      <c r="C1114" s="1">
        <v>283.33999999999997</v>
      </c>
      <c r="D1114" s="1">
        <v>277.87</v>
      </c>
      <c r="E1114" s="1">
        <v>278.16000000000003</v>
      </c>
      <c r="F1114" s="1">
        <v>2827500</v>
      </c>
      <c r="G1114" s="1">
        <v>278.16000000000003</v>
      </c>
      <c r="H1114" s="1">
        <f t="shared" si="153"/>
        <v>5.4699999999999704</v>
      </c>
      <c r="I1114" s="9">
        <f t="shared" si="160"/>
        <v>1.9685464425810525E-2</v>
      </c>
      <c r="J1114" s="1">
        <f t="shared" si="161"/>
        <v>-3.5999999999999659</v>
      </c>
      <c r="K1114" s="9">
        <f t="shared" si="154"/>
        <v>-1.2776831345826115E-2</v>
      </c>
      <c r="L1114" s="1">
        <f t="shared" si="155"/>
        <v>1</v>
      </c>
      <c r="M1114" s="1">
        <f t="shared" si="156"/>
        <v>283.33999999999997</v>
      </c>
      <c r="N1114" s="1">
        <f t="shared" si="157"/>
        <v>277.87</v>
      </c>
      <c r="O1114" s="1">
        <f t="shared" si="158"/>
        <v>276.20000000000005</v>
      </c>
      <c r="P1114" s="1">
        <f t="shared" si="159"/>
        <v>140.91836734693879</v>
      </c>
    </row>
    <row r="1115" spans="1:16">
      <c r="A1115" s="2">
        <v>41443</v>
      </c>
      <c r="B1115" s="1">
        <v>279.08</v>
      </c>
      <c r="C1115" s="1">
        <v>282.91000000000003</v>
      </c>
      <c r="D1115" s="1">
        <v>278.11</v>
      </c>
      <c r="E1115" s="1">
        <v>281.76</v>
      </c>
      <c r="F1115" s="1">
        <v>2146100</v>
      </c>
      <c r="G1115" s="1">
        <v>281.76</v>
      </c>
      <c r="H1115" s="1">
        <f t="shared" si="153"/>
        <v>4.8000000000000114</v>
      </c>
      <c r="I1115" s="9">
        <f t="shared" si="160"/>
        <v>1.72593578080616E-2</v>
      </c>
      <c r="J1115" s="1">
        <f t="shared" si="161"/>
        <v>3.6999999999999886</v>
      </c>
      <c r="K1115" s="9">
        <f t="shared" si="154"/>
        <v>1.3306480615694413E-2</v>
      </c>
      <c r="L1115" s="1">
        <f t="shared" si="155"/>
        <v>1</v>
      </c>
      <c r="M1115" s="1">
        <f t="shared" si="156"/>
        <v>282.91000000000003</v>
      </c>
      <c r="N1115" s="1">
        <f t="shared" si="157"/>
        <v>278.11</v>
      </c>
      <c r="O1115" s="1">
        <f t="shared" si="158"/>
        <v>279.8</v>
      </c>
      <c r="P1115" s="1">
        <f t="shared" si="159"/>
        <v>142.75510204081633</v>
      </c>
    </row>
    <row r="1116" spans="1:16">
      <c r="A1116" s="2">
        <v>41442</v>
      </c>
      <c r="B1116" s="1">
        <v>276.35000000000002</v>
      </c>
      <c r="C1116" s="1">
        <v>280.2</v>
      </c>
      <c r="D1116" s="1">
        <v>275.64999999999998</v>
      </c>
      <c r="E1116" s="1">
        <v>278.06</v>
      </c>
      <c r="F1116" s="1">
        <v>2884000</v>
      </c>
      <c r="G1116" s="1">
        <v>278.06</v>
      </c>
      <c r="H1116" s="1">
        <f t="shared" si="153"/>
        <v>4.5500000000000114</v>
      </c>
      <c r="I1116" s="9">
        <f t="shared" si="160"/>
        <v>1.6506439325231315E-2</v>
      </c>
      <c r="J1116" s="1">
        <f t="shared" si="161"/>
        <v>4.0699999999999932</v>
      </c>
      <c r="K1116" s="9">
        <f t="shared" si="154"/>
        <v>1.4854556735647262E-2</v>
      </c>
      <c r="L1116" s="1">
        <f t="shared" si="155"/>
        <v>1</v>
      </c>
      <c r="M1116" s="1">
        <f t="shared" si="156"/>
        <v>280.2</v>
      </c>
      <c r="N1116" s="1">
        <f t="shared" si="157"/>
        <v>275.64999999999998</v>
      </c>
      <c r="O1116" s="1">
        <f t="shared" si="158"/>
        <v>276.10000000000002</v>
      </c>
      <c r="P1116" s="1">
        <f t="shared" si="159"/>
        <v>140.86734693877551</v>
      </c>
    </row>
    <row r="1117" spans="1:16">
      <c r="A1117" s="2">
        <v>41439</v>
      </c>
      <c r="B1117" s="1">
        <v>275</v>
      </c>
      <c r="C1117" s="1">
        <v>277.07</v>
      </c>
      <c r="D1117" s="1">
        <v>273.44</v>
      </c>
      <c r="E1117" s="1">
        <v>273.99</v>
      </c>
      <c r="F1117" s="1">
        <v>2150800</v>
      </c>
      <c r="G1117" s="1">
        <v>273.99</v>
      </c>
      <c r="H1117" s="1">
        <f t="shared" si="153"/>
        <v>3.6299999999999955</v>
      </c>
      <c r="I1117" s="9">
        <f t="shared" si="160"/>
        <v>1.3275307197191324E-2</v>
      </c>
      <c r="J1117" s="1">
        <f t="shared" si="161"/>
        <v>-1.8000000000000114</v>
      </c>
      <c r="K1117" s="9">
        <f t="shared" si="154"/>
        <v>-6.5267051017078616E-3</v>
      </c>
      <c r="L1117" s="1">
        <f t="shared" si="155"/>
        <v>1</v>
      </c>
      <c r="M1117" s="1">
        <f t="shared" si="156"/>
        <v>277.07</v>
      </c>
      <c r="N1117" s="1">
        <f t="shared" si="157"/>
        <v>273.44</v>
      </c>
      <c r="O1117" s="1">
        <f t="shared" si="158"/>
        <v>272.03000000000003</v>
      </c>
      <c r="P1117" s="1">
        <f t="shared" si="159"/>
        <v>138.79081632653063</v>
      </c>
    </row>
    <row r="1118" spans="1:16">
      <c r="A1118" s="2">
        <v>41438</v>
      </c>
      <c r="B1118" s="1">
        <v>271.5</v>
      </c>
      <c r="C1118" s="1">
        <v>276.8</v>
      </c>
      <c r="D1118" s="1">
        <v>270.29000000000002</v>
      </c>
      <c r="E1118" s="1">
        <v>275.79000000000002</v>
      </c>
      <c r="F1118" s="1">
        <v>2649800</v>
      </c>
      <c r="G1118" s="1">
        <v>275.79000000000002</v>
      </c>
      <c r="H1118" s="1">
        <f t="shared" si="153"/>
        <v>6.5099999999999909</v>
      </c>
      <c r="I1118" s="9">
        <f t="shared" si="160"/>
        <v>2.4085241777350219E-2</v>
      </c>
      <c r="J1118" s="1">
        <f t="shared" si="161"/>
        <v>4.1200000000000045</v>
      </c>
      <c r="K1118" s="9">
        <f t="shared" si="154"/>
        <v>1.5165458092538758E-2</v>
      </c>
      <c r="L1118" s="1">
        <f t="shared" si="155"/>
        <v>1</v>
      </c>
      <c r="M1118" s="1">
        <f t="shared" si="156"/>
        <v>276.8</v>
      </c>
      <c r="N1118" s="1">
        <f t="shared" si="157"/>
        <v>270.29000000000002</v>
      </c>
      <c r="O1118" s="1">
        <f t="shared" si="158"/>
        <v>273.83000000000004</v>
      </c>
      <c r="P1118" s="1">
        <f t="shared" si="159"/>
        <v>139.7091836734694</v>
      </c>
    </row>
    <row r="1119" spans="1:16">
      <c r="A1119" s="2">
        <v>41437</v>
      </c>
      <c r="B1119" s="1">
        <v>276.60000000000002</v>
      </c>
      <c r="C1119" s="1">
        <v>276.8</v>
      </c>
      <c r="D1119" s="1">
        <v>270.45</v>
      </c>
      <c r="E1119" s="1">
        <v>271.67</v>
      </c>
      <c r="F1119" s="1">
        <v>2238900</v>
      </c>
      <c r="G1119" s="1">
        <v>271.67</v>
      </c>
      <c r="H1119" s="1">
        <f t="shared" si="153"/>
        <v>6.3500000000000227</v>
      </c>
      <c r="I1119" s="9">
        <f t="shared" si="160"/>
        <v>2.3479386208171651E-2</v>
      </c>
      <c r="J1119" s="1">
        <f t="shared" si="161"/>
        <v>-3.1099999999999568</v>
      </c>
      <c r="K1119" s="9">
        <f t="shared" si="154"/>
        <v>-1.1318145425431098E-2</v>
      </c>
      <c r="L1119" s="1">
        <f t="shared" si="155"/>
        <v>1</v>
      </c>
      <c r="M1119" s="1">
        <f t="shared" si="156"/>
        <v>276.8</v>
      </c>
      <c r="N1119" s="1">
        <f t="shared" si="157"/>
        <v>270.45</v>
      </c>
      <c r="O1119" s="1">
        <f t="shared" si="158"/>
        <v>269.71000000000004</v>
      </c>
      <c r="P1119" s="1">
        <f t="shared" si="159"/>
        <v>137.60714285714289</v>
      </c>
    </row>
    <row r="1120" spans="1:16">
      <c r="A1120" s="2">
        <v>41436</v>
      </c>
      <c r="B1120" s="1">
        <v>276</v>
      </c>
      <c r="C1120" s="1">
        <v>278.41000000000003</v>
      </c>
      <c r="D1120" s="1">
        <v>274.24</v>
      </c>
      <c r="E1120" s="1">
        <v>274.77999999999997</v>
      </c>
      <c r="F1120" s="1">
        <v>3097800</v>
      </c>
      <c r="G1120" s="1">
        <v>274.77999999999997</v>
      </c>
      <c r="H1120" s="1">
        <f t="shared" si="153"/>
        <v>4.1700000000000159</v>
      </c>
      <c r="I1120" s="9">
        <f t="shared" si="160"/>
        <v>1.5205659276546149E-2</v>
      </c>
      <c r="J1120" s="1">
        <f t="shared" si="161"/>
        <v>-6.2900000000000205</v>
      </c>
      <c r="K1120" s="9">
        <f t="shared" si="154"/>
        <v>-2.2378766855231866E-2</v>
      </c>
      <c r="L1120" s="1">
        <f t="shared" si="155"/>
        <v>1</v>
      </c>
      <c r="M1120" s="1">
        <f t="shared" si="156"/>
        <v>278.41000000000003</v>
      </c>
      <c r="N1120" s="1">
        <f t="shared" si="157"/>
        <v>274.24</v>
      </c>
      <c r="O1120" s="1">
        <f t="shared" si="158"/>
        <v>272.82</v>
      </c>
      <c r="P1120" s="1">
        <f t="shared" si="159"/>
        <v>139.19387755102042</v>
      </c>
    </row>
    <row r="1121" spans="1:16">
      <c r="A1121" s="2">
        <v>41435</v>
      </c>
      <c r="B1121" s="1">
        <v>276.68</v>
      </c>
      <c r="C1121" s="1">
        <v>282.47000000000003</v>
      </c>
      <c r="D1121" s="1">
        <v>275.24</v>
      </c>
      <c r="E1121" s="1">
        <v>281.07</v>
      </c>
      <c r="F1121" s="1">
        <v>3086500</v>
      </c>
      <c r="G1121" s="1">
        <v>281.07</v>
      </c>
      <c r="H1121" s="1">
        <f t="shared" si="153"/>
        <v>7.2300000000000182</v>
      </c>
      <c r="I1121" s="9">
        <f t="shared" si="160"/>
        <v>2.6267984304606955E-2</v>
      </c>
      <c r="J1121" s="1">
        <f t="shared" si="161"/>
        <v>4.1999999999999886</v>
      </c>
      <c r="K1121" s="9">
        <f t="shared" si="154"/>
        <v>1.5169574168382232E-2</v>
      </c>
      <c r="L1121" s="1">
        <f t="shared" si="155"/>
        <v>1</v>
      </c>
      <c r="M1121" s="1">
        <f t="shared" si="156"/>
        <v>282.47000000000003</v>
      </c>
      <c r="N1121" s="1">
        <f t="shared" si="157"/>
        <v>275.24</v>
      </c>
      <c r="O1121" s="1">
        <f t="shared" si="158"/>
        <v>279.11</v>
      </c>
      <c r="P1121" s="1">
        <f t="shared" si="159"/>
        <v>142.40306122448982</v>
      </c>
    </row>
    <row r="1122" spans="1:16">
      <c r="A1122" s="2">
        <v>41432</v>
      </c>
      <c r="B1122" s="1">
        <v>269.74</v>
      </c>
      <c r="C1122" s="1">
        <v>280.10000000000002</v>
      </c>
      <c r="D1122" s="1">
        <v>269.13</v>
      </c>
      <c r="E1122" s="1">
        <v>276.87</v>
      </c>
      <c r="F1122" s="1">
        <v>4632600</v>
      </c>
      <c r="G1122" s="1">
        <v>276.87</v>
      </c>
      <c r="H1122" s="1">
        <f t="shared" si="153"/>
        <v>10.970000000000027</v>
      </c>
      <c r="I1122" s="9">
        <f t="shared" si="160"/>
        <v>4.0760970534685942E-2</v>
      </c>
      <c r="J1122" s="1">
        <f t="shared" si="161"/>
        <v>9.0400000000000205</v>
      </c>
      <c r="K1122" s="9">
        <f t="shared" si="154"/>
        <v>3.3752753612366133E-2</v>
      </c>
      <c r="L1122" s="1">
        <f t="shared" si="155"/>
        <v>1</v>
      </c>
      <c r="M1122" s="1">
        <f t="shared" si="156"/>
        <v>280.10000000000002</v>
      </c>
      <c r="N1122" s="1">
        <f t="shared" si="157"/>
        <v>269.13</v>
      </c>
      <c r="O1122" s="1">
        <f t="shared" si="158"/>
        <v>274.91000000000003</v>
      </c>
      <c r="P1122" s="1">
        <f t="shared" si="159"/>
        <v>140.26020408163268</v>
      </c>
    </row>
    <row r="1123" spans="1:16">
      <c r="A1123" s="2">
        <v>41431</v>
      </c>
      <c r="B1123" s="1">
        <v>267.75</v>
      </c>
      <c r="C1123" s="1">
        <v>270.5</v>
      </c>
      <c r="D1123" s="1">
        <v>264.20999999999998</v>
      </c>
      <c r="E1123" s="1">
        <v>267.83</v>
      </c>
      <c r="F1123" s="1">
        <v>2476300</v>
      </c>
      <c r="G1123" s="1">
        <v>267.83</v>
      </c>
      <c r="H1123" s="1">
        <f t="shared" si="153"/>
        <v>6.2900000000000205</v>
      </c>
      <c r="I1123" s="9">
        <f t="shared" si="160"/>
        <v>2.3806820332311497E-2</v>
      </c>
      <c r="J1123" s="1">
        <f t="shared" si="161"/>
        <v>0.65999999999996817</v>
      </c>
      <c r="K1123" s="9">
        <f t="shared" si="154"/>
        <v>2.4703372384622829E-3</v>
      </c>
      <c r="L1123" s="1">
        <f t="shared" si="155"/>
        <v>1</v>
      </c>
      <c r="M1123" s="1">
        <f t="shared" si="156"/>
        <v>270.5</v>
      </c>
      <c r="N1123" s="1">
        <f t="shared" si="157"/>
        <v>264.20999999999998</v>
      </c>
      <c r="O1123" s="1">
        <f t="shared" si="158"/>
        <v>265.87</v>
      </c>
      <c r="P1123" s="1">
        <f t="shared" si="159"/>
        <v>135.64795918367346</v>
      </c>
    </row>
    <row r="1124" spans="1:16">
      <c r="A1124" s="2">
        <v>41430</v>
      </c>
      <c r="B1124" s="1">
        <v>265.81</v>
      </c>
      <c r="C1124" s="1">
        <v>271.66000000000003</v>
      </c>
      <c r="D1124" s="1">
        <v>265.02</v>
      </c>
      <c r="E1124" s="1">
        <v>267.17</v>
      </c>
      <c r="F1124" s="1">
        <v>3512300</v>
      </c>
      <c r="G1124" s="1">
        <v>267.17</v>
      </c>
      <c r="H1124" s="1">
        <f t="shared" si="153"/>
        <v>6.6400000000000432</v>
      </c>
      <c r="I1124" s="9">
        <f t="shared" si="160"/>
        <v>2.5054712851860401E-2</v>
      </c>
      <c r="J1124" s="1">
        <f t="shared" si="161"/>
        <v>1.4700000000000273</v>
      </c>
      <c r="K1124" s="9">
        <f t="shared" si="154"/>
        <v>5.5325555137374005E-3</v>
      </c>
      <c r="L1124" s="1">
        <f t="shared" si="155"/>
        <v>1</v>
      </c>
      <c r="M1124" s="1">
        <f t="shared" si="156"/>
        <v>271.66000000000003</v>
      </c>
      <c r="N1124" s="1">
        <f t="shared" si="157"/>
        <v>265.02</v>
      </c>
      <c r="O1124" s="1">
        <f t="shared" si="158"/>
        <v>265.21000000000004</v>
      </c>
      <c r="P1124" s="1">
        <f t="shared" si="159"/>
        <v>135.31122448979593</v>
      </c>
    </row>
    <row r="1125" spans="1:16">
      <c r="A1125" s="2">
        <v>41429</v>
      </c>
      <c r="B1125" s="1">
        <v>267</v>
      </c>
      <c r="C1125" s="1">
        <v>268.88</v>
      </c>
      <c r="D1125" s="1">
        <v>263.02</v>
      </c>
      <c r="E1125" s="1">
        <v>265.7</v>
      </c>
      <c r="F1125" s="1">
        <v>2088600</v>
      </c>
      <c r="G1125" s="1">
        <v>265.7</v>
      </c>
      <c r="H1125" s="1">
        <f t="shared" si="153"/>
        <v>5.8600000000000136</v>
      </c>
      <c r="I1125" s="9">
        <f t="shared" si="160"/>
        <v>2.2279674549463974E-2</v>
      </c>
      <c r="J1125" s="1">
        <f t="shared" si="161"/>
        <v>-1.1800000000000068</v>
      </c>
      <c r="K1125" s="9">
        <f t="shared" si="154"/>
        <v>-4.4214628297362365E-3</v>
      </c>
      <c r="L1125" s="1">
        <f t="shared" si="155"/>
        <v>1</v>
      </c>
      <c r="M1125" s="1">
        <f t="shared" si="156"/>
        <v>268.88</v>
      </c>
      <c r="N1125" s="1">
        <f t="shared" si="157"/>
        <v>263.02</v>
      </c>
      <c r="O1125" s="1">
        <f t="shared" si="158"/>
        <v>263.74</v>
      </c>
      <c r="P1125" s="1">
        <f t="shared" si="159"/>
        <v>134.56122448979593</v>
      </c>
    </row>
    <row r="1126" spans="1:16">
      <c r="A1126" s="2">
        <v>41428</v>
      </c>
      <c r="B1126" s="1">
        <v>268.95999999999998</v>
      </c>
      <c r="C1126" s="1">
        <v>269.11</v>
      </c>
      <c r="D1126" s="1">
        <v>262.95</v>
      </c>
      <c r="E1126" s="1">
        <v>266.88</v>
      </c>
      <c r="F1126" s="1">
        <v>2543900</v>
      </c>
      <c r="G1126" s="1">
        <v>266.88</v>
      </c>
      <c r="H1126" s="1">
        <f t="shared" si="153"/>
        <v>6.160000000000025</v>
      </c>
      <c r="I1126" s="9">
        <f t="shared" si="160"/>
        <v>2.3426506940483077E-2</v>
      </c>
      <c r="J1126" s="1">
        <f t="shared" si="161"/>
        <v>-2.3199999999999932</v>
      </c>
      <c r="K1126" s="9">
        <f t="shared" si="154"/>
        <v>-8.618127786032664E-3</v>
      </c>
      <c r="L1126" s="1">
        <f t="shared" si="155"/>
        <v>1</v>
      </c>
      <c r="M1126" s="1">
        <f t="shared" si="156"/>
        <v>269.11</v>
      </c>
      <c r="N1126" s="1">
        <f t="shared" si="157"/>
        <v>262.95</v>
      </c>
      <c r="O1126" s="1">
        <f t="shared" si="158"/>
        <v>264.92</v>
      </c>
      <c r="P1126" s="1">
        <f t="shared" si="159"/>
        <v>135.16326530612247</v>
      </c>
    </row>
    <row r="1127" spans="1:16">
      <c r="A1127" s="2">
        <v>41425</v>
      </c>
      <c r="B1127" s="1">
        <v>266</v>
      </c>
      <c r="C1127" s="1">
        <v>271.91000000000003</v>
      </c>
      <c r="D1127" s="1">
        <v>265.94</v>
      </c>
      <c r="E1127" s="1">
        <v>269.2</v>
      </c>
      <c r="F1127" s="1">
        <v>3374300</v>
      </c>
      <c r="G1127" s="1">
        <v>269.2</v>
      </c>
      <c r="H1127" s="1">
        <f t="shared" si="153"/>
        <v>5.9700000000000273</v>
      </c>
      <c r="I1127" s="9">
        <f t="shared" si="160"/>
        <v>2.2448672632924823E-2</v>
      </c>
      <c r="J1127" s="1">
        <f t="shared" si="161"/>
        <v>2.3700000000000045</v>
      </c>
      <c r="K1127" s="9">
        <f t="shared" si="154"/>
        <v>8.8820597384102421E-3</v>
      </c>
      <c r="L1127" s="1">
        <f t="shared" si="155"/>
        <v>1</v>
      </c>
      <c r="M1127" s="1">
        <f t="shared" si="156"/>
        <v>271.91000000000003</v>
      </c>
      <c r="N1127" s="1">
        <f t="shared" si="157"/>
        <v>265.94</v>
      </c>
      <c r="O1127" s="1">
        <f t="shared" si="158"/>
        <v>267.24</v>
      </c>
      <c r="P1127" s="1">
        <f t="shared" si="159"/>
        <v>136.34693877551021</v>
      </c>
    </row>
    <row r="1128" spans="1:16">
      <c r="A1128" s="2">
        <v>41424</v>
      </c>
      <c r="B1128" s="1">
        <v>265.70999999999998</v>
      </c>
      <c r="C1128" s="1">
        <v>268.57</v>
      </c>
      <c r="D1128" s="1">
        <v>265.61</v>
      </c>
      <c r="E1128" s="1">
        <v>266.83</v>
      </c>
      <c r="F1128" s="1">
        <v>1667500</v>
      </c>
      <c r="G1128" s="1">
        <v>266.83</v>
      </c>
      <c r="H1128" s="1">
        <f t="shared" si="153"/>
        <v>2.9599999999999795</v>
      </c>
      <c r="I1128" s="9">
        <f t="shared" si="160"/>
        <v>1.1144158728963441E-2</v>
      </c>
      <c r="J1128" s="1">
        <f t="shared" si="161"/>
        <v>1.3000000000000114</v>
      </c>
      <c r="K1128" s="9">
        <f t="shared" si="154"/>
        <v>4.8958686400783769E-3</v>
      </c>
      <c r="L1128" s="1">
        <f t="shared" si="155"/>
        <v>1</v>
      </c>
      <c r="M1128" s="1">
        <f t="shared" si="156"/>
        <v>268.57</v>
      </c>
      <c r="N1128" s="1">
        <f t="shared" si="157"/>
        <v>265.61</v>
      </c>
      <c r="O1128" s="1">
        <f t="shared" si="158"/>
        <v>264.87</v>
      </c>
      <c r="P1128" s="1">
        <f t="shared" si="159"/>
        <v>135.13775510204081</v>
      </c>
    </row>
    <row r="1129" spans="1:16">
      <c r="A1129" s="2">
        <v>41423</v>
      </c>
      <c r="B1129" s="1">
        <v>265.45999999999998</v>
      </c>
      <c r="C1129" s="1">
        <v>268.25</v>
      </c>
      <c r="D1129" s="1">
        <v>264.83999999999997</v>
      </c>
      <c r="E1129" s="1">
        <v>265.52999999999997</v>
      </c>
      <c r="F1129" s="1">
        <v>1903400</v>
      </c>
      <c r="G1129" s="1">
        <v>265.52999999999997</v>
      </c>
      <c r="H1129" s="1">
        <f t="shared" si="153"/>
        <v>3.410000000000025</v>
      </c>
      <c r="I1129" s="9">
        <f t="shared" si="160"/>
        <v>1.2875698534964602E-2</v>
      </c>
      <c r="J1129" s="1">
        <f t="shared" si="161"/>
        <v>-1.7600000000000477</v>
      </c>
      <c r="K1129" s="9">
        <f t="shared" si="154"/>
        <v>-6.5846084776835928E-3</v>
      </c>
      <c r="L1129" s="1">
        <f t="shared" si="155"/>
        <v>1</v>
      </c>
      <c r="M1129" s="1">
        <f t="shared" si="156"/>
        <v>268.25</v>
      </c>
      <c r="N1129" s="1">
        <f t="shared" si="157"/>
        <v>264.83999999999997</v>
      </c>
      <c r="O1129" s="1">
        <f t="shared" si="158"/>
        <v>263.57</v>
      </c>
      <c r="P1129" s="1">
        <f t="shared" si="159"/>
        <v>134.47448979591837</v>
      </c>
    </row>
    <row r="1130" spans="1:16">
      <c r="A1130" s="2">
        <v>41422</v>
      </c>
      <c r="B1130" s="1">
        <v>266.48</v>
      </c>
      <c r="C1130" s="1">
        <v>271.10000000000002</v>
      </c>
      <c r="D1130" s="1">
        <v>266</v>
      </c>
      <c r="E1130" s="1">
        <v>267.29000000000002</v>
      </c>
      <c r="F1130" s="1">
        <v>3471000</v>
      </c>
      <c r="G1130" s="1">
        <v>267.29000000000002</v>
      </c>
      <c r="H1130" s="1">
        <f t="shared" si="153"/>
        <v>5.1000000000000227</v>
      </c>
      <c r="I1130" s="9">
        <f t="shared" si="160"/>
        <v>1.9172932330827154E-2</v>
      </c>
      <c r="J1130" s="1">
        <f t="shared" si="161"/>
        <v>5.5500000000000114</v>
      </c>
      <c r="K1130" s="9">
        <f t="shared" si="154"/>
        <v>2.1204248490868844E-2</v>
      </c>
      <c r="L1130" s="1">
        <f t="shared" si="155"/>
        <v>1</v>
      </c>
      <c r="M1130" s="1">
        <f t="shared" si="156"/>
        <v>271.10000000000002</v>
      </c>
      <c r="N1130" s="1">
        <f t="shared" si="157"/>
        <v>266</v>
      </c>
      <c r="O1130" s="1">
        <f t="shared" si="158"/>
        <v>265.33000000000004</v>
      </c>
      <c r="P1130" s="1">
        <f t="shared" si="159"/>
        <v>135.37244897959187</v>
      </c>
    </row>
    <row r="1131" spans="1:16">
      <c r="A1131" s="2">
        <v>41418</v>
      </c>
      <c r="B1131" s="1">
        <v>259.85000000000002</v>
      </c>
      <c r="C1131" s="1">
        <v>261.93</v>
      </c>
      <c r="D1131" s="1">
        <v>258.33999999999997</v>
      </c>
      <c r="E1131" s="1">
        <v>261.74</v>
      </c>
      <c r="F1131" s="1">
        <v>1696300</v>
      </c>
      <c r="G1131" s="1">
        <v>261.74</v>
      </c>
      <c r="H1131" s="1">
        <f t="shared" si="153"/>
        <v>3.5900000000000318</v>
      </c>
      <c r="I1131" s="9">
        <f t="shared" si="160"/>
        <v>1.3896415576372348E-2</v>
      </c>
      <c r="J1131" s="1">
        <f t="shared" si="161"/>
        <v>-6.0000000000002274E-2</v>
      </c>
      <c r="K1131" s="9">
        <f t="shared" si="154"/>
        <v>-2.2918258212376727E-4</v>
      </c>
      <c r="L1131" s="1">
        <f t="shared" si="155"/>
        <v>1</v>
      </c>
      <c r="M1131" s="1">
        <f t="shared" si="156"/>
        <v>261.93</v>
      </c>
      <c r="N1131" s="1">
        <f t="shared" si="157"/>
        <v>258.33999999999997</v>
      </c>
      <c r="O1131" s="1">
        <f t="shared" si="158"/>
        <v>259.78000000000003</v>
      </c>
      <c r="P1131" s="1">
        <f t="shared" si="159"/>
        <v>132.54081632653063</v>
      </c>
    </row>
    <row r="1132" spans="1:16">
      <c r="A1132" s="2">
        <v>41417</v>
      </c>
      <c r="B1132" s="1">
        <v>260.49</v>
      </c>
      <c r="C1132" s="1">
        <v>263.17</v>
      </c>
      <c r="D1132" s="1">
        <v>259.58999999999997</v>
      </c>
      <c r="E1132" s="1">
        <v>261.8</v>
      </c>
      <c r="F1132" s="1">
        <v>2000300</v>
      </c>
      <c r="G1132" s="1">
        <v>261.8</v>
      </c>
      <c r="H1132" s="1">
        <f t="shared" si="153"/>
        <v>3.5800000000000409</v>
      </c>
      <c r="I1132" s="9">
        <f t="shared" si="160"/>
        <v>1.3790978080819914E-2</v>
      </c>
      <c r="J1132" s="1">
        <f t="shared" si="161"/>
        <v>-1.1599999999999682</v>
      </c>
      <c r="K1132" s="9">
        <f t="shared" si="154"/>
        <v>-4.4113173106174637E-3</v>
      </c>
      <c r="L1132" s="1">
        <f t="shared" si="155"/>
        <v>1</v>
      </c>
      <c r="M1132" s="1">
        <f t="shared" si="156"/>
        <v>263.17</v>
      </c>
      <c r="N1132" s="1">
        <f t="shared" si="157"/>
        <v>259.58999999999997</v>
      </c>
      <c r="O1132" s="1">
        <f t="shared" si="158"/>
        <v>259.84000000000003</v>
      </c>
      <c r="P1132" s="1">
        <f t="shared" si="159"/>
        <v>132.57142857142858</v>
      </c>
    </row>
    <row r="1133" spans="1:16">
      <c r="A1133" s="2">
        <v>41416</v>
      </c>
      <c r="B1133" s="1">
        <v>267.39</v>
      </c>
      <c r="C1133" s="1">
        <v>267.58999999999997</v>
      </c>
      <c r="D1133" s="1">
        <v>260.8</v>
      </c>
      <c r="E1133" s="1">
        <v>262.95999999999998</v>
      </c>
      <c r="F1133" s="1">
        <v>3332000</v>
      </c>
      <c r="G1133" s="1">
        <v>262.95999999999998</v>
      </c>
      <c r="H1133" s="1">
        <f t="shared" si="153"/>
        <v>6.7899999999999636</v>
      </c>
      <c r="I1133" s="9">
        <f t="shared" si="160"/>
        <v>2.6035276073619492E-2</v>
      </c>
      <c r="J1133" s="1">
        <f t="shared" si="161"/>
        <v>-5.9000000000000341</v>
      </c>
      <c r="K1133" s="9">
        <f t="shared" si="154"/>
        <v>-2.1944506434575742E-2</v>
      </c>
      <c r="L1133" s="1">
        <f t="shared" si="155"/>
        <v>1</v>
      </c>
      <c r="M1133" s="1">
        <f t="shared" si="156"/>
        <v>267.58999999999997</v>
      </c>
      <c r="N1133" s="1">
        <f t="shared" si="157"/>
        <v>260.8</v>
      </c>
      <c r="O1133" s="1">
        <f t="shared" si="158"/>
        <v>261</v>
      </c>
      <c r="P1133" s="1">
        <f t="shared" si="159"/>
        <v>133.16326530612244</v>
      </c>
    </row>
    <row r="1134" spans="1:16">
      <c r="A1134" s="2">
        <v>41415</v>
      </c>
      <c r="B1134" s="1">
        <v>268.74</v>
      </c>
      <c r="C1134" s="1">
        <v>270.77</v>
      </c>
      <c r="D1134" s="1">
        <v>267.66000000000003</v>
      </c>
      <c r="E1134" s="1">
        <v>268.86</v>
      </c>
      <c r="F1134" s="1">
        <v>1741200</v>
      </c>
      <c r="G1134" s="1">
        <v>268.86</v>
      </c>
      <c r="H1134" s="1">
        <f t="shared" si="153"/>
        <v>3.1099999999999568</v>
      </c>
      <c r="I1134" s="9">
        <f t="shared" si="160"/>
        <v>1.1619218411417307E-2</v>
      </c>
      <c r="J1134" s="1">
        <f t="shared" si="161"/>
        <v>1.2300000000000182</v>
      </c>
      <c r="K1134" s="9">
        <f t="shared" si="154"/>
        <v>4.5958973209282153E-3</v>
      </c>
      <c r="L1134" s="1">
        <f t="shared" si="155"/>
        <v>1</v>
      </c>
      <c r="M1134" s="1">
        <f t="shared" si="156"/>
        <v>270.77</v>
      </c>
      <c r="N1134" s="1">
        <f t="shared" si="157"/>
        <v>267.66000000000003</v>
      </c>
      <c r="O1134" s="1">
        <f t="shared" si="158"/>
        <v>266.90000000000003</v>
      </c>
      <c r="P1134" s="1">
        <f t="shared" si="159"/>
        <v>136.17346938775512</v>
      </c>
    </row>
    <row r="1135" spans="1:16">
      <c r="A1135" s="2">
        <v>41414</v>
      </c>
      <c r="B1135" s="1">
        <v>269</v>
      </c>
      <c r="C1135" s="1">
        <v>271.79000000000002</v>
      </c>
      <c r="D1135" s="1">
        <v>266.5</v>
      </c>
      <c r="E1135" s="1">
        <v>267.63</v>
      </c>
      <c r="F1135" s="1">
        <v>2209000</v>
      </c>
      <c r="G1135" s="1">
        <v>267.63</v>
      </c>
      <c r="H1135" s="1">
        <f t="shared" si="153"/>
        <v>5.2900000000000205</v>
      </c>
      <c r="I1135" s="9">
        <f t="shared" si="160"/>
        <v>1.9849906191369684E-2</v>
      </c>
      <c r="J1135" s="1">
        <f t="shared" si="161"/>
        <v>-2.2699999999999818</v>
      </c>
      <c r="K1135" s="9">
        <f t="shared" si="154"/>
        <v>-8.4105224157094548E-3</v>
      </c>
      <c r="L1135" s="1">
        <f t="shared" si="155"/>
        <v>1</v>
      </c>
      <c r="M1135" s="1">
        <f t="shared" si="156"/>
        <v>271.79000000000002</v>
      </c>
      <c r="N1135" s="1">
        <f t="shared" si="157"/>
        <v>266.5</v>
      </c>
      <c r="O1135" s="1">
        <f t="shared" si="158"/>
        <v>265.67</v>
      </c>
      <c r="P1135" s="1">
        <f t="shared" si="159"/>
        <v>135.54591836734696</v>
      </c>
    </row>
    <row r="1136" spans="1:16">
      <c r="A1136" s="2">
        <v>41411</v>
      </c>
      <c r="B1136" s="1">
        <v>265.83</v>
      </c>
      <c r="C1136" s="1">
        <v>269.98</v>
      </c>
      <c r="D1136" s="1">
        <v>265</v>
      </c>
      <c r="E1136" s="1">
        <v>269.89999999999998</v>
      </c>
      <c r="F1136" s="1">
        <v>2527300</v>
      </c>
      <c r="G1136" s="1">
        <v>269.89999999999998</v>
      </c>
      <c r="H1136" s="1">
        <f t="shared" si="153"/>
        <v>4.9800000000000182</v>
      </c>
      <c r="I1136" s="9">
        <f t="shared" si="160"/>
        <v>1.8792452830188749E-2</v>
      </c>
      <c r="J1136" s="1">
        <f t="shared" si="161"/>
        <v>5.7799999999999727</v>
      </c>
      <c r="K1136" s="9">
        <f t="shared" si="154"/>
        <v>2.1883992124791658E-2</v>
      </c>
      <c r="L1136" s="1">
        <f t="shared" si="155"/>
        <v>1</v>
      </c>
      <c r="M1136" s="1">
        <f t="shared" si="156"/>
        <v>269.98</v>
      </c>
      <c r="N1136" s="1">
        <f t="shared" si="157"/>
        <v>265</v>
      </c>
      <c r="O1136" s="1">
        <f t="shared" si="158"/>
        <v>267.94</v>
      </c>
      <c r="P1136" s="1">
        <f t="shared" si="159"/>
        <v>136.70408163265307</v>
      </c>
    </row>
    <row r="1137" spans="1:16">
      <c r="A1137" s="2">
        <v>41410</v>
      </c>
      <c r="B1137" s="1">
        <v>265.95999999999998</v>
      </c>
      <c r="C1137" s="1">
        <v>268.43</v>
      </c>
      <c r="D1137" s="1">
        <v>263.85000000000002</v>
      </c>
      <c r="E1137" s="1">
        <v>264.12</v>
      </c>
      <c r="F1137" s="1">
        <v>1643500</v>
      </c>
      <c r="G1137" s="1">
        <v>264.12</v>
      </c>
      <c r="H1137" s="1">
        <f t="shared" si="153"/>
        <v>4.5799999999999841</v>
      </c>
      <c r="I1137" s="9">
        <f t="shared" si="160"/>
        <v>1.735834754595408E-2</v>
      </c>
      <c r="J1137" s="1">
        <f t="shared" si="161"/>
        <v>-2.4399999999999977</v>
      </c>
      <c r="K1137" s="9">
        <f t="shared" si="154"/>
        <v>-9.1536614645858251E-3</v>
      </c>
      <c r="L1137" s="1">
        <f t="shared" si="155"/>
        <v>1</v>
      </c>
      <c r="M1137" s="1">
        <f t="shared" si="156"/>
        <v>268.43</v>
      </c>
      <c r="N1137" s="1">
        <f t="shared" si="157"/>
        <v>263.85000000000002</v>
      </c>
      <c r="O1137" s="1">
        <f t="shared" si="158"/>
        <v>262.16000000000003</v>
      </c>
      <c r="P1137" s="1">
        <f t="shared" si="159"/>
        <v>133.75510204081635</v>
      </c>
    </row>
    <row r="1138" spans="1:16">
      <c r="A1138" s="2">
        <v>41409</v>
      </c>
      <c r="B1138" s="1">
        <v>267.07</v>
      </c>
      <c r="C1138" s="1">
        <v>269.05</v>
      </c>
      <c r="D1138" s="1">
        <v>264.56</v>
      </c>
      <c r="E1138" s="1">
        <v>266.56</v>
      </c>
      <c r="F1138" s="1">
        <v>2720500</v>
      </c>
      <c r="G1138" s="1">
        <v>266.56</v>
      </c>
      <c r="H1138" s="1">
        <f t="shared" si="153"/>
        <v>4.4900000000000091</v>
      </c>
      <c r="I1138" s="9">
        <f t="shared" si="160"/>
        <v>1.697157544602362E-2</v>
      </c>
      <c r="J1138" s="1">
        <f t="shared" si="161"/>
        <v>-1.7699999999999818</v>
      </c>
      <c r="K1138" s="9">
        <f t="shared" si="154"/>
        <v>-6.5963552342264446E-3</v>
      </c>
      <c r="L1138" s="1">
        <f t="shared" si="155"/>
        <v>1</v>
      </c>
      <c r="M1138" s="1">
        <f t="shared" si="156"/>
        <v>269.05</v>
      </c>
      <c r="N1138" s="1">
        <f t="shared" si="157"/>
        <v>264.56</v>
      </c>
      <c r="O1138" s="1">
        <f t="shared" si="158"/>
        <v>264.60000000000002</v>
      </c>
      <c r="P1138" s="1">
        <f t="shared" si="159"/>
        <v>135</v>
      </c>
    </row>
    <row r="1139" spans="1:16">
      <c r="A1139" s="2">
        <v>41408</v>
      </c>
      <c r="B1139" s="1">
        <v>264.5</v>
      </c>
      <c r="C1139" s="1">
        <v>269.39999999999998</v>
      </c>
      <c r="D1139" s="1">
        <v>264.02999999999997</v>
      </c>
      <c r="E1139" s="1">
        <v>268.33</v>
      </c>
      <c r="F1139" s="1">
        <v>2700000</v>
      </c>
      <c r="G1139" s="1">
        <v>268.33</v>
      </c>
      <c r="H1139" s="1">
        <f t="shared" si="153"/>
        <v>5.3700000000000045</v>
      </c>
      <c r="I1139" s="9">
        <f t="shared" si="160"/>
        <v>2.0338597886603815E-2</v>
      </c>
      <c r="J1139" s="1">
        <f t="shared" si="161"/>
        <v>3.8199999999999932</v>
      </c>
      <c r="K1139" s="9">
        <f t="shared" si="154"/>
        <v>1.4441798041661916E-2</v>
      </c>
      <c r="L1139" s="1">
        <f t="shared" si="155"/>
        <v>1</v>
      </c>
      <c r="M1139" s="1">
        <f t="shared" si="156"/>
        <v>269.39999999999998</v>
      </c>
      <c r="N1139" s="1">
        <f t="shared" si="157"/>
        <v>264.02999999999997</v>
      </c>
      <c r="O1139" s="1">
        <f t="shared" si="158"/>
        <v>266.37</v>
      </c>
      <c r="P1139" s="1">
        <f t="shared" si="159"/>
        <v>135.90306122448979</v>
      </c>
    </row>
    <row r="1140" spans="1:16">
      <c r="A1140" s="2">
        <v>41407</v>
      </c>
      <c r="B1140" s="1">
        <v>262.77</v>
      </c>
      <c r="C1140" s="1">
        <v>265.88</v>
      </c>
      <c r="D1140" s="1">
        <v>262</v>
      </c>
      <c r="E1140" s="1">
        <v>264.51</v>
      </c>
      <c r="F1140" s="1">
        <v>2149500</v>
      </c>
      <c r="G1140" s="1">
        <v>264.51</v>
      </c>
      <c r="H1140" s="1">
        <f t="shared" si="153"/>
        <v>3.8799999999999955</v>
      </c>
      <c r="I1140" s="9">
        <f t="shared" si="160"/>
        <v>1.4809160305343494E-2</v>
      </c>
      <c r="J1140" s="1">
        <f t="shared" si="161"/>
        <v>0.87999999999999545</v>
      </c>
      <c r="K1140" s="9">
        <f t="shared" si="154"/>
        <v>3.3380116071767079E-3</v>
      </c>
      <c r="L1140" s="1">
        <f t="shared" si="155"/>
        <v>1</v>
      </c>
      <c r="M1140" s="1">
        <f t="shared" si="156"/>
        <v>265.88</v>
      </c>
      <c r="N1140" s="1">
        <f t="shared" si="157"/>
        <v>262</v>
      </c>
      <c r="O1140" s="1">
        <f t="shared" si="158"/>
        <v>262.55</v>
      </c>
      <c r="P1140" s="1">
        <f t="shared" si="159"/>
        <v>133.95408163265307</v>
      </c>
    </row>
    <row r="1141" spans="1:16">
      <c r="A1141" s="2">
        <v>41404</v>
      </c>
      <c r="B1141" s="1">
        <v>260.88</v>
      </c>
      <c r="C1141" s="1">
        <v>263.64999999999998</v>
      </c>
      <c r="D1141" s="1">
        <v>260.20999999999998</v>
      </c>
      <c r="E1141" s="1">
        <v>263.63</v>
      </c>
      <c r="F1141" s="1">
        <v>3145300</v>
      </c>
      <c r="G1141" s="1">
        <v>263.63</v>
      </c>
      <c r="H1141" s="1">
        <f t="shared" si="153"/>
        <v>3.4399999999999977</v>
      </c>
      <c r="I1141" s="9">
        <f t="shared" si="160"/>
        <v>1.3220091464586288E-2</v>
      </c>
      <c r="J1141" s="1">
        <f t="shared" si="161"/>
        <v>3.4699999999999704</v>
      </c>
      <c r="K1141" s="9">
        <f t="shared" si="154"/>
        <v>1.333794587945868E-2</v>
      </c>
      <c r="L1141" s="1">
        <f t="shared" si="155"/>
        <v>1</v>
      </c>
      <c r="M1141" s="1">
        <f t="shared" si="156"/>
        <v>263.64999999999998</v>
      </c>
      <c r="N1141" s="1">
        <f t="shared" si="157"/>
        <v>260.20999999999998</v>
      </c>
      <c r="O1141" s="1">
        <f t="shared" si="158"/>
        <v>261.67</v>
      </c>
      <c r="P1141" s="1">
        <f t="shared" si="159"/>
        <v>133.50510204081633</v>
      </c>
    </row>
    <row r="1142" spans="1:16">
      <c r="A1142" s="2">
        <v>41403</v>
      </c>
      <c r="B1142" s="1">
        <v>258.73</v>
      </c>
      <c r="C1142" s="1">
        <v>263.55</v>
      </c>
      <c r="D1142" s="1">
        <v>256.88</v>
      </c>
      <c r="E1142" s="1">
        <v>260.16000000000003</v>
      </c>
      <c r="F1142" s="1">
        <v>2769300</v>
      </c>
      <c r="G1142" s="1">
        <v>260.16000000000003</v>
      </c>
      <c r="H1142" s="1">
        <f t="shared" si="153"/>
        <v>6.6700000000000159</v>
      </c>
      <c r="I1142" s="9">
        <f t="shared" si="160"/>
        <v>2.5965431329803862E-2</v>
      </c>
      <c r="J1142" s="1">
        <f t="shared" si="161"/>
        <v>1.4800000000000182</v>
      </c>
      <c r="K1142" s="9">
        <f t="shared" si="154"/>
        <v>5.7213545693521658E-3</v>
      </c>
      <c r="L1142" s="1">
        <f t="shared" si="155"/>
        <v>1</v>
      </c>
      <c r="M1142" s="1">
        <f t="shared" si="156"/>
        <v>263.55</v>
      </c>
      <c r="N1142" s="1">
        <f t="shared" si="157"/>
        <v>256.88</v>
      </c>
      <c r="O1142" s="1">
        <f t="shared" si="158"/>
        <v>258.20000000000005</v>
      </c>
      <c r="P1142" s="1">
        <f t="shared" si="159"/>
        <v>131.73469387755105</v>
      </c>
    </row>
    <row r="1143" spans="1:16">
      <c r="A1143" s="2">
        <v>41402</v>
      </c>
      <c r="B1143" s="1">
        <v>256.87</v>
      </c>
      <c r="C1143" s="1">
        <v>260.3</v>
      </c>
      <c r="D1143" s="1">
        <v>255.33</v>
      </c>
      <c r="E1143" s="1">
        <v>258.68</v>
      </c>
      <c r="F1143" s="1">
        <v>2677000</v>
      </c>
      <c r="G1143" s="1">
        <v>258.68</v>
      </c>
      <c r="H1143" s="1">
        <f t="shared" si="153"/>
        <v>4.9699999999999989</v>
      </c>
      <c r="I1143" s="9">
        <f t="shared" si="160"/>
        <v>1.9465006070575327E-2</v>
      </c>
      <c r="J1143" s="1">
        <f t="shared" si="161"/>
        <v>0.94999999999998863</v>
      </c>
      <c r="K1143" s="9">
        <f t="shared" si="154"/>
        <v>3.6860280138128606E-3</v>
      </c>
      <c r="L1143" s="1">
        <f t="shared" si="155"/>
        <v>1</v>
      </c>
      <c r="M1143" s="1">
        <f t="shared" si="156"/>
        <v>260.3</v>
      </c>
      <c r="N1143" s="1">
        <f t="shared" si="157"/>
        <v>255.33</v>
      </c>
      <c r="O1143" s="1">
        <f t="shared" si="158"/>
        <v>256.72000000000003</v>
      </c>
      <c r="P1143" s="1">
        <f t="shared" si="159"/>
        <v>130.9795918367347</v>
      </c>
    </row>
    <row r="1144" spans="1:16">
      <c r="A1144" s="2">
        <v>41401</v>
      </c>
      <c r="B1144" s="1">
        <v>256.31</v>
      </c>
      <c r="C1144" s="1">
        <v>259.74</v>
      </c>
      <c r="D1144" s="1">
        <v>252.91</v>
      </c>
      <c r="E1144" s="1">
        <v>257.73</v>
      </c>
      <c r="F1144" s="1">
        <v>3133700</v>
      </c>
      <c r="G1144" s="1">
        <v>257.73</v>
      </c>
      <c r="H1144" s="1">
        <f t="shared" si="153"/>
        <v>6.8300000000000125</v>
      </c>
      <c r="I1144" s="9">
        <f t="shared" si="160"/>
        <v>2.7005654185283352E-2</v>
      </c>
      <c r="J1144" s="1">
        <f t="shared" si="161"/>
        <v>2.0100000000000193</v>
      </c>
      <c r="K1144" s="9">
        <f t="shared" si="154"/>
        <v>7.8601595495073496E-3</v>
      </c>
      <c r="L1144" s="1">
        <f t="shared" si="155"/>
        <v>1</v>
      </c>
      <c r="M1144" s="1">
        <f t="shared" si="156"/>
        <v>259.74</v>
      </c>
      <c r="N1144" s="1">
        <f t="shared" si="157"/>
        <v>252.91</v>
      </c>
      <c r="O1144" s="1">
        <f t="shared" si="158"/>
        <v>255.77</v>
      </c>
      <c r="P1144" s="1">
        <f t="shared" si="159"/>
        <v>130.49489795918367</v>
      </c>
    </row>
    <row r="1145" spans="1:16">
      <c r="A1145" s="2">
        <v>41400</v>
      </c>
      <c r="B1145" s="1">
        <v>258.08999999999997</v>
      </c>
      <c r="C1145" s="1">
        <v>259.5</v>
      </c>
      <c r="D1145" s="1">
        <v>253.42</v>
      </c>
      <c r="E1145" s="1">
        <v>255.72</v>
      </c>
      <c r="F1145" s="1">
        <v>2347800</v>
      </c>
      <c r="G1145" s="1">
        <v>255.72</v>
      </c>
      <c r="H1145" s="1">
        <f t="shared" si="153"/>
        <v>6.0800000000000125</v>
      </c>
      <c r="I1145" s="9">
        <f t="shared" si="160"/>
        <v>2.3991792281587928E-2</v>
      </c>
      <c r="J1145" s="1">
        <f t="shared" si="161"/>
        <v>-2.3300000000000125</v>
      </c>
      <c r="K1145" s="9">
        <f t="shared" si="154"/>
        <v>-9.0292578957566847E-3</v>
      </c>
      <c r="L1145" s="1">
        <f t="shared" si="155"/>
        <v>1</v>
      </c>
      <c r="M1145" s="1">
        <f t="shared" si="156"/>
        <v>259.5</v>
      </c>
      <c r="N1145" s="1">
        <f t="shared" si="157"/>
        <v>253.42</v>
      </c>
      <c r="O1145" s="1">
        <f t="shared" si="158"/>
        <v>253.76</v>
      </c>
      <c r="P1145" s="1">
        <f t="shared" si="159"/>
        <v>129.46938775510205</v>
      </c>
    </row>
    <row r="1146" spans="1:16">
      <c r="A1146" s="2">
        <v>41397</v>
      </c>
      <c r="B1146" s="1">
        <v>256.14</v>
      </c>
      <c r="C1146" s="1">
        <v>259.25</v>
      </c>
      <c r="D1146" s="1">
        <v>254.7</v>
      </c>
      <c r="E1146" s="1">
        <v>258.05</v>
      </c>
      <c r="F1146" s="1">
        <v>3514000</v>
      </c>
      <c r="G1146" s="1">
        <v>258.05</v>
      </c>
      <c r="H1146" s="1">
        <f t="shared" si="153"/>
        <v>4.5500000000000114</v>
      </c>
      <c r="I1146" s="9">
        <f t="shared" si="160"/>
        <v>1.7864153906556778E-2</v>
      </c>
      <c r="J1146" s="1">
        <f t="shared" si="161"/>
        <v>5.5</v>
      </c>
      <c r="K1146" s="9">
        <f t="shared" si="154"/>
        <v>2.1777865769154622E-2</v>
      </c>
      <c r="L1146" s="1">
        <f t="shared" si="155"/>
        <v>1</v>
      </c>
      <c r="M1146" s="1">
        <f t="shared" si="156"/>
        <v>259.25</v>
      </c>
      <c r="N1146" s="1">
        <f t="shared" si="157"/>
        <v>254.7</v>
      </c>
      <c r="O1146" s="1">
        <f t="shared" si="158"/>
        <v>256.09000000000003</v>
      </c>
      <c r="P1146" s="1">
        <f t="shared" si="159"/>
        <v>130.65816326530614</v>
      </c>
    </row>
    <row r="1147" spans="1:16">
      <c r="A1147" s="2">
        <v>41396</v>
      </c>
      <c r="B1147" s="1">
        <v>248.94</v>
      </c>
      <c r="C1147" s="1">
        <v>252.93</v>
      </c>
      <c r="D1147" s="1">
        <v>245.78</v>
      </c>
      <c r="E1147" s="1">
        <v>252.55</v>
      </c>
      <c r="F1147" s="1">
        <v>3936200</v>
      </c>
      <c r="G1147" s="1">
        <v>252.55</v>
      </c>
      <c r="H1147" s="1">
        <f t="shared" si="153"/>
        <v>7.1500000000000057</v>
      </c>
      <c r="I1147" s="9">
        <f t="shared" si="160"/>
        <v>2.9091057042883901E-2</v>
      </c>
      <c r="J1147" s="1">
        <f t="shared" si="161"/>
        <v>4.3200000000000216</v>
      </c>
      <c r="K1147" s="9">
        <f t="shared" si="154"/>
        <v>1.7403214760504458E-2</v>
      </c>
      <c r="L1147" s="1">
        <f t="shared" si="155"/>
        <v>1</v>
      </c>
      <c r="M1147" s="1">
        <f t="shared" si="156"/>
        <v>252.93</v>
      </c>
      <c r="N1147" s="1">
        <f t="shared" si="157"/>
        <v>245.78</v>
      </c>
      <c r="O1147" s="1">
        <f t="shared" si="158"/>
        <v>250.59</v>
      </c>
      <c r="P1147" s="1">
        <f t="shared" si="159"/>
        <v>127.85204081632654</v>
      </c>
    </row>
    <row r="1148" spans="1:16">
      <c r="A1148" s="2">
        <v>41395</v>
      </c>
      <c r="B1148" s="1">
        <v>253.9</v>
      </c>
      <c r="C1148" s="1">
        <v>254.2</v>
      </c>
      <c r="D1148" s="1">
        <v>245.75</v>
      </c>
      <c r="E1148" s="1">
        <v>248.23</v>
      </c>
      <c r="F1148" s="1">
        <v>4391400</v>
      </c>
      <c r="G1148" s="1">
        <v>248.23</v>
      </c>
      <c r="H1148" s="1">
        <f t="shared" si="153"/>
        <v>8.4499999999999886</v>
      </c>
      <c r="I1148" s="9">
        <f t="shared" si="160"/>
        <v>3.438453713123088E-2</v>
      </c>
      <c r="J1148" s="1">
        <f t="shared" si="161"/>
        <v>-5.5800000000000125</v>
      </c>
      <c r="K1148" s="9">
        <f t="shared" si="154"/>
        <v>-2.1984949371577214E-2</v>
      </c>
      <c r="L1148" s="1">
        <f t="shared" si="155"/>
        <v>1</v>
      </c>
      <c r="M1148" s="1">
        <f t="shared" si="156"/>
        <v>254.2</v>
      </c>
      <c r="N1148" s="1">
        <f t="shared" si="157"/>
        <v>245.75</v>
      </c>
      <c r="O1148" s="1">
        <f t="shared" si="158"/>
        <v>246.26999999999998</v>
      </c>
      <c r="P1148" s="1">
        <f t="shared" si="159"/>
        <v>125.64795918367346</v>
      </c>
    </row>
    <row r="1149" spans="1:16">
      <c r="A1149" s="2">
        <v>41394</v>
      </c>
      <c r="B1149" s="1">
        <v>249.37</v>
      </c>
      <c r="C1149" s="1">
        <v>254.68</v>
      </c>
      <c r="D1149" s="1">
        <v>248.56</v>
      </c>
      <c r="E1149" s="1">
        <v>253.81</v>
      </c>
      <c r="F1149" s="1">
        <v>4248800</v>
      </c>
      <c r="G1149" s="1">
        <v>253.81</v>
      </c>
      <c r="H1149" s="1">
        <f t="shared" si="153"/>
        <v>6.1200000000000045</v>
      </c>
      <c r="I1149" s="9">
        <f t="shared" si="160"/>
        <v>2.4621821692951417E-2</v>
      </c>
      <c r="J1149" s="1">
        <f t="shared" si="161"/>
        <v>4.0699999999999932</v>
      </c>
      <c r="K1149" s="9">
        <f t="shared" si="154"/>
        <v>1.6296948826779824E-2</v>
      </c>
      <c r="L1149" s="1">
        <f t="shared" si="155"/>
        <v>1</v>
      </c>
      <c r="M1149" s="1">
        <f t="shared" si="156"/>
        <v>254.68</v>
      </c>
      <c r="N1149" s="1">
        <f t="shared" si="157"/>
        <v>248.56</v>
      </c>
      <c r="O1149" s="1">
        <f t="shared" si="158"/>
        <v>251.85</v>
      </c>
      <c r="P1149" s="1">
        <f t="shared" si="159"/>
        <v>128.49489795918367</v>
      </c>
    </row>
    <row r="1150" spans="1:16">
      <c r="A1150" s="2">
        <v>41393</v>
      </c>
      <c r="B1150" s="1">
        <v>254.9</v>
      </c>
      <c r="C1150" s="1">
        <v>257.01</v>
      </c>
      <c r="D1150" s="1">
        <v>249.15</v>
      </c>
      <c r="E1150" s="1">
        <v>249.74</v>
      </c>
      <c r="F1150" s="1">
        <v>7117000</v>
      </c>
      <c r="G1150" s="1">
        <v>249.74</v>
      </c>
      <c r="H1150" s="1">
        <f t="shared" si="153"/>
        <v>7.8599999999999852</v>
      </c>
      <c r="I1150" s="9">
        <f t="shared" si="160"/>
        <v>3.1547260686333477E-2</v>
      </c>
      <c r="J1150" s="1">
        <f t="shared" si="161"/>
        <v>-5.0699999999999932</v>
      </c>
      <c r="K1150" s="9">
        <f t="shared" si="154"/>
        <v>-1.9897178289706028E-2</v>
      </c>
      <c r="L1150" s="1">
        <f t="shared" si="155"/>
        <v>1</v>
      </c>
      <c r="M1150" s="1">
        <f t="shared" si="156"/>
        <v>257.01</v>
      </c>
      <c r="N1150" s="1">
        <f t="shared" si="157"/>
        <v>249.15</v>
      </c>
      <c r="O1150" s="1">
        <f t="shared" si="158"/>
        <v>247.78</v>
      </c>
      <c r="P1150" s="1">
        <f t="shared" si="159"/>
        <v>126.41836734693878</v>
      </c>
    </row>
    <row r="1151" spans="1:16">
      <c r="A1151" s="2">
        <v>41390</v>
      </c>
      <c r="B1151" s="1">
        <v>269.97000000000003</v>
      </c>
      <c r="C1151" s="1">
        <v>272.02</v>
      </c>
      <c r="D1151" s="1">
        <v>252.81</v>
      </c>
      <c r="E1151" s="1">
        <v>254.81</v>
      </c>
      <c r="F1151" s="1">
        <v>14030000</v>
      </c>
      <c r="G1151" s="1">
        <v>254.81</v>
      </c>
      <c r="H1151" s="1">
        <f t="shared" si="153"/>
        <v>19.20999999999998</v>
      </c>
      <c r="I1151" s="9">
        <f t="shared" si="160"/>
        <v>7.5985918278549031E-2</v>
      </c>
      <c r="J1151" s="1">
        <f t="shared" si="161"/>
        <v>-19.889999999999986</v>
      </c>
      <c r="K1151" s="9">
        <f t="shared" si="154"/>
        <v>-7.2406261376046555E-2</v>
      </c>
      <c r="L1151" s="1">
        <f t="shared" si="155"/>
        <v>1</v>
      </c>
      <c r="M1151" s="1">
        <f t="shared" si="156"/>
        <v>272.02</v>
      </c>
      <c r="N1151" s="1">
        <f t="shared" si="157"/>
        <v>252.81</v>
      </c>
      <c r="O1151" s="1">
        <f t="shared" si="158"/>
        <v>252.85</v>
      </c>
      <c r="P1151" s="1">
        <f t="shared" si="159"/>
        <v>129.00510204081633</v>
      </c>
    </row>
    <row r="1152" spans="1:16">
      <c r="A1152" s="2">
        <v>41389</v>
      </c>
      <c r="B1152" s="1">
        <v>271.52999999999997</v>
      </c>
      <c r="C1152" s="1">
        <v>275.8</v>
      </c>
      <c r="D1152" s="1">
        <v>270.5</v>
      </c>
      <c r="E1152" s="1">
        <v>274.7</v>
      </c>
      <c r="F1152" s="1">
        <v>6116500</v>
      </c>
      <c r="G1152" s="1">
        <v>274.7</v>
      </c>
      <c r="H1152" s="1">
        <f t="shared" si="153"/>
        <v>5.3000000000000114</v>
      </c>
      <c r="I1152" s="9">
        <f t="shared" si="160"/>
        <v>1.9593345656192279E-2</v>
      </c>
      <c r="J1152" s="1">
        <f t="shared" si="161"/>
        <v>5.9200000000000159</v>
      </c>
      <c r="K1152" s="9">
        <f t="shared" si="154"/>
        <v>2.2025448322047832E-2</v>
      </c>
      <c r="L1152" s="1">
        <f t="shared" si="155"/>
        <v>1</v>
      </c>
      <c r="M1152" s="1">
        <f t="shared" si="156"/>
        <v>275.8</v>
      </c>
      <c r="N1152" s="1">
        <f t="shared" si="157"/>
        <v>270.5</v>
      </c>
      <c r="O1152" s="1">
        <f t="shared" si="158"/>
        <v>272.74</v>
      </c>
      <c r="P1152" s="1">
        <f t="shared" si="159"/>
        <v>139.15306122448979</v>
      </c>
    </row>
    <row r="1153" spans="1:16">
      <c r="A1153" s="2">
        <v>41388</v>
      </c>
      <c r="B1153" s="1">
        <v>269.5</v>
      </c>
      <c r="C1153" s="1">
        <v>271.47000000000003</v>
      </c>
      <c r="D1153" s="1">
        <v>266.81</v>
      </c>
      <c r="E1153" s="1">
        <v>268.77999999999997</v>
      </c>
      <c r="F1153" s="1">
        <v>1852800</v>
      </c>
      <c r="G1153" s="1">
        <v>268.77999999999997</v>
      </c>
      <c r="H1153" s="1">
        <f t="shared" si="153"/>
        <v>4.660000000000025</v>
      </c>
      <c r="I1153" s="9">
        <f t="shared" si="160"/>
        <v>1.7465612233424629E-2</v>
      </c>
      <c r="J1153" s="1">
        <f t="shared" si="161"/>
        <v>-0.12000000000000455</v>
      </c>
      <c r="K1153" s="9">
        <f t="shared" si="154"/>
        <v>-4.4626255113426762E-4</v>
      </c>
      <c r="L1153" s="1">
        <f t="shared" si="155"/>
        <v>1</v>
      </c>
      <c r="M1153" s="1">
        <f t="shared" si="156"/>
        <v>271.47000000000003</v>
      </c>
      <c r="N1153" s="1">
        <f t="shared" si="157"/>
        <v>266.81</v>
      </c>
      <c r="O1153" s="1">
        <f t="shared" si="158"/>
        <v>266.82</v>
      </c>
      <c r="P1153" s="1">
        <f t="shared" si="159"/>
        <v>136.13265306122449</v>
      </c>
    </row>
    <row r="1154" spans="1:16">
      <c r="A1154" s="2">
        <v>41387</v>
      </c>
      <c r="B1154" s="1">
        <v>264.5</v>
      </c>
      <c r="C1154" s="1">
        <v>269.87</v>
      </c>
      <c r="D1154" s="1">
        <v>264.5</v>
      </c>
      <c r="E1154" s="1">
        <v>268.89999999999998</v>
      </c>
      <c r="F1154" s="1">
        <v>2270600</v>
      </c>
      <c r="G1154" s="1">
        <v>268.89999999999998</v>
      </c>
      <c r="H1154" s="1">
        <f t="shared" si="153"/>
        <v>5.3700000000000045</v>
      </c>
      <c r="I1154" s="9">
        <f t="shared" si="160"/>
        <v>2.0302457466918732E-2</v>
      </c>
      <c r="J1154" s="1">
        <f t="shared" si="161"/>
        <v>5.3499999999999659</v>
      </c>
      <c r="K1154" s="9">
        <f t="shared" si="154"/>
        <v>2.0299753367482323E-2</v>
      </c>
      <c r="L1154" s="1">
        <f t="shared" si="155"/>
        <v>1</v>
      </c>
      <c r="M1154" s="1">
        <f t="shared" si="156"/>
        <v>269.87</v>
      </c>
      <c r="N1154" s="1">
        <f t="shared" si="157"/>
        <v>264.5</v>
      </c>
      <c r="O1154" s="1">
        <f t="shared" si="158"/>
        <v>266.94</v>
      </c>
      <c r="P1154" s="1">
        <f t="shared" si="159"/>
        <v>136.19387755102042</v>
      </c>
    </row>
    <row r="1155" spans="1:16">
      <c r="A1155" s="2">
        <v>41386</v>
      </c>
      <c r="B1155" s="1">
        <v>259.35000000000002</v>
      </c>
      <c r="C1155" s="1">
        <v>264.60000000000002</v>
      </c>
      <c r="D1155" s="1">
        <v>258.02999999999997</v>
      </c>
      <c r="E1155" s="1">
        <v>263.55</v>
      </c>
      <c r="F1155" s="1">
        <v>2119100</v>
      </c>
      <c r="G1155" s="1">
        <v>263.55</v>
      </c>
      <c r="H1155" s="1">
        <f t="shared" ref="H1155:H1218" si="162">C1155-D1155</f>
        <v>6.57000000000005</v>
      </c>
      <c r="I1155" s="9">
        <f t="shared" si="160"/>
        <v>2.546215556330679E-2</v>
      </c>
      <c r="J1155" s="1">
        <f t="shared" si="161"/>
        <v>3.2300000000000182</v>
      </c>
      <c r="K1155" s="9">
        <f t="shared" ref="K1155:K1218" si="163">(G1155-G1156)/G1156</f>
        <v>1.240780577750468E-2</v>
      </c>
      <c r="L1155" s="1">
        <f t="shared" ref="L1155:L1218" si="164">G1155/E1155</f>
        <v>1</v>
      </c>
      <c r="M1155" s="1">
        <f t="shared" ref="M1155:M1218" si="165">L1155*C1155</f>
        <v>264.60000000000002</v>
      </c>
      <c r="N1155" s="1">
        <f t="shared" ref="N1155:N1218" si="166">L1155*D1155</f>
        <v>258.02999999999997</v>
      </c>
      <c r="O1155" s="1">
        <f t="shared" ref="O1155:O1218" si="167">G1155-$G$5163</f>
        <v>261.59000000000003</v>
      </c>
      <c r="P1155" s="1">
        <f t="shared" ref="P1155:P1218" si="168">(G1155-$G$5163)/$G$5163</f>
        <v>133.46428571428572</v>
      </c>
    </row>
    <row r="1156" spans="1:16">
      <c r="A1156" s="2">
        <v>41383</v>
      </c>
      <c r="B1156" s="1">
        <v>258.16000000000003</v>
      </c>
      <c r="C1156" s="1">
        <v>262.88</v>
      </c>
      <c r="D1156" s="1">
        <v>257.5</v>
      </c>
      <c r="E1156" s="1">
        <v>260.32</v>
      </c>
      <c r="F1156" s="1">
        <v>2602500</v>
      </c>
      <c r="G1156" s="1">
        <v>260.32</v>
      </c>
      <c r="H1156" s="1">
        <f t="shared" si="162"/>
        <v>5.3799999999999955</v>
      </c>
      <c r="I1156" s="9">
        <f t="shared" ref="I1156:I1219" si="169">(C1156-D1156)/D1156</f>
        <v>2.0893203883495127E-2</v>
      </c>
      <c r="J1156" s="1">
        <f t="shared" ref="J1156:J1219" si="170">G1156-G1157</f>
        <v>0.89999999999997726</v>
      </c>
      <c r="K1156" s="9">
        <f t="shared" si="163"/>
        <v>3.4692776193045146E-3</v>
      </c>
      <c r="L1156" s="1">
        <f t="shared" si="164"/>
        <v>1</v>
      </c>
      <c r="M1156" s="1">
        <f t="shared" si="165"/>
        <v>262.88</v>
      </c>
      <c r="N1156" s="1">
        <f t="shared" si="166"/>
        <v>257.5</v>
      </c>
      <c r="O1156" s="1">
        <f t="shared" si="167"/>
        <v>258.36</v>
      </c>
      <c r="P1156" s="1">
        <f t="shared" si="168"/>
        <v>131.81632653061226</v>
      </c>
    </row>
    <row r="1157" spans="1:16">
      <c r="A1157" s="2">
        <v>41382</v>
      </c>
      <c r="B1157" s="1">
        <v>266.81</v>
      </c>
      <c r="C1157" s="1">
        <v>266.99</v>
      </c>
      <c r="D1157" s="1">
        <v>256.60000000000002</v>
      </c>
      <c r="E1157" s="1">
        <v>259.42</v>
      </c>
      <c r="F1157" s="1">
        <v>3137600</v>
      </c>
      <c r="G1157" s="1">
        <v>259.42</v>
      </c>
      <c r="H1157" s="1">
        <f t="shared" si="162"/>
        <v>10.389999999999986</v>
      </c>
      <c r="I1157" s="9">
        <f t="shared" si="169"/>
        <v>4.0491036632891601E-2</v>
      </c>
      <c r="J1157" s="1">
        <f t="shared" si="170"/>
        <v>-7.9799999999999613</v>
      </c>
      <c r="K1157" s="9">
        <f t="shared" si="163"/>
        <v>-2.9842931937172634E-2</v>
      </c>
      <c r="L1157" s="1">
        <f t="shared" si="164"/>
        <v>1</v>
      </c>
      <c r="M1157" s="1">
        <f t="shared" si="165"/>
        <v>266.99</v>
      </c>
      <c r="N1157" s="1">
        <f t="shared" si="166"/>
        <v>256.60000000000002</v>
      </c>
      <c r="O1157" s="1">
        <f t="shared" si="167"/>
        <v>257.46000000000004</v>
      </c>
      <c r="P1157" s="1">
        <f t="shared" si="168"/>
        <v>131.35714285714289</v>
      </c>
    </row>
    <row r="1158" spans="1:16">
      <c r="A1158" s="2">
        <v>41381</v>
      </c>
      <c r="B1158" s="1">
        <v>270.8</v>
      </c>
      <c r="C1158" s="1">
        <v>270.85000000000002</v>
      </c>
      <c r="D1158" s="1">
        <v>264.25</v>
      </c>
      <c r="E1158" s="1">
        <v>267.39999999999998</v>
      </c>
      <c r="F1158" s="1">
        <v>3135100</v>
      </c>
      <c r="G1158" s="1">
        <v>267.39999999999998</v>
      </c>
      <c r="H1158" s="1">
        <f t="shared" si="162"/>
        <v>6.6000000000000227</v>
      </c>
      <c r="I1158" s="9">
        <f t="shared" si="169"/>
        <v>2.4976348155156189E-2</v>
      </c>
      <c r="J1158" s="1">
        <f t="shared" si="170"/>
        <v>-4.9399999999999977</v>
      </c>
      <c r="K1158" s="9">
        <f t="shared" si="163"/>
        <v>-1.8139090842329435E-2</v>
      </c>
      <c r="L1158" s="1">
        <f t="shared" si="164"/>
        <v>1</v>
      </c>
      <c r="M1158" s="1">
        <f t="shared" si="165"/>
        <v>270.85000000000002</v>
      </c>
      <c r="N1158" s="1">
        <f t="shared" si="166"/>
        <v>264.25</v>
      </c>
      <c r="O1158" s="1">
        <f t="shared" si="167"/>
        <v>265.44</v>
      </c>
      <c r="P1158" s="1">
        <f t="shared" si="168"/>
        <v>135.42857142857142</v>
      </c>
    </row>
    <row r="1159" spans="1:16">
      <c r="A1159" s="2">
        <v>41380</v>
      </c>
      <c r="B1159" s="1">
        <v>269.31</v>
      </c>
      <c r="C1159" s="1">
        <v>272.8</v>
      </c>
      <c r="D1159" s="1">
        <v>268.06</v>
      </c>
      <c r="E1159" s="1">
        <v>272.33999999999997</v>
      </c>
      <c r="F1159" s="1">
        <v>2137200</v>
      </c>
      <c r="G1159" s="1">
        <v>272.33999999999997</v>
      </c>
      <c r="H1159" s="1">
        <f t="shared" si="162"/>
        <v>4.7400000000000091</v>
      </c>
      <c r="I1159" s="9">
        <f t="shared" si="169"/>
        <v>1.7682608371260199E-2</v>
      </c>
      <c r="J1159" s="1">
        <f t="shared" si="170"/>
        <v>4.6199999999999477</v>
      </c>
      <c r="K1159" s="9">
        <f t="shared" si="163"/>
        <v>1.7256835499775688E-2</v>
      </c>
      <c r="L1159" s="1">
        <f t="shared" si="164"/>
        <v>1</v>
      </c>
      <c r="M1159" s="1">
        <f t="shared" si="165"/>
        <v>272.8</v>
      </c>
      <c r="N1159" s="1">
        <f t="shared" si="166"/>
        <v>268.06</v>
      </c>
      <c r="O1159" s="1">
        <f t="shared" si="167"/>
        <v>270.38</v>
      </c>
      <c r="P1159" s="1">
        <f t="shared" si="168"/>
        <v>137.94897959183675</v>
      </c>
    </row>
    <row r="1160" spans="1:16">
      <c r="A1160" s="2">
        <v>41379</v>
      </c>
      <c r="B1160" s="1">
        <v>271.08</v>
      </c>
      <c r="C1160" s="1">
        <v>275.12</v>
      </c>
      <c r="D1160" s="1">
        <v>267.10000000000002</v>
      </c>
      <c r="E1160" s="1">
        <v>267.72000000000003</v>
      </c>
      <c r="F1160" s="1">
        <v>3326000</v>
      </c>
      <c r="G1160" s="1">
        <v>267.72000000000003</v>
      </c>
      <c r="H1160" s="1">
        <f t="shared" si="162"/>
        <v>8.0199999999999818</v>
      </c>
      <c r="I1160" s="9">
        <f t="shared" si="169"/>
        <v>3.0026207412953879E-2</v>
      </c>
      <c r="J1160" s="1">
        <f t="shared" si="170"/>
        <v>-5.1499999999999773</v>
      </c>
      <c r="K1160" s="9">
        <f t="shared" si="163"/>
        <v>-1.8873456224575723E-2</v>
      </c>
      <c r="L1160" s="1">
        <f t="shared" si="164"/>
        <v>1</v>
      </c>
      <c r="M1160" s="1">
        <f t="shared" si="165"/>
        <v>275.12</v>
      </c>
      <c r="N1160" s="1">
        <f t="shared" si="166"/>
        <v>267.10000000000002</v>
      </c>
      <c r="O1160" s="1">
        <f t="shared" si="167"/>
        <v>265.76000000000005</v>
      </c>
      <c r="P1160" s="1">
        <f t="shared" si="168"/>
        <v>135.59183673469391</v>
      </c>
    </row>
    <row r="1161" spans="1:16">
      <c r="A1161" s="2">
        <v>41376</v>
      </c>
      <c r="B1161" s="1">
        <v>270.12</v>
      </c>
      <c r="C1161" s="1">
        <v>273.27</v>
      </c>
      <c r="D1161" s="1">
        <v>267.02</v>
      </c>
      <c r="E1161" s="1">
        <v>272.87</v>
      </c>
      <c r="F1161" s="1">
        <v>2866300</v>
      </c>
      <c r="G1161" s="1">
        <v>272.87</v>
      </c>
      <c r="H1161" s="1">
        <f t="shared" si="162"/>
        <v>6.25</v>
      </c>
      <c r="I1161" s="9">
        <f t="shared" si="169"/>
        <v>2.3406486405512697E-2</v>
      </c>
      <c r="J1161" s="1">
        <f t="shared" si="170"/>
        <v>3.0199999999999818</v>
      </c>
      <c r="K1161" s="9">
        <f t="shared" si="163"/>
        <v>1.119140263109128E-2</v>
      </c>
      <c r="L1161" s="1">
        <f t="shared" si="164"/>
        <v>1</v>
      </c>
      <c r="M1161" s="1">
        <f t="shared" si="165"/>
        <v>273.27</v>
      </c>
      <c r="N1161" s="1">
        <f t="shared" si="166"/>
        <v>267.02</v>
      </c>
      <c r="O1161" s="1">
        <f t="shared" si="167"/>
        <v>270.91000000000003</v>
      </c>
      <c r="P1161" s="1">
        <f t="shared" si="168"/>
        <v>138.21938775510205</v>
      </c>
    </row>
    <row r="1162" spans="1:16">
      <c r="A1162" s="2">
        <v>41375</v>
      </c>
      <c r="B1162" s="1">
        <v>264.74</v>
      </c>
      <c r="C1162" s="1">
        <v>270.97000000000003</v>
      </c>
      <c r="D1162" s="1">
        <v>264.74</v>
      </c>
      <c r="E1162" s="1">
        <v>269.85000000000002</v>
      </c>
      <c r="F1162" s="1">
        <v>3090500</v>
      </c>
      <c r="G1162" s="1">
        <v>269.85000000000002</v>
      </c>
      <c r="H1162" s="1">
        <f t="shared" si="162"/>
        <v>6.2300000000000182</v>
      </c>
      <c r="I1162" s="9">
        <f t="shared" si="169"/>
        <v>2.3532522474881083E-2</v>
      </c>
      <c r="J1162" s="1">
        <f t="shared" si="170"/>
        <v>5.0800000000000409</v>
      </c>
      <c r="K1162" s="9">
        <f t="shared" si="163"/>
        <v>1.9186463723231639E-2</v>
      </c>
      <c r="L1162" s="1">
        <f t="shared" si="164"/>
        <v>1</v>
      </c>
      <c r="M1162" s="1">
        <f t="shared" si="165"/>
        <v>270.97000000000003</v>
      </c>
      <c r="N1162" s="1">
        <f t="shared" si="166"/>
        <v>264.74</v>
      </c>
      <c r="O1162" s="1">
        <f t="shared" si="167"/>
        <v>267.89000000000004</v>
      </c>
      <c r="P1162" s="1">
        <f t="shared" si="168"/>
        <v>136.67857142857144</v>
      </c>
    </row>
    <row r="1163" spans="1:16">
      <c r="A1163" s="2">
        <v>41374</v>
      </c>
      <c r="B1163" s="1">
        <v>261.77999999999997</v>
      </c>
      <c r="C1163" s="1">
        <v>265.98</v>
      </c>
      <c r="D1163" s="1">
        <v>259.32</v>
      </c>
      <c r="E1163" s="1">
        <v>264.77</v>
      </c>
      <c r="F1163" s="1">
        <v>2322500</v>
      </c>
      <c r="G1163" s="1">
        <v>264.77</v>
      </c>
      <c r="H1163" s="1">
        <f t="shared" si="162"/>
        <v>6.660000000000025</v>
      </c>
      <c r="I1163" s="9">
        <f t="shared" si="169"/>
        <v>2.568255437297557E-2</v>
      </c>
      <c r="J1163" s="1">
        <f t="shared" si="170"/>
        <v>3.6299999999999955</v>
      </c>
      <c r="K1163" s="9">
        <f t="shared" si="163"/>
        <v>1.3900589721988189E-2</v>
      </c>
      <c r="L1163" s="1">
        <f t="shared" si="164"/>
        <v>1</v>
      </c>
      <c r="M1163" s="1">
        <f t="shared" si="165"/>
        <v>265.98</v>
      </c>
      <c r="N1163" s="1">
        <f t="shared" si="166"/>
        <v>259.32</v>
      </c>
      <c r="O1163" s="1">
        <f t="shared" si="167"/>
        <v>262.81</v>
      </c>
      <c r="P1163" s="1">
        <f t="shared" si="168"/>
        <v>134.08673469387756</v>
      </c>
    </row>
    <row r="1164" spans="1:16">
      <c r="A1164" s="2">
        <v>41373</v>
      </c>
      <c r="B1164" s="1">
        <v>258.85000000000002</v>
      </c>
      <c r="C1164" s="1">
        <v>262.61</v>
      </c>
      <c r="D1164" s="1">
        <v>257</v>
      </c>
      <c r="E1164" s="1">
        <v>261.14</v>
      </c>
      <c r="F1164" s="1">
        <v>2156600</v>
      </c>
      <c r="G1164" s="1">
        <v>261.14</v>
      </c>
      <c r="H1164" s="1">
        <f t="shared" si="162"/>
        <v>5.6100000000000136</v>
      </c>
      <c r="I1164" s="9">
        <f t="shared" si="169"/>
        <v>2.1828793774319118E-2</v>
      </c>
      <c r="J1164" s="1">
        <f t="shared" si="170"/>
        <v>2.1899999999999977</v>
      </c>
      <c r="K1164" s="9">
        <f t="shared" si="163"/>
        <v>8.4572311256999339E-3</v>
      </c>
      <c r="L1164" s="1">
        <f t="shared" si="164"/>
        <v>1</v>
      </c>
      <c r="M1164" s="1">
        <f t="shared" si="165"/>
        <v>262.61</v>
      </c>
      <c r="N1164" s="1">
        <f t="shared" si="166"/>
        <v>257</v>
      </c>
      <c r="O1164" s="1">
        <f t="shared" si="167"/>
        <v>259.18</v>
      </c>
      <c r="P1164" s="1">
        <f t="shared" si="168"/>
        <v>132.23469387755102</v>
      </c>
    </row>
    <row r="1165" spans="1:16">
      <c r="A1165" s="2">
        <v>41372</v>
      </c>
      <c r="B1165" s="1">
        <v>255.92</v>
      </c>
      <c r="C1165" s="1">
        <v>259.68</v>
      </c>
      <c r="D1165" s="1">
        <v>255.63</v>
      </c>
      <c r="E1165" s="1">
        <v>258.95</v>
      </c>
      <c r="F1165" s="1">
        <v>2295600</v>
      </c>
      <c r="G1165" s="1">
        <v>258.95</v>
      </c>
      <c r="H1165" s="1">
        <f t="shared" si="162"/>
        <v>4.0500000000000114</v>
      </c>
      <c r="I1165" s="9">
        <f t="shared" si="169"/>
        <v>1.5843210890740568E-2</v>
      </c>
      <c r="J1165" s="1">
        <f t="shared" si="170"/>
        <v>3.4699999999999989</v>
      </c>
      <c r="K1165" s="9">
        <f t="shared" si="163"/>
        <v>1.3582276499138872E-2</v>
      </c>
      <c r="L1165" s="1">
        <f t="shared" si="164"/>
        <v>1</v>
      </c>
      <c r="M1165" s="1">
        <f t="shared" si="165"/>
        <v>259.68</v>
      </c>
      <c r="N1165" s="1">
        <f t="shared" si="166"/>
        <v>255.63</v>
      </c>
      <c r="O1165" s="1">
        <f t="shared" si="167"/>
        <v>256.99</v>
      </c>
      <c r="P1165" s="1">
        <f t="shared" si="168"/>
        <v>131.11734693877551</v>
      </c>
    </row>
    <row r="1166" spans="1:16">
      <c r="A1166" s="2">
        <v>41369</v>
      </c>
      <c r="B1166" s="1">
        <v>255.72</v>
      </c>
      <c r="C1166" s="1">
        <v>256.18</v>
      </c>
      <c r="D1166" s="1">
        <v>253.67</v>
      </c>
      <c r="E1166" s="1">
        <v>255.48</v>
      </c>
      <c r="F1166" s="1">
        <v>2557400</v>
      </c>
      <c r="G1166" s="1">
        <v>255.48</v>
      </c>
      <c r="H1166" s="1">
        <f t="shared" si="162"/>
        <v>2.5100000000000193</v>
      </c>
      <c r="I1166" s="9">
        <f t="shared" si="169"/>
        <v>9.89474514132542E-3</v>
      </c>
      <c r="J1166" s="1">
        <f t="shared" si="170"/>
        <v>-3.5999999999999943</v>
      </c>
      <c r="K1166" s="9">
        <f t="shared" si="163"/>
        <v>-1.3895321908290854E-2</v>
      </c>
      <c r="L1166" s="1">
        <f t="shared" si="164"/>
        <v>1</v>
      </c>
      <c r="M1166" s="1">
        <f t="shared" si="165"/>
        <v>256.18</v>
      </c>
      <c r="N1166" s="1">
        <f t="shared" si="166"/>
        <v>253.67</v>
      </c>
      <c r="O1166" s="1">
        <f t="shared" si="167"/>
        <v>253.51999999999998</v>
      </c>
      <c r="P1166" s="1">
        <f t="shared" si="168"/>
        <v>129.34693877551021</v>
      </c>
    </row>
    <row r="1167" spans="1:16">
      <c r="A1167" s="2">
        <v>41368</v>
      </c>
      <c r="B1167" s="1">
        <v>259.23</v>
      </c>
      <c r="C1167" s="1">
        <v>260.41000000000003</v>
      </c>
      <c r="D1167" s="1">
        <v>256.12</v>
      </c>
      <c r="E1167" s="1">
        <v>259.08</v>
      </c>
      <c r="F1167" s="1">
        <v>1964400</v>
      </c>
      <c r="G1167" s="1">
        <v>259.08</v>
      </c>
      <c r="H1167" s="1">
        <f t="shared" si="162"/>
        <v>4.2900000000000205</v>
      </c>
      <c r="I1167" s="9">
        <f t="shared" si="169"/>
        <v>1.6749960955802046E-2</v>
      </c>
      <c r="J1167" s="1">
        <f t="shared" si="170"/>
        <v>5.0000000000011369E-2</v>
      </c>
      <c r="K1167" s="9">
        <f t="shared" si="163"/>
        <v>1.9302783461379522E-4</v>
      </c>
      <c r="L1167" s="1">
        <f t="shared" si="164"/>
        <v>1</v>
      </c>
      <c r="M1167" s="1">
        <f t="shared" si="165"/>
        <v>260.41000000000003</v>
      </c>
      <c r="N1167" s="1">
        <f t="shared" si="166"/>
        <v>256.12</v>
      </c>
      <c r="O1167" s="1">
        <f t="shared" si="167"/>
        <v>257.12</v>
      </c>
      <c r="P1167" s="1">
        <f t="shared" si="168"/>
        <v>131.18367346938777</v>
      </c>
    </row>
    <row r="1168" spans="1:16">
      <c r="A1168" s="2">
        <v>41367</v>
      </c>
      <c r="B1168" s="1">
        <v>262.12</v>
      </c>
      <c r="C1168" s="1">
        <v>263.67</v>
      </c>
      <c r="D1168" s="1">
        <v>257.75</v>
      </c>
      <c r="E1168" s="1">
        <v>259.02999999999997</v>
      </c>
      <c r="F1168" s="1">
        <v>2413800</v>
      </c>
      <c r="G1168" s="1">
        <v>259.02999999999997</v>
      </c>
      <c r="H1168" s="1">
        <f t="shared" si="162"/>
        <v>5.9200000000000159</v>
      </c>
      <c r="I1168" s="9">
        <f t="shared" si="169"/>
        <v>2.2967992240543224E-2</v>
      </c>
      <c r="J1168" s="1">
        <f t="shared" si="170"/>
        <v>-4.2900000000000205</v>
      </c>
      <c r="K1168" s="9">
        <f t="shared" si="163"/>
        <v>-1.6291964150083625E-2</v>
      </c>
      <c r="L1168" s="1">
        <f t="shared" si="164"/>
        <v>1</v>
      </c>
      <c r="M1168" s="1">
        <f t="shared" si="165"/>
        <v>263.67</v>
      </c>
      <c r="N1168" s="1">
        <f t="shared" si="166"/>
        <v>257.75</v>
      </c>
      <c r="O1168" s="1">
        <f t="shared" si="167"/>
        <v>257.07</v>
      </c>
      <c r="P1168" s="1">
        <f t="shared" si="168"/>
        <v>131.15816326530611</v>
      </c>
    </row>
    <row r="1169" spans="1:16">
      <c r="A1169" s="2">
        <v>41366</v>
      </c>
      <c r="B1169" s="1">
        <v>262.39999999999998</v>
      </c>
      <c r="C1169" s="1">
        <v>265.89</v>
      </c>
      <c r="D1169" s="1">
        <v>260.55</v>
      </c>
      <c r="E1169" s="1">
        <v>263.32</v>
      </c>
      <c r="F1169" s="1">
        <v>2631100</v>
      </c>
      <c r="G1169" s="1">
        <v>263.32</v>
      </c>
      <c r="H1169" s="1">
        <f t="shared" si="162"/>
        <v>5.339999999999975</v>
      </c>
      <c r="I1169" s="9">
        <f t="shared" si="169"/>
        <v>2.0495106505469103E-2</v>
      </c>
      <c r="J1169" s="1">
        <f t="shared" si="170"/>
        <v>1.7099999999999795</v>
      </c>
      <c r="K1169" s="9">
        <f t="shared" si="163"/>
        <v>6.5364473835097265E-3</v>
      </c>
      <c r="L1169" s="1">
        <f t="shared" si="164"/>
        <v>1</v>
      </c>
      <c r="M1169" s="1">
        <f t="shared" si="165"/>
        <v>265.89</v>
      </c>
      <c r="N1169" s="1">
        <f t="shared" si="166"/>
        <v>260.55</v>
      </c>
      <c r="O1169" s="1">
        <f t="shared" si="167"/>
        <v>261.36</v>
      </c>
      <c r="P1169" s="1">
        <f t="shared" si="168"/>
        <v>133.34693877551021</v>
      </c>
    </row>
    <row r="1170" spans="1:16">
      <c r="A1170" s="2">
        <v>41365</v>
      </c>
      <c r="B1170" s="1">
        <v>266.98</v>
      </c>
      <c r="C1170" s="1">
        <v>267.39999999999998</v>
      </c>
      <c r="D1170" s="1">
        <v>261.01</v>
      </c>
      <c r="E1170" s="1">
        <v>261.61</v>
      </c>
      <c r="F1170" s="1">
        <v>2524800</v>
      </c>
      <c r="G1170" s="1">
        <v>261.61</v>
      </c>
      <c r="H1170" s="1">
        <f t="shared" si="162"/>
        <v>6.3899999999999864</v>
      </c>
      <c r="I1170" s="9">
        <f t="shared" si="169"/>
        <v>2.4481820619899571E-2</v>
      </c>
      <c r="J1170" s="1">
        <f t="shared" si="170"/>
        <v>-4.8799999999999955</v>
      </c>
      <c r="K1170" s="9">
        <f t="shared" si="163"/>
        <v>-1.8312131787309074E-2</v>
      </c>
      <c r="L1170" s="1">
        <f t="shared" si="164"/>
        <v>1</v>
      </c>
      <c r="M1170" s="1">
        <f t="shared" si="165"/>
        <v>267.39999999999998</v>
      </c>
      <c r="N1170" s="1">
        <f t="shared" si="166"/>
        <v>261.01</v>
      </c>
      <c r="O1170" s="1">
        <f t="shared" si="167"/>
        <v>259.65000000000003</v>
      </c>
      <c r="P1170" s="1">
        <f t="shared" si="168"/>
        <v>132.47448979591837</v>
      </c>
    </row>
    <row r="1171" spans="1:16">
      <c r="A1171" s="2">
        <v>41361</v>
      </c>
      <c r="B1171" s="1">
        <v>265.82</v>
      </c>
      <c r="C1171" s="1">
        <v>267.38</v>
      </c>
      <c r="D1171" s="1">
        <v>264.06</v>
      </c>
      <c r="E1171" s="1">
        <v>266.49</v>
      </c>
      <c r="F1171" s="1">
        <v>2473700</v>
      </c>
      <c r="G1171" s="1">
        <v>266.49</v>
      </c>
      <c r="H1171" s="1">
        <f t="shared" si="162"/>
        <v>3.3199999999999932</v>
      </c>
      <c r="I1171" s="9">
        <f t="shared" si="169"/>
        <v>1.2572900098462444E-2</v>
      </c>
      <c r="J1171" s="1">
        <f t="shared" si="170"/>
        <v>1.1899999999999977</v>
      </c>
      <c r="K1171" s="9">
        <f t="shared" si="163"/>
        <v>4.4854881266490681E-3</v>
      </c>
      <c r="L1171" s="1">
        <f t="shared" si="164"/>
        <v>1</v>
      </c>
      <c r="M1171" s="1">
        <f t="shared" si="165"/>
        <v>267.38</v>
      </c>
      <c r="N1171" s="1">
        <f t="shared" si="166"/>
        <v>264.06</v>
      </c>
      <c r="O1171" s="1">
        <f t="shared" si="167"/>
        <v>264.53000000000003</v>
      </c>
      <c r="P1171" s="1">
        <f t="shared" si="168"/>
        <v>134.96428571428572</v>
      </c>
    </row>
    <row r="1172" spans="1:16">
      <c r="A1172" s="2">
        <v>41360</v>
      </c>
      <c r="B1172" s="1">
        <v>258.75</v>
      </c>
      <c r="C1172" s="1">
        <v>265.93</v>
      </c>
      <c r="D1172" s="1">
        <v>257.89999999999998</v>
      </c>
      <c r="E1172" s="1">
        <v>265.3</v>
      </c>
      <c r="F1172" s="1">
        <v>2874900</v>
      </c>
      <c r="G1172" s="1">
        <v>265.3</v>
      </c>
      <c r="H1172" s="1">
        <f t="shared" si="162"/>
        <v>8.0300000000000296</v>
      </c>
      <c r="I1172" s="9">
        <f t="shared" si="169"/>
        <v>3.1136099263280457E-2</v>
      </c>
      <c r="J1172" s="1">
        <f t="shared" si="170"/>
        <v>4.9900000000000091</v>
      </c>
      <c r="K1172" s="9">
        <f t="shared" si="163"/>
        <v>1.916945180746037E-2</v>
      </c>
      <c r="L1172" s="1">
        <f t="shared" si="164"/>
        <v>1</v>
      </c>
      <c r="M1172" s="1">
        <f t="shared" si="165"/>
        <v>265.93</v>
      </c>
      <c r="N1172" s="1">
        <f t="shared" si="166"/>
        <v>257.89999999999998</v>
      </c>
      <c r="O1172" s="1">
        <f t="shared" si="167"/>
        <v>263.34000000000003</v>
      </c>
      <c r="P1172" s="1">
        <f t="shared" si="168"/>
        <v>134.35714285714289</v>
      </c>
    </row>
    <row r="1173" spans="1:16">
      <c r="A1173" s="2">
        <v>41359</v>
      </c>
      <c r="B1173" s="1">
        <v>257.05</v>
      </c>
      <c r="C1173" s="1">
        <v>261.48</v>
      </c>
      <c r="D1173" s="1">
        <v>256.27999999999997</v>
      </c>
      <c r="E1173" s="1">
        <v>260.31</v>
      </c>
      <c r="F1173" s="1">
        <v>2421000</v>
      </c>
      <c r="G1173" s="1">
        <v>260.31</v>
      </c>
      <c r="H1173" s="1">
        <f t="shared" si="162"/>
        <v>5.2000000000000455</v>
      </c>
      <c r="I1173" s="9">
        <f t="shared" si="169"/>
        <v>2.0290307476198088E-2</v>
      </c>
      <c r="J1173" s="1">
        <f t="shared" si="170"/>
        <v>4.2900000000000205</v>
      </c>
      <c r="K1173" s="9">
        <f t="shared" si="163"/>
        <v>1.6756503398172098E-2</v>
      </c>
      <c r="L1173" s="1">
        <f t="shared" si="164"/>
        <v>1</v>
      </c>
      <c r="M1173" s="1">
        <f t="shared" si="165"/>
        <v>261.48</v>
      </c>
      <c r="N1173" s="1">
        <f t="shared" si="166"/>
        <v>256.27999999999997</v>
      </c>
      <c r="O1173" s="1">
        <f t="shared" si="167"/>
        <v>258.35000000000002</v>
      </c>
      <c r="P1173" s="1">
        <f t="shared" si="168"/>
        <v>131.81122448979593</v>
      </c>
    </row>
    <row r="1174" spans="1:16">
      <c r="A1174" s="2">
        <v>41358</v>
      </c>
      <c r="B1174" s="1">
        <v>258.58</v>
      </c>
      <c r="C1174" s="1">
        <v>259.43</v>
      </c>
      <c r="D1174" s="1">
        <v>254.5</v>
      </c>
      <c r="E1174" s="1">
        <v>256.02</v>
      </c>
      <c r="F1174" s="1">
        <v>2513900</v>
      </c>
      <c r="G1174" s="1">
        <v>256.02</v>
      </c>
      <c r="H1174" s="1">
        <f t="shared" si="162"/>
        <v>4.9300000000000068</v>
      </c>
      <c r="I1174" s="9">
        <f t="shared" si="169"/>
        <v>1.9371316306483328E-2</v>
      </c>
      <c r="J1174" s="1">
        <f t="shared" si="170"/>
        <v>-1.7300000000000182</v>
      </c>
      <c r="K1174" s="9">
        <f t="shared" si="163"/>
        <v>-6.7119301648885287E-3</v>
      </c>
      <c r="L1174" s="1">
        <f t="shared" si="164"/>
        <v>1</v>
      </c>
      <c r="M1174" s="1">
        <f t="shared" si="165"/>
        <v>259.43</v>
      </c>
      <c r="N1174" s="1">
        <f t="shared" si="166"/>
        <v>254.5</v>
      </c>
      <c r="O1174" s="1">
        <f t="shared" si="167"/>
        <v>254.05999999999997</v>
      </c>
      <c r="P1174" s="1">
        <f t="shared" si="168"/>
        <v>129.62244897959184</v>
      </c>
    </row>
    <row r="1175" spans="1:16">
      <c r="A1175" s="2">
        <v>41355</v>
      </c>
      <c r="B1175" s="1">
        <v>254.55</v>
      </c>
      <c r="C1175" s="1">
        <v>257.77</v>
      </c>
      <c r="D1175" s="1">
        <v>252.07</v>
      </c>
      <c r="E1175" s="1">
        <v>257.75</v>
      </c>
      <c r="F1175" s="1">
        <v>3124600</v>
      </c>
      <c r="G1175" s="1">
        <v>257.75</v>
      </c>
      <c r="H1175" s="1">
        <f t="shared" si="162"/>
        <v>5.6999999999999886</v>
      </c>
      <c r="I1175" s="9">
        <f t="shared" si="169"/>
        <v>2.2612766295076719E-2</v>
      </c>
      <c r="J1175" s="1">
        <f t="shared" si="170"/>
        <v>4.3600000000000136</v>
      </c>
      <c r="K1175" s="9">
        <f t="shared" si="163"/>
        <v>1.7206677453727511E-2</v>
      </c>
      <c r="L1175" s="1">
        <f t="shared" si="164"/>
        <v>1</v>
      </c>
      <c r="M1175" s="1">
        <f t="shared" si="165"/>
        <v>257.77</v>
      </c>
      <c r="N1175" s="1">
        <f t="shared" si="166"/>
        <v>252.07</v>
      </c>
      <c r="O1175" s="1">
        <f t="shared" si="167"/>
        <v>255.79</v>
      </c>
      <c r="P1175" s="1">
        <f t="shared" si="168"/>
        <v>130.50510204081633</v>
      </c>
    </row>
    <row r="1176" spans="1:16">
      <c r="A1176" s="2">
        <v>41354</v>
      </c>
      <c r="B1176" s="1">
        <v>256.11</v>
      </c>
      <c r="C1176" s="1">
        <v>257</v>
      </c>
      <c r="D1176" s="1">
        <v>252.68</v>
      </c>
      <c r="E1176" s="1">
        <v>253.39</v>
      </c>
      <c r="F1176" s="1">
        <v>2806400</v>
      </c>
      <c r="G1176" s="1">
        <v>253.39</v>
      </c>
      <c r="H1176" s="1">
        <f t="shared" si="162"/>
        <v>4.3199999999999932</v>
      </c>
      <c r="I1176" s="9">
        <f t="shared" si="169"/>
        <v>1.7096723128067093E-2</v>
      </c>
      <c r="J1176" s="1">
        <f t="shared" si="170"/>
        <v>-3.8899999999999864</v>
      </c>
      <c r="K1176" s="9">
        <f t="shared" si="163"/>
        <v>-1.5119713930348208E-2</v>
      </c>
      <c r="L1176" s="1">
        <f t="shared" si="164"/>
        <v>1</v>
      </c>
      <c r="M1176" s="1">
        <f t="shared" si="165"/>
        <v>257</v>
      </c>
      <c r="N1176" s="1">
        <f t="shared" si="166"/>
        <v>252.68</v>
      </c>
      <c r="O1176" s="1">
        <f t="shared" si="167"/>
        <v>251.42999999999998</v>
      </c>
      <c r="P1176" s="1">
        <f t="shared" si="168"/>
        <v>128.28061224489795</v>
      </c>
    </row>
    <row r="1177" spans="1:16">
      <c r="A1177" s="2">
        <v>41353</v>
      </c>
      <c r="B1177" s="1">
        <v>258.05</v>
      </c>
      <c r="C1177" s="1">
        <v>259.76</v>
      </c>
      <c r="D1177" s="1">
        <v>254.55</v>
      </c>
      <c r="E1177" s="1">
        <v>257.27999999999997</v>
      </c>
      <c r="F1177" s="1">
        <v>2738900</v>
      </c>
      <c r="G1177" s="1">
        <v>257.27999999999997</v>
      </c>
      <c r="H1177" s="1">
        <f t="shared" si="162"/>
        <v>5.2099999999999795</v>
      </c>
      <c r="I1177" s="9">
        <f t="shared" si="169"/>
        <v>2.0467491651934705E-2</v>
      </c>
      <c r="J1177" s="1">
        <f t="shared" si="170"/>
        <v>0.8699999999999477</v>
      </c>
      <c r="K1177" s="9">
        <f t="shared" si="163"/>
        <v>3.3930033930031889E-3</v>
      </c>
      <c r="L1177" s="1">
        <f t="shared" si="164"/>
        <v>1</v>
      </c>
      <c r="M1177" s="1">
        <f t="shared" si="165"/>
        <v>259.76</v>
      </c>
      <c r="N1177" s="1">
        <f t="shared" si="166"/>
        <v>254.55</v>
      </c>
      <c r="O1177" s="1">
        <f t="shared" si="167"/>
        <v>255.31999999999996</v>
      </c>
      <c r="P1177" s="1">
        <f t="shared" si="168"/>
        <v>130.26530612244898</v>
      </c>
    </row>
    <row r="1178" spans="1:16">
      <c r="A1178" s="2">
        <v>41352</v>
      </c>
      <c r="B1178" s="1">
        <v>258.39999999999998</v>
      </c>
      <c r="C1178" s="1">
        <v>259.5</v>
      </c>
      <c r="D1178" s="1">
        <v>252.62</v>
      </c>
      <c r="E1178" s="1">
        <v>256.41000000000003</v>
      </c>
      <c r="F1178" s="1">
        <v>3738500</v>
      </c>
      <c r="G1178" s="1">
        <v>256.41000000000003</v>
      </c>
      <c r="H1178" s="1">
        <f t="shared" si="162"/>
        <v>6.8799999999999955</v>
      </c>
      <c r="I1178" s="9">
        <f t="shared" si="169"/>
        <v>2.7234581584989294E-2</v>
      </c>
      <c r="J1178" s="1">
        <f t="shared" si="170"/>
        <v>-1.4799999999999613</v>
      </c>
      <c r="K1178" s="9">
        <f t="shared" si="163"/>
        <v>-5.7388809182207972E-3</v>
      </c>
      <c r="L1178" s="1">
        <f t="shared" si="164"/>
        <v>1</v>
      </c>
      <c r="M1178" s="1">
        <f t="shared" si="165"/>
        <v>259.5</v>
      </c>
      <c r="N1178" s="1">
        <f t="shared" si="166"/>
        <v>252.62</v>
      </c>
      <c r="O1178" s="1">
        <f t="shared" si="167"/>
        <v>254.45000000000002</v>
      </c>
      <c r="P1178" s="1">
        <f t="shared" si="168"/>
        <v>129.82142857142858</v>
      </c>
    </row>
    <row r="1179" spans="1:16">
      <c r="A1179" s="2">
        <v>41351</v>
      </c>
      <c r="B1179" s="1">
        <v>259.3</v>
      </c>
      <c r="C1179" s="1">
        <v>261.49</v>
      </c>
      <c r="D1179" s="1">
        <v>257.12</v>
      </c>
      <c r="E1179" s="1">
        <v>257.89</v>
      </c>
      <c r="F1179" s="1">
        <v>2720200</v>
      </c>
      <c r="G1179" s="1">
        <v>257.89</v>
      </c>
      <c r="H1179" s="1">
        <f t="shared" si="162"/>
        <v>4.3700000000000045</v>
      </c>
      <c r="I1179" s="9">
        <f t="shared" si="169"/>
        <v>1.6995955196017442E-2</v>
      </c>
      <c r="J1179" s="1">
        <f t="shared" si="170"/>
        <v>-3.9300000000000068</v>
      </c>
      <c r="K1179" s="9">
        <f t="shared" si="163"/>
        <v>-1.5010312428385941E-2</v>
      </c>
      <c r="L1179" s="1">
        <f t="shared" si="164"/>
        <v>1</v>
      </c>
      <c r="M1179" s="1">
        <f t="shared" si="165"/>
        <v>261.49</v>
      </c>
      <c r="N1179" s="1">
        <f t="shared" si="166"/>
        <v>257.12</v>
      </c>
      <c r="O1179" s="1">
        <f t="shared" si="167"/>
        <v>255.92999999999998</v>
      </c>
      <c r="P1179" s="1">
        <f t="shared" si="168"/>
        <v>130.57653061224488</v>
      </c>
    </row>
    <row r="1180" spans="1:16">
      <c r="A1180" s="2">
        <v>41348</v>
      </c>
      <c r="B1180" s="1">
        <v>264.98</v>
      </c>
      <c r="C1180" s="1">
        <v>267.26</v>
      </c>
      <c r="D1180" s="1">
        <v>260.05</v>
      </c>
      <c r="E1180" s="1">
        <v>261.82</v>
      </c>
      <c r="F1180" s="1">
        <v>4865900</v>
      </c>
      <c r="G1180" s="1">
        <v>261.82</v>
      </c>
      <c r="H1180" s="1">
        <f t="shared" si="162"/>
        <v>7.2099999999999795</v>
      </c>
      <c r="I1180" s="9">
        <f t="shared" si="169"/>
        <v>2.7725437415881481E-2</v>
      </c>
      <c r="J1180" s="1">
        <f t="shared" si="170"/>
        <v>-3.9200000000000159</v>
      </c>
      <c r="K1180" s="9">
        <f t="shared" si="163"/>
        <v>-1.4751260630691713E-2</v>
      </c>
      <c r="L1180" s="1">
        <f t="shared" si="164"/>
        <v>1</v>
      </c>
      <c r="M1180" s="1">
        <f t="shared" si="165"/>
        <v>267.26</v>
      </c>
      <c r="N1180" s="1">
        <f t="shared" si="166"/>
        <v>260.05</v>
      </c>
      <c r="O1180" s="1">
        <f t="shared" si="167"/>
        <v>259.86</v>
      </c>
      <c r="P1180" s="1">
        <f t="shared" si="168"/>
        <v>132.58163265306123</v>
      </c>
    </row>
    <row r="1181" spans="1:16">
      <c r="A1181" s="2">
        <v>41347</v>
      </c>
      <c r="B1181" s="1">
        <v>269.67</v>
      </c>
      <c r="C1181" s="1">
        <v>270</v>
      </c>
      <c r="D1181" s="1">
        <v>263.52999999999997</v>
      </c>
      <c r="E1181" s="1">
        <v>265.74</v>
      </c>
      <c r="F1181" s="1">
        <v>5226700</v>
      </c>
      <c r="G1181" s="1">
        <v>265.74</v>
      </c>
      <c r="H1181" s="1">
        <f t="shared" si="162"/>
        <v>6.4700000000000273</v>
      </c>
      <c r="I1181" s="9">
        <f t="shared" si="169"/>
        <v>2.4551284483740096E-2</v>
      </c>
      <c r="J1181" s="1">
        <f t="shared" si="170"/>
        <v>-9.3600000000000136</v>
      </c>
      <c r="K1181" s="9">
        <f t="shared" si="163"/>
        <v>-3.4023991275899716E-2</v>
      </c>
      <c r="L1181" s="1">
        <f t="shared" si="164"/>
        <v>1</v>
      </c>
      <c r="M1181" s="1">
        <f t="shared" si="165"/>
        <v>270</v>
      </c>
      <c r="N1181" s="1">
        <f t="shared" si="166"/>
        <v>263.52999999999997</v>
      </c>
      <c r="O1181" s="1">
        <f t="shared" si="167"/>
        <v>263.78000000000003</v>
      </c>
      <c r="P1181" s="1">
        <f t="shared" si="168"/>
        <v>134.58163265306123</v>
      </c>
    </row>
    <row r="1182" spans="1:16">
      <c r="A1182" s="2">
        <v>41346</v>
      </c>
      <c r="B1182" s="1">
        <v>275.24</v>
      </c>
      <c r="C1182" s="1">
        <v>276.5</v>
      </c>
      <c r="D1182" s="1">
        <v>272.64</v>
      </c>
      <c r="E1182" s="1">
        <v>275.10000000000002</v>
      </c>
      <c r="F1182" s="1">
        <v>1884200</v>
      </c>
      <c r="G1182" s="1">
        <v>275.10000000000002</v>
      </c>
      <c r="H1182" s="1">
        <f t="shared" si="162"/>
        <v>3.8600000000000136</v>
      </c>
      <c r="I1182" s="9">
        <f t="shared" si="169"/>
        <v>1.4157863849765308E-2</v>
      </c>
      <c r="J1182" s="1">
        <f t="shared" si="170"/>
        <v>0.97000000000002728</v>
      </c>
      <c r="K1182" s="9">
        <f t="shared" si="163"/>
        <v>3.5384671506220673E-3</v>
      </c>
      <c r="L1182" s="1">
        <f t="shared" si="164"/>
        <v>1</v>
      </c>
      <c r="M1182" s="1">
        <f t="shared" si="165"/>
        <v>276.5</v>
      </c>
      <c r="N1182" s="1">
        <f t="shared" si="166"/>
        <v>272.64</v>
      </c>
      <c r="O1182" s="1">
        <f t="shared" si="167"/>
        <v>273.14000000000004</v>
      </c>
      <c r="P1182" s="1">
        <f t="shared" si="168"/>
        <v>139.35714285714289</v>
      </c>
    </row>
    <row r="1183" spans="1:16">
      <c r="A1183" s="2">
        <v>41345</v>
      </c>
      <c r="B1183" s="1">
        <v>271</v>
      </c>
      <c r="C1183" s="1">
        <v>277.39999999999998</v>
      </c>
      <c r="D1183" s="1">
        <v>270.36</v>
      </c>
      <c r="E1183" s="1">
        <v>274.13</v>
      </c>
      <c r="F1183" s="1">
        <v>3246200</v>
      </c>
      <c r="G1183" s="1">
        <v>274.13</v>
      </c>
      <c r="H1183" s="1">
        <f t="shared" si="162"/>
        <v>7.0399999999999636</v>
      </c>
      <c r="I1183" s="9">
        <f t="shared" si="169"/>
        <v>2.6039354934161721E-2</v>
      </c>
      <c r="J1183" s="1">
        <f t="shared" si="170"/>
        <v>2.8899999999999864</v>
      </c>
      <c r="K1183" s="9">
        <f t="shared" si="163"/>
        <v>1.0654770682790098E-2</v>
      </c>
      <c r="L1183" s="1">
        <f t="shared" si="164"/>
        <v>1</v>
      </c>
      <c r="M1183" s="1">
        <f t="shared" si="165"/>
        <v>277.39999999999998</v>
      </c>
      <c r="N1183" s="1">
        <f t="shared" si="166"/>
        <v>270.36</v>
      </c>
      <c r="O1183" s="1">
        <f t="shared" si="167"/>
        <v>272.17</v>
      </c>
      <c r="P1183" s="1">
        <f t="shared" si="168"/>
        <v>138.86224489795919</v>
      </c>
    </row>
    <row r="1184" spans="1:16">
      <c r="A1184" s="2">
        <v>41344</v>
      </c>
      <c r="B1184" s="1">
        <v>273.43</v>
      </c>
      <c r="C1184" s="1">
        <v>273.99</v>
      </c>
      <c r="D1184" s="1">
        <v>270.39999999999998</v>
      </c>
      <c r="E1184" s="1">
        <v>271.24</v>
      </c>
      <c r="F1184" s="1">
        <v>1904900</v>
      </c>
      <c r="G1184" s="1">
        <v>271.24</v>
      </c>
      <c r="H1184" s="1">
        <f t="shared" si="162"/>
        <v>3.5900000000000318</v>
      </c>
      <c r="I1184" s="9">
        <f t="shared" si="169"/>
        <v>1.3276627218935031E-2</v>
      </c>
      <c r="J1184" s="1">
        <f t="shared" si="170"/>
        <v>-2.9499999999999886</v>
      </c>
      <c r="K1184" s="9">
        <f t="shared" si="163"/>
        <v>-1.075896276304748E-2</v>
      </c>
      <c r="L1184" s="1">
        <f t="shared" si="164"/>
        <v>1</v>
      </c>
      <c r="M1184" s="1">
        <f t="shared" si="165"/>
        <v>273.99</v>
      </c>
      <c r="N1184" s="1">
        <f t="shared" si="166"/>
        <v>270.39999999999998</v>
      </c>
      <c r="O1184" s="1">
        <f t="shared" si="167"/>
        <v>269.28000000000003</v>
      </c>
      <c r="P1184" s="1">
        <f t="shared" si="168"/>
        <v>137.38775510204084</v>
      </c>
    </row>
    <row r="1185" spans="1:16">
      <c r="A1185" s="2">
        <v>41341</v>
      </c>
      <c r="B1185" s="1">
        <v>275</v>
      </c>
      <c r="C1185" s="1">
        <v>275.44</v>
      </c>
      <c r="D1185" s="1">
        <v>271.5</v>
      </c>
      <c r="E1185" s="1">
        <v>274.19</v>
      </c>
      <c r="F1185" s="1">
        <v>1879800</v>
      </c>
      <c r="G1185" s="1">
        <v>274.19</v>
      </c>
      <c r="H1185" s="1">
        <f t="shared" si="162"/>
        <v>3.9399999999999977</v>
      </c>
      <c r="I1185" s="9">
        <f t="shared" si="169"/>
        <v>1.4511970534069973E-2</v>
      </c>
      <c r="J1185" s="1">
        <f t="shared" si="170"/>
        <v>0.31000000000000227</v>
      </c>
      <c r="K1185" s="9">
        <f t="shared" si="163"/>
        <v>1.1318825763108015E-3</v>
      </c>
      <c r="L1185" s="1">
        <f t="shared" si="164"/>
        <v>1</v>
      </c>
      <c r="M1185" s="1">
        <f t="shared" si="165"/>
        <v>275.44</v>
      </c>
      <c r="N1185" s="1">
        <f t="shared" si="166"/>
        <v>271.5</v>
      </c>
      <c r="O1185" s="1">
        <f t="shared" si="167"/>
        <v>272.23</v>
      </c>
      <c r="P1185" s="1">
        <f t="shared" si="168"/>
        <v>138.89285714285717</v>
      </c>
    </row>
    <row r="1186" spans="1:16">
      <c r="A1186" s="2">
        <v>41340</v>
      </c>
      <c r="B1186" s="1">
        <v>274.10000000000002</v>
      </c>
      <c r="C1186" s="1">
        <v>274.8</v>
      </c>
      <c r="D1186" s="1">
        <v>271.85000000000002</v>
      </c>
      <c r="E1186" s="1">
        <v>273.88</v>
      </c>
      <c r="F1186" s="1">
        <v>1939000</v>
      </c>
      <c r="G1186" s="1">
        <v>273.88</v>
      </c>
      <c r="H1186" s="1">
        <f t="shared" si="162"/>
        <v>2.9499999999999886</v>
      </c>
      <c r="I1186" s="9">
        <f t="shared" si="169"/>
        <v>1.0851572558396132E-2</v>
      </c>
      <c r="J1186" s="1">
        <f t="shared" si="170"/>
        <v>8.9999999999974989E-2</v>
      </c>
      <c r="K1186" s="9">
        <f t="shared" si="163"/>
        <v>3.2871909127424299E-4</v>
      </c>
      <c r="L1186" s="1">
        <f t="shared" si="164"/>
        <v>1</v>
      </c>
      <c r="M1186" s="1">
        <f t="shared" si="165"/>
        <v>274.8</v>
      </c>
      <c r="N1186" s="1">
        <f t="shared" si="166"/>
        <v>271.85000000000002</v>
      </c>
      <c r="O1186" s="1">
        <f t="shared" si="167"/>
        <v>271.92</v>
      </c>
      <c r="P1186" s="1">
        <f t="shared" si="168"/>
        <v>138.73469387755102</v>
      </c>
    </row>
    <row r="1187" spans="1:16">
      <c r="A1187" s="2">
        <v>41339</v>
      </c>
      <c r="B1187" s="1">
        <v>275.76</v>
      </c>
      <c r="C1187" s="1">
        <v>276.49</v>
      </c>
      <c r="D1187" s="1">
        <v>271.83</v>
      </c>
      <c r="E1187" s="1">
        <v>273.79000000000002</v>
      </c>
      <c r="F1187" s="1">
        <v>2050700</v>
      </c>
      <c r="G1187" s="1">
        <v>273.79000000000002</v>
      </c>
      <c r="H1187" s="1">
        <f t="shared" si="162"/>
        <v>4.660000000000025</v>
      </c>
      <c r="I1187" s="9">
        <f t="shared" si="169"/>
        <v>1.7143067358275487E-2</v>
      </c>
      <c r="J1187" s="1">
        <f t="shared" si="170"/>
        <v>-1.7999999999999545</v>
      </c>
      <c r="K1187" s="9">
        <f t="shared" si="163"/>
        <v>-6.5314416343116759E-3</v>
      </c>
      <c r="L1187" s="1">
        <f t="shared" si="164"/>
        <v>1</v>
      </c>
      <c r="M1187" s="1">
        <f t="shared" si="165"/>
        <v>276.49</v>
      </c>
      <c r="N1187" s="1">
        <f t="shared" si="166"/>
        <v>271.83</v>
      </c>
      <c r="O1187" s="1">
        <f t="shared" si="167"/>
        <v>271.83000000000004</v>
      </c>
      <c r="P1187" s="1">
        <f t="shared" si="168"/>
        <v>138.6887755102041</v>
      </c>
    </row>
    <row r="1188" spans="1:16">
      <c r="A1188" s="2">
        <v>41338</v>
      </c>
      <c r="B1188" s="1">
        <v>274</v>
      </c>
      <c r="C1188" s="1">
        <v>276.68</v>
      </c>
      <c r="D1188" s="1">
        <v>269.99</v>
      </c>
      <c r="E1188" s="1">
        <v>275.58999999999997</v>
      </c>
      <c r="F1188" s="1">
        <v>3686200</v>
      </c>
      <c r="G1188" s="1">
        <v>275.58999999999997</v>
      </c>
      <c r="H1188" s="1">
        <f t="shared" si="162"/>
        <v>6.6899999999999977</v>
      </c>
      <c r="I1188" s="9">
        <f t="shared" si="169"/>
        <v>2.4778695507240999E-2</v>
      </c>
      <c r="J1188" s="1">
        <f t="shared" si="170"/>
        <v>2.4799999999999613</v>
      </c>
      <c r="K1188" s="9">
        <f t="shared" si="163"/>
        <v>9.0805902383653513E-3</v>
      </c>
      <c r="L1188" s="1">
        <f t="shared" si="164"/>
        <v>1</v>
      </c>
      <c r="M1188" s="1">
        <f t="shared" si="165"/>
        <v>276.68</v>
      </c>
      <c r="N1188" s="1">
        <f t="shared" si="166"/>
        <v>269.99</v>
      </c>
      <c r="O1188" s="1">
        <f t="shared" si="167"/>
        <v>273.63</v>
      </c>
      <c r="P1188" s="1">
        <f t="shared" si="168"/>
        <v>139.60714285714286</v>
      </c>
    </row>
    <row r="1189" spans="1:16">
      <c r="A1189" s="2">
        <v>41337</v>
      </c>
      <c r="B1189" s="1">
        <v>265.36</v>
      </c>
      <c r="C1189" s="1">
        <v>273.3</v>
      </c>
      <c r="D1189" s="1">
        <v>264.14</v>
      </c>
      <c r="E1189" s="1">
        <v>273.11</v>
      </c>
      <c r="F1189" s="1">
        <v>3453000</v>
      </c>
      <c r="G1189" s="1">
        <v>273.11</v>
      </c>
      <c r="H1189" s="1">
        <f t="shared" si="162"/>
        <v>9.160000000000025</v>
      </c>
      <c r="I1189" s="9">
        <f t="shared" si="169"/>
        <v>3.4678579541152513E-2</v>
      </c>
      <c r="J1189" s="1">
        <f t="shared" si="170"/>
        <v>7.3700000000000045</v>
      </c>
      <c r="K1189" s="9">
        <f t="shared" si="163"/>
        <v>2.7733875216376925E-2</v>
      </c>
      <c r="L1189" s="1">
        <f t="shared" si="164"/>
        <v>1</v>
      </c>
      <c r="M1189" s="1">
        <f t="shared" si="165"/>
        <v>273.3</v>
      </c>
      <c r="N1189" s="1">
        <f t="shared" si="166"/>
        <v>264.14</v>
      </c>
      <c r="O1189" s="1">
        <f t="shared" si="167"/>
        <v>271.15000000000003</v>
      </c>
      <c r="P1189" s="1">
        <f t="shared" si="168"/>
        <v>138.34183673469389</v>
      </c>
    </row>
    <row r="1190" spans="1:16">
      <c r="A1190" s="2">
        <v>41334</v>
      </c>
      <c r="B1190" s="1">
        <v>263.27</v>
      </c>
      <c r="C1190" s="1">
        <v>266.60000000000002</v>
      </c>
      <c r="D1190" s="1">
        <v>261.04000000000002</v>
      </c>
      <c r="E1190" s="1">
        <v>265.74</v>
      </c>
      <c r="F1190" s="1">
        <v>2957000</v>
      </c>
      <c r="G1190" s="1">
        <v>265.74</v>
      </c>
      <c r="H1190" s="1">
        <f t="shared" si="162"/>
        <v>5.5600000000000023</v>
      </c>
      <c r="I1190" s="9">
        <f t="shared" si="169"/>
        <v>2.129941771376035E-2</v>
      </c>
      <c r="J1190" s="1">
        <f t="shared" si="170"/>
        <v>1.4700000000000273</v>
      </c>
      <c r="K1190" s="9">
        <f t="shared" si="163"/>
        <v>5.5624929049836432E-3</v>
      </c>
      <c r="L1190" s="1">
        <f t="shared" si="164"/>
        <v>1</v>
      </c>
      <c r="M1190" s="1">
        <f t="shared" si="165"/>
        <v>266.60000000000002</v>
      </c>
      <c r="N1190" s="1">
        <f t="shared" si="166"/>
        <v>261.04000000000002</v>
      </c>
      <c r="O1190" s="1">
        <f t="shared" si="167"/>
        <v>263.78000000000003</v>
      </c>
      <c r="P1190" s="1">
        <f t="shared" si="168"/>
        <v>134.58163265306123</v>
      </c>
    </row>
    <row r="1191" spans="1:16">
      <c r="A1191" s="2">
        <v>41333</v>
      </c>
      <c r="B1191" s="1">
        <v>261.81</v>
      </c>
      <c r="C1191" s="1">
        <v>267</v>
      </c>
      <c r="D1191" s="1">
        <v>260.63</v>
      </c>
      <c r="E1191" s="1">
        <v>264.27</v>
      </c>
      <c r="F1191" s="1">
        <v>2667200</v>
      </c>
      <c r="G1191" s="1">
        <v>264.27</v>
      </c>
      <c r="H1191" s="1">
        <f t="shared" si="162"/>
        <v>6.3700000000000045</v>
      </c>
      <c r="I1191" s="9">
        <f t="shared" si="169"/>
        <v>2.4440778114568563E-2</v>
      </c>
      <c r="J1191" s="1">
        <f t="shared" si="170"/>
        <v>1.0199999999999818</v>
      </c>
      <c r="K1191" s="9">
        <f t="shared" si="163"/>
        <v>3.8746438746438054E-3</v>
      </c>
      <c r="L1191" s="1">
        <f t="shared" si="164"/>
        <v>1</v>
      </c>
      <c r="M1191" s="1">
        <f t="shared" si="165"/>
        <v>267</v>
      </c>
      <c r="N1191" s="1">
        <f t="shared" si="166"/>
        <v>260.63</v>
      </c>
      <c r="O1191" s="1">
        <f t="shared" si="167"/>
        <v>262.31</v>
      </c>
      <c r="P1191" s="1">
        <f t="shared" si="168"/>
        <v>133.83163265306123</v>
      </c>
    </row>
    <row r="1192" spans="1:16">
      <c r="A1192" s="2">
        <v>41332</v>
      </c>
      <c r="B1192" s="1">
        <v>259.39999999999998</v>
      </c>
      <c r="C1192" s="1">
        <v>265.83</v>
      </c>
      <c r="D1192" s="1">
        <v>256.86</v>
      </c>
      <c r="E1192" s="1">
        <v>263.25</v>
      </c>
      <c r="F1192" s="1">
        <v>2908100</v>
      </c>
      <c r="G1192" s="1">
        <v>263.25</v>
      </c>
      <c r="H1192" s="1">
        <f t="shared" si="162"/>
        <v>8.9699999999999704</v>
      </c>
      <c r="I1192" s="9">
        <f t="shared" si="169"/>
        <v>3.4921747255314065E-2</v>
      </c>
      <c r="J1192" s="1">
        <f t="shared" si="170"/>
        <v>3.8899999999999864</v>
      </c>
      <c r="K1192" s="9">
        <f t="shared" si="163"/>
        <v>1.4998457742134432E-2</v>
      </c>
      <c r="L1192" s="1">
        <f t="shared" si="164"/>
        <v>1</v>
      </c>
      <c r="M1192" s="1">
        <f t="shared" si="165"/>
        <v>265.83</v>
      </c>
      <c r="N1192" s="1">
        <f t="shared" si="166"/>
        <v>256.86</v>
      </c>
      <c r="O1192" s="1">
        <f t="shared" si="167"/>
        <v>261.29000000000002</v>
      </c>
      <c r="P1192" s="1">
        <f t="shared" si="168"/>
        <v>133.31122448979593</v>
      </c>
    </row>
    <row r="1193" spans="1:16">
      <c r="A1193" s="2">
        <v>41331</v>
      </c>
      <c r="B1193" s="1">
        <v>260.89</v>
      </c>
      <c r="C1193" s="1">
        <v>262.04000000000002</v>
      </c>
      <c r="D1193" s="1">
        <v>255.73</v>
      </c>
      <c r="E1193" s="1">
        <v>259.36</v>
      </c>
      <c r="F1193" s="1">
        <v>3348600</v>
      </c>
      <c r="G1193" s="1">
        <v>259.36</v>
      </c>
      <c r="H1193" s="1">
        <f t="shared" si="162"/>
        <v>6.3100000000000307</v>
      </c>
      <c r="I1193" s="9">
        <f t="shared" si="169"/>
        <v>2.4674461345950929E-2</v>
      </c>
      <c r="J1193" s="1">
        <f t="shared" si="170"/>
        <v>-0.50999999999999091</v>
      </c>
      <c r="K1193" s="9">
        <f t="shared" si="163"/>
        <v>-1.962519721399126E-3</v>
      </c>
      <c r="L1193" s="1">
        <f t="shared" si="164"/>
        <v>1</v>
      </c>
      <c r="M1193" s="1">
        <f t="shared" si="165"/>
        <v>262.04000000000002</v>
      </c>
      <c r="N1193" s="1">
        <f t="shared" si="166"/>
        <v>255.73</v>
      </c>
      <c r="O1193" s="1">
        <f t="shared" si="167"/>
        <v>257.40000000000003</v>
      </c>
      <c r="P1193" s="1">
        <f t="shared" si="168"/>
        <v>131.32653061224491</v>
      </c>
    </row>
    <row r="1194" spans="1:16">
      <c r="A1194" s="2">
        <v>41330</v>
      </c>
      <c r="B1194" s="1">
        <v>266.94</v>
      </c>
      <c r="C1194" s="1">
        <v>268.69</v>
      </c>
      <c r="D1194" s="1">
        <v>259.64999999999998</v>
      </c>
      <c r="E1194" s="1">
        <v>259.87</v>
      </c>
      <c r="F1194" s="1">
        <v>3032400</v>
      </c>
      <c r="G1194" s="1">
        <v>259.87</v>
      </c>
      <c r="H1194" s="1">
        <f t="shared" si="162"/>
        <v>9.0400000000000205</v>
      </c>
      <c r="I1194" s="9">
        <f t="shared" si="169"/>
        <v>3.4816098594261588E-2</v>
      </c>
      <c r="J1194" s="1">
        <f t="shared" si="170"/>
        <v>-5.5500000000000114</v>
      </c>
      <c r="K1194" s="9">
        <f t="shared" si="163"/>
        <v>-2.0910255444201685E-2</v>
      </c>
      <c r="L1194" s="1">
        <f t="shared" si="164"/>
        <v>1</v>
      </c>
      <c r="M1194" s="1">
        <f t="shared" si="165"/>
        <v>268.69</v>
      </c>
      <c r="N1194" s="1">
        <f t="shared" si="166"/>
        <v>259.64999999999998</v>
      </c>
      <c r="O1194" s="1">
        <f t="shared" si="167"/>
        <v>257.91000000000003</v>
      </c>
      <c r="P1194" s="1">
        <f t="shared" si="168"/>
        <v>131.58673469387756</v>
      </c>
    </row>
    <row r="1195" spans="1:16">
      <c r="A1195" s="2">
        <v>41327</v>
      </c>
      <c r="B1195" s="1">
        <v>266.62</v>
      </c>
      <c r="C1195" s="1">
        <v>267.11</v>
      </c>
      <c r="D1195" s="1">
        <v>261.61</v>
      </c>
      <c r="E1195" s="1">
        <v>265.42</v>
      </c>
      <c r="F1195" s="1">
        <v>3124800</v>
      </c>
      <c r="G1195" s="1">
        <v>265.42</v>
      </c>
      <c r="H1195" s="1">
        <f t="shared" si="162"/>
        <v>5.5</v>
      </c>
      <c r="I1195" s="9">
        <f t="shared" si="169"/>
        <v>2.1023661175031533E-2</v>
      </c>
      <c r="J1195" s="1">
        <f t="shared" si="170"/>
        <v>-0.51999999999998181</v>
      </c>
      <c r="K1195" s="9">
        <f t="shared" si="163"/>
        <v>-1.9553282695344131E-3</v>
      </c>
      <c r="L1195" s="1">
        <f t="shared" si="164"/>
        <v>1</v>
      </c>
      <c r="M1195" s="1">
        <f t="shared" si="165"/>
        <v>267.11</v>
      </c>
      <c r="N1195" s="1">
        <f t="shared" si="166"/>
        <v>261.61</v>
      </c>
      <c r="O1195" s="1">
        <f t="shared" si="167"/>
        <v>263.46000000000004</v>
      </c>
      <c r="P1195" s="1">
        <f t="shared" si="168"/>
        <v>134.41836734693879</v>
      </c>
    </row>
    <row r="1196" spans="1:16">
      <c r="A1196" s="2">
        <v>41326</v>
      </c>
      <c r="B1196" s="1">
        <v>265.12</v>
      </c>
      <c r="C1196" s="1">
        <v>269.48</v>
      </c>
      <c r="D1196" s="1">
        <v>263.25</v>
      </c>
      <c r="E1196" s="1">
        <v>265.94</v>
      </c>
      <c r="F1196" s="1">
        <v>3637400</v>
      </c>
      <c r="G1196" s="1">
        <v>265.94</v>
      </c>
      <c r="H1196" s="1">
        <f t="shared" si="162"/>
        <v>6.2300000000000182</v>
      </c>
      <c r="I1196" s="9">
        <f t="shared" si="169"/>
        <v>2.3665716999050401E-2</v>
      </c>
      <c r="J1196" s="1">
        <f t="shared" si="170"/>
        <v>-0.47000000000002728</v>
      </c>
      <c r="K1196" s="9">
        <f t="shared" si="163"/>
        <v>-1.7641980406141932E-3</v>
      </c>
      <c r="L1196" s="1">
        <f t="shared" si="164"/>
        <v>1</v>
      </c>
      <c r="M1196" s="1">
        <f t="shared" si="165"/>
        <v>269.48</v>
      </c>
      <c r="N1196" s="1">
        <f t="shared" si="166"/>
        <v>263.25</v>
      </c>
      <c r="O1196" s="1">
        <f t="shared" si="167"/>
        <v>263.98</v>
      </c>
      <c r="P1196" s="1">
        <f t="shared" si="168"/>
        <v>134.68367346938777</v>
      </c>
    </row>
    <row r="1197" spans="1:16">
      <c r="A1197" s="2">
        <v>41325</v>
      </c>
      <c r="B1197" s="1">
        <v>270.2</v>
      </c>
      <c r="C1197" s="1">
        <v>274.3</v>
      </c>
      <c r="D1197" s="1">
        <v>266.37</v>
      </c>
      <c r="E1197" s="1">
        <v>266.41000000000003</v>
      </c>
      <c r="F1197" s="1">
        <v>3528900</v>
      </c>
      <c r="G1197" s="1">
        <v>266.41000000000003</v>
      </c>
      <c r="H1197" s="1">
        <f t="shared" si="162"/>
        <v>7.9300000000000068</v>
      </c>
      <c r="I1197" s="9">
        <f t="shared" si="169"/>
        <v>2.9770619814543705E-2</v>
      </c>
      <c r="J1197" s="1">
        <f t="shared" si="170"/>
        <v>-3.339999999999975</v>
      </c>
      <c r="K1197" s="9">
        <f t="shared" si="163"/>
        <v>-1.2381835032437349E-2</v>
      </c>
      <c r="L1197" s="1">
        <f t="shared" si="164"/>
        <v>1</v>
      </c>
      <c r="M1197" s="1">
        <f t="shared" si="165"/>
        <v>274.3</v>
      </c>
      <c r="N1197" s="1">
        <f t="shared" si="166"/>
        <v>266.37</v>
      </c>
      <c r="O1197" s="1">
        <f t="shared" si="167"/>
        <v>264.45000000000005</v>
      </c>
      <c r="P1197" s="1">
        <f t="shared" si="168"/>
        <v>134.92346938775512</v>
      </c>
    </row>
    <row r="1198" spans="1:16">
      <c r="A1198" s="2">
        <v>41324</v>
      </c>
      <c r="B1198" s="1">
        <v>265.91000000000003</v>
      </c>
      <c r="C1198" s="1">
        <v>270.11</v>
      </c>
      <c r="D1198" s="1">
        <v>264.5</v>
      </c>
      <c r="E1198" s="1">
        <v>269.75</v>
      </c>
      <c r="F1198" s="1">
        <v>2854200</v>
      </c>
      <c r="G1198" s="1">
        <v>269.75</v>
      </c>
      <c r="H1198" s="1">
        <f t="shared" si="162"/>
        <v>5.6100000000000136</v>
      </c>
      <c r="I1198" s="9">
        <f t="shared" si="169"/>
        <v>2.1209829867674911E-2</v>
      </c>
      <c r="J1198" s="1">
        <f t="shared" si="170"/>
        <v>4.660000000000025</v>
      </c>
      <c r="K1198" s="9">
        <f t="shared" si="163"/>
        <v>1.7578935455883005E-2</v>
      </c>
      <c r="L1198" s="1">
        <f t="shared" si="164"/>
        <v>1</v>
      </c>
      <c r="M1198" s="1">
        <f t="shared" si="165"/>
        <v>270.11</v>
      </c>
      <c r="N1198" s="1">
        <f t="shared" si="166"/>
        <v>264.5</v>
      </c>
      <c r="O1198" s="1">
        <f t="shared" si="167"/>
        <v>267.79000000000002</v>
      </c>
      <c r="P1198" s="1">
        <f t="shared" si="168"/>
        <v>136.62755102040816</v>
      </c>
    </row>
    <row r="1199" spans="1:16">
      <c r="A1199" s="2">
        <v>41320</v>
      </c>
      <c r="B1199" s="1">
        <v>267.63</v>
      </c>
      <c r="C1199" s="1">
        <v>268.92</v>
      </c>
      <c r="D1199" s="1">
        <v>263.11</v>
      </c>
      <c r="E1199" s="1">
        <v>265.08999999999997</v>
      </c>
      <c r="F1199" s="1">
        <v>3979900</v>
      </c>
      <c r="G1199" s="1">
        <v>265.08999999999997</v>
      </c>
      <c r="H1199" s="1">
        <f t="shared" si="162"/>
        <v>5.8100000000000023</v>
      </c>
      <c r="I1199" s="9">
        <f t="shared" si="169"/>
        <v>2.2082018927444803E-2</v>
      </c>
      <c r="J1199" s="1">
        <f t="shared" si="170"/>
        <v>-4.1500000000000341</v>
      </c>
      <c r="K1199" s="9">
        <f t="shared" si="163"/>
        <v>-1.541375724260895E-2</v>
      </c>
      <c r="L1199" s="1">
        <f t="shared" si="164"/>
        <v>1</v>
      </c>
      <c r="M1199" s="1">
        <f t="shared" si="165"/>
        <v>268.92</v>
      </c>
      <c r="N1199" s="1">
        <f t="shared" si="166"/>
        <v>263.11</v>
      </c>
      <c r="O1199" s="1">
        <f t="shared" si="167"/>
        <v>263.13</v>
      </c>
      <c r="P1199" s="1">
        <f t="shared" si="168"/>
        <v>134.25</v>
      </c>
    </row>
    <row r="1200" spans="1:16">
      <c r="A1200" s="2">
        <v>41319</v>
      </c>
      <c r="B1200" s="1">
        <v>267.37</v>
      </c>
      <c r="C1200" s="1">
        <v>270.64999999999998</v>
      </c>
      <c r="D1200" s="1">
        <v>265.39999999999998</v>
      </c>
      <c r="E1200" s="1">
        <v>269.24</v>
      </c>
      <c r="F1200" s="1">
        <v>3463000</v>
      </c>
      <c r="G1200" s="1">
        <v>269.24</v>
      </c>
      <c r="H1200" s="1">
        <f t="shared" si="162"/>
        <v>5.25</v>
      </c>
      <c r="I1200" s="9">
        <f t="shared" si="169"/>
        <v>1.9781461944235117E-2</v>
      </c>
      <c r="J1200" s="1">
        <f t="shared" si="170"/>
        <v>-0.23000000000001819</v>
      </c>
      <c r="K1200" s="9">
        <f t="shared" si="163"/>
        <v>-8.5352729431854445E-4</v>
      </c>
      <c r="L1200" s="1">
        <f t="shared" si="164"/>
        <v>1</v>
      </c>
      <c r="M1200" s="1">
        <f t="shared" si="165"/>
        <v>270.64999999999998</v>
      </c>
      <c r="N1200" s="1">
        <f t="shared" si="166"/>
        <v>265.39999999999998</v>
      </c>
      <c r="O1200" s="1">
        <f t="shared" si="167"/>
        <v>267.28000000000003</v>
      </c>
      <c r="P1200" s="1">
        <f t="shared" si="168"/>
        <v>136.36734693877554</v>
      </c>
    </row>
    <row r="1201" spans="1:16">
      <c r="A1201" s="2">
        <v>41318</v>
      </c>
      <c r="B1201" s="1">
        <v>261.52999999999997</v>
      </c>
      <c r="C1201" s="1">
        <v>269.95999999999998</v>
      </c>
      <c r="D1201" s="1">
        <v>260.3</v>
      </c>
      <c r="E1201" s="1">
        <v>269.47000000000003</v>
      </c>
      <c r="F1201" s="1">
        <v>5293000</v>
      </c>
      <c r="G1201" s="1">
        <v>269.47000000000003</v>
      </c>
      <c r="H1201" s="1">
        <f t="shared" si="162"/>
        <v>9.6599999999999682</v>
      </c>
      <c r="I1201" s="9">
        <f t="shared" si="169"/>
        <v>3.7111025739531185E-2</v>
      </c>
      <c r="J1201" s="1">
        <f t="shared" si="170"/>
        <v>10.770000000000039</v>
      </c>
      <c r="K1201" s="9">
        <f t="shared" si="163"/>
        <v>4.1631233088519674E-2</v>
      </c>
      <c r="L1201" s="1">
        <f t="shared" si="164"/>
        <v>1</v>
      </c>
      <c r="M1201" s="1">
        <f t="shared" si="165"/>
        <v>269.95999999999998</v>
      </c>
      <c r="N1201" s="1">
        <f t="shared" si="166"/>
        <v>260.3</v>
      </c>
      <c r="O1201" s="1">
        <f t="shared" si="167"/>
        <v>267.51000000000005</v>
      </c>
      <c r="P1201" s="1">
        <f t="shared" si="168"/>
        <v>136.48469387755105</v>
      </c>
    </row>
    <row r="1202" spans="1:16">
      <c r="A1202" s="2">
        <v>41317</v>
      </c>
      <c r="B1202" s="1">
        <v>259.19</v>
      </c>
      <c r="C1202" s="1">
        <v>260.16000000000003</v>
      </c>
      <c r="D1202" s="1">
        <v>257</v>
      </c>
      <c r="E1202" s="1">
        <v>258.7</v>
      </c>
      <c r="F1202" s="1">
        <v>2943700</v>
      </c>
      <c r="G1202" s="1">
        <v>258.7</v>
      </c>
      <c r="H1202" s="1">
        <f t="shared" si="162"/>
        <v>3.160000000000025</v>
      </c>
      <c r="I1202" s="9">
        <f t="shared" si="169"/>
        <v>1.2295719844358073E-2</v>
      </c>
      <c r="J1202" s="1">
        <f t="shared" si="170"/>
        <v>1.4900000000000091</v>
      </c>
      <c r="K1202" s="9">
        <f t="shared" si="163"/>
        <v>5.7929318455736912E-3</v>
      </c>
      <c r="L1202" s="1">
        <f t="shared" si="164"/>
        <v>1</v>
      </c>
      <c r="M1202" s="1">
        <f t="shared" si="165"/>
        <v>260.16000000000003</v>
      </c>
      <c r="N1202" s="1">
        <f t="shared" si="166"/>
        <v>257</v>
      </c>
      <c r="O1202" s="1">
        <f t="shared" si="167"/>
        <v>256.74</v>
      </c>
      <c r="P1202" s="1">
        <f t="shared" si="168"/>
        <v>130.98979591836735</v>
      </c>
    </row>
    <row r="1203" spans="1:16">
      <c r="A1203" s="2">
        <v>41316</v>
      </c>
      <c r="B1203" s="1">
        <v>263.2</v>
      </c>
      <c r="C1203" s="1">
        <v>263.25</v>
      </c>
      <c r="D1203" s="1">
        <v>256.60000000000002</v>
      </c>
      <c r="E1203" s="1">
        <v>257.20999999999998</v>
      </c>
      <c r="F1203" s="1">
        <v>3403700</v>
      </c>
      <c r="G1203" s="1">
        <v>257.20999999999998</v>
      </c>
      <c r="H1203" s="1">
        <f t="shared" si="162"/>
        <v>6.6499999999999773</v>
      </c>
      <c r="I1203" s="9">
        <f t="shared" si="169"/>
        <v>2.5915822291504197E-2</v>
      </c>
      <c r="J1203" s="1">
        <f t="shared" si="170"/>
        <v>-4.7400000000000091</v>
      </c>
      <c r="K1203" s="9">
        <f t="shared" si="163"/>
        <v>-1.8095056308455849E-2</v>
      </c>
      <c r="L1203" s="1">
        <f t="shared" si="164"/>
        <v>1</v>
      </c>
      <c r="M1203" s="1">
        <f t="shared" si="165"/>
        <v>263.25</v>
      </c>
      <c r="N1203" s="1">
        <f t="shared" si="166"/>
        <v>256.60000000000002</v>
      </c>
      <c r="O1203" s="1">
        <f t="shared" si="167"/>
        <v>255.24999999999997</v>
      </c>
      <c r="P1203" s="1">
        <f t="shared" si="168"/>
        <v>130.22959183673467</v>
      </c>
    </row>
    <row r="1204" spans="1:16">
      <c r="A1204" s="2">
        <v>41313</v>
      </c>
      <c r="B1204" s="1">
        <v>261.39999999999998</v>
      </c>
      <c r="C1204" s="1">
        <v>265.25</v>
      </c>
      <c r="D1204" s="1">
        <v>260.55</v>
      </c>
      <c r="E1204" s="1">
        <v>261.95</v>
      </c>
      <c r="F1204" s="1">
        <v>3879200</v>
      </c>
      <c r="G1204" s="1">
        <v>261.95</v>
      </c>
      <c r="H1204" s="1">
        <f t="shared" si="162"/>
        <v>4.6999999999999886</v>
      </c>
      <c r="I1204" s="9">
        <f t="shared" si="169"/>
        <v>1.8038764152753746E-2</v>
      </c>
      <c r="J1204" s="1">
        <f t="shared" si="170"/>
        <v>1.7199999999999704</v>
      </c>
      <c r="K1204" s="9">
        <f t="shared" si="163"/>
        <v>6.60953771663517E-3</v>
      </c>
      <c r="L1204" s="1">
        <f t="shared" si="164"/>
        <v>1</v>
      </c>
      <c r="M1204" s="1">
        <f t="shared" si="165"/>
        <v>265.25</v>
      </c>
      <c r="N1204" s="1">
        <f t="shared" si="166"/>
        <v>260.55</v>
      </c>
      <c r="O1204" s="1">
        <f t="shared" si="167"/>
        <v>259.99</v>
      </c>
      <c r="P1204" s="1">
        <f t="shared" si="168"/>
        <v>132.64795918367346</v>
      </c>
    </row>
    <row r="1205" spans="1:16">
      <c r="A1205" s="2">
        <v>41312</v>
      </c>
      <c r="B1205" s="1">
        <v>264.10000000000002</v>
      </c>
      <c r="C1205" s="1">
        <v>264.10000000000002</v>
      </c>
      <c r="D1205" s="1">
        <v>255.11</v>
      </c>
      <c r="E1205" s="1">
        <v>260.23</v>
      </c>
      <c r="F1205" s="1">
        <v>3975700</v>
      </c>
      <c r="G1205" s="1">
        <v>260.23</v>
      </c>
      <c r="H1205" s="1">
        <f t="shared" si="162"/>
        <v>8.9900000000000091</v>
      </c>
      <c r="I1205" s="9">
        <f t="shared" si="169"/>
        <v>3.5239700521343766E-2</v>
      </c>
      <c r="J1205" s="1">
        <f t="shared" si="170"/>
        <v>-1.9900000000000091</v>
      </c>
      <c r="K1205" s="9">
        <f t="shared" si="163"/>
        <v>-7.5890473648082104E-3</v>
      </c>
      <c r="L1205" s="1">
        <f t="shared" si="164"/>
        <v>1</v>
      </c>
      <c r="M1205" s="1">
        <f t="shared" si="165"/>
        <v>264.10000000000002</v>
      </c>
      <c r="N1205" s="1">
        <f t="shared" si="166"/>
        <v>255.11</v>
      </c>
      <c r="O1205" s="1">
        <f t="shared" si="167"/>
        <v>258.27000000000004</v>
      </c>
      <c r="P1205" s="1">
        <f t="shared" si="168"/>
        <v>131.77040816326533</v>
      </c>
    </row>
    <row r="1206" spans="1:16">
      <c r="A1206" s="2">
        <v>41311</v>
      </c>
      <c r="B1206" s="1">
        <v>265.16000000000003</v>
      </c>
      <c r="C1206" s="1">
        <v>266.89</v>
      </c>
      <c r="D1206" s="1">
        <v>261.11</v>
      </c>
      <c r="E1206" s="1">
        <v>262.22000000000003</v>
      </c>
      <c r="F1206" s="1">
        <v>2770400</v>
      </c>
      <c r="G1206" s="1">
        <v>262.22000000000003</v>
      </c>
      <c r="H1206" s="1">
        <f t="shared" si="162"/>
        <v>5.7799999999999727</v>
      </c>
      <c r="I1206" s="9">
        <f t="shared" si="169"/>
        <v>2.2136264409635679E-2</v>
      </c>
      <c r="J1206" s="1">
        <f t="shared" si="170"/>
        <v>-4.6699999999999591</v>
      </c>
      <c r="K1206" s="9">
        <f t="shared" si="163"/>
        <v>-1.7497845554348079E-2</v>
      </c>
      <c r="L1206" s="1">
        <f t="shared" si="164"/>
        <v>1</v>
      </c>
      <c r="M1206" s="1">
        <f t="shared" si="165"/>
        <v>266.89</v>
      </c>
      <c r="N1206" s="1">
        <f t="shared" si="166"/>
        <v>261.11</v>
      </c>
      <c r="O1206" s="1">
        <f t="shared" si="167"/>
        <v>260.26000000000005</v>
      </c>
      <c r="P1206" s="1">
        <f t="shared" si="168"/>
        <v>132.78571428571431</v>
      </c>
    </row>
    <row r="1207" spans="1:16">
      <c r="A1207" s="2">
        <v>41310</v>
      </c>
      <c r="B1207" s="1">
        <v>262</v>
      </c>
      <c r="C1207" s="1">
        <v>268.02999999999997</v>
      </c>
      <c r="D1207" s="1">
        <v>261.45999999999998</v>
      </c>
      <c r="E1207" s="1">
        <v>266.89</v>
      </c>
      <c r="F1207" s="1">
        <v>4012900</v>
      </c>
      <c r="G1207" s="1">
        <v>266.89</v>
      </c>
      <c r="H1207" s="1">
        <f t="shared" si="162"/>
        <v>6.5699999999999932</v>
      </c>
      <c r="I1207" s="9">
        <f t="shared" si="169"/>
        <v>2.5128126673296083E-2</v>
      </c>
      <c r="J1207" s="1">
        <f t="shared" si="170"/>
        <v>6.9099999999999682</v>
      </c>
      <c r="K1207" s="9">
        <f t="shared" si="163"/>
        <v>2.6578967612893176E-2</v>
      </c>
      <c r="L1207" s="1">
        <f t="shared" si="164"/>
        <v>1</v>
      </c>
      <c r="M1207" s="1">
        <f t="shared" si="165"/>
        <v>268.02999999999997</v>
      </c>
      <c r="N1207" s="1">
        <f t="shared" si="166"/>
        <v>261.45999999999998</v>
      </c>
      <c r="O1207" s="1">
        <f t="shared" si="167"/>
        <v>264.93</v>
      </c>
      <c r="P1207" s="1">
        <f t="shared" si="168"/>
        <v>135.16836734693879</v>
      </c>
    </row>
    <row r="1208" spans="1:16">
      <c r="A1208" s="2">
        <v>41309</v>
      </c>
      <c r="B1208" s="1">
        <v>262.77999999999997</v>
      </c>
      <c r="C1208" s="1">
        <v>264.68</v>
      </c>
      <c r="D1208" s="1">
        <v>259.07</v>
      </c>
      <c r="E1208" s="1">
        <v>259.98</v>
      </c>
      <c r="F1208" s="1">
        <v>3723600</v>
      </c>
      <c r="G1208" s="1">
        <v>259.98</v>
      </c>
      <c r="H1208" s="1">
        <f t="shared" si="162"/>
        <v>5.6100000000000136</v>
      </c>
      <c r="I1208" s="9">
        <f t="shared" si="169"/>
        <v>2.1654379125332975E-2</v>
      </c>
      <c r="J1208" s="1">
        <f t="shared" si="170"/>
        <v>-5.0199999999999818</v>
      </c>
      <c r="K1208" s="9">
        <f t="shared" si="163"/>
        <v>-1.8943396226415027E-2</v>
      </c>
      <c r="L1208" s="1">
        <f t="shared" si="164"/>
        <v>1</v>
      </c>
      <c r="M1208" s="1">
        <f t="shared" si="165"/>
        <v>264.68</v>
      </c>
      <c r="N1208" s="1">
        <f t="shared" si="166"/>
        <v>259.07</v>
      </c>
      <c r="O1208" s="1">
        <f t="shared" si="167"/>
        <v>258.02000000000004</v>
      </c>
      <c r="P1208" s="1">
        <f t="shared" si="168"/>
        <v>131.64285714285717</v>
      </c>
    </row>
    <row r="1209" spans="1:16">
      <c r="A1209" s="2">
        <v>41306</v>
      </c>
      <c r="B1209" s="1">
        <v>268.93</v>
      </c>
      <c r="C1209" s="1">
        <v>268.93</v>
      </c>
      <c r="D1209" s="1">
        <v>262.8</v>
      </c>
      <c r="E1209" s="1">
        <v>265</v>
      </c>
      <c r="F1209" s="1">
        <v>6115000</v>
      </c>
      <c r="G1209" s="1">
        <v>265</v>
      </c>
      <c r="H1209" s="1">
        <f t="shared" si="162"/>
        <v>6.1299999999999955</v>
      </c>
      <c r="I1209" s="9">
        <f t="shared" si="169"/>
        <v>2.3325722983257212E-2</v>
      </c>
      <c r="J1209" s="1">
        <f t="shared" si="170"/>
        <v>-0.5</v>
      </c>
      <c r="K1209" s="9">
        <f t="shared" si="163"/>
        <v>-1.8832391713747645E-3</v>
      </c>
      <c r="L1209" s="1">
        <f t="shared" si="164"/>
        <v>1</v>
      </c>
      <c r="M1209" s="1">
        <f t="shared" si="165"/>
        <v>268.93</v>
      </c>
      <c r="N1209" s="1">
        <f t="shared" si="166"/>
        <v>262.8</v>
      </c>
      <c r="O1209" s="1">
        <f t="shared" si="167"/>
        <v>263.04000000000002</v>
      </c>
      <c r="P1209" s="1">
        <f t="shared" si="168"/>
        <v>134.20408163265307</v>
      </c>
    </row>
    <row r="1210" spans="1:16">
      <c r="A1210" s="2">
        <v>41305</v>
      </c>
      <c r="B1210" s="1">
        <v>271.04000000000002</v>
      </c>
      <c r="C1210" s="1">
        <v>275.94</v>
      </c>
      <c r="D1210" s="1">
        <v>263.7</v>
      </c>
      <c r="E1210" s="1">
        <v>265.5</v>
      </c>
      <c r="F1210" s="1">
        <v>6772100</v>
      </c>
      <c r="G1210" s="1">
        <v>265.5</v>
      </c>
      <c r="H1210" s="1">
        <f t="shared" si="162"/>
        <v>12.240000000000009</v>
      </c>
      <c r="I1210" s="9">
        <f t="shared" si="169"/>
        <v>4.6416382252559764E-2</v>
      </c>
      <c r="J1210" s="1">
        <f t="shared" si="170"/>
        <v>-7.2599999999999909</v>
      </c>
      <c r="K1210" s="9">
        <f t="shared" si="163"/>
        <v>-2.6616805983281974E-2</v>
      </c>
      <c r="L1210" s="1">
        <f t="shared" si="164"/>
        <v>1</v>
      </c>
      <c r="M1210" s="1">
        <f t="shared" si="165"/>
        <v>275.94</v>
      </c>
      <c r="N1210" s="1">
        <f t="shared" si="166"/>
        <v>263.7</v>
      </c>
      <c r="O1210" s="1">
        <f t="shared" si="167"/>
        <v>263.54000000000002</v>
      </c>
      <c r="P1210" s="1">
        <f t="shared" si="168"/>
        <v>134.4591836734694</v>
      </c>
    </row>
    <row r="1211" spans="1:16">
      <c r="A1211" s="2">
        <v>41304</v>
      </c>
      <c r="B1211" s="1">
        <v>283</v>
      </c>
      <c r="C1211" s="1">
        <v>284.2</v>
      </c>
      <c r="D1211" s="1">
        <v>267.11</v>
      </c>
      <c r="E1211" s="1">
        <v>272.76</v>
      </c>
      <c r="F1211" s="1">
        <v>13075400</v>
      </c>
      <c r="G1211" s="1">
        <v>272.76</v>
      </c>
      <c r="H1211" s="1">
        <f t="shared" si="162"/>
        <v>17.089999999999975</v>
      </c>
      <c r="I1211" s="9">
        <f t="shared" si="169"/>
        <v>6.3981131369098776E-2</v>
      </c>
      <c r="J1211" s="1">
        <f t="shared" si="170"/>
        <v>12.409999999999968</v>
      </c>
      <c r="K1211" s="9">
        <f t="shared" si="163"/>
        <v>4.7666602650278347E-2</v>
      </c>
      <c r="L1211" s="1">
        <f t="shared" si="164"/>
        <v>1</v>
      </c>
      <c r="M1211" s="1">
        <f t="shared" si="165"/>
        <v>284.2</v>
      </c>
      <c r="N1211" s="1">
        <f t="shared" si="166"/>
        <v>267.11</v>
      </c>
      <c r="O1211" s="1">
        <f t="shared" si="167"/>
        <v>270.8</v>
      </c>
      <c r="P1211" s="1">
        <f t="shared" si="168"/>
        <v>138.16326530612247</v>
      </c>
    </row>
    <row r="1212" spans="1:16">
      <c r="A1212" s="2">
        <v>41303</v>
      </c>
      <c r="B1212" s="1">
        <v>275.35000000000002</v>
      </c>
      <c r="C1212" s="1">
        <v>275.45999999999998</v>
      </c>
      <c r="D1212" s="1">
        <v>258.35000000000002</v>
      </c>
      <c r="E1212" s="1">
        <v>260.35000000000002</v>
      </c>
      <c r="F1212" s="1">
        <v>10172600</v>
      </c>
      <c r="G1212" s="1">
        <v>260.35000000000002</v>
      </c>
      <c r="H1212" s="1">
        <f t="shared" si="162"/>
        <v>17.109999999999957</v>
      </c>
      <c r="I1212" s="9">
        <f t="shared" si="169"/>
        <v>6.6227985291271357E-2</v>
      </c>
      <c r="J1212" s="1">
        <f t="shared" si="170"/>
        <v>-15.689999999999998</v>
      </c>
      <c r="K1212" s="9">
        <f t="shared" si="163"/>
        <v>-5.683958846543978E-2</v>
      </c>
      <c r="L1212" s="1">
        <f t="shared" si="164"/>
        <v>1</v>
      </c>
      <c r="M1212" s="1">
        <f t="shared" si="165"/>
        <v>275.45999999999998</v>
      </c>
      <c r="N1212" s="1">
        <f t="shared" si="166"/>
        <v>258.35000000000002</v>
      </c>
      <c r="O1212" s="1">
        <f t="shared" si="167"/>
        <v>258.39000000000004</v>
      </c>
      <c r="P1212" s="1">
        <f t="shared" si="168"/>
        <v>131.83163265306126</v>
      </c>
    </row>
    <row r="1213" spans="1:16">
      <c r="A1213" s="2">
        <v>41302</v>
      </c>
      <c r="B1213" s="1">
        <v>283.77999999999997</v>
      </c>
      <c r="C1213" s="1">
        <v>284.48</v>
      </c>
      <c r="D1213" s="1">
        <v>274.39999999999998</v>
      </c>
      <c r="E1213" s="1">
        <v>276.04000000000002</v>
      </c>
      <c r="F1213" s="1">
        <v>4321400</v>
      </c>
      <c r="G1213" s="1">
        <v>276.04000000000002</v>
      </c>
      <c r="H1213" s="1">
        <f t="shared" si="162"/>
        <v>10.080000000000041</v>
      </c>
      <c r="I1213" s="9">
        <f t="shared" si="169"/>
        <v>3.6734693877551169E-2</v>
      </c>
      <c r="J1213" s="1">
        <f t="shared" si="170"/>
        <v>-7.9499999999999886</v>
      </c>
      <c r="K1213" s="9">
        <f t="shared" si="163"/>
        <v>-2.7993943448712942E-2</v>
      </c>
      <c r="L1213" s="1">
        <f t="shared" si="164"/>
        <v>1</v>
      </c>
      <c r="M1213" s="1">
        <f t="shared" si="165"/>
        <v>284.48</v>
      </c>
      <c r="N1213" s="1">
        <f t="shared" si="166"/>
        <v>274.39999999999998</v>
      </c>
      <c r="O1213" s="1">
        <f t="shared" si="167"/>
        <v>274.08000000000004</v>
      </c>
      <c r="P1213" s="1">
        <f t="shared" si="168"/>
        <v>139.83673469387759</v>
      </c>
    </row>
    <row r="1214" spans="1:16">
      <c r="A1214" s="2">
        <v>41299</v>
      </c>
      <c r="B1214" s="1">
        <v>275</v>
      </c>
      <c r="C1214" s="1">
        <v>284.72000000000003</v>
      </c>
      <c r="D1214" s="1">
        <v>274.39999999999998</v>
      </c>
      <c r="E1214" s="1">
        <v>283.99</v>
      </c>
      <c r="F1214" s="1">
        <v>4968100</v>
      </c>
      <c r="G1214" s="1">
        <v>283.99</v>
      </c>
      <c r="H1214" s="1">
        <f t="shared" si="162"/>
        <v>10.32000000000005</v>
      </c>
      <c r="I1214" s="9">
        <f t="shared" si="169"/>
        <v>3.7609329446064328E-2</v>
      </c>
      <c r="J1214" s="1">
        <f t="shared" si="170"/>
        <v>10.53000000000003</v>
      </c>
      <c r="K1214" s="9">
        <f t="shared" si="163"/>
        <v>3.8506545747092918E-2</v>
      </c>
      <c r="L1214" s="1">
        <f t="shared" si="164"/>
        <v>1</v>
      </c>
      <c r="M1214" s="1">
        <f t="shared" si="165"/>
        <v>284.72000000000003</v>
      </c>
      <c r="N1214" s="1">
        <f t="shared" si="166"/>
        <v>274.39999999999998</v>
      </c>
      <c r="O1214" s="1">
        <f t="shared" si="167"/>
        <v>282.03000000000003</v>
      </c>
      <c r="P1214" s="1">
        <f t="shared" si="168"/>
        <v>143.89285714285717</v>
      </c>
    </row>
    <row r="1215" spans="1:16">
      <c r="A1215" s="2">
        <v>41298</v>
      </c>
      <c r="B1215" s="1">
        <v>269.37</v>
      </c>
      <c r="C1215" s="1">
        <v>276.64999999999998</v>
      </c>
      <c r="D1215" s="1">
        <v>269.37</v>
      </c>
      <c r="E1215" s="1">
        <v>273.45999999999998</v>
      </c>
      <c r="F1215" s="1">
        <v>3417000</v>
      </c>
      <c r="G1215" s="1">
        <v>273.45999999999998</v>
      </c>
      <c r="H1215" s="1">
        <f t="shared" si="162"/>
        <v>7.2799999999999727</v>
      </c>
      <c r="I1215" s="9">
        <f t="shared" si="169"/>
        <v>2.702602368489428E-2</v>
      </c>
      <c r="J1215" s="1">
        <f t="shared" si="170"/>
        <v>5.3499999999999659</v>
      </c>
      <c r="K1215" s="9">
        <f t="shared" si="163"/>
        <v>1.9954496288836544E-2</v>
      </c>
      <c r="L1215" s="1">
        <f t="shared" si="164"/>
        <v>1</v>
      </c>
      <c r="M1215" s="1">
        <f t="shared" si="165"/>
        <v>276.64999999999998</v>
      </c>
      <c r="N1215" s="1">
        <f t="shared" si="166"/>
        <v>269.37</v>
      </c>
      <c r="O1215" s="1">
        <f t="shared" si="167"/>
        <v>271.5</v>
      </c>
      <c r="P1215" s="1">
        <f t="shared" si="168"/>
        <v>138.5204081632653</v>
      </c>
    </row>
    <row r="1216" spans="1:16">
      <c r="A1216" s="2">
        <v>41297</v>
      </c>
      <c r="B1216" s="1">
        <v>270.57</v>
      </c>
      <c r="C1216" s="1">
        <v>271.08999999999997</v>
      </c>
      <c r="D1216" s="1">
        <v>266.64999999999998</v>
      </c>
      <c r="E1216" s="1">
        <v>268.11</v>
      </c>
      <c r="F1216" s="1">
        <v>2508900</v>
      </c>
      <c r="G1216" s="1">
        <v>268.11</v>
      </c>
      <c r="H1216" s="1">
        <f t="shared" si="162"/>
        <v>4.4399999999999977</v>
      </c>
      <c r="I1216" s="9">
        <f t="shared" si="169"/>
        <v>1.6651040690043122E-2</v>
      </c>
      <c r="J1216" s="1">
        <f t="shared" si="170"/>
        <v>-2.0799999999999841</v>
      </c>
      <c r="K1216" s="9">
        <f t="shared" si="163"/>
        <v>-7.6982863910580856E-3</v>
      </c>
      <c r="L1216" s="1">
        <f t="shared" si="164"/>
        <v>1</v>
      </c>
      <c r="M1216" s="1">
        <f t="shared" si="165"/>
        <v>271.08999999999997</v>
      </c>
      <c r="N1216" s="1">
        <f t="shared" si="166"/>
        <v>266.64999999999998</v>
      </c>
      <c r="O1216" s="1">
        <f t="shared" si="167"/>
        <v>266.15000000000003</v>
      </c>
      <c r="P1216" s="1">
        <f t="shared" si="168"/>
        <v>135.79081632653063</v>
      </c>
    </row>
    <row r="1217" spans="1:16">
      <c r="A1217" s="2">
        <v>41296</v>
      </c>
      <c r="B1217" s="1">
        <v>271.62</v>
      </c>
      <c r="C1217" s="1">
        <v>272.10000000000002</v>
      </c>
      <c r="D1217" s="1">
        <v>269.23</v>
      </c>
      <c r="E1217" s="1">
        <v>270.19</v>
      </c>
      <c r="F1217" s="1">
        <v>2137700</v>
      </c>
      <c r="G1217" s="1">
        <v>270.19</v>
      </c>
      <c r="H1217" s="1">
        <f t="shared" si="162"/>
        <v>2.8700000000000045</v>
      </c>
      <c r="I1217" s="9">
        <f t="shared" si="169"/>
        <v>1.0660030457229894E-2</v>
      </c>
      <c r="J1217" s="1">
        <f t="shared" si="170"/>
        <v>-1.9300000000000068</v>
      </c>
      <c r="K1217" s="9">
        <f t="shared" si="163"/>
        <v>-7.0924592091724491E-3</v>
      </c>
      <c r="L1217" s="1">
        <f t="shared" si="164"/>
        <v>1</v>
      </c>
      <c r="M1217" s="1">
        <f t="shared" si="165"/>
        <v>272.10000000000002</v>
      </c>
      <c r="N1217" s="1">
        <f t="shared" si="166"/>
        <v>269.23</v>
      </c>
      <c r="O1217" s="1">
        <f t="shared" si="167"/>
        <v>268.23</v>
      </c>
      <c r="P1217" s="1">
        <f t="shared" si="168"/>
        <v>136.85204081632654</v>
      </c>
    </row>
    <row r="1218" spans="1:16">
      <c r="A1218" s="2">
        <v>41292</v>
      </c>
      <c r="B1218" s="1">
        <v>270.83</v>
      </c>
      <c r="C1218" s="1">
        <v>274.5</v>
      </c>
      <c r="D1218" s="1">
        <v>269.60000000000002</v>
      </c>
      <c r="E1218" s="1">
        <v>272.12</v>
      </c>
      <c r="F1218" s="1">
        <v>2942000</v>
      </c>
      <c r="G1218" s="1">
        <v>272.12</v>
      </c>
      <c r="H1218" s="1">
        <f t="shared" si="162"/>
        <v>4.8999999999999773</v>
      </c>
      <c r="I1218" s="9">
        <f t="shared" si="169"/>
        <v>1.8175074183976174E-2</v>
      </c>
      <c r="J1218" s="1">
        <f t="shared" si="170"/>
        <v>1.6399999999999864</v>
      </c>
      <c r="K1218" s="9">
        <f t="shared" si="163"/>
        <v>6.063294883170609E-3</v>
      </c>
      <c r="L1218" s="1">
        <f t="shared" si="164"/>
        <v>1</v>
      </c>
      <c r="M1218" s="1">
        <f t="shared" si="165"/>
        <v>274.5</v>
      </c>
      <c r="N1218" s="1">
        <f t="shared" si="166"/>
        <v>269.60000000000002</v>
      </c>
      <c r="O1218" s="1">
        <f t="shared" si="167"/>
        <v>270.16000000000003</v>
      </c>
      <c r="P1218" s="1">
        <f t="shared" si="168"/>
        <v>137.83673469387756</v>
      </c>
    </row>
    <row r="1219" spans="1:16">
      <c r="A1219" s="2">
        <v>41291</v>
      </c>
      <c r="B1219" s="1">
        <v>271.5</v>
      </c>
      <c r="C1219" s="1">
        <v>271.97000000000003</v>
      </c>
      <c r="D1219" s="1">
        <v>269.20999999999998</v>
      </c>
      <c r="E1219" s="1">
        <v>270.48</v>
      </c>
      <c r="F1219" s="1">
        <v>1884600</v>
      </c>
      <c r="G1219" s="1">
        <v>270.48</v>
      </c>
      <c r="H1219" s="1">
        <f t="shared" ref="H1219:H1282" si="171">C1219-D1219</f>
        <v>2.7600000000000477</v>
      </c>
      <c r="I1219" s="9">
        <f t="shared" si="169"/>
        <v>1.0252219456929713E-2</v>
      </c>
      <c r="J1219" s="1">
        <f t="shared" si="170"/>
        <v>1.5500000000000114</v>
      </c>
      <c r="K1219" s="9">
        <f t="shared" ref="K1219:K1282" si="172">(G1219-G1220)/G1220</f>
        <v>5.7635816011601957E-3</v>
      </c>
      <c r="L1219" s="1">
        <f t="shared" ref="L1219:L1282" si="173">G1219/E1219</f>
        <v>1</v>
      </c>
      <c r="M1219" s="1">
        <f t="shared" ref="M1219:M1282" si="174">L1219*C1219</f>
        <v>271.97000000000003</v>
      </c>
      <c r="N1219" s="1">
        <f t="shared" ref="N1219:N1282" si="175">L1219*D1219</f>
        <v>269.20999999999998</v>
      </c>
      <c r="O1219" s="1">
        <f t="shared" ref="O1219:O1282" si="176">G1219-$G$5163</f>
        <v>268.52000000000004</v>
      </c>
      <c r="P1219" s="1">
        <f t="shared" ref="P1219:P1282" si="177">(G1219-$G$5163)/$G$5163</f>
        <v>137.00000000000003</v>
      </c>
    </row>
    <row r="1220" spans="1:16">
      <c r="A1220" s="2">
        <v>41290</v>
      </c>
      <c r="B1220" s="1">
        <v>270.52999999999997</v>
      </c>
      <c r="C1220" s="1">
        <v>271.24</v>
      </c>
      <c r="D1220" s="1">
        <v>267.83</v>
      </c>
      <c r="E1220" s="1">
        <v>268.93</v>
      </c>
      <c r="F1220" s="1">
        <v>2065600</v>
      </c>
      <c r="G1220" s="1">
        <v>268.93</v>
      </c>
      <c r="H1220" s="1">
        <f t="shared" si="171"/>
        <v>3.410000000000025</v>
      </c>
      <c r="I1220" s="9">
        <f t="shared" ref="I1220:I1283" si="178">(C1220-D1220)/D1220</f>
        <v>1.2731956838293042E-2</v>
      </c>
      <c r="J1220" s="1">
        <f t="shared" ref="J1220:J1283" si="179">G1220-G1221</f>
        <v>-2.9699999999999704</v>
      </c>
      <c r="K1220" s="9">
        <f t="shared" si="172"/>
        <v>-1.0923133504964953E-2</v>
      </c>
      <c r="L1220" s="1">
        <f t="shared" si="173"/>
        <v>1</v>
      </c>
      <c r="M1220" s="1">
        <f t="shared" si="174"/>
        <v>271.24</v>
      </c>
      <c r="N1220" s="1">
        <f t="shared" si="175"/>
        <v>267.83</v>
      </c>
      <c r="O1220" s="1">
        <f t="shared" si="176"/>
        <v>266.97000000000003</v>
      </c>
      <c r="P1220" s="1">
        <f t="shared" si="177"/>
        <v>136.2091836734694</v>
      </c>
    </row>
    <row r="1221" spans="1:16">
      <c r="A1221" s="2">
        <v>41289</v>
      </c>
      <c r="B1221" s="1">
        <v>270.68</v>
      </c>
      <c r="C1221" s="1">
        <v>272.73</v>
      </c>
      <c r="D1221" s="1">
        <v>269.3</v>
      </c>
      <c r="E1221" s="1">
        <v>271.89999999999998</v>
      </c>
      <c r="F1221" s="1">
        <v>2326900</v>
      </c>
      <c r="G1221" s="1">
        <v>271.89999999999998</v>
      </c>
      <c r="H1221" s="1">
        <f t="shared" si="171"/>
        <v>3.4300000000000068</v>
      </c>
      <c r="I1221" s="9">
        <f t="shared" si="178"/>
        <v>1.2736724842183463E-2</v>
      </c>
      <c r="J1221" s="1">
        <f t="shared" si="179"/>
        <v>-0.83000000000004093</v>
      </c>
      <c r="K1221" s="9">
        <f t="shared" si="172"/>
        <v>-3.0433029003044802E-3</v>
      </c>
      <c r="L1221" s="1">
        <f t="shared" si="173"/>
        <v>1</v>
      </c>
      <c r="M1221" s="1">
        <f t="shared" si="174"/>
        <v>272.73</v>
      </c>
      <c r="N1221" s="1">
        <f t="shared" si="175"/>
        <v>269.3</v>
      </c>
      <c r="O1221" s="1">
        <f t="shared" si="176"/>
        <v>269.94</v>
      </c>
      <c r="P1221" s="1">
        <f t="shared" si="177"/>
        <v>137.72448979591837</v>
      </c>
    </row>
    <row r="1222" spans="1:16">
      <c r="A1222" s="2">
        <v>41288</v>
      </c>
      <c r="B1222" s="1">
        <v>268</v>
      </c>
      <c r="C1222" s="1">
        <v>274.26</v>
      </c>
      <c r="D1222" s="1">
        <v>267.54000000000002</v>
      </c>
      <c r="E1222" s="1">
        <v>272.73</v>
      </c>
      <c r="F1222" s="1">
        <v>4275000</v>
      </c>
      <c r="G1222" s="1">
        <v>272.73</v>
      </c>
      <c r="H1222" s="1">
        <f t="shared" si="171"/>
        <v>6.7199999999999704</v>
      </c>
      <c r="I1222" s="9">
        <f t="shared" si="178"/>
        <v>2.5117739403453576E-2</v>
      </c>
      <c r="J1222" s="1">
        <f t="shared" si="179"/>
        <v>4.7900000000000205</v>
      </c>
      <c r="K1222" s="9">
        <f t="shared" si="172"/>
        <v>1.7877136672389417E-2</v>
      </c>
      <c r="L1222" s="1">
        <f t="shared" si="173"/>
        <v>1</v>
      </c>
      <c r="M1222" s="1">
        <f t="shared" si="174"/>
        <v>274.26</v>
      </c>
      <c r="N1222" s="1">
        <f t="shared" si="175"/>
        <v>267.54000000000002</v>
      </c>
      <c r="O1222" s="1">
        <f t="shared" si="176"/>
        <v>270.77000000000004</v>
      </c>
      <c r="P1222" s="1">
        <f t="shared" si="177"/>
        <v>138.14795918367349</v>
      </c>
    </row>
    <row r="1223" spans="1:16">
      <c r="A1223" s="2">
        <v>41285</v>
      </c>
      <c r="B1223" s="1">
        <v>265.10000000000002</v>
      </c>
      <c r="C1223" s="1">
        <v>268.43</v>
      </c>
      <c r="D1223" s="1">
        <v>264.11</v>
      </c>
      <c r="E1223" s="1">
        <v>267.94</v>
      </c>
      <c r="F1223" s="1">
        <v>2413300</v>
      </c>
      <c r="G1223" s="1">
        <v>267.94</v>
      </c>
      <c r="H1223" s="1">
        <f t="shared" si="171"/>
        <v>4.3199999999999932</v>
      </c>
      <c r="I1223" s="9">
        <f t="shared" si="178"/>
        <v>1.6356821021544028E-2</v>
      </c>
      <c r="J1223" s="1">
        <f t="shared" si="179"/>
        <v>2.6000000000000227</v>
      </c>
      <c r="K1223" s="9">
        <f t="shared" si="172"/>
        <v>9.7987487751564906E-3</v>
      </c>
      <c r="L1223" s="1">
        <f t="shared" si="173"/>
        <v>1</v>
      </c>
      <c r="M1223" s="1">
        <f t="shared" si="174"/>
        <v>268.43</v>
      </c>
      <c r="N1223" s="1">
        <f t="shared" si="175"/>
        <v>264.11</v>
      </c>
      <c r="O1223" s="1">
        <f t="shared" si="176"/>
        <v>265.98</v>
      </c>
      <c r="P1223" s="1">
        <f t="shared" si="177"/>
        <v>135.70408163265307</v>
      </c>
    </row>
    <row r="1224" spans="1:16">
      <c r="A1224" s="2">
        <v>41284</v>
      </c>
      <c r="B1224" s="1">
        <v>268.54000000000002</v>
      </c>
      <c r="C1224" s="1">
        <v>268.74</v>
      </c>
      <c r="D1224" s="1">
        <v>262.3</v>
      </c>
      <c r="E1224" s="1">
        <v>265.33999999999997</v>
      </c>
      <c r="F1224" s="1">
        <v>2863400</v>
      </c>
      <c r="G1224" s="1">
        <v>265.33999999999997</v>
      </c>
      <c r="H1224" s="1">
        <f t="shared" si="171"/>
        <v>6.4399999999999977</v>
      </c>
      <c r="I1224" s="9">
        <f t="shared" si="178"/>
        <v>2.4552039649256566E-2</v>
      </c>
      <c r="J1224" s="1">
        <f t="shared" si="179"/>
        <v>-1.0100000000000477</v>
      </c>
      <c r="K1224" s="9">
        <f t="shared" si="172"/>
        <v>-3.7920030035669145E-3</v>
      </c>
      <c r="L1224" s="1">
        <f t="shared" si="173"/>
        <v>1</v>
      </c>
      <c r="M1224" s="1">
        <f t="shared" si="174"/>
        <v>268.74</v>
      </c>
      <c r="N1224" s="1">
        <f t="shared" si="175"/>
        <v>262.3</v>
      </c>
      <c r="O1224" s="1">
        <f t="shared" si="176"/>
        <v>263.38</v>
      </c>
      <c r="P1224" s="1">
        <f t="shared" si="177"/>
        <v>134.37755102040816</v>
      </c>
    </row>
    <row r="1225" spans="1:16">
      <c r="A1225" s="2">
        <v>41283</v>
      </c>
      <c r="B1225" s="1">
        <v>268.17</v>
      </c>
      <c r="C1225" s="1">
        <v>269.5</v>
      </c>
      <c r="D1225" s="1">
        <v>265.39999999999998</v>
      </c>
      <c r="E1225" s="1">
        <v>266.35000000000002</v>
      </c>
      <c r="F1225" s="1">
        <v>2265600</v>
      </c>
      <c r="G1225" s="1">
        <v>266.35000000000002</v>
      </c>
      <c r="H1225" s="1">
        <f t="shared" si="171"/>
        <v>4.1000000000000227</v>
      </c>
      <c r="I1225" s="9">
        <f t="shared" si="178"/>
        <v>1.5448379804069417E-2</v>
      </c>
      <c r="J1225" s="1">
        <f t="shared" si="179"/>
        <v>-2.9999999999972715E-2</v>
      </c>
      <c r="K1225" s="9">
        <f t="shared" si="172"/>
        <v>-1.1262106764761888E-4</v>
      </c>
      <c r="L1225" s="1">
        <f t="shared" si="173"/>
        <v>1</v>
      </c>
      <c r="M1225" s="1">
        <f t="shared" si="174"/>
        <v>269.5</v>
      </c>
      <c r="N1225" s="1">
        <f t="shared" si="175"/>
        <v>265.39999999999998</v>
      </c>
      <c r="O1225" s="1">
        <f t="shared" si="176"/>
        <v>264.39000000000004</v>
      </c>
      <c r="P1225" s="1">
        <f t="shared" si="177"/>
        <v>134.89285714285717</v>
      </c>
    </row>
    <row r="1226" spans="1:16">
      <c r="A1226" s="2">
        <v>41282</v>
      </c>
      <c r="B1226" s="1">
        <v>267.07</v>
      </c>
      <c r="C1226" s="1">
        <v>268.98</v>
      </c>
      <c r="D1226" s="1">
        <v>263.57</v>
      </c>
      <c r="E1226" s="1">
        <v>266.38</v>
      </c>
      <c r="F1226" s="1">
        <v>3010700</v>
      </c>
      <c r="G1226" s="1">
        <v>266.38</v>
      </c>
      <c r="H1226" s="1">
        <f t="shared" si="171"/>
        <v>5.410000000000025</v>
      </c>
      <c r="I1226" s="9">
        <f t="shared" si="178"/>
        <v>2.052585650870746E-2</v>
      </c>
      <c r="J1226" s="1">
        <f t="shared" si="179"/>
        <v>-2.0799999999999841</v>
      </c>
      <c r="K1226" s="9">
        <f t="shared" si="172"/>
        <v>-7.7478954034119951E-3</v>
      </c>
      <c r="L1226" s="1">
        <f t="shared" si="173"/>
        <v>1</v>
      </c>
      <c r="M1226" s="1">
        <f t="shared" si="174"/>
        <v>268.98</v>
      </c>
      <c r="N1226" s="1">
        <f t="shared" si="175"/>
        <v>263.57</v>
      </c>
      <c r="O1226" s="1">
        <f t="shared" si="176"/>
        <v>264.42</v>
      </c>
      <c r="P1226" s="1">
        <f t="shared" si="177"/>
        <v>134.90816326530614</v>
      </c>
    </row>
    <row r="1227" spans="1:16">
      <c r="A1227" s="2">
        <v>41281</v>
      </c>
      <c r="B1227" s="1">
        <v>262.97000000000003</v>
      </c>
      <c r="C1227" s="1">
        <v>269.73</v>
      </c>
      <c r="D1227" s="1">
        <v>262.67</v>
      </c>
      <c r="E1227" s="1">
        <v>268.45999999999998</v>
      </c>
      <c r="F1227" s="1">
        <v>4910000</v>
      </c>
      <c r="G1227" s="1">
        <v>268.45999999999998</v>
      </c>
      <c r="H1227" s="1">
        <f t="shared" si="171"/>
        <v>7.0600000000000023</v>
      </c>
      <c r="I1227" s="9">
        <f t="shared" si="178"/>
        <v>2.6877831499600265E-2</v>
      </c>
      <c r="J1227" s="1">
        <f t="shared" si="179"/>
        <v>9.3100000000000023</v>
      </c>
      <c r="K1227" s="9">
        <f t="shared" si="172"/>
        <v>3.5925139880378168E-2</v>
      </c>
      <c r="L1227" s="1">
        <f t="shared" si="173"/>
        <v>1</v>
      </c>
      <c r="M1227" s="1">
        <f t="shared" si="174"/>
        <v>269.73</v>
      </c>
      <c r="N1227" s="1">
        <f t="shared" si="175"/>
        <v>262.67</v>
      </c>
      <c r="O1227" s="1">
        <f t="shared" si="176"/>
        <v>266.5</v>
      </c>
      <c r="P1227" s="1">
        <f t="shared" si="177"/>
        <v>135.96938775510205</v>
      </c>
    </row>
    <row r="1228" spans="1:16">
      <c r="A1228" s="2">
        <v>41278</v>
      </c>
      <c r="B1228" s="1">
        <v>257.58</v>
      </c>
      <c r="C1228" s="1">
        <v>259.8</v>
      </c>
      <c r="D1228" s="1">
        <v>256.64999999999998</v>
      </c>
      <c r="E1228" s="1">
        <v>259.14999999999998</v>
      </c>
      <c r="F1228" s="1">
        <v>1874200</v>
      </c>
      <c r="G1228" s="1">
        <v>259.14999999999998</v>
      </c>
      <c r="H1228" s="1">
        <f t="shared" si="171"/>
        <v>3.1500000000000341</v>
      </c>
      <c r="I1228" s="9">
        <f t="shared" si="178"/>
        <v>1.2273524254821876E-2</v>
      </c>
      <c r="J1228" s="1">
        <f t="shared" si="179"/>
        <v>0.66999999999995907</v>
      </c>
      <c r="K1228" s="9">
        <f t="shared" si="172"/>
        <v>2.5920767564220019E-3</v>
      </c>
      <c r="L1228" s="1">
        <f t="shared" si="173"/>
        <v>1</v>
      </c>
      <c r="M1228" s="1">
        <f t="shared" si="174"/>
        <v>259.8</v>
      </c>
      <c r="N1228" s="1">
        <f t="shared" si="175"/>
        <v>256.64999999999998</v>
      </c>
      <c r="O1228" s="1">
        <f t="shared" si="176"/>
        <v>257.19</v>
      </c>
      <c r="P1228" s="1">
        <f t="shared" si="177"/>
        <v>131.21938775510205</v>
      </c>
    </row>
    <row r="1229" spans="1:16">
      <c r="A1229" s="2">
        <v>41277</v>
      </c>
      <c r="B1229" s="1">
        <v>257.27</v>
      </c>
      <c r="C1229" s="1">
        <v>260.88</v>
      </c>
      <c r="D1229" s="1">
        <v>256.37</v>
      </c>
      <c r="E1229" s="1">
        <v>258.48</v>
      </c>
      <c r="F1229" s="1">
        <v>2750900</v>
      </c>
      <c r="G1229" s="1">
        <v>258.48</v>
      </c>
      <c r="H1229" s="1">
        <f t="shared" si="171"/>
        <v>4.5099999999999909</v>
      </c>
      <c r="I1229" s="9">
        <f t="shared" si="178"/>
        <v>1.7591761906619305E-2</v>
      </c>
      <c r="J1229" s="1">
        <f t="shared" si="179"/>
        <v>1.1700000000000159</v>
      </c>
      <c r="K1229" s="9">
        <f t="shared" si="172"/>
        <v>4.5470444211263301E-3</v>
      </c>
      <c r="L1229" s="1">
        <f t="shared" si="173"/>
        <v>1</v>
      </c>
      <c r="M1229" s="1">
        <f t="shared" si="174"/>
        <v>260.88</v>
      </c>
      <c r="N1229" s="1">
        <f t="shared" si="175"/>
        <v>256.37</v>
      </c>
      <c r="O1229" s="1">
        <f t="shared" si="176"/>
        <v>256.52000000000004</v>
      </c>
      <c r="P1229" s="1">
        <f t="shared" si="177"/>
        <v>130.87755102040819</v>
      </c>
    </row>
    <row r="1230" spans="1:16">
      <c r="A1230" s="2">
        <v>41276</v>
      </c>
      <c r="B1230" s="1">
        <v>256.08</v>
      </c>
      <c r="C1230" s="1">
        <v>258.10000000000002</v>
      </c>
      <c r="D1230" s="1">
        <v>253.26</v>
      </c>
      <c r="E1230" s="1">
        <v>257.31</v>
      </c>
      <c r="F1230" s="1">
        <v>3271000</v>
      </c>
      <c r="G1230" s="1">
        <v>257.31</v>
      </c>
      <c r="H1230" s="1">
        <f t="shared" si="171"/>
        <v>4.8400000000000318</v>
      </c>
      <c r="I1230" s="9">
        <f t="shared" si="178"/>
        <v>1.9110795230198343E-2</v>
      </c>
      <c r="J1230" s="1">
        <f t="shared" si="179"/>
        <v>6.4399999999999977</v>
      </c>
      <c r="K1230" s="9">
        <f t="shared" si="172"/>
        <v>2.5670666082034509E-2</v>
      </c>
      <c r="L1230" s="1">
        <f t="shared" si="173"/>
        <v>1</v>
      </c>
      <c r="M1230" s="1">
        <f t="shared" si="174"/>
        <v>258.10000000000002</v>
      </c>
      <c r="N1230" s="1">
        <f t="shared" si="175"/>
        <v>253.26</v>
      </c>
      <c r="O1230" s="1">
        <f t="shared" si="176"/>
        <v>255.35</v>
      </c>
      <c r="P1230" s="1">
        <f t="shared" si="177"/>
        <v>130.28061224489795</v>
      </c>
    </row>
    <row r="1231" spans="1:16">
      <c r="A1231" s="2">
        <v>41274</v>
      </c>
      <c r="B1231" s="1">
        <v>243.75</v>
      </c>
      <c r="C1231" s="1">
        <v>252.41</v>
      </c>
      <c r="D1231" s="1">
        <v>242.75</v>
      </c>
      <c r="E1231" s="1">
        <v>250.87</v>
      </c>
      <c r="F1231" s="1">
        <v>3419000</v>
      </c>
      <c r="G1231" s="1">
        <v>250.87</v>
      </c>
      <c r="H1231" s="1">
        <f t="shared" si="171"/>
        <v>9.6599999999999966</v>
      </c>
      <c r="I1231" s="9">
        <f t="shared" si="178"/>
        <v>3.979402677651904E-2</v>
      </c>
      <c r="J1231" s="1">
        <f t="shared" si="179"/>
        <v>5.6899999999999977</v>
      </c>
      <c r="K1231" s="9">
        <f t="shared" si="172"/>
        <v>2.3207439432253844E-2</v>
      </c>
      <c r="L1231" s="1">
        <f t="shared" si="173"/>
        <v>1</v>
      </c>
      <c r="M1231" s="1">
        <f t="shared" si="174"/>
        <v>252.41</v>
      </c>
      <c r="N1231" s="1">
        <f t="shared" si="175"/>
        <v>242.75</v>
      </c>
      <c r="O1231" s="1">
        <f t="shared" si="176"/>
        <v>248.91</v>
      </c>
      <c r="P1231" s="1">
        <f t="shared" si="177"/>
        <v>126.99489795918367</v>
      </c>
    </row>
    <row r="1232" spans="1:16">
      <c r="A1232" s="2">
        <v>41271</v>
      </c>
      <c r="B1232" s="1">
        <v>245.85</v>
      </c>
      <c r="C1232" s="1">
        <v>247.44</v>
      </c>
      <c r="D1232" s="1">
        <v>245.05</v>
      </c>
      <c r="E1232" s="1">
        <v>245.18</v>
      </c>
      <c r="F1232" s="1">
        <v>1858700</v>
      </c>
      <c r="G1232" s="1">
        <v>245.18</v>
      </c>
      <c r="H1232" s="1">
        <f t="shared" si="171"/>
        <v>2.3899999999999864</v>
      </c>
      <c r="I1232" s="9">
        <f t="shared" si="178"/>
        <v>9.7531116098754801E-3</v>
      </c>
      <c r="J1232" s="1">
        <f t="shared" si="179"/>
        <v>-3.1299999999999955</v>
      </c>
      <c r="K1232" s="9">
        <f t="shared" si="172"/>
        <v>-1.2605211227900589E-2</v>
      </c>
      <c r="L1232" s="1">
        <f t="shared" si="173"/>
        <v>1</v>
      </c>
      <c r="M1232" s="1">
        <f t="shared" si="174"/>
        <v>247.44</v>
      </c>
      <c r="N1232" s="1">
        <f t="shared" si="175"/>
        <v>245.05</v>
      </c>
      <c r="O1232" s="1">
        <f t="shared" si="176"/>
        <v>243.22</v>
      </c>
      <c r="P1232" s="1">
        <f t="shared" si="177"/>
        <v>124.09183673469389</v>
      </c>
    </row>
    <row r="1233" spans="1:16">
      <c r="A1233" s="2">
        <v>41270</v>
      </c>
      <c r="B1233" s="1">
        <v>248.28</v>
      </c>
      <c r="C1233" s="1">
        <v>249.35</v>
      </c>
      <c r="D1233" s="1">
        <v>242.86</v>
      </c>
      <c r="E1233" s="1">
        <v>248.31</v>
      </c>
      <c r="F1233" s="1">
        <v>3639300</v>
      </c>
      <c r="G1233" s="1">
        <v>248.31</v>
      </c>
      <c r="H1233" s="1">
        <f t="shared" si="171"/>
        <v>6.4899999999999807</v>
      </c>
      <c r="I1233" s="9">
        <f t="shared" si="178"/>
        <v>2.6723215020999672E-2</v>
      </c>
      <c r="J1233" s="1">
        <f t="shared" si="179"/>
        <v>-0.31999999999999318</v>
      </c>
      <c r="K1233" s="9">
        <f t="shared" si="172"/>
        <v>-1.2870530507179069E-3</v>
      </c>
      <c r="L1233" s="1">
        <f t="shared" si="173"/>
        <v>1</v>
      </c>
      <c r="M1233" s="1">
        <f t="shared" si="174"/>
        <v>249.35</v>
      </c>
      <c r="N1233" s="1">
        <f t="shared" si="175"/>
        <v>242.86</v>
      </c>
      <c r="O1233" s="1">
        <f t="shared" si="176"/>
        <v>246.35</v>
      </c>
      <c r="P1233" s="1">
        <f t="shared" si="177"/>
        <v>125.68877551020408</v>
      </c>
    </row>
    <row r="1234" spans="1:16">
      <c r="A1234" s="2">
        <v>41269</v>
      </c>
      <c r="B1234" s="1">
        <v>257.14999999999998</v>
      </c>
      <c r="C1234" s="1">
        <v>257.42</v>
      </c>
      <c r="D1234" s="1">
        <v>248.04</v>
      </c>
      <c r="E1234" s="1">
        <v>248.63</v>
      </c>
      <c r="F1234" s="1">
        <v>4152700</v>
      </c>
      <c r="G1234" s="1">
        <v>248.63</v>
      </c>
      <c r="H1234" s="1">
        <f t="shared" si="171"/>
        <v>9.3800000000000239</v>
      </c>
      <c r="I1234" s="9">
        <f t="shared" si="178"/>
        <v>3.7816481212707725E-2</v>
      </c>
      <c r="J1234" s="1">
        <f t="shared" si="179"/>
        <v>-9.9900000000000091</v>
      </c>
      <c r="K1234" s="9">
        <f t="shared" si="172"/>
        <v>-3.8628103008274725E-2</v>
      </c>
      <c r="L1234" s="1">
        <f t="shared" si="173"/>
        <v>1</v>
      </c>
      <c r="M1234" s="1">
        <f t="shared" si="174"/>
        <v>257.42</v>
      </c>
      <c r="N1234" s="1">
        <f t="shared" si="175"/>
        <v>248.04</v>
      </c>
      <c r="O1234" s="1">
        <f t="shared" si="176"/>
        <v>246.67</v>
      </c>
      <c r="P1234" s="1">
        <f t="shared" si="177"/>
        <v>125.85204081632652</v>
      </c>
    </row>
    <row r="1235" spans="1:16">
      <c r="A1235" s="2">
        <v>41267</v>
      </c>
      <c r="B1235" s="1">
        <v>257.3</v>
      </c>
      <c r="C1235" s="1">
        <v>259.5</v>
      </c>
      <c r="D1235" s="1">
        <v>256.95999999999998</v>
      </c>
      <c r="E1235" s="1">
        <v>258.62</v>
      </c>
      <c r="F1235" s="1">
        <v>984400</v>
      </c>
      <c r="G1235" s="1">
        <v>258.62</v>
      </c>
      <c r="H1235" s="1">
        <f t="shared" si="171"/>
        <v>2.5400000000000205</v>
      </c>
      <c r="I1235" s="9">
        <f t="shared" si="178"/>
        <v>9.8848069738481509E-3</v>
      </c>
      <c r="J1235" s="1">
        <f t="shared" si="179"/>
        <v>1.6999999999999886</v>
      </c>
      <c r="K1235" s="9">
        <f t="shared" si="172"/>
        <v>6.6168457107270299E-3</v>
      </c>
      <c r="L1235" s="1">
        <f t="shared" si="173"/>
        <v>1</v>
      </c>
      <c r="M1235" s="1">
        <f t="shared" si="174"/>
        <v>259.5</v>
      </c>
      <c r="N1235" s="1">
        <f t="shared" si="175"/>
        <v>256.95999999999998</v>
      </c>
      <c r="O1235" s="1">
        <f t="shared" si="176"/>
        <v>256.66000000000003</v>
      </c>
      <c r="P1235" s="1">
        <f t="shared" si="177"/>
        <v>130.94897959183675</v>
      </c>
    </row>
    <row r="1236" spans="1:16">
      <c r="A1236" s="2">
        <v>41264</v>
      </c>
      <c r="B1236" s="1">
        <v>257.82</v>
      </c>
      <c r="C1236" s="1">
        <v>258.38</v>
      </c>
      <c r="D1236" s="1">
        <v>255.74</v>
      </c>
      <c r="E1236" s="1">
        <v>256.92</v>
      </c>
      <c r="F1236" s="1">
        <v>4704600</v>
      </c>
      <c r="G1236" s="1">
        <v>256.92</v>
      </c>
      <c r="H1236" s="1">
        <f t="shared" si="171"/>
        <v>2.6399999999999864</v>
      </c>
      <c r="I1236" s="9">
        <f t="shared" si="178"/>
        <v>1.0322984280910245E-2</v>
      </c>
      <c r="J1236" s="1">
        <f t="shared" si="179"/>
        <v>-4.5799999999999841</v>
      </c>
      <c r="K1236" s="9">
        <f t="shared" si="172"/>
        <v>-1.7514340344168201E-2</v>
      </c>
      <c r="L1236" s="1">
        <f t="shared" si="173"/>
        <v>1</v>
      </c>
      <c r="M1236" s="1">
        <f t="shared" si="174"/>
        <v>258.38</v>
      </c>
      <c r="N1236" s="1">
        <f t="shared" si="175"/>
        <v>255.74</v>
      </c>
      <c r="O1236" s="1">
        <f t="shared" si="176"/>
        <v>254.96</v>
      </c>
      <c r="P1236" s="1">
        <f t="shared" si="177"/>
        <v>130.08163265306123</v>
      </c>
    </row>
    <row r="1237" spans="1:16">
      <c r="A1237" s="2">
        <v>41263</v>
      </c>
      <c r="B1237" s="1">
        <v>258.36</v>
      </c>
      <c r="C1237" s="1">
        <v>262.41000000000003</v>
      </c>
      <c r="D1237" s="1">
        <v>256.54000000000002</v>
      </c>
      <c r="E1237" s="1">
        <v>261.5</v>
      </c>
      <c r="F1237" s="1">
        <v>2584600</v>
      </c>
      <c r="G1237" s="1">
        <v>261.5</v>
      </c>
      <c r="H1237" s="1">
        <f t="shared" si="171"/>
        <v>5.8700000000000045</v>
      </c>
      <c r="I1237" s="9">
        <f t="shared" si="178"/>
        <v>2.2881422000467781E-2</v>
      </c>
      <c r="J1237" s="1">
        <f t="shared" si="179"/>
        <v>3.5099999999999909</v>
      </c>
      <c r="K1237" s="9">
        <f t="shared" si="172"/>
        <v>1.360517849529048E-2</v>
      </c>
      <c r="L1237" s="1">
        <f t="shared" si="173"/>
        <v>1</v>
      </c>
      <c r="M1237" s="1">
        <f t="shared" si="174"/>
        <v>262.41000000000003</v>
      </c>
      <c r="N1237" s="1">
        <f t="shared" si="175"/>
        <v>256.54000000000002</v>
      </c>
      <c r="O1237" s="1">
        <f t="shared" si="176"/>
        <v>259.54000000000002</v>
      </c>
      <c r="P1237" s="1">
        <f t="shared" si="177"/>
        <v>132.41836734693879</v>
      </c>
    </row>
    <row r="1238" spans="1:16">
      <c r="A1238" s="2">
        <v>41262</v>
      </c>
      <c r="B1238" s="1">
        <v>261.3</v>
      </c>
      <c r="C1238" s="1">
        <v>261.67</v>
      </c>
      <c r="D1238" s="1">
        <v>257.68</v>
      </c>
      <c r="E1238" s="1">
        <v>257.99</v>
      </c>
      <c r="F1238" s="1">
        <v>2300000</v>
      </c>
      <c r="G1238" s="1">
        <v>257.99</v>
      </c>
      <c r="H1238" s="1">
        <f t="shared" si="171"/>
        <v>3.9900000000000091</v>
      </c>
      <c r="I1238" s="9">
        <f t="shared" si="178"/>
        <v>1.5484321639242507E-2</v>
      </c>
      <c r="J1238" s="1">
        <f t="shared" si="179"/>
        <v>-2.4099999999999682</v>
      </c>
      <c r="K1238" s="9">
        <f t="shared" si="172"/>
        <v>-9.2549923195083279E-3</v>
      </c>
      <c r="L1238" s="1">
        <f t="shared" si="173"/>
        <v>1</v>
      </c>
      <c r="M1238" s="1">
        <f t="shared" si="174"/>
        <v>261.67</v>
      </c>
      <c r="N1238" s="1">
        <f t="shared" si="175"/>
        <v>257.68</v>
      </c>
      <c r="O1238" s="1">
        <f t="shared" si="176"/>
        <v>256.03000000000003</v>
      </c>
      <c r="P1238" s="1">
        <f t="shared" si="177"/>
        <v>130.62755102040819</v>
      </c>
    </row>
    <row r="1239" spans="1:16">
      <c r="A1239" s="2">
        <v>41261</v>
      </c>
      <c r="B1239" s="1">
        <v>254.57</v>
      </c>
      <c r="C1239" s="1">
        <v>263.11</v>
      </c>
      <c r="D1239" s="1">
        <v>254.57</v>
      </c>
      <c r="E1239" s="1">
        <v>260.39999999999998</v>
      </c>
      <c r="F1239" s="1">
        <v>4961000</v>
      </c>
      <c r="G1239" s="1">
        <v>260.39999999999998</v>
      </c>
      <c r="H1239" s="1">
        <f t="shared" si="171"/>
        <v>8.5400000000000205</v>
      </c>
      <c r="I1239" s="9">
        <f t="shared" si="178"/>
        <v>3.3546765133362223E-2</v>
      </c>
      <c r="J1239" s="1">
        <f t="shared" si="179"/>
        <v>6.5399999999999636</v>
      </c>
      <c r="K1239" s="9">
        <f t="shared" si="172"/>
        <v>2.5762231151027982E-2</v>
      </c>
      <c r="L1239" s="1">
        <f t="shared" si="173"/>
        <v>1</v>
      </c>
      <c r="M1239" s="1">
        <f t="shared" si="174"/>
        <v>263.11</v>
      </c>
      <c r="N1239" s="1">
        <f t="shared" si="175"/>
        <v>254.57</v>
      </c>
      <c r="O1239" s="1">
        <f t="shared" si="176"/>
        <v>258.44</v>
      </c>
      <c r="P1239" s="1">
        <f t="shared" si="177"/>
        <v>131.85714285714286</v>
      </c>
    </row>
    <row r="1240" spans="1:16">
      <c r="A1240" s="2">
        <v>41260</v>
      </c>
      <c r="B1240" s="1">
        <v>249.81</v>
      </c>
      <c r="C1240" s="1">
        <v>254</v>
      </c>
      <c r="D1240" s="1">
        <v>249.26</v>
      </c>
      <c r="E1240" s="1">
        <v>253.86</v>
      </c>
      <c r="F1240" s="1">
        <v>2277000</v>
      </c>
      <c r="G1240" s="1">
        <v>253.86</v>
      </c>
      <c r="H1240" s="1">
        <f t="shared" si="171"/>
        <v>4.7400000000000091</v>
      </c>
      <c r="I1240" s="9">
        <f t="shared" si="178"/>
        <v>1.9016288213110844E-2</v>
      </c>
      <c r="J1240" s="1">
        <f t="shared" si="179"/>
        <v>4.6700000000000159</v>
      </c>
      <c r="K1240" s="9">
        <f t="shared" si="172"/>
        <v>1.8740719932581629E-2</v>
      </c>
      <c r="L1240" s="1">
        <f t="shared" si="173"/>
        <v>1</v>
      </c>
      <c r="M1240" s="1">
        <f t="shared" si="174"/>
        <v>254</v>
      </c>
      <c r="N1240" s="1">
        <f t="shared" si="175"/>
        <v>249.26</v>
      </c>
      <c r="O1240" s="1">
        <f t="shared" si="176"/>
        <v>251.9</v>
      </c>
      <c r="P1240" s="1">
        <f t="shared" si="177"/>
        <v>128.5204081632653</v>
      </c>
    </row>
    <row r="1241" spans="1:16">
      <c r="A1241" s="2">
        <v>41257</v>
      </c>
      <c r="B1241" s="1">
        <v>250.11</v>
      </c>
      <c r="C1241" s="1">
        <v>251.9</v>
      </c>
      <c r="D1241" s="1">
        <v>247.79</v>
      </c>
      <c r="E1241" s="1">
        <v>249.19</v>
      </c>
      <c r="F1241" s="1">
        <v>2526900</v>
      </c>
      <c r="G1241" s="1">
        <v>249.19</v>
      </c>
      <c r="H1241" s="1">
        <f t="shared" si="171"/>
        <v>4.1100000000000136</v>
      </c>
      <c r="I1241" s="9">
        <f t="shared" si="178"/>
        <v>1.6586625771822971E-2</v>
      </c>
      <c r="J1241" s="1">
        <f t="shared" si="179"/>
        <v>-2.0600000000000023</v>
      </c>
      <c r="K1241" s="9">
        <f t="shared" si="172"/>
        <v>-8.1990049751243868E-3</v>
      </c>
      <c r="L1241" s="1">
        <f t="shared" si="173"/>
        <v>1</v>
      </c>
      <c r="M1241" s="1">
        <f t="shared" si="174"/>
        <v>251.9</v>
      </c>
      <c r="N1241" s="1">
        <f t="shared" si="175"/>
        <v>247.79</v>
      </c>
      <c r="O1241" s="1">
        <f t="shared" si="176"/>
        <v>247.23</v>
      </c>
      <c r="P1241" s="1">
        <f t="shared" si="177"/>
        <v>126.13775510204081</v>
      </c>
    </row>
    <row r="1242" spans="1:16">
      <c r="A1242" s="2">
        <v>41256</v>
      </c>
      <c r="B1242" s="1">
        <v>251.11</v>
      </c>
      <c r="C1242" s="1">
        <v>254.54</v>
      </c>
      <c r="D1242" s="1">
        <v>250.02</v>
      </c>
      <c r="E1242" s="1">
        <v>251.25</v>
      </c>
      <c r="F1242" s="1">
        <v>2460200</v>
      </c>
      <c r="G1242" s="1">
        <v>251.25</v>
      </c>
      <c r="H1242" s="1">
        <f t="shared" si="171"/>
        <v>4.5199999999999818</v>
      </c>
      <c r="I1242" s="9">
        <f t="shared" si="178"/>
        <v>1.8078553715702671E-2</v>
      </c>
      <c r="J1242" s="1">
        <f t="shared" si="179"/>
        <v>-0.50999999999999091</v>
      </c>
      <c r="K1242" s="9">
        <f t="shared" si="172"/>
        <v>-2.0257387988560174E-3</v>
      </c>
      <c r="L1242" s="1">
        <f t="shared" si="173"/>
        <v>1</v>
      </c>
      <c r="M1242" s="1">
        <f t="shared" si="174"/>
        <v>254.54</v>
      </c>
      <c r="N1242" s="1">
        <f t="shared" si="175"/>
        <v>250.02</v>
      </c>
      <c r="O1242" s="1">
        <f t="shared" si="176"/>
        <v>249.29</v>
      </c>
      <c r="P1242" s="1">
        <f t="shared" si="177"/>
        <v>127.18877551020408</v>
      </c>
    </row>
    <row r="1243" spans="1:16">
      <c r="A1243" s="2">
        <v>41255</v>
      </c>
      <c r="B1243" s="1">
        <v>251.07</v>
      </c>
      <c r="C1243" s="1">
        <v>254.36</v>
      </c>
      <c r="D1243" s="1">
        <v>250.06</v>
      </c>
      <c r="E1243" s="1">
        <v>251.76</v>
      </c>
      <c r="F1243" s="1">
        <v>2628100</v>
      </c>
      <c r="G1243" s="1">
        <v>251.76</v>
      </c>
      <c r="H1243" s="1">
        <f t="shared" si="171"/>
        <v>4.3000000000000114</v>
      </c>
      <c r="I1243" s="9">
        <f t="shared" si="178"/>
        <v>1.7195872990482329E-2</v>
      </c>
      <c r="J1243" s="1">
        <f t="shared" si="179"/>
        <v>1.0699999999999932</v>
      </c>
      <c r="K1243" s="9">
        <f t="shared" si="172"/>
        <v>4.2682197135904629E-3</v>
      </c>
      <c r="L1243" s="1">
        <f t="shared" si="173"/>
        <v>1</v>
      </c>
      <c r="M1243" s="1">
        <f t="shared" si="174"/>
        <v>254.36</v>
      </c>
      <c r="N1243" s="1">
        <f t="shared" si="175"/>
        <v>250.06</v>
      </c>
      <c r="O1243" s="1">
        <f t="shared" si="176"/>
        <v>249.79999999999998</v>
      </c>
      <c r="P1243" s="1">
        <f t="shared" si="177"/>
        <v>127.44897959183673</v>
      </c>
    </row>
    <row r="1244" spans="1:16">
      <c r="A1244" s="2">
        <v>41254</v>
      </c>
      <c r="B1244" s="1">
        <v>248.5</v>
      </c>
      <c r="C1244" s="1">
        <v>253.48</v>
      </c>
      <c r="D1244" s="1">
        <v>246.65</v>
      </c>
      <c r="E1244" s="1">
        <v>250.69</v>
      </c>
      <c r="F1244" s="1">
        <v>4185200</v>
      </c>
      <c r="G1244" s="1">
        <v>250.69</v>
      </c>
      <c r="H1244" s="1">
        <f t="shared" si="171"/>
        <v>6.8299999999999841</v>
      </c>
      <c r="I1244" s="9">
        <f t="shared" si="178"/>
        <v>2.7691060206770663E-2</v>
      </c>
      <c r="J1244" s="1">
        <f t="shared" si="179"/>
        <v>2.9199999999999875</v>
      </c>
      <c r="K1244" s="9">
        <f t="shared" si="172"/>
        <v>1.1785123299834473E-2</v>
      </c>
      <c r="L1244" s="1">
        <f t="shared" si="173"/>
        <v>1</v>
      </c>
      <c r="M1244" s="1">
        <f t="shared" si="174"/>
        <v>253.48</v>
      </c>
      <c r="N1244" s="1">
        <f t="shared" si="175"/>
        <v>246.65</v>
      </c>
      <c r="O1244" s="1">
        <f t="shared" si="176"/>
        <v>248.73</v>
      </c>
      <c r="P1244" s="1">
        <f t="shared" si="177"/>
        <v>126.90306122448979</v>
      </c>
    </row>
    <row r="1245" spans="1:16">
      <c r="A1245" s="2">
        <v>41253</v>
      </c>
      <c r="B1245" s="1">
        <v>253.1</v>
      </c>
      <c r="C1245" s="1">
        <v>254.78</v>
      </c>
      <c r="D1245" s="1">
        <v>247.3</v>
      </c>
      <c r="E1245" s="1">
        <v>247.77</v>
      </c>
      <c r="F1245" s="1">
        <v>3503800</v>
      </c>
      <c r="G1245" s="1">
        <v>247.77</v>
      </c>
      <c r="H1245" s="1">
        <f t="shared" si="171"/>
        <v>7.4799999999999898</v>
      </c>
      <c r="I1245" s="9">
        <f t="shared" si="178"/>
        <v>3.0246663970885521E-2</v>
      </c>
      <c r="J1245" s="1">
        <f t="shared" si="179"/>
        <v>-5.5</v>
      </c>
      <c r="K1245" s="9">
        <f t="shared" si="172"/>
        <v>-2.1715955304615626E-2</v>
      </c>
      <c r="L1245" s="1">
        <f t="shared" si="173"/>
        <v>1</v>
      </c>
      <c r="M1245" s="1">
        <f t="shared" si="174"/>
        <v>254.78</v>
      </c>
      <c r="N1245" s="1">
        <f t="shared" si="175"/>
        <v>247.3</v>
      </c>
      <c r="O1245" s="1">
        <f t="shared" si="176"/>
        <v>245.81</v>
      </c>
      <c r="P1245" s="1">
        <f t="shared" si="177"/>
        <v>125.41326530612245</v>
      </c>
    </row>
    <row r="1246" spans="1:16">
      <c r="A1246" s="2">
        <v>41250</v>
      </c>
      <c r="B1246" s="1">
        <v>254.14</v>
      </c>
      <c r="C1246" s="1">
        <v>255.21</v>
      </c>
      <c r="D1246" s="1">
        <v>252.01</v>
      </c>
      <c r="E1246" s="1">
        <v>253.27</v>
      </c>
      <c r="F1246" s="1">
        <v>2170300</v>
      </c>
      <c r="G1246" s="1">
        <v>253.27</v>
      </c>
      <c r="H1246" s="1">
        <f t="shared" si="171"/>
        <v>3.2000000000000171</v>
      </c>
      <c r="I1246" s="9">
        <f t="shared" si="178"/>
        <v>1.2697908813142403E-2</v>
      </c>
      <c r="J1246" s="1">
        <f t="shared" si="179"/>
        <v>-9.9999999999994316E-2</v>
      </c>
      <c r="K1246" s="9">
        <f t="shared" si="172"/>
        <v>-3.9467971740929987E-4</v>
      </c>
      <c r="L1246" s="1">
        <f t="shared" si="173"/>
        <v>1</v>
      </c>
      <c r="M1246" s="1">
        <f t="shared" si="174"/>
        <v>255.21</v>
      </c>
      <c r="N1246" s="1">
        <f t="shared" si="175"/>
        <v>252.01</v>
      </c>
      <c r="O1246" s="1">
        <f t="shared" si="176"/>
        <v>251.31</v>
      </c>
      <c r="P1246" s="1">
        <f t="shared" si="177"/>
        <v>128.21938775510205</v>
      </c>
    </row>
    <row r="1247" spans="1:16">
      <c r="A1247" s="2">
        <v>41249</v>
      </c>
      <c r="B1247" s="1">
        <v>253</v>
      </c>
      <c r="C1247" s="1">
        <v>255.17</v>
      </c>
      <c r="D1247" s="1">
        <v>251.51</v>
      </c>
      <c r="E1247" s="1">
        <v>253.37</v>
      </c>
      <c r="F1247" s="1">
        <v>3557900</v>
      </c>
      <c r="G1247" s="1">
        <v>253.37</v>
      </c>
      <c r="H1247" s="1">
        <f t="shared" si="171"/>
        <v>3.6599999999999966</v>
      </c>
      <c r="I1247" s="9">
        <f t="shared" si="178"/>
        <v>1.4552105284084118E-2</v>
      </c>
      <c r="J1247" s="1">
        <f t="shared" si="179"/>
        <v>-0.59000000000000341</v>
      </c>
      <c r="K1247" s="9">
        <f t="shared" si="172"/>
        <v>-2.3232005040163938E-3</v>
      </c>
      <c r="L1247" s="1">
        <f t="shared" si="173"/>
        <v>1</v>
      </c>
      <c r="M1247" s="1">
        <f t="shared" si="174"/>
        <v>255.17</v>
      </c>
      <c r="N1247" s="1">
        <f t="shared" si="175"/>
        <v>251.51</v>
      </c>
      <c r="O1247" s="1">
        <f t="shared" si="176"/>
        <v>251.41</v>
      </c>
      <c r="P1247" s="1">
        <f t="shared" si="177"/>
        <v>128.2704081632653</v>
      </c>
    </row>
    <row r="1248" spans="1:16">
      <c r="A1248" s="2">
        <v>41248</v>
      </c>
      <c r="B1248" s="1">
        <v>252.44</v>
      </c>
      <c r="C1248" s="1">
        <v>255.55</v>
      </c>
      <c r="D1248" s="1">
        <v>250.38</v>
      </c>
      <c r="E1248" s="1">
        <v>253.96</v>
      </c>
      <c r="F1248" s="1">
        <v>2852200</v>
      </c>
      <c r="G1248" s="1">
        <v>253.96</v>
      </c>
      <c r="H1248" s="1">
        <f t="shared" si="171"/>
        <v>5.1700000000000159</v>
      </c>
      <c r="I1248" s="9">
        <f t="shared" si="178"/>
        <v>2.0648614106558095E-2</v>
      </c>
      <c r="J1248" s="1">
        <f t="shared" si="179"/>
        <v>1.4699999999999989</v>
      </c>
      <c r="K1248" s="9">
        <f t="shared" si="172"/>
        <v>5.8220127529803115E-3</v>
      </c>
      <c r="L1248" s="1">
        <f t="shared" si="173"/>
        <v>1</v>
      </c>
      <c r="M1248" s="1">
        <f t="shared" si="174"/>
        <v>255.55</v>
      </c>
      <c r="N1248" s="1">
        <f t="shared" si="175"/>
        <v>250.38</v>
      </c>
      <c r="O1248" s="1">
        <f t="shared" si="176"/>
        <v>252</v>
      </c>
      <c r="P1248" s="1">
        <f t="shared" si="177"/>
        <v>128.57142857142858</v>
      </c>
    </row>
    <row r="1249" spans="1:16">
      <c r="A1249" s="2">
        <v>41247</v>
      </c>
      <c r="B1249" s="1">
        <v>249.94</v>
      </c>
      <c r="C1249" s="1">
        <v>253</v>
      </c>
      <c r="D1249" s="1">
        <v>248.66</v>
      </c>
      <c r="E1249" s="1">
        <v>252.49</v>
      </c>
      <c r="F1249" s="1">
        <v>3114700</v>
      </c>
      <c r="G1249" s="1">
        <v>252.49</v>
      </c>
      <c r="H1249" s="1">
        <f t="shared" si="171"/>
        <v>4.3400000000000034</v>
      </c>
      <c r="I1249" s="9">
        <f t="shared" si="178"/>
        <v>1.7453551033539787E-2</v>
      </c>
      <c r="J1249" s="1">
        <f t="shared" si="179"/>
        <v>2.1599999999999966</v>
      </c>
      <c r="K1249" s="9">
        <f t="shared" si="172"/>
        <v>8.6286102344904584E-3</v>
      </c>
      <c r="L1249" s="1">
        <f t="shared" si="173"/>
        <v>1</v>
      </c>
      <c r="M1249" s="1">
        <f t="shared" si="174"/>
        <v>253</v>
      </c>
      <c r="N1249" s="1">
        <f t="shared" si="175"/>
        <v>248.66</v>
      </c>
      <c r="O1249" s="1">
        <f t="shared" si="176"/>
        <v>250.53</v>
      </c>
      <c r="P1249" s="1">
        <f t="shared" si="177"/>
        <v>127.82142857142857</v>
      </c>
    </row>
    <row r="1250" spans="1:16">
      <c r="A1250" s="2">
        <v>41246</v>
      </c>
      <c r="B1250" s="1">
        <v>252.54</v>
      </c>
      <c r="C1250" s="1">
        <v>254.16</v>
      </c>
      <c r="D1250" s="1">
        <v>250</v>
      </c>
      <c r="E1250" s="1">
        <v>250.33</v>
      </c>
      <c r="F1250" s="1">
        <v>2990600</v>
      </c>
      <c r="G1250" s="1">
        <v>250.33</v>
      </c>
      <c r="H1250" s="1">
        <f t="shared" si="171"/>
        <v>4.1599999999999966</v>
      </c>
      <c r="I1250" s="9">
        <f t="shared" si="178"/>
        <v>1.6639999999999985E-2</v>
      </c>
      <c r="J1250" s="1">
        <f t="shared" si="179"/>
        <v>-1.7199999999999989</v>
      </c>
      <c r="K1250" s="9">
        <f t="shared" si="172"/>
        <v>-6.824042848641138E-3</v>
      </c>
      <c r="L1250" s="1">
        <f t="shared" si="173"/>
        <v>1</v>
      </c>
      <c r="M1250" s="1">
        <f t="shared" si="174"/>
        <v>254.16</v>
      </c>
      <c r="N1250" s="1">
        <f t="shared" si="175"/>
        <v>250</v>
      </c>
      <c r="O1250" s="1">
        <f t="shared" si="176"/>
        <v>248.37</v>
      </c>
      <c r="P1250" s="1">
        <f t="shared" si="177"/>
        <v>126.71938775510205</v>
      </c>
    </row>
    <row r="1251" spans="1:16">
      <c r="A1251" s="2">
        <v>41243</v>
      </c>
      <c r="B1251" s="1">
        <v>250.38</v>
      </c>
      <c r="C1251" s="1">
        <v>252.65</v>
      </c>
      <c r="D1251" s="1">
        <v>248.27</v>
      </c>
      <c r="E1251" s="1">
        <v>252.05</v>
      </c>
      <c r="F1251" s="1">
        <v>3797400</v>
      </c>
      <c r="G1251" s="1">
        <v>252.05</v>
      </c>
      <c r="H1251" s="1">
        <f t="shared" si="171"/>
        <v>4.3799999999999955</v>
      </c>
      <c r="I1251" s="9">
        <f t="shared" si="178"/>
        <v>1.7642083215853688E-2</v>
      </c>
      <c r="J1251" s="1">
        <f t="shared" si="179"/>
        <v>0.78000000000000114</v>
      </c>
      <c r="K1251" s="9">
        <f t="shared" si="172"/>
        <v>3.1042305090142122E-3</v>
      </c>
      <c r="L1251" s="1">
        <f t="shared" si="173"/>
        <v>1</v>
      </c>
      <c r="M1251" s="1">
        <f t="shared" si="174"/>
        <v>252.65</v>
      </c>
      <c r="N1251" s="1">
        <f t="shared" si="175"/>
        <v>248.27</v>
      </c>
      <c r="O1251" s="1">
        <f t="shared" si="176"/>
        <v>250.09</v>
      </c>
      <c r="P1251" s="1">
        <f t="shared" si="177"/>
        <v>127.59693877551021</v>
      </c>
    </row>
    <row r="1252" spans="1:16">
      <c r="A1252" s="2">
        <v>41242</v>
      </c>
      <c r="B1252" s="1">
        <v>248.05</v>
      </c>
      <c r="C1252" s="1">
        <v>252.48</v>
      </c>
      <c r="D1252" s="1">
        <v>247.5</v>
      </c>
      <c r="E1252" s="1">
        <v>251.27</v>
      </c>
      <c r="F1252" s="1">
        <v>5310500</v>
      </c>
      <c r="G1252" s="1">
        <v>251.27</v>
      </c>
      <c r="H1252" s="1">
        <f t="shared" si="171"/>
        <v>4.9799999999999898</v>
      </c>
      <c r="I1252" s="9">
        <f t="shared" si="178"/>
        <v>2.0121212121212081E-2</v>
      </c>
      <c r="J1252" s="1">
        <f t="shared" si="179"/>
        <v>4.1599999999999966</v>
      </c>
      <c r="K1252" s="9">
        <f t="shared" si="172"/>
        <v>1.6834608069280874E-2</v>
      </c>
      <c r="L1252" s="1">
        <f t="shared" si="173"/>
        <v>1</v>
      </c>
      <c r="M1252" s="1">
        <f t="shared" si="174"/>
        <v>252.48</v>
      </c>
      <c r="N1252" s="1">
        <f t="shared" si="175"/>
        <v>247.5</v>
      </c>
      <c r="O1252" s="1">
        <f t="shared" si="176"/>
        <v>249.31</v>
      </c>
      <c r="P1252" s="1">
        <f t="shared" si="177"/>
        <v>127.19897959183673</v>
      </c>
    </row>
    <row r="1253" spans="1:16">
      <c r="A1253" s="2">
        <v>41241</v>
      </c>
      <c r="B1253" s="1">
        <v>242.45</v>
      </c>
      <c r="C1253" s="1">
        <v>247.23</v>
      </c>
      <c r="D1253" s="1">
        <v>241.5</v>
      </c>
      <c r="E1253" s="1">
        <v>247.11</v>
      </c>
      <c r="F1253" s="1">
        <v>2743400</v>
      </c>
      <c r="G1253" s="1">
        <v>247.11</v>
      </c>
      <c r="H1253" s="1">
        <f t="shared" si="171"/>
        <v>5.7299999999999898</v>
      </c>
      <c r="I1253" s="9">
        <f t="shared" si="178"/>
        <v>2.3726708074534118E-2</v>
      </c>
      <c r="J1253" s="1">
        <f t="shared" si="179"/>
        <v>3.710000000000008</v>
      </c>
      <c r="K1253" s="9">
        <f t="shared" si="172"/>
        <v>1.5242399342645882E-2</v>
      </c>
      <c r="L1253" s="1">
        <f t="shared" si="173"/>
        <v>1</v>
      </c>
      <c r="M1253" s="1">
        <f t="shared" si="174"/>
        <v>247.23</v>
      </c>
      <c r="N1253" s="1">
        <f t="shared" si="175"/>
        <v>241.5</v>
      </c>
      <c r="O1253" s="1">
        <f t="shared" si="176"/>
        <v>245.15</v>
      </c>
      <c r="P1253" s="1">
        <f t="shared" si="177"/>
        <v>125.07653061224491</v>
      </c>
    </row>
    <row r="1254" spans="1:16">
      <c r="A1254" s="2">
        <v>41240</v>
      </c>
      <c r="B1254" s="1">
        <v>243.22</v>
      </c>
      <c r="C1254" s="1">
        <v>245.67</v>
      </c>
      <c r="D1254" s="1">
        <v>241.54</v>
      </c>
      <c r="E1254" s="1">
        <v>243.4</v>
      </c>
      <c r="F1254" s="1">
        <v>3048500</v>
      </c>
      <c r="G1254" s="1">
        <v>243.4</v>
      </c>
      <c r="H1254" s="1">
        <f t="shared" si="171"/>
        <v>4.1299999999999955</v>
      </c>
      <c r="I1254" s="9">
        <f t="shared" si="178"/>
        <v>1.7098617206259815E-2</v>
      </c>
      <c r="J1254" s="1">
        <f t="shared" si="179"/>
        <v>-0.21999999999999886</v>
      </c>
      <c r="K1254" s="9">
        <f t="shared" si="172"/>
        <v>-9.030457269518055E-4</v>
      </c>
      <c r="L1254" s="1">
        <f t="shared" si="173"/>
        <v>1</v>
      </c>
      <c r="M1254" s="1">
        <f t="shared" si="174"/>
        <v>245.67</v>
      </c>
      <c r="N1254" s="1">
        <f t="shared" si="175"/>
        <v>241.54</v>
      </c>
      <c r="O1254" s="1">
        <f t="shared" si="176"/>
        <v>241.44</v>
      </c>
      <c r="P1254" s="1">
        <f t="shared" si="177"/>
        <v>123.18367346938776</v>
      </c>
    </row>
    <row r="1255" spans="1:16">
      <c r="A1255" s="2">
        <v>41239</v>
      </c>
      <c r="B1255" s="1">
        <v>240.39</v>
      </c>
      <c r="C1255" s="1">
        <v>244.32</v>
      </c>
      <c r="D1255" s="1">
        <v>238</v>
      </c>
      <c r="E1255" s="1">
        <v>243.62</v>
      </c>
      <c r="F1255" s="1">
        <v>4178300</v>
      </c>
      <c r="G1255" s="1">
        <v>243.62</v>
      </c>
      <c r="H1255" s="1">
        <f t="shared" si="171"/>
        <v>6.3199999999999932</v>
      </c>
      <c r="I1255" s="9">
        <f t="shared" si="178"/>
        <v>2.6554621848739468E-2</v>
      </c>
      <c r="J1255" s="1">
        <f t="shared" si="179"/>
        <v>3.7400000000000091</v>
      </c>
      <c r="K1255" s="9">
        <f t="shared" si="172"/>
        <v>1.5591128897782263E-2</v>
      </c>
      <c r="L1255" s="1">
        <f t="shared" si="173"/>
        <v>1</v>
      </c>
      <c r="M1255" s="1">
        <f t="shared" si="174"/>
        <v>244.32</v>
      </c>
      <c r="N1255" s="1">
        <f t="shared" si="175"/>
        <v>238</v>
      </c>
      <c r="O1255" s="1">
        <f t="shared" si="176"/>
        <v>241.66</v>
      </c>
      <c r="P1255" s="1">
        <f t="shared" si="177"/>
        <v>123.29591836734694</v>
      </c>
    </row>
    <row r="1256" spans="1:16">
      <c r="A1256" s="2">
        <v>41236</v>
      </c>
      <c r="B1256" s="1">
        <v>239.89</v>
      </c>
      <c r="C1256" s="1">
        <v>240</v>
      </c>
      <c r="D1256" s="1">
        <v>236.48</v>
      </c>
      <c r="E1256" s="1">
        <v>239.88</v>
      </c>
      <c r="F1256" s="1">
        <v>1776800</v>
      </c>
      <c r="G1256" s="1">
        <v>239.88</v>
      </c>
      <c r="H1256" s="1">
        <f t="shared" si="171"/>
        <v>3.5200000000000102</v>
      </c>
      <c r="I1256" s="9">
        <f t="shared" si="178"/>
        <v>1.488497970230045E-2</v>
      </c>
      <c r="J1256" s="1">
        <f t="shared" si="179"/>
        <v>1.8499999999999943</v>
      </c>
      <c r="K1256" s="9">
        <f t="shared" si="172"/>
        <v>7.7721295635003749E-3</v>
      </c>
      <c r="L1256" s="1">
        <f t="shared" si="173"/>
        <v>1</v>
      </c>
      <c r="M1256" s="1">
        <f t="shared" si="174"/>
        <v>240</v>
      </c>
      <c r="N1256" s="1">
        <f t="shared" si="175"/>
        <v>236.48</v>
      </c>
      <c r="O1256" s="1">
        <f t="shared" si="176"/>
        <v>237.92</v>
      </c>
      <c r="P1256" s="1">
        <f t="shared" si="177"/>
        <v>121.38775510204081</v>
      </c>
    </row>
    <row r="1257" spans="1:16">
      <c r="A1257" s="2">
        <v>41234</v>
      </c>
      <c r="B1257" s="1">
        <v>233.84</v>
      </c>
      <c r="C1257" s="1">
        <v>238.67</v>
      </c>
      <c r="D1257" s="1">
        <v>232.75</v>
      </c>
      <c r="E1257" s="1">
        <v>238.03</v>
      </c>
      <c r="F1257" s="1">
        <v>2959300</v>
      </c>
      <c r="G1257" s="1">
        <v>238.03</v>
      </c>
      <c r="H1257" s="1">
        <f t="shared" si="171"/>
        <v>5.9199999999999875</v>
      </c>
      <c r="I1257" s="9">
        <f t="shared" si="178"/>
        <v>2.5435016111707787E-2</v>
      </c>
      <c r="J1257" s="1">
        <f t="shared" si="179"/>
        <v>4.25</v>
      </c>
      <c r="K1257" s="9">
        <f t="shared" si="172"/>
        <v>1.8179484985884165E-2</v>
      </c>
      <c r="L1257" s="1">
        <f t="shared" si="173"/>
        <v>1</v>
      </c>
      <c r="M1257" s="1">
        <f t="shared" si="174"/>
        <v>238.67</v>
      </c>
      <c r="N1257" s="1">
        <f t="shared" si="175"/>
        <v>232.75</v>
      </c>
      <c r="O1257" s="1">
        <f t="shared" si="176"/>
        <v>236.07</v>
      </c>
      <c r="P1257" s="1">
        <f t="shared" si="177"/>
        <v>120.44387755102041</v>
      </c>
    </row>
    <row r="1258" spans="1:16">
      <c r="A1258" s="2">
        <v>41233</v>
      </c>
      <c r="B1258" s="1">
        <v>230</v>
      </c>
      <c r="C1258" s="1">
        <v>233.82</v>
      </c>
      <c r="D1258" s="1">
        <v>229.5</v>
      </c>
      <c r="E1258" s="1">
        <v>233.78</v>
      </c>
      <c r="F1258" s="1">
        <v>2771700</v>
      </c>
      <c r="G1258" s="1">
        <v>233.78</v>
      </c>
      <c r="H1258" s="1">
        <f t="shared" si="171"/>
        <v>4.3199999999999932</v>
      </c>
      <c r="I1258" s="9">
        <f t="shared" si="178"/>
        <v>1.8823529411764676E-2</v>
      </c>
      <c r="J1258" s="1">
        <f t="shared" si="179"/>
        <v>4.0699999999999932</v>
      </c>
      <c r="K1258" s="9">
        <f t="shared" si="172"/>
        <v>1.7717992251099181E-2</v>
      </c>
      <c r="L1258" s="1">
        <f t="shared" si="173"/>
        <v>1</v>
      </c>
      <c r="M1258" s="1">
        <f t="shared" si="174"/>
        <v>233.82</v>
      </c>
      <c r="N1258" s="1">
        <f t="shared" si="175"/>
        <v>229.5</v>
      </c>
      <c r="O1258" s="1">
        <f t="shared" si="176"/>
        <v>231.82</v>
      </c>
      <c r="P1258" s="1">
        <f t="shared" si="177"/>
        <v>118.27551020408163</v>
      </c>
    </row>
    <row r="1259" spans="1:16">
      <c r="A1259" s="2">
        <v>41232</v>
      </c>
      <c r="B1259" s="1">
        <v>228.32</v>
      </c>
      <c r="C1259" s="1">
        <v>232.5</v>
      </c>
      <c r="D1259" s="1">
        <v>227.45</v>
      </c>
      <c r="E1259" s="1">
        <v>229.71</v>
      </c>
      <c r="F1259" s="1">
        <v>3591200</v>
      </c>
      <c r="G1259" s="1">
        <v>229.71</v>
      </c>
      <c r="H1259" s="1">
        <f t="shared" si="171"/>
        <v>5.0500000000000114</v>
      </c>
      <c r="I1259" s="9">
        <f t="shared" si="178"/>
        <v>2.2202681908111723E-2</v>
      </c>
      <c r="J1259" s="1">
        <f t="shared" si="179"/>
        <v>4.4800000000000182</v>
      </c>
      <c r="K1259" s="9">
        <f t="shared" si="172"/>
        <v>1.9890778315499794E-2</v>
      </c>
      <c r="L1259" s="1">
        <f t="shared" si="173"/>
        <v>1</v>
      </c>
      <c r="M1259" s="1">
        <f t="shared" si="174"/>
        <v>232.5</v>
      </c>
      <c r="N1259" s="1">
        <f t="shared" si="175"/>
        <v>227.45</v>
      </c>
      <c r="O1259" s="1">
        <f t="shared" si="176"/>
        <v>227.75</v>
      </c>
      <c r="P1259" s="1">
        <f t="shared" si="177"/>
        <v>116.19897959183673</v>
      </c>
    </row>
    <row r="1260" spans="1:16">
      <c r="A1260" s="2">
        <v>41229</v>
      </c>
      <c r="B1260" s="1">
        <v>221.31</v>
      </c>
      <c r="C1260" s="1">
        <v>226.25</v>
      </c>
      <c r="D1260" s="1">
        <v>218.64</v>
      </c>
      <c r="E1260" s="1">
        <v>225.23</v>
      </c>
      <c r="F1260" s="1">
        <v>4352800</v>
      </c>
      <c r="G1260" s="1">
        <v>225.23</v>
      </c>
      <c r="H1260" s="1">
        <f t="shared" si="171"/>
        <v>7.6100000000000136</v>
      </c>
      <c r="I1260" s="9">
        <f t="shared" si="178"/>
        <v>3.4806073911452684E-2</v>
      </c>
      <c r="J1260" s="1">
        <f t="shared" si="179"/>
        <v>4.6299999999999955</v>
      </c>
      <c r="K1260" s="9">
        <f t="shared" si="172"/>
        <v>2.0988213961922009E-2</v>
      </c>
      <c r="L1260" s="1">
        <f t="shared" si="173"/>
        <v>1</v>
      </c>
      <c r="M1260" s="1">
        <f t="shared" si="174"/>
        <v>226.25</v>
      </c>
      <c r="N1260" s="1">
        <f t="shared" si="175"/>
        <v>218.64</v>
      </c>
      <c r="O1260" s="1">
        <f t="shared" si="176"/>
        <v>223.26999999999998</v>
      </c>
      <c r="P1260" s="1">
        <f t="shared" si="177"/>
        <v>113.91326530612244</v>
      </c>
    </row>
    <row r="1261" spans="1:16">
      <c r="A1261" s="2">
        <v>41228</v>
      </c>
      <c r="B1261" s="1">
        <v>222.3</v>
      </c>
      <c r="C1261" s="1">
        <v>225.16</v>
      </c>
      <c r="D1261" s="1">
        <v>218.18</v>
      </c>
      <c r="E1261" s="1">
        <v>220.6</v>
      </c>
      <c r="F1261" s="1">
        <v>3404700</v>
      </c>
      <c r="G1261" s="1">
        <v>220.6</v>
      </c>
      <c r="H1261" s="1">
        <f t="shared" si="171"/>
        <v>6.9799999999999898</v>
      </c>
      <c r="I1261" s="9">
        <f t="shared" si="178"/>
        <v>3.1991933266110502E-2</v>
      </c>
      <c r="J1261" s="1">
        <f t="shared" si="179"/>
        <v>-2.3499999999999943</v>
      </c>
      <c r="K1261" s="9">
        <f t="shared" si="172"/>
        <v>-1.0540479928235005E-2</v>
      </c>
      <c r="L1261" s="1">
        <f t="shared" si="173"/>
        <v>1</v>
      </c>
      <c r="M1261" s="1">
        <f t="shared" si="174"/>
        <v>225.16</v>
      </c>
      <c r="N1261" s="1">
        <f t="shared" si="175"/>
        <v>218.18</v>
      </c>
      <c r="O1261" s="1">
        <f t="shared" si="176"/>
        <v>218.64</v>
      </c>
      <c r="P1261" s="1">
        <f t="shared" si="177"/>
        <v>111.55102040816325</v>
      </c>
    </row>
    <row r="1262" spans="1:16">
      <c r="A1262" s="2">
        <v>41227</v>
      </c>
      <c r="B1262" s="1">
        <v>226.5</v>
      </c>
      <c r="C1262" s="1">
        <v>227.41</v>
      </c>
      <c r="D1262" s="1">
        <v>222.51</v>
      </c>
      <c r="E1262" s="1">
        <v>222.95</v>
      </c>
      <c r="F1262" s="1">
        <v>3034100</v>
      </c>
      <c r="G1262" s="1">
        <v>222.95</v>
      </c>
      <c r="H1262" s="1">
        <f t="shared" si="171"/>
        <v>4.9000000000000057</v>
      </c>
      <c r="I1262" s="9">
        <f t="shared" si="178"/>
        <v>2.2021482180576181E-2</v>
      </c>
      <c r="J1262" s="1">
        <f t="shared" si="179"/>
        <v>-3.6500000000000057</v>
      </c>
      <c r="K1262" s="9">
        <f t="shared" si="172"/>
        <v>-1.6107678729037976E-2</v>
      </c>
      <c r="L1262" s="1">
        <f t="shared" si="173"/>
        <v>1</v>
      </c>
      <c r="M1262" s="1">
        <f t="shared" si="174"/>
        <v>227.41</v>
      </c>
      <c r="N1262" s="1">
        <f t="shared" si="175"/>
        <v>222.51</v>
      </c>
      <c r="O1262" s="1">
        <f t="shared" si="176"/>
        <v>220.98999999999998</v>
      </c>
      <c r="P1262" s="1">
        <f t="shared" si="177"/>
        <v>112.74999999999999</v>
      </c>
    </row>
    <row r="1263" spans="1:16">
      <c r="A1263" s="2">
        <v>41226</v>
      </c>
      <c r="B1263" s="1">
        <v>225.12</v>
      </c>
      <c r="C1263" s="1">
        <v>227.9</v>
      </c>
      <c r="D1263" s="1">
        <v>224.71</v>
      </c>
      <c r="E1263" s="1">
        <v>226.6</v>
      </c>
      <c r="F1263" s="1">
        <v>2629800</v>
      </c>
      <c r="G1263" s="1">
        <v>226.6</v>
      </c>
      <c r="H1263" s="1">
        <f t="shared" si="171"/>
        <v>3.1899999999999977</v>
      </c>
      <c r="I1263" s="9">
        <f t="shared" si="178"/>
        <v>1.4196074941035102E-2</v>
      </c>
      <c r="J1263" s="1">
        <f t="shared" si="179"/>
        <v>0.12999999999999545</v>
      </c>
      <c r="K1263" s="9">
        <f t="shared" si="172"/>
        <v>5.7402746500638253E-4</v>
      </c>
      <c r="L1263" s="1">
        <f t="shared" si="173"/>
        <v>1</v>
      </c>
      <c r="M1263" s="1">
        <f t="shared" si="174"/>
        <v>227.9</v>
      </c>
      <c r="N1263" s="1">
        <f t="shared" si="175"/>
        <v>224.71</v>
      </c>
      <c r="O1263" s="1">
        <f t="shared" si="176"/>
        <v>224.64</v>
      </c>
      <c r="P1263" s="1">
        <f t="shared" si="177"/>
        <v>114.61224489795917</v>
      </c>
    </row>
    <row r="1264" spans="1:16">
      <c r="A1264" s="2">
        <v>41225</v>
      </c>
      <c r="B1264" s="1">
        <v>226.59</v>
      </c>
      <c r="C1264" s="1">
        <v>229.22</v>
      </c>
      <c r="D1264" s="1">
        <v>225.41</v>
      </c>
      <c r="E1264" s="1">
        <v>226.47</v>
      </c>
      <c r="F1264" s="1">
        <v>2128800</v>
      </c>
      <c r="G1264" s="1">
        <v>226.47</v>
      </c>
      <c r="H1264" s="1">
        <f t="shared" si="171"/>
        <v>3.8100000000000023</v>
      </c>
      <c r="I1264" s="9">
        <f t="shared" si="178"/>
        <v>1.6902533161794076E-2</v>
      </c>
      <c r="J1264" s="1">
        <f t="shared" si="179"/>
        <v>0.15999999999999659</v>
      </c>
      <c r="K1264" s="9">
        <f t="shared" si="172"/>
        <v>7.0699483010028979E-4</v>
      </c>
      <c r="L1264" s="1">
        <f t="shared" si="173"/>
        <v>1</v>
      </c>
      <c r="M1264" s="1">
        <f t="shared" si="174"/>
        <v>229.22</v>
      </c>
      <c r="N1264" s="1">
        <f t="shared" si="175"/>
        <v>225.41</v>
      </c>
      <c r="O1264" s="1">
        <f t="shared" si="176"/>
        <v>224.51</v>
      </c>
      <c r="P1264" s="1">
        <f t="shared" si="177"/>
        <v>114.54591836734694</v>
      </c>
    </row>
    <row r="1265" spans="1:16">
      <c r="A1265" s="2">
        <v>41222</v>
      </c>
      <c r="B1265" s="1">
        <v>226.26</v>
      </c>
      <c r="C1265" s="1">
        <v>230.97</v>
      </c>
      <c r="D1265" s="1">
        <v>224.6</v>
      </c>
      <c r="E1265" s="1">
        <v>226.31</v>
      </c>
      <c r="F1265" s="1">
        <v>3092500</v>
      </c>
      <c r="G1265" s="1">
        <v>226.31</v>
      </c>
      <c r="H1265" s="1">
        <f t="shared" si="171"/>
        <v>6.3700000000000045</v>
      </c>
      <c r="I1265" s="9">
        <f t="shared" si="178"/>
        <v>2.836153161175425E-2</v>
      </c>
      <c r="J1265" s="1">
        <f t="shared" si="179"/>
        <v>-1.039999999999992</v>
      </c>
      <c r="K1265" s="9">
        <f t="shared" si="172"/>
        <v>-4.5744446888057715E-3</v>
      </c>
      <c r="L1265" s="1">
        <f t="shared" si="173"/>
        <v>1</v>
      </c>
      <c r="M1265" s="1">
        <f t="shared" si="174"/>
        <v>230.97</v>
      </c>
      <c r="N1265" s="1">
        <f t="shared" si="175"/>
        <v>224.6</v>
      </c>
      <c r="O1265" s="1">
        <f t="shared" si="176"/>
        <v>224.35</v>
      </c>
      <c r="P1265" s="1">
        <f t="shared" si="177"/>
        <v>114.46428571428571</v>
      </c>
    </row>
    <row r="1266" spans="1:16">
      <c r="A1266" s="2">
        <v>41221</v>
      </c>
      <c r="B1266" s="1">
        <v>232.22</v>
      </c>
      <c r="C1266" s="1">
        <v>233.45</v>
      </c>
      <c r="D1266" s="1">
        <v>227.1</v>
      </c>
      <c r="E1266" s="1">
        <v>227.35</v>
      </c>
      <c r="F1266" s="1">
        <v>2982400</v>
      </c>
      <c r="G1266" s="1">
        <v>227.35</v>
      </c>
      <c r="H1266" s="1">
        <f t="shared" si="171"/>
        <v>6.3499999999999943</v>
      </c>
      <c r="I1266" s="9">
        <f t="shared" si="178"/>
        <v>2.7961250550418294E-2</v>
      </c>
      <c r="J1266" s="1">
        <f t="shared" si="179"/>
        <v>-4.710000000000008</v>
      </c>
      <c r="K1266" s="9">
        <f t="shared" si="172"/>
        <v>-2.0296475049556183E-2</v>
      </c>
      <c r="L1266" s="1">
        <f t="shared" si="173"/>
        <v>1</v>
      </c>
      <c r="M1266" s="1">
        <f t="shared" si="174"/>
        <v>233.45</v>
      </c>
      <c r="N1266" s="1">
        <f t="shared" si="175"/>
        <v>227.1</v>
      </c>
      <c r="O1266" s="1">
        <f t="shared" si="176"/>
        <v>225.39</v>
      </c>
      <c r="P1266" s="1">
        <f t="shared" si="177"/>
        <v>114.99489795918367</v>
      </c>
    </row>
    <row r="1267" spans="1:16">
      <c r="A1267" s="2">
        <v>41220</v>
      </c>
      <c r="B1267" s="1">
        <v>235.65</v>
      </c>
      <c r="C1267" s="1">
        <v>235.66</v>
      </c>
      <c r="D1267" s="1">
        <v>229.42</v>
      </c>
      <c r="E1267" s="1">
        <v>232.06</v>
      </c>
      <c r="F1267" s="1">
        <v>3624200</v>
      </c>
      <c r="G1267" s="1">
        <v>232.06</v>
      </c>
      <c r="H1267" s="1">
        <f t="shared" si="171"/>
        <v>6.2400000000000091</v>
      </c>
      <c r="I1267" s="9">
        <f t="shared" si="178"/>
        <v>2.7199023624792998E-2</v>
      </c>
      <c r="J1267" s="1">
        <f t="shared" si="179"/>
        <v>-5.5</v>
      </c>
      <c r="K1267" s="9">
        <f t="shared" si="172"/>
        <v>-2.3152045798956054E-2</v>
      </c>
      <c r="L1267" s="1">
        <f t="shared" si="173"/>
        <v>1</v>
      </c>
      <c r="M1267" s="1">
        <f t="shared" si="174"/>
        <v>235.66</v>
      </c>
      <c r="N1267" s="1">
        <f t="shared" si="175"/>
        <v>229.42</v>
      </c>
      <c r="O1267" s="1">
        <f t="shared" si="176"/>
        <v>230.1</v>
      </c>
      <c r="P1267" s="1">
        <f t="shared" si="177"/>
        <v>117.39795918367346</v>
      </c>
    </row>
    <row r="1268" spans="1:16">
      <c r="A1268" s="2">
        <v>41219</v>
      </c>
      <c r="B1268" s="1">
        <v>235.41</v>
      </c>
      <c r="C1268" s="1">
        <v>237.75</v>
      </c>
      <c r="D1268" s="1">
        <v>234.45</v>
      </c>
      <c r="E1268" s="1">
        <v>237.56</v>
      </c>
      <c r="F1268" s="1">
        <v>2661300</v>
      </c>
      <c r="G1268" s="1">
        <v>237.56</v>
      </c>
      <c r="H1268" s="1">
        <f t="shared" si="171"/>
        <v>3.3000000000000114</v>
      </c>
      <c r="I1268" s="9">
        <f t="shared" si="178"/>
        <v>1.4075495841330823E-2</v>
      </c>
      <c r="J1268" s="1">
        <f t="shared" si="179"/>
        <v>3.2299999999999898</v>
      </c>
      <c r="K1268" s="9">
        <f t="shared" si="172"/>
        <v>1.3783979857465923E-2</v>
      </c>
      <c r="L1268" s="1">
        <f t="shared" si="173"/>
        <v>1</v>
      </c>
      <c r="M1268" s="1">
        <f t="shared" si="174"/>
        <v>237.75</v>
      </c>
      <c r="N1268" s="1">
        <f t="shared" si="175"/>
        <v>234.45</v>
      </c>
      <c r="O1268" s="1">
        <f t="shared" si="176"/>
        <v>235.6</v>
      </c>
      <c r="P1268" s="1">
        <f t="shared" si="177"/>
        <v>120.20408163265306</v>
      </c>
    </row>
    <row r="1269" spans="1:16">
      <c r="A1269" s="2">
        <v>41218</v>
      </c>
      <c r="B1269" s="1">
        <v>232.04</v>
      </c>
      <c r="C1269" s="1">
        <v>234.83</v>
      </c>
      <c r="D1269" s="1">
        <v>230.11</v>
      </c>
      <c r="E1269" s="1">
        <v>234.33</v>
      </c>
      <c r="F1269" s="1">
        <v>1846100</v>
      </c>
      <c r="G1269" s="1">
        <v>234.33</v>
      </c>
      <c r="H1269" s="1">
        <f t="shared" si="171"/>
        <v>4.7199999999999989</v>
      </c>
      <c r="I1269" s="9">
        <f t="shared" si="178"/>
        <v>2.051192907739776E-2</v>
      </c>
      <c r="J1269" s="1">
        <f t="shared" si="179"/>
        <v>1.910000000000025</v>
      </c>
      <c r="K1269" s="9">
        <f t="shared" si="172"/>
        <v>8.2178814215645175E-3</v>
      </c>
      <c r="L1269" s="1">
        <f t="shared" si="173"/>
        <v>1</v>
      </c>
      <c r="M1269" s="1">
        <f t="shared" si="174"/>
        <v>234.83</v>
      </c>
      <c r="N1269" s="1">
        <f t="shared" si="175"/>
        <v>230.11</v>
      </c>
      <c r="O1269" s="1">
        <f t="shared" si="176"/>
        <v>232.37</v>
      </c>
      <c r="P1269" s="1">
        <f t="shared" si="177"/>
        <v>118.55612244897959</v>
      </c>
    </row>
    <row r="1270" spans="1:16">
      <c r="A1270" s="2">
        <v>41215</v>
      </c>
      <c r="B1270" s="1">
        <v>234.01</v>
      </c>
      <c r="C1270" s="1">
        <v>237.4</v>
      </c>
      <c r="D1270" s="1">
        <v>232.11</v>
      </c>
      <c r="E1270" s="1">
        <v>232.42</v>
      </c>
      <c r="F1270" s="1">
        <v>3374700</v>
      </c>
      <c r="G1270" s="1">
        <v>232.42</v>
      </c>
      <c r="H1270" s="1">
        <f t="shared" si="171"/>
        <v>5.289999999999992</v>
      </c>
      <c r="I1270" s="9">
        <f t="shared" si="178"/>
        <v>2.279091809917708E-2</v>
      </c>
      <c r="J1270" s="1">
        <f t="shared" si="179"/>
        <v>0.28000000000000114</v>
      </c>
      <c r="K1270" s="9">
        <f t="shared" si="172"/>
        <v>1.2061686913069749E-3</v>
      </c>
      <c r="L1270" s="1">
        <f t="shared" si="173"/>
        <v>1</v>
      </c>
      <c r="M1270" s="1">
        <f t="shared" si="174"/>
        <v>237.4</v>
      </c>
      <c r="N1270" s="1">
        <f t="shared" si="175"/>
        <v>232.11</v>
      </c>
      <c r="O1270" s="1">
        <f t="shared" si="176"/>
        <v>230.45999999999998</v>
      </c>
      <c r="P1270" s="1">
        <f t="shared" si="177"/>
        <v>117.58163265306122</v>
      </c>
    </row>
    <row r="1271" spans="1:16">
      <c r="A1271" s="2">
        <v>41214</v>
      </c>
      <c r="B1271" s="1">
        <v>234.23</v>
      </c>
      <c r="C1271" s="1">
        <v>234.55</v>
      </c>
      <c r="D1271" s="1">
        <v>231.34</v>
      </c>
      <c r="E1271" s="1">
        <v>232.14</v>
      </c>
      <c r="F1271" s="1">
        <v>3905100</v>
      </c>
      <c r="G1271" s="1">
        <v>232.14</v>
      </c>
      <c r="H1271" s="1">
        <f t="shared" si="171"/>
        <v>3.210000000000008</v>
      </c>
      <c r="I1271" s="9">
        <f t="shared" si="178"/>
        <v>1.3875680816114844E-2</v>
      </c>
      <c r="J1271" s="1">
        <f t="shared" si="179"/>
        <v>-0.75</v>
      </c>
      <c r="K1271" s="9">
        <f t="shared" si="172"/>
        <v>-3.2204044828030402E-3</v>
      </c>
      <c r="L1271" s="1">
        <f t="shared" si="173"/>
        <v>1</v>
      </c>
      <c r="M1271" s="1">
        <f t="shared" si="174"/>
        <v>234.55</v>
      </c>
      <c r="N1271" s="1">
        <f t="shared" si="175"/>
        <v>231.34</v>
      </c>
      <c r="O1271" s="1">
        <f t="shared" si="176"/>
        <v>230.17999999999998</v>
      </c>
      <c r="P1271" s="1">
        <f t="shared" si="177"/>
        <v>117.43877551020407</v>
      </c>
    </row>
    <row r="1272" spans="1:16">
      <c r="A1272" s="2">
        <v>41213</v>
      </c>
      <c r="B1272" s="1">
        <v>236.32</v>
      </c>
      <c r="C1272" s="1">
        <v>238.7</v>
      </c>
      <c r="D1272" s="1">
        <v>230.5</v>
      </c>
      <c r="E1272" s="1">
        <v>232.89</v>
      </c>
      <c r="F1272" s="1">
        <v>4797600</v>
      </c>
      <c r="G1272" s="1">
        <v>232.89</v>
      </c>
      <c r="H1272" s="1">
        <f t="shared" si="171"/>
        <v>8.1999999999999886</v>
      </c>
      <c r="I1272" s="9">
        <f t="shared" si="178"/>
        <v>3.557483731019518E-2</v>
      </c>
      <c r="J1272" s="1">
        <f t="shared" si="179"/>
        <v>-5.3500000000000227</v>
      </c>
      <c r="K1272" s="9">
        <f t="shared" si="172"/>
        <v>-2.2456346541302984E-2</v>
      </c>
      <c r="L1272" s="1">
        <f t="shared" si="173"/>
        <v>1</v>
      </c>
      <c r="M1272" s="1">
        <f t="shared" si="174"/>
        <v>238.7</v>
      </c>
      <c r="N1272" s="1">
        <f t="shared" si="175"/>
        <v>230.5</v>
      </c>
      <c r="O1272" s="1">
        <f t="shared" si="176"/>
        <v>230.92999999999998</v>
      </c>
      <c r="P1272" s="1">
        <f t="shared" si="177"/>
        <v>117.82142857142857</v>
      </c>
    </row>
    <row r="1273" spans="1:16">
      <c r="A1273" s="2">
        <v>41208</v>
      </c>
      <c r="B1273" s="1">
        <v>228.6</v>
      </c>
      <c r="C1273" s="1">
        <v>238.71</v>
      </c>
      <c r="D1273" s="1">
        <v>226.69</v>
      </c>
      <c r="E1273" s="1">
        <v>238.24</v>
      </c>
      <c r="F1273" s="1">
        <v>11367500</v>
      </c>
      <c r="G1273" s="1">
        <v>238.24</v>
      </c>
      <c r="H1273" s="1">
        <f t="shared" si="171"/>
        <v>12.02000000000001</v>
      </c>
      <c r="I1273" s="9">
        <f t="shared" si="178"/>
        <v>5.3023953416560105E-2</v>
      </c>
      <c r="J1273" s="1">
        <f t="shared" si="179"/>
        <v>15.320000000000022</v>
      </c>
      <c r="K1273" s="9">
        <f t="shared" si="172"/>
        <v>6.8724205993181506E-2</v>
      </c>
      <c r="L1273" s="1">
        <f t="shared" si="173"/>
        <v>1</v>
      </c>
      <c r="M1273" s="1">
        <f t="shared" si="174"/>
        <v>238.71</v>
      </c>
      <c r="N1273" s="1">
        <f t="shared" si="175"/>
        <v>226.69</v>
      </c>
      <c r="O1273" s="1">
        <f t="shared" si="176"/>
        <v>236.28</v>
      </c>
      <c r="P1273" s="1">
        <f t="shared" si="177"/>
        <v>120.55102040816327</v>
      </c>
    </row>
    <row r="1274" spans="1:16">
      <c r="A1274" s="2">
        <v>41207</v>
      </c>
      <c r="B1274" s="1">
        <v>230.92</v>
      </c>
      <c r="C1274" s="1">
        <v>230.92</v>
      </c>
      <c r="D1274" s="1">
        <v>222.92</v>
      </c>
      <c r="E1274" s="1">
        <v>222.92</v>
      </c>
      <c r="F1274" s="1">
        <v>6741300</v>
      </c>
      <c r="G1274" s="1">
        <v>222.92</v>
      </c>
      <c r="H1274" s="1">
        <f t="shared" si="171"/>
        <v>8</v>
      </c>
      <c r="I1274" s="9">
        <f t="shared" si="178"/>
        <v>3.5887313834559488E-2</v>
      </c>
      <c r="J1274" s="1">
        <f t="shared" si="179"/>
        <v>-5.5700000000000216</v>
      </c>
      <c r="K1274" s="9">
        <f t="shared" si="172"/>
        <v>-2.4377434461026835E-2</v>
      </c>
      <c r="L1274" s="1">
        <f t="shared" si="173"/>
        <v>1</v>
      </c>
      <c r="M1274" s="1">
        <f t="shared" si="174"/>
        <v>230.92</v>
      </c>
      <c r="N1274" s="1">
        <f t="shared" si="175"/>
        <v>222.92</v>
      </c>
      <c r="O1274" s="1">
        <f t="shared" si="176"/>
        <v>220.95999999999998</v>
      </c>
      <c r="P1274" s="1">
        <f t="shared" si="177"/>
        <v>112.73469387755101</v>
      </c>
    </row>
    <row r="1275" spans="1:16">
      <c r="A1275" s="2">
        <v>41206</v>
      </c>
      <c r="B1275" s="1">
        <v>235.88</v>
      </c>
      <c r="C1275" s="1">
        <v>235.94</v>
      </c>
      <c r="D1275" s="1">
        <v>227.95</v>
      </c>
      <c r="E1275" s="1">
        <v>228.49</v>
      </c>
      <c r="F1275" s="1">
        <v>3678700</v>
      </c>
      <c r="G1275" s="1">
        <v>228.49</v>
      </c>
      <c r="H1275" s="1">
        <f t="shared" si="171"/>
        <v>7.9900000000000091</v>
      </c>
      <c r="I1275" s="9">
        <f t="shared" si="178"/>
        <v>3.5051546391752619E-2</v>
      </c>
      <c r="J1275" s="1">
        <f t="shared" si="179"/>
        <v>-5.8199999999999932</v>
      </c>
      <c r="K1275" s="9">
        <f t="shared" si="172"/>
        <v>-2.4838888651786066E-2</v>
      </c>
      <c r="L1275" s="1">
        <f t="shared" si="173"/>
        <v>1</v>
      </c>
      <c r="M1275" s="1">
        <f t="shared" si="174"/>
        <v>235.94</v>
      </c>
      <c r="N1275" s="1">
        <f t="shared" si="175"/>
        <v>227.95</v>
      </c>
      <c r="O1275" s="1">
        <f t="shared" si="176"/>
        <v>226.53</v>
      </c>
      <c r="P1275" s="1">
        <f t="shared" si="177"/>
        <v>115.57653061224489</v>
      </c>
    </row>
    <row r="1276" spans="1:16">
      <c r="A1276" s="2">
        <v>41205</v>
      </c>
      <c r="B1276" s="1">
        <v>231.05</v>
      </c>
      <c r="C1276" s="1">
        <v>236.5</v>
      </c>
      <c r="D1276" s="1">
        <v>230.01</v>
      </c>
      <c r="E1276" s="1">
        <v>234.31</v>
      </c>
      <c r="F1276" s="1">
        <v>4430800</v>
      </c>
      <c r="G1276" s="1">
        <v>234.31</v>
      </c>
      <c r="H1276" s="1">
        <f t="shared" si="171"/>
        <v>6.4900000000000091</v>
      </c>
      <c r="I1276" s="9">
        <f t="shared" si="178"/>
        <v>2.8216164514586362E-2</v>
      </c>
      <c r="J1276" s="1">
        <f t="shared" si="179"/>
        <v>0.53000000000000114</v>
      </c>
      <c r="K1276" s="9">
        <f t="shared" si="172"/>
        <v>2.2670887158867362E-3</v>
      </c>
      <c r="L1276" s="1">
        <f t="shared" si="173"/>
        <v>1</v>
      </c>
      <c r="M1276" s="1">
        <f t="shared" si="174"/>
        <v>236.5</v>
      </c>
      <c r="N1276" s="1">
        <f t="shared" si="175"/>
        <v>230.01</v>
      </c>
      <c r="O1276" s="1">
        <f t="shared" si="176"/>
        <v>232.35</v>
      </c>
      <c r="P1276" s="1">
        <f t="shared" si="177"/>
        <v>118.54591836734694</v>
      </c>
    </row>
    <row r="1277" spans="1:16">
      <c r="A1277" s="2">
        <v>41204</v>
      </c>
      <c r="B1277" s="1">
        <v>238.81</v>
      </c>
      <c r="C1277" s="1">
        <v>238.95</v>
      </c>
      <c r="D1277" s="1">
        <v>232.32</v>
      </c>
      <c r="E1277" s="1">
        <v>233.78</v>
      </c>
      <c r="F1277" s="1">
        <v>4500000</v>
      </c>
      <c r="G1277" s="1">
        <v>233.78</v>
      </c>
      <c r="H1277" s="1">
        <f t="shared" si="171"/>
        <v>6.6299999999999955</v>
      </c>
      <c r="I1277" s="9">
        <f t="shared" si="178"/>
        <v>2.8538223140495849E-2</v>
      </c>
      <c r="J1277" s="1">
        <f t="shared" si="179"/>
        <v>-6.2199999999999989</v>
      </c>
      <c r="K1277" s="9">
        <f t="shared" si="172"/>
        <v>-2.5916666666666661E-2</v>
      </c>
      <c r="L1277" s="1">
        <f t="shared" si="173"/>
        <v>1</v>
      </c>
      <c r="M1277" s="1">
        <f t="shared" si="174"/>
        <v>238.95</v>
      </c>
      <c r="N1277" s="1">
        <f t="shared" si="175"/>
        <v>232.32</v>
      </c>
      <c r="O1277" s="1">
        <f t="shared" si="176"/>
        <v>231.82</v>
      </c>
      <c r="P1277" s="1">
        <f t="shared" si="177"/>
        <v>118.27551020408163</v>
      </c>
    </row>
    <row r="1278" spans="1:16">
      <c r="A1278" s="2">
        <v>41201</v>
      </c>
      <c r="B1278" s="1">
        <v>245.16</v>
      </c>
      <c r="C1278" s="1">
        <v>246.82</v>
      </c>
      <c r="D1278" s="1">
        <v>238.94</v>
      </c>
      <c r="E1278" s="1">
        <v>240</v>
      </c>
      <c r="F1278" s="1">
        <v>4395300</v>
      </c>
      <c r="G1278" s="1">
        <v>240</v>
      </c>
      <c r="H1278" s="1">
        <f t="shared" si="171"/>
        <v>7.8799999999999955</v>
      </c>
      <c r="I1278" s="9">
        <f t="shared" si="178"/>
        <v>3.2978990541558534E-2</v>
      </c>
      <c r="J1278" s="1">
        <f t="shared" si="179"/>
        <v>-4.8499999999999943</v>
      </c>
      <c r="K1278" s="9">
        <f t="shared" si="172"/>
        <v>-1.9808045742291176E-2</v>
      </c>
      <c r="L1278" s="1">
        <f t="shared" si="173"/>
        <v>1</v>
      </c>
      <c r="M1278" s="1">
        <f t="shared" si="174"/>
        <v>246.82</v>
      </c>
      <c r="N1278" s="1">
        <f t="shared" si="175"/>
        <v>238.94</v>
      </c>
      <c r="O1278" s="1">
        <f t="shared" si="176"/>
        <v>238.04</v>
      </c>
      <c r="P1278" s="1">
        <f t="shared" si="177"/>
        <v>121.44897959183673</v>
      </c>
    </row>
    <row r="1279" spans="1:16">
      <c r="A1279" s="2">
        <v>41200</v>
      </c>
      <c r="B1279" s="1">
        <v>247.77</v>
      </c>
      <c r="C1279" s="1">
        <v>250.91</v>
      </c>
      <c r="D1279" s="1">
        <v>242.7</v>
      </c>
      <c r="E1279" s="1">
        <v>244.85</v>
      </c>
      <c r="F1279" s="1">
        <v>5305300</v>
      </c>
      <c r="G1279" s="1">
        <v>244.85</v>
      </c>
      <c r="H1279" s="1">
        <f t="shared" si="171"/>
        <v>8.210000000000008</v>
      </c>
      <c r="I1279" s="9">
        <f t="shared" si="178"/>
        <v>3.3827770910589236E-2</v>
      </c>
      <c r="J1279" s="1">
        <f t="shared" si="179"/>
        <v>-2.6400000000000148</v>
      </c>
      <c r="K1279" s="9">
        <f t="shared" si="172"/>
        <v>-1.0667097660511595E-2</v>
      </c>
      <c r="L1279" s="1">
        <f t="shared" si="173"/>
        <v>1</v>
      </c>
      <c r="M1279" s="1">
        <f t="shared" si="174"/>
        <v>250.91</v>
      </c>
      <c r="N1279" s="1">
        <f t="shared" si="175"/>
        <v>242.7</v>
      </c>
      <c r="O1279" s="1">
        <f t="shared" si="176"/>
        <v>242.89</v>
      </c>
      <c r="P1279" s="1">
        <f t="shared" si="177"/>
        <v>123.92346938775509</v>
      </c>
    </row>
    <row r="1280" spans="1:16">
      <c r="A1280" s="2">
        <v>41199</v>
      </c>
      <c r="B1280" s="1">
        <v>243.37</v>
      </c>
      <c r="C1280" s="1">
        <v>248.8</v>
      </c>
      <c r="D1280" s="1">
        <v>243.3</v>
      </c>
      <c r="E1280" s="1">
        <v>247.49</v>
      </c>
      <c r="F1280" s="1">
        <v>3302700</v>
      </c>
      <c r="G1280" s="1">
        <v>247.49</v>
      </c>
      <c r="H1280" s="1">
        <f t="shared" si="171"/>
        <v>5.5</v>
      </c>
      <c r="I1280" s="9">
        <f t="shared" si="178"/>
        <v>2.2605836415947388E-2</v>
      </c>
      <c r="J1280" s="1">
        <f t="shared" si="179"/>
        <v>3.5500000000000114</v>
      </c>
      <c r="K1280" s="9">
        <f t="shared" si="172"/>
        <v>1.4552758875133276E-2</v>
      </c>
      <c r="L1280" s="1">
        <f t="shared" si="173"/>
        <v>1</v>
      </c>
      <c r="M1280" s="1">
        <f t="shared" si="174"/>
        <v>248.8</v>
      </c>
      <c r="N1280" s="1">
        <f t="shared" si="175"/>
        <v>243.3</v>
      </c>
      <c r="O1280" s="1">
        <f t="shared" si="176"/>
        <v>245.53</v>
      </c>
      <c r="P1280" s="1">
        <f t="shared" si="177"/>
        <v>125.27040816326532</v>
      </c>
    </row>
    <row r="1281" spans="1:16">
      <c r="A1281" s="2">
        <v>41198</v>
      </c>
      <c r="B1281" s="1">
        <v>244.87</v>
      </c>
      <c r="C1281" s="1">
        <v>245.77</v>
      </c>
      <c r="D1281" s="1">
        <v>242.08</v>
      </c>
      <c r="E1281" s="1">
        <v>243.94</v>
      </c>
      <c r="F1281" s="1">
        <v>2204100</v>
      </c>
      <c r="G1281" s="1">
        <v>243.94</v>
      </c>
      <c r="H1281" s="1">
        <f t="shared" si="171"/>
        <v>3.6899999999999977</v>
      </c>
      <c r="I1281" s="9">
        <f t="shared" si="178"/>
        <v>1.5242894910773288E-2</v>
      </c>
      <c r="J1281" s="1">
        <f t="shared" si="179"/>
        <v>-0.24000000000000909</v>
      </c>
      <c r="K1281" s="9">
        <f t="shared" si="172"/>
        <v>-9.8288148087480169E-4</v>
      </c>
      <c r="L1281" s="1">
        <f t="shared" si="173"/>
        <v>1</v>
      </c>
      <c r="M1281" s="1">
        <f t="shared" si="174"/>
        <v>245.77</v>
      </c>
      <c r="N1281" s="1">
        <f t="shared" si="175"/>
        <v>242.08</v>
      </c>
      <c r="O1281" s="1">
        <f t="shared" si="176"/>
        <v>241.98</v>
      </c>
      <c r="P1281" s="1">
        <f t="shared" si="177"/>
        <v>123.45918367346938</v>
      </c>
    </row>
    <row r="1282" spans="1:16">
      <c r="A1282" s="2">
        <v>41197</v>
      </c>
      <c r="B1282" s="1">
        <v>242.85</v>
      </c>
      <c r="C1282" s="1">
        <v>244.78</v>
      </c>
      <c r="D1282" s="1">
        <v>238.51</v>
      </c>
      <c r="E1282" s="1">
        <v>244.18</v>
      </c>
      <c r="F1282" s="1">
        <v>2959800</v>
      </c>
      <c r="G1282" s="1">
        <v>244.18</v>
      </c>
      <c r="H1282" s="1">
        <f t="shared" si="171"/>
        <v>6.2700000000000102</v>
      </c>
      <c r="I1282" s="9">
        <f t="shared" si="178"/>
        <v>2.6288205945243431E-2</v>
      </c>
      <c r="J1282" s="1">
        <f t="shared" si="179"/>
        <v>1.8199999999999932</v>
      </c>
      <c r="K1282" s="9">
        <f t="shared" si="172"/>
        <v>7.5094900148539078E-3</v>
      </c>
      <c r="L1282" s="1">
        <f t="shared" si="173"/>
        <v>1</v>
      </c>
      <c r="M1282" s="1">
        <f t="shared" si="174"/>
        <v>244.78</v>
      </c>
      <c r="N1282" s="1">
        <f t="shared" si="175"/>
        <v>238.51</v>
      </c>
      <c r="O1282" s="1">
        <f t="shared" si="176"/>
        <v>242.22</v>
      </c>
      <c r="P1282" s="1">
        <f t="shared" si="177"/>
        <v>123.58163265306122</v>
      </c>
    </row>
    <row r="1283" spans="1:16">
      <c r="A1283" s="2">
        <v>41194</v>
      </c>
      <c r="B1283" s="1">
        <v>243.18</v>
      </c>
      <c r="C1283" s="1">
        <v>245.46</v>
      </c>
      <c r="D1283" s="1">
        <v>241.91</v>
      </c>
      <c r="E1283" s="1">
        <v>242.36</v>
      </c>
      <c r="F1283" s="1">
        <v>2203200</v>
      </c>
      <c r="G1283" s="1">
        <v>242.36</v>
      </c>
      <c r="H1283" s="1">
        <f t="shared" ref="H1283:H1346" si="180">C1283-D1283</f>
        <v>3.5500000000000114</v>
      </c>
      <c r="I1283" s="9">
        <f t="shared" si="178"/>
        <v>1.4674879087263906E-2</v>
      </c>
      <c r="J1283" s="1">
        <f t="shared" si="179"/>
        <v>-1.8599999999999852</v>
      </c>
      <c r="K1283" s="9">
        <f t="shared" ref="K1283:K1346" si="181">(G1283-G1284)/G1284</f>
        <v>-7.6160838588157616E-3</v>
      </c>
      <c r="L1283" s="1">
        <f t="shared" ref="L1283:L1346" si="182">G1283/E1283</f>
        <v>1</v>
      </c>
      <c r="M1283" s="1">
        <f t="shared" ref="M1283:M1346" si="183">L1283*C1283</f>
        <v>245.46</v>
      </c>
      <c r="N1283" s="1">
        <f t="shared" ref="N1283:N1346" si="184">L1283*D1283</f>
        <v>241.91</v>
      </c>
      <c r="O1283" s="1">
        <f t="shared" ref="O1283:O1346" si="185">G1283-$G$5163</f>
        <v>240.4</v>
      </c>
      <c r="P1283" s="1">
        <f t="shared" ref="P1283:P1346" si="186">(G1283-$G$5163)/$G$5163</f>
        <v>122.6530612244898</v>
      </c>
    </row>
    <row r="1284" spans="1:16">
      <c r="A1284" s="2">
        <v>41193</v>
      </c>
      <c r="B1284" s="1">
        <v>248</v>
      </c>
      <c r="C1284" s="1">
        <v>249.3</v>
      </c>
      <c r="D1284" s="1">
        <v>241.89</v>
      </c>
      <c r="E1284" s="1">
        <v>244.22</v>
      </c>
      <c r="F1284" s="1">
        <v>3447300</v>
      </c>
      <c r="G1284" s="1">
        <v>244.22</v>
      </c>
      <c r="H1284" s="1">
        <f t="shared" si="180"/>
        <v>7.410000000000025</v>
      </c>
      <c r="I1284" s="9">
        <f t="shared" ref="I1284:I1347" si="187">(C1284-D1284)/D1284</f>
        <v>3.0633759146719688E-2</v>
      </c>
      <c r="J1284" s="1">
        <f t="shared" ref="J1284:J1347" si="188">G1284-G1285</f>
        <v>-0.77000000000001023</v>
      </c>
      <c r="K1284" s="9">
        <f t="shared" si="181"/>
        <v>-3.1429854279766936E-3</v>
      </c>
      <c r="L1284" s="1">
        <f t="shared" si="182"/>
        <v>1</v>
      </c>
      <c r="M1284" s="1">
        <f t="shared" si="183"/>
        <v>249.3</v>
      </c>
      <c r="N1284" s="1">
        <f t="shared" si="184"/>
        <v>241.89</v>
      </c>
      <c r="O1284" s="1">
        <f t="shared" si="185"/>
        <v>242.26</v>
      </c>
      <c r="P1284" s="1">
        <f t="shared" si="186"/>
        <v>123.60204081632652</v>
      </c>
    </row>
    <row r="1285" spans="1:16">
      <c r="A1285" s="2">
        <v>41192</v>
      </c>
      <c r="B1285" s="1">
        <v>252</v>
      </c>
      <c r="C1285" s="1">
        <v>252.46</v>
      </c>
      <c r="D1285" s="1">
        <v>244.01</v>
      </c>
      <c r="E1285" s="1">
        <v>244.99</v>
      </c>
      <c r="F1285" s="1">
        <v>3948300</v>
      </c>
      <c r="G1285" s="1">
        <v>244.99</v>
      </c>
      <c r="H1285" s="1">
        <f t="shared" si="180"/>
        <v>8.4500000000000171</v>
      </c>
      <c r="I1285" s="9">
        <f t="shared" si="187"/>
        <v>3.462972828982426E-2</v>
      </c>
      <c r="J1285" s="1">
        <f t="shared" si="188"/>
        <v>-5.9699999999999989</v>
      </c>
      <c r="K1285" s="9">
        <f t="shared" si="181"/>
        <v>-2.3788651577940703E-2</v>
      </c>
      <c r="L1285" s="1">
        <f t="shared" si="182"/>
        <v>1</v>
      </c>
      <c r="M1285" s="1">
        <f t="shared" si="183"/>
        <v>252.46</v>
      </c>
      <c r="N1285" s="1">
        <f t="shared" si="184"/>
        <v>244.01</v>
      </c>
      <c r="O1285" s="1">
        <f t="shared" si="185"/>
        <v>243.03</v>
      </c>
      <c r="P1285" s="1">
        <f t="shared" si="186"/>
        <v>123.99489795918367</v>
      </c>
    </row>
    <row r="1286" spans="1:16">
      <c r="A1286" s="2">
        <v>41191</v>
      </c>
      <c r="B1286" s="1">
        <v>258.67</v>
      </c>
      <c r="C1286" s="1">
        <v>259.35000000000002</v>
      </c>
      <c r="D1286" s="1">
        <v>250.73</v>
      </c>
      <c r="E1286" s="1">
        <v>250.96</v>
      </c>
      <c r="F1286" s="1">
        <v>3494800</v>
      </c>
      <c r="G1286" s="1">
        <v>250.96</v>
      </c>
      <c r="H1286" s="1">
        <f t="shared" si="180"/>
        <v>8.620000000000033</v>
      </c>
      <c r="I1286" s="9">
        <f t="shared" si="187"/>
        <v>3.4379611534319919E-2</v>
      </c>
      <c r="J1286" s="1">
        <f t="shared" si="188"/>
        <v>-8.0999999999999943</v>
      </c>
      <c r="K1286" s="9">
        <f t="shared" si="181"/>
        <v>-3.1266887979618602E-2</v>
      </c>
      <c r="L1286" s="1">
        <f t="shared" si="182"/>
        <v>1</v>
      </c>
      <c r="M1286" s="1">
        <f t="shared" si="183"/>
        <v>259.35000000000002</v>
      </c>
      <c r="N1286" s="1">
        <f t="shared" si="184"/>
        <v>250.73</v>
      </c>
      <c r="O1286" s="1">
        <f t="shared" si="185"/>
        <v>249</v>
      </c>
      <c r="P1286" s="1">
        <f t="shared" si="186"/>
        <v>127.04081632653062</v>
      </c>
    </row>
    <row r="1287" spans="1:16">
      <c r="A1287" s="2">
        <v>41190</v>
      </c>
      <c r="B1287" s="1">
        <v>257.67</v>
      </c>
      <c r="C1287" s="1">
        <v>259.8</v>
      </c>
      <c r="D1287" s="1">
        <v>255.56</v>
      </c>
      <c r="E1287" s="1">
        <v>259.06</v>
      </c>
      <c r="F1287" s="1">
        <v>1762300</v>
      </c>
      <c r="G1287" s="1">
        <v>259.06</v>
      </c>
      <c r="H1287" s="1">
        <f t="shared" si="180"/>
        <v>4.2400000000000091</v>
      </c>
      <c r="I1287" s="9">
        <f t="shared" si="187"/>
        <v>1.6591015808420758E-2</v>
      </c>
      <c r="J1287" s="1">
        <f t="shared" si="188"/>
        <v>0.55000000000001137</v>
      </c>
      <c r="K1287" s="9">
        <f t="shared" si="181"/>
        <v>2.1275772697381587E-3</v>
      </c>
      <c r="L1287" s="1">
        <f t="shared" si="182"/>
        <v>1</v>
      </c>
      <c r="M1287" s="1">
        <f t="shared" si="183"/>
        <v>259.8</v>
      </c>
      <c r="N1287" s="1">
        <f t="shared" si="184"/>
        <v>255.56</v>
      </c>
      <c r="O1287" s="1">
        <f t="shared" si="185"/>
        <v>257.10000000000002</v>
      </c>
      <c r="P1287" s="1">
        <f t="shared" si="186"/>
        <v>131.17346938775512</v>
      </c>
    </row>
    <row r="1288" spans="1:16">
      <c r="A1288" s="2">
        <v>41187</v>
      </c>
      <c r="B1288" s="1">
        <v>261.2</v>
      </c>
      <c r="C1288" s="1">
        <v>261.89999999999998</v>
      </c>
      <c r="D1288" s="1">
        <v>257.49</v>
      </c>
      <c r="E1288" s="1">
        <v>258.51</v>
      </c>
      <c r="F1288" s="1">
        <v>2806500</v>
      </c>
      <c r="G1288" s="1">
        <v>258.51</v>
      </c>
      <c r="H1288" s="1">
        <f t="shared" si="180"/>
        <v>4.4099999999999682</v>
      </c>
      <c r="I1288" s="9">
        <f t="shared" si="187"/>
        <v>1.7126878713736332E-2</v>
      </c>
      <c r="J1288" s="1">
        <f t="shared" si="188"/>
        <v>-1.9600000000000364</v>
      </c>
      <c r="K1288" s="9">
        <f t="shared" si="181"/>
        <v>-7.5248589088955974E-3</v>
      </c>
      <c r="L1288" s="1">
        <f t="shared" si="182"/>
        <v>1</v>
      </c>
      <c r="M1288" s="1">
        <f t="shared" si="183"/>
        <v>261.89999999999998</v>
      </c>
      <c r="N1288" s="1">
        <f t="shared" si="184"/>
        <v>257.49</v>
      </c>
      <c r="O1288" s="1">
        <f t="shared" si="185"/>
        <v>256.55</v>
      </c>
      <c r="P1288" s="1">
        <f t="shared" si="186"/>
        <v>130.89285714285714</v>
      </c>
    </row>
    <row r="1289" spans="1:16">
      <c r="A1289" s="2">
        <v>41186</v>
      </c>
      <c r="B1289" s="1">
        <v>256.01</v>
      </c>
      <c r="C1289" s="1">
        <v>261.52</v>
      </c>
      <c r="D1289" s="1">
        <v>255.87</v>
      </c>
      <c r="E1289" s="1">
        <v>260.47000000000003</v>
      </c>
      <c r="F1289" s="1">
        <v>2700400</v>
      </c>
      <c r="G1289" s="1">
        <v>260.47000000000003</v>
      </c>
      <c r="H1289" s="1">
        <f t="shared" si="180"/>
        <v>5.6499999999999773</v>
      </c>
      <c r="I1289" s="9">
        <f t="shared" si="187"/>
        <v>2.2081525774807431E-2</v>
      </c>
      <c r="J1289" s="1">
        <f t="shared" si="188"/>
        <v>4.5500000000000398</v>
      </c>
      <c r="K1289" s="9">
        <f t="shared" si="181"/>
        <v>1.7778993435448733E-2</v>
      </c>
      <c r="L1289" s="1">
        <f t="shared" si="182"/>
        <v>1</v>
      </c>
      <c r="M1289" s="1">
        <f t="shared" si="183"/>
        <v>261.52</v>
      </c>
      <c r="N1289" s="1">
        <f t="shared" si="184"/>
        <v>255.87</v>
      </c>
      <c r="O1289" s="1">
        <f t="shared" si="185"/>
        <v>258.51000000000005</v>
      </c>
      <c r="P1289" s="1">
        <f t="shared" si="186"/>
        <v>131.89285714285717</v>
      </c>
    </row>
    <row r="1290" spans="1:16">
      <c r="A1290" s="2">
        <v>41185</v>
      </c>
      <c r="B1290" s="1">
        <v>251.21</v>
      </c>
      <c r="C1290" s="1">
        <v>256.10000000000002</v>
      </c>
      <c r="D1290" s="1">
        <v>249.56</v>
      </c>
      <c r="E1290" s="1">
        <v>255.92</v>
      </c>
      <c r="F1290" s="1">
        <v>2745600</v>
      </c>
      <c r="G1290" s="1">
        <v>255.92</v>
      </c>
      <c r="H1290" s="1">
        <f t="shared" si="180"/>
        <v>6.5400000000000205</v>
      </c>
      <c r="I1290" s="9">
        <f t="shared" si="187"/>
        <v>2.6206122776085992E-2</v>
      </c>
      <c r="J1290" s="1">
        <f t="shared" si="188"/>
        <v>5.3199999999999932</v>
      </c>
      <c r="K1290" s="9">
        <f t="shared" si="181"/>
        <v>2.1229050279329583E-2</v>
      </c>
      <c r="L1290" s="1">
        <f t="shared" si="182"/>
        <v>1</v>
      </c>
      <c r="M1290" s="1">
        <f t="shared" si="183"/>
        <v>256.10000000000002</v>
      </c>
      <c r="N1290" s="1">
        <f t="shared" si="184"/>
        <v>249.56</v>
      </c>
      <c r="O1290" s="1">
        <f t="shared" si="185"/>
        <v>253.95999999999998</v>
      </c>
      <c r="P1290" s="1">
        <f t="shared" si="186"/>
        <v>129.57142857142856</v>
      </c>
    </row>
    <row r="1291" spans="1:16">
      <c r="A1291" s="2">
        <v>41184</v>
      </c>
      <c r="B1291" s="1">
        <v>252.8</v>
      </c>
      <c r="C1291" s="1">
        <v>253.15</v>
      </c>
      <c r="D1291" s="1">
        <v>249.03</v>
      </c>
      <c r="E1291" s="1">
        <v>250.6</v>
      </c>
      <c r="F1291" s="1">
        <v>2195800</v>
      </c>
      <c r="G1291" s="1">
        <v>250.6</v>
      </c>
      <c r="H1291" s="1">
        <f t="shared" si="180"/>
        <v>4.1200000000000045</v>
      </c>
      <c r="I1291" s="9">
        <f t="shared" si="187"/>
        <v>1.6544191462875977E-2</v>
      </c>
      <c r="J1291" s="1">
        <f t="shared" si="188"/>
        <v>-1.4099999999999966</v>
      </c>
      <c r="K1291" s="9">
        <f t="shared" si="181"/>
        <v>-5.5950160707908285E-3</v>
      </c>
      <c r="L1291" s="1">
        <f t="shared" si="182"/>
        <v>1</v>
      </c>
      <c r="M1291" s="1">
        <f t="shared" si="183"/>
        <v>253.15</v>
      </c>
      <c r="N1291" s="1">
        <f t="shared" si="184"/>
        <v>249.03</v>
      </c>
      <c r="O1291" s="1">
        <f t="shared" si="185"/>
        <v>248.64</v>
      </c>
      <c r="P1291" s="1">
        <f t="shared" si="186"/>
        <v>126.85714285714285</v>
      </c>
    </row>
    <row r="1292" spans="1:16">
      <c r="A1292" s="2">
        <v>41183</v>
      </c>
      <c r="B1292" s="1">
        <v>255.4</v>
      </c>
      <c r="C1292" s="1">
        <v>256.16000000000003</v>
      </c>
      <c r="D1292" s="1">
        <v>250.49</v>
      </c>
      <c r="E1292" s="1">
        <v>252.01</v>
      </c>
      <c r="F1292" s="1">
        <v>2581200</v>
      </c>
      <c r="G1292" s="1">
        <v>252.01</v>
      </c>
      <c r="H1292" s="1">
        <f t="shared" si="180"/>
        <v>5.6700000000000159</v>
      </c>
      <c r="I1292" s="9">
        <f t="shared" si="187"/>
        <v>2.2635634157052241E-2</v>
      </c>
      <c r="J1292" s="1">
        <f t="shared" si="188"/>
        <v>-2.3100000000000023</v>
      </c>
      <c r="K1292" s="9">
        <f t="shared" si="181"/>
        <v>-9.083044982698971E-3</v>
      </c>
      <c r="L1292" s="1">
        <f t="shared" si="182"/>
        <v>1</v>
      </c>
      <c r="M1292" s="1">
        <f t="shared" si="183"/>
        <v>256.16000000000003</v>
      </c>
      <c r="N1292" s="1">
        <f t="shared" si="184"/>
        <v>250.49</v>
      </c>
      <c r="O1292" s="1">
        <f t="shared" si="185"/>
        <v>250.04999999999998</v>
      </c>
      <c r="P1292" s="1">
        <f t="shared" si="186"/>
        <v>127.57653061224489</v>
      </c>
    </row>
    <row r="1293" spans="1:16">
      <c r="A1293" s="2">
        <v>41180</v>
      </c>
      <c r="B1293" s="1">
        <v>256.14</v>
      </c>
      <c r="C1293" s="1">
        <v>257</v>
      </c>
      <c r="D1293" s="1">
        <v>253.2</v>
      </c>
      <c r="E1293" s="1">
        <v>254.32</v>
      </c>
      <c r="F1293" s="1">
        <v>2456600</v>
      </c>
      <c r="G1293" s="1">
        <v>254.32</v>
      </c>
      <c r="H1293" s="1">
        <f t="shared" si="180"/>
        <v>3.8000000000000114</v>
      </c>
      <c r="I1293" s="9">
        <f t="shared" si="187"/>
        <v>1.5007898894154863E-2</v>
      </c>
      <c r="J1293" s="1">
        <f t="shared" si="188"/>
        <v>-2.2699999999999818</v>
      </c>
      <c r="K1293" s="9">
        <f t="shared" si="181"/>
        <v>-8.8467983943255075E-3</v>
      </c>
      <c r="L1293" s="1">
        <f t="shared" si="182"/>
        <v>1</v>
      </c>
      <c r="M1293" s="1">
        <f t="shared" si="183"/>
        <v>257</v>
      </c>
      <c r="N1293" s="1">
        <f t="shared" si="184"/>
        <v>253.2</v>
      </c>
      <c r="O1293" s="1">
        <f t="shared" si="185"/>
        <v>252.35999999999999</v>
      </c>
      <c r="P1293" s="1">
        <f t="shared" si="186"/>
        <v>128.75510204081633</v>
      </c>
    </row>
    <row r="1294" spans="1:16">
      <c r="A1294" s="2">
        <v>41179</v>
      </c>
      <c r="B1294" s="1">
        <v>250.54</v>
      </c>
      <c r="C1294" s="1">
        <v>257.39999999999998</v>
      </c>
      <c r="D1294" s="1">
        <v>250.52</v>
      </c>
      <c r="E1294" s="1">
        <v>256.58999999999997</v>
      </c>
      <c r="F1294" s="1">
        <v>3397400</v>
      </c>
      <c r="G1294" s="1">
        <v>256.58999999999997</v>
      </c>
      <c r="H1294" s="1">
        <f t="shared" si="180"/>
        <v>6.879999999999967</v>
      </c>
      <c r="I1294" s="9">
        <f t="shared" si="187"/>
        <v>2.746287721539185E-2</v>
      </c>
      <c r="J1294" s="1">
        <f t="shared" si="188"/>
        <v>6.9199999999999875</v>
      </c>
      <c r="K1294" s="9">
        <f t="shared" si="181"/>
        <v>2.7716585893379213E-2</v>
      </c>
      <c r="L1294" s="1">
        <f t="shared" si="182"/>
        <v>1</v>
      </c>
      <c r="M1294" s="1">
        <f t="shared" si="183"/>
        <v>257.39999999999998</v>
      </c>
      <c r="N1294" s="1">
        <f t="shared" si="184"/>
        <v>250.52</v>
      </c>
      <c r="O1294" s="1">
        <f t="shared" si="185"/>
        <v>254.62999999999997</v>
      </c>
      <c r="P1294" s="1">
        <f t="shared" si="186"/>
        <v>129.91326530612244</v>
      </c>
    </row>
    <row r="1295" spans="1:16">
      <c r="A1295" s="2">
        <v>41178</v>
      </c>
      <c r="B1295" s="1">
        <v>252.4</v>
      </c>
      <c r="C1295" s="1">
        <v>254.61</v>
      </c>
      <c r="D1295" s="1">
        <v>248.23</v>
      </c>
      <c r="E1295" s="1">
        <v>249.67</v>
      </c>
      <c r="F1295" s="1">
        <v>2920500</v>
      </c>
      <c r="G1295" s="1">
        <v>249.67</v>
      </c>
      <c r="H1295" s="1">
        <f t="shared" si="180"/>
        <v>6.3800000000000239</v>
      </c>
      <c r="I1295" s="9">
        <f t="shared" si="187"/>
        <v>2.5701969947226459E-2</v>
      </c>
      <c r="J1295" s="1">
        <f t="shared" si="188"/>
        <v>-2.7900000000000205</v>
      </c>
      <c r="K1295" s="9">
        <f t="shared" si="181"/>
        <v>-1.1051255644458609E-2</v>
      </c>
      <c r="L1295" s="1">
        <f t="shared" si="182"/>
        <v>1</v>
      </c>
      <c r="M1295" s="1">
        <f t="shared" si="183"/>
        <v>254.61</v>
      </c>
      <c r="N1295" s="1">
        <f t="shared" si="184"/>
        <v>248.23</v>
      </c>
      <c r="O1295" s="1">
        <f t="shared" si="185"/>
        <v>247.70999999999998</v>
      </c>
      <c r="P1295" s="1">
        <f t="shared" si="186"/>
        <v>126.38265306122449</v>
      </c>
    </row>
    <row r="1296" spans="1:16">
      <c r="A1296" s="2">
        <v>41177</v>
      </c>
      <c r="B1296" s="1">
        <v>256.33</v>
      </c>
      <c r="C1296" s="1">
        <v>258.95</v>
      </c>
      <c r="D1296" s="1">
        <v>251.03</v>
      </c>
      <c r="E1296" s="1">
        <v>252.46</v>
      </c>
      <c r="F1296" s="1">
        <v>4405800</v>
      </c>
      <c r="G1296" s="1">
        <v>252.46</v>
      </c>
      <c r="H1296" s="1">
        <f t="shared" si="180"/>
        <v>7.9199999999999875</v>
      </c>
      <c r="I1296" s="9">
        <f t="shared" si="187"/>
        <v>3.1550013942556618E-2</v>
      </c>
      <c r="J1296" s="1">
        <f t="shared" si="188"/>
        <v>-2.3400000000000034</v>
      </c>
      <c r="K1296" s="9">
        <f t="shared" si="181"/>
        <v>-9.1836734693877681E-3</v>
      </c>
      <c r="L1296" s="1">
        <f t="shared" si="182"/>
        <v>1</v>
      </c>
      <c r="M1296" s="1">
        <f t="shared" si="183"/>
        <v>258.95</v>
      </c>
      <c r="N1296" s="1">
        <f t="shared" si="184"/>
        <v>251.03</v>
      </c>
      <c r="O1296" s="1">
        <f t="shared" si="185"/>
        <v>250.5</v>
      </c>
      <c r="P1296" s="1">
        <f t="shared" si="186"/>
        <v>127.80612244897959</v>
      </c>
    </row>
    <row r="1297" spans="1:16">
      <c r="A1297" s="2">
        <v>41176</v>
      </c>
      <c r="B1297" s="1">
        <v>255.22</v>
      </c>
      <c r="C1297" s="1">
        <v>255.6</v>
      </c>
      <c r="D1297" s="1">
        <v>253</v>
      </c>
      <c r="E1297" s="1">
        <v>254.8</v>
      </c>
      <c r="F1297" s="1">
        <v>2707900</v>
      </c>
      <c r="G1297" s="1">
        <v>254.8</v>
      </c>
      <c r="H1297" s="1">
        <f t="shared" si="180"/>
        <v>2.5999999999999943</v>
      </c>
      <c r="I1297" s="9">
        <f t="shared" si="187"/>
        <v>1.027667984189721E-2</v>
      </c>
      <c r="J1297" s="1">
        <f t="shared" si="188"/>
        <v>-2.6700000000000159</v>
      </c>
      <c r="K1297" s="9">
        <f t="shared" si="181"/>
        <v>-1.0370140210510023E-2</v>
      </c>
      <c r="L1297" s="1">
        <f t="shared" si="182"/>
        <v>1</v>
      </c>
      <c r="M1297" s="1">
        <f t="shared" si="183"/>
        <v>255.6</v>
      </c>
      <c r="N1297" s="1">
        <f t="shared" si="184"/>
        <v>253</v>
      </c>
      <c r="O1297" s="1">
        <f t="shared" si="185"/>
        <v>252.84</v>
      </c>
      <c r="P1297" s="1">
        <f t="shared" si="186"/>
        <v>129</v>
      </c>
    </row>
    <row r="1298" spans="1:16">
      <c r="A1298" s="2">
        <v>41173</v>
      </c>
      <c r="B1298" s="1">
        <v>261.74</v>
      </c>
      <c r="C1298" s="1">
        <v>262</v>
      </c>
      <c r="D1298" s="1">
        <v>256.74</v>
      </c>
      <c r="E1298" s="1">
        <v>257.47000000000003</v>
      </c>
      <c r="F1298" s="1">
        <v>6059300</v>
      </c>
      <c r="G1298" s="1">
        <v>257.47000000000003</v>
      </c>
      <c r="H1298" s="1">
        <f t="shared" si="180"/>
        <v>5.2599999999999909</v>
      </c>
      <c r="I1298" s="9">
        <f t="shared" si="187"/>
        <v>2.0487652878398342E-2</v>
      </c>
      <c r="J1298" s="1">
        <f t="shared" si="188"/>
        <v>-3.339999999999975</v>
      </c>
      <c r="K1298" s="9">
        <f t="shared" si="181"/>
        <v>-1.2806257428779475E-2</v>
      </c>
      <c r="L1298" s="1">
        <f t="shared" si="182"/>
        <v>1</v>
      </c>
      <c r="M1298" s="1">
        <f t="shared" si="183"/>
        <v>262</v>
      </c>
      <c r="N1298" s="1">
        <f t="shared" si="184"/>
        <v>256.74</v>
      </c>
      <c r="O1298" s="1">
        <f t="shared" si="185"/>
        <v>255.51000000000002</v>
      </c>
      <c r="P1298" s="1">
        <f t="shared" si="186"/>
        <v>130.36224489795919</v>
      </c>
    </row>
    <row r="1299" spans="1:16">
      <c r="A1299" s="2">
        <v>41172</v>
      </c>
      <c r="B1299" s="1">
        <v>260.02999999999997</v>
      </c>
      <c r="C1299" s="1">
        <v>260.87</v>
      </c>
      <c r="D1299" s="1">
        <v>258</v>
      </c>
      <c r="E1299" s="1">
        <v>260.81</v>
      </c>
      <c r="F1299" s="1">
        <v>2913600</v>
      </c>
      <c r="G1299" s="1">
        <v>260.81</v>
      </c>
      <c r="H1299" s="1">
        <f t="shared" si="180"/>
        <v>2.8700000000000045</v>
      </c>
      <c r="I1299" s="9">
        <f t="shared" si="187"/>
        <v>1.1124031007751955E-2</v>
      </c>
      <c r="J1299" s="1">
        <f t="shared" si="188"/>
        <v>-0.87000000000000455</v>
      </c>
      <c r="K1299" s="9">
        <f t="shared" si="181"/>
        <v>-3.3246713543259115E-3</v>
      </c>
      <c r="L1299" s="1">
        <f t="shared" si="182"/>
        <v>1</v>
      </c>
      <c r="M1299" s="1">
        <f t="shared" si="183"/>
        <v>260.87</v>
      </c>
      <c r="N1299" s="1">
        <f t="shared" si="184"/>
        <v>258</v>
      </c>
      <c r="O1299" s="1">
        <f t="shared" si="185"/>
        <v>258.85000000000002</v>
      </c>
      <c r="P1299" s="1">
        <f t="shared" si="186"/>
        <v>132.06632653061226</v>
      </c>
    </row>
    <row r="1300" spans="1:16">
      <c r="A1300" s="2">
        <v>41171</v>
      </c>
      <c r="B1300" s="1">
        <v>259.45</v>
      </c>
      <c r="C1300" s="1">
        <v>262.83999999999997</v>
      </c>
      <c r="D1300" s="1">
        <v>258.52999999999997</v>
      </c>
      <c r="E1300" s="1">
        <v>261.68</v>
      </c>
      <c r="F1300" s="1">
        <v>2636800</v>
      </c>
      <c r="G1300" s="1">
        <v>261.68</v>
      </c>
      <c r="H1300" s="1">
        <f t="shared" si="180"/>
        <v>4.3100000000000023</v>
      </c>
      <c r="I1300" s="9">
        <f t="shared" si="187"/>
        <v>1.6671179360228997E-2</v>
      </c>
      <c r="J1300" s="1">
        <f t="shared" si="188"/>
        <v>2.9300000000000068</v>
      </c>
      <c r="K1300" s="9">
        <f t="shared" si="181"/>
        <v>1.1323671497584568E-2</v>
      </c>
      <c r="L1300" s="1">
        <f t="shared" si="182"/>
        <v>1</v>
      </c>
      <c r="M1300" s="1">
        <f t="shared" si="183"/>
        <v>262.83999999999997</v>
      </c>
      <c r="N1300" s="1">
        <f t="shared" si="184"/>
        <v>258.52999999999997</v>
      </c>
      <c r="O1300" s="1">
        <f t="shared" si="185"/>
        <v>259.72000000000003</v>
      </c>
      <c r="P1300" s="1">
        <f t="shared" si="186"/>
        <v>132.51020408163268</v>
      </c>
    </row>
    <row r="1301" spans="1:16">
      <c r="A1301" s="2">
        <v>41170</v>
      </c>
      <c r="B1301" s="1">
        <v>258.48</v>
      </c>
      <c r="C1301" s="1">
        <v>260.5</v>
      </c>
      <c r="D1301" s="1">
        <v>257</v>
      </c>
      <c r="E1301" s="1">
        <v>258.75</v>
      </c>
      <c r="F1301" s="1">
        <v>2215000</v>
      </c>
      <c r="G1301" s="1">
        <v>258.75</v>
      </c>
      <c r="H1301" s="1">
        <f t="shared" si="180"/>
        <v>3.5</v>
      </c>
      <c r="I1301" s="9">
        <f t="shared" si="187"/>
        <v>1.3618677042801557E-2</v>
      </c>
      <c r="J1301" s="1">
        <f t="shared" si="188"/>
        <v>0.75</v>
      </c>
      <c r="K1301" s="9">
        <f t="shared" si="181"/>
        <v>2.9069767441860465E-3</v>
      </c>
      <c r="L1301" s="1">
        <f t="shared" si="182"/>
        <v>1</v>
      </c>
      <c r="M1301" s="1">
        <f t="shared" si="183"/>
        <v>260.5</v>
      </c>
      <c r="N1301" s="1">
        <f t="shared" si="184"/>
        <v>257</v>
      </c>
      <c r="O1301" s="1">
        <f t="shared" si="185"/>
        <v>256.79000000000002</v>
      </c>
      <c r="P1301" s="1">
        <f t="shared" si="186"/>
        <v>131.015306122449</v>
      </c>
    </row>
    <row r="1302" spans="1:16">
      <c r="A1302" s="2">
        <v>41169</v>
      </c>
      <c r="B1302" s="1">
        <v>261.25</v>
      </c>
      <c r="C1302" s="1">
        <v>261.25</v>
      </c>
      <c r="D1302" s="1">
        <v>257</v>
      </c>
      <c r="E1302" s="1">
        <v>258</v>
      </c>
      <c r="F1302" s="1">
        <v>2306300</v>
      </c>
      <c r="G1302" s="1">
        <v>258</v>
      </c>
      <c r="H1302" s="1">
        <f t="shared" si="180"/>
        <v>4.25</v>
      </c>
      <c r="I1302" s="9">
        <f t="shared" si="187"/>
        <v>1.6536964980544747E-2</v>
      </c>
      <c r="J1302" s="1">
        <f t="shared" si="188"/>
        <v>-3.2699999999999818</v>
      </c>
      <c r="K1302" s="9">
        <f t="shared" si="181"/>
        <v>-1.2515788265013136E-2</v>
      </c>
      <c r="L1302" s="1">
        <f t="shared" si="182"/>
        <v>1</v>
      </c>
      <c r="M1302" s="1">
        <f t="shared" si="183"/>
        <v>261.25</v>
      </c>
      <c r="N1302" s="1">
        <f t="shared" si="184"/>
        <v>257</v>
      </c>
      <c r="O1302" s="1">
        <f t="shared" si="185"/>
        <v>256.04000000000002</v>
      </c>
      <c r="P1302" s="1">
        <f t="shared" si="186"/>
        <v>130.63265306122452</v>
      </c>
    </row>
    <row r="1303" spans="1:16">
      <c r="A1303" s="2">
        <v>41166</v>
      </c>
      <c r="B1303" s="1">
        <v>261.39999999999998</v>
      </c>
      <c r="C1303" s="1">
        <v>264.11</v>
      </c>
      <c r="D1303" s="1">
        <v>259.77</v>
      </c>
      <c r="E1303" s="1">
        <v>261.27</v>
      </c>
      <c r="F1303" s="1">
        <v>3666200</v>
      </c>
      <c r="G1303" s="1">
        <v>261.27</v>
      </c>
      <c r="H1303" s="1">
        <f t="shared" si="180"/>
        <v>4.3400000000000318</v>
      </c>
      <c r="I1303" s="9">
        <f t="shared" si="187"/>
        <v>1.6707087038534213E-2</v>
      </c>
      <c r="J1303" s="1">
        <f t="shared" si="188"/>
        <v>1.0299999999999727</v>
      </c>
      <c r="K1303" s="9">
        <f t="shared" si="181"/>
        <v>3.9578850292037067E-3</v>
      </c>
      <c r="L1303" s="1">
        <f t="shared" si="182"/>
        <v>1</v>
      </c>
      <c r="M1303" s="1">
        <f t="shared" si="183"/>
        <v>264.11</v>
      </c>
      <c r="N1303" s="1">
        <f t="shared" si="184"/>
        <v>259.77</v>
      </c>
      <c r="O1303" s="1">
        <f t="shared" si="185"/>
        <v>259.31</v>
      </c>
      <c r="P1303" s="1">
        <f t="shared" si="186"/>
        <v>132.30102040816328</v>
      </c>
    </row>
    <row r="1304" spans="1:16">
      <c r="A1304" s="2">
        <v>41165</v>
      </c>
      <c r="B1304" s="1">
        <v>254.94</v>
      </c>
      <c r="C1304" s="1">
        <v>262</v>
      </c>
      <c r="D1304" s="1">
        <v>253.8</v>
      </c>
      <c r="E1304" s="1">
        <v>260.24</v>
      </c>
      <c r="F1304" s="1">
        <v>3525600</v>
      </c>
      <c r="G1304" s="1">
        <v>260.24</v>
      </c>
      <c r="H1304" s="1">
        <f t="shared" si="180"/>
        <v>8.1999999999999886</v>
      </c>
      <c r="I1304" s="9">
        <f t="shared" si="187"/>
        <v>3.2308904649330138E-2</v>
      </c>
      <c r="J1304" s="1">
        <f t="shared" si="188"/>
        <v>4.6100000000000136</v>
      </c>
      <c r="K1304" s="9">
        <f t="shared" si="181"/>
        <v>1.8033877087978774E-2</v>
      </c>
      <c r="L1304" s="1">
        <f t="shared" si="182"/>
        <v>1</v>
      </c>
      <c r="M1304" s="1">
        <f t="shared" si="183"/>
        <v>262</v>
      </c>
      <c r="N1304" s="1">
        <f t="shared" si="184"/>
        <v>253.8</v>
      </c>
      <c r="O1304" s="1">
        <f t="shared" si="185"/>
        <v>258.28000000000003</v>
      </c>
      <c r="P1304" s="1">
        <f t="shared" si="186"/>
        <v>131.77551020408166</v>
      </c>
    </row>
    <row r="1305" spans="1:16">
      <c r="A1305" s="2">
        <v>41164</v>
      </c>
      <c r="B1305" s="1">
        <v>256.5</v>
      </c>
      <c r="C1305" s="1">
        <v>257.77999999999997</v>
      </c>
      <c r="D1305" s="1">
        <v>253.5</v>
      </c>
      <c r="E1305" s="1">
        <v>255.63</v>
      </c>
      <c r="F1305" s="1">
        <v>2273200</v>
      </c>
      <c r="G1305" s="1">
        <v>255.63</v>
      </c>
      <c r="H1305" s="1">
        <f t="shared" si="180"/>
        <v>4.2799999999999727</v>
      </c>
      <c r="I1305" s="9">
        <f t="shared" si="187"/>
        <v>1.688362919132139E-2</v>
      </c>
      <c r="J1305" s="1">
        <f t="shared" si="188"/>
        <v>-3.9999999999992042E-2</v>
      </c>
      <c r="K1305" s="9">
        <f t="shared" si="181"/>
        <v>-1.564516759885479E-4</v>
      </c>
      <c r="L1305" s="1">
        <f t="shared" si="182"/>
        <v>1</v>
      </c>
      <c r="M1305" s="1">
        <f t="shared" si="183"/>
        <v>257.77999999999997</v>
      </c>
      <c r="N1305" s="1">
        <f t="shared" si="184"/>
        <v>253.5</v>
      </c>
      <c r="O1305" s="1">
        <f t="shared" si="185"/>
        <v>253.67</v>
      </c>
      <c r="P1305" s="1">
        <f t="shared" si="186"/>
        <v>129.42346938775509</v>
      </c>
    </row>
    <row r="1306" spans="1:16">
      <c r="A1306" s="2">
        <v>41163</v>
      </c>
      <c r="B1306" s="1">
        <v>257.60000000000002</v>
      </c>
      <c r="C1306" s="1">
        <v>257.60000000000002</v>
      </c>
      <c r="D1306" s="1">
        <v>254.26</v>
      </c>
      <c r="E1306" s="1">
        <v>255.67</v>
      </c>
      <c r="F1306" s="1">
        <v>2524800</v>
      </c>
      <c r="G1306" s="1">
        <v>255.67</v>
      </c>
      <c r="H1306" s="1">
        <f t="shared" si="180"/>
        <v>3.3400000000000318</v>
      </c>
      <c r="I1306" s="9">
        <f t="shared" si="187"/>
        <v>1.3136159836388075E-2</v>
      </c>
      <c r="J1306" s="1">
        <f t="shared" si="188"/>
        <v>-1.4199999999999875</v>
      </c>
      <c r="K1306" s="9">
        <f t="shared" si="181"/>
        <v>-5.5233575790578689E-3</v>
      </c>
      <c r="L1306" s="1">
        <f t="shared" si="182"/>
        <v>1</v>
      </c>
      <c r="M1306" s="1">
        <f t="shared" si="183"/>
        <v>257.60000000000002</v>
      </c>
      <c r="N1306" s="1">
        <f t="shared" si="184"/>
        <v>254.26</v>
      </c>
      <c r="O1306" s="1">
        <f t="shared" si="185"/>
        <v>253.70999999999998</v>
      </c>
      <c r="P1306" s="1">
        <f t="shared" si="186"/>
        <v>129.44387755102039</v>
      </c>
    </row>
    <row r="1307" spans="1:16">
      <c r="A1307" s="2">
        <v>41162</v>
      </c>
      <c r="B1307" s="1">
        <v>259</v>
      </c>
      <c r="C1307" s="1">
        <v>260</v>
      </c>
      <c r="D1307" s="1">
        <v>256.82</v>
      </c>
      <c r="E1307" s="1">
        <v>257.08999999999997</v>
      </c>
      <c r="F1307" s="1">
        <v>2567200</v>
      </c>
      <c r="G1307" s="1">
        <v>257.08999999999997</v>
      </c>
      <c r="H1307" s="1">
        <f t="shared" si="180"/>
        <v>3.1800000000000068</v>
      </c>
      <c r="I1307" s="9">
        <f t="shared" si="187"/>
        <v>1.2382213223269243E-2</v>
      </c>
      <c r="J1307" s="1">
        <f t="shared" si="188"/>
        <v>-2.0500000000000114</v>
      </c>
      <c r="K1307" s="9">
        <f t="shared" si="181"/>
        <v>-7.9107818167786191E-3</v>
      </c>
      <c r="L1307" s="1">
        <f t="shared" si="182"/>
        <v>1</v>
      </c>
      <c r="M1307" s="1">
        <f t="shared" si="183"/>
        <v>260</v>
      </c>
      <c r="N1307" s="1">
        <f t="shared" si="184"/>
        <v>256.82</v>
      </c>
      <c r="O1307" s="1">
        <f t="shared" si="185"/>
        <v>255.12999999999997</v>
      </c>
      <c r="P1307" s="1">
        <f t="shared" si="186"/>
        <v>130.16836734693877</v>
      </c>
    </row>
    <row r="1308" spans="1:16">
      <c r="A1308" s="2">
        <v>41159</v>
      </c>
      <c r="B1308" s="1">
        <v>253.85</v>
      </c>
      <c r="C1308" s="1">
        <v>259.42</v>
      </c>
      <c r="D1308" s="1">
        <v>253.52</v>
      </c>
      <c r="E1308" s="1">
        <v>259.14</v>
      </c>
      <c r="F1308" s="1">
        <v>5029500</v>
      </c>
      <c r="G1308" s="1">
        <v>259.14</v>
      </c>
      <c r="H1308" s="1">
        <f t="shared" si="180"/>
        <v>5.9000000000000057</v>
      </c>
      <c r="I1308" s="9">
        <f t="shared" si="187"/>
        <v>2.3272325654780709E-2</v>
      </c>
      <c r="J1308" s="1">
        <f t="shared" si="188"/>
        <v>7.7599999999999909</v>
      </c>
      <c r="K1308" s="9">
        <f t="shared" si="181"/>
        <v>3.0869599809053985E-2</v>
      </c>
      <c r="L1308" s="1">
        <f t="shared" si="182"/>
        <v>1</v>
      </c>
      <c r="M1308" s="1">
        <f t="shared" si="183"/>
        <v>259.42</v>
      </c>
      <c r="N1308" s="1">
        <f t="shared" si="184"/>
        <v>253.52</v>
      </c>
      <c r="O1308" s="1">
        <f t="shared" si="185"/>
        <v>257.18</v>
      </c>
      <c r="P1308" s="1">
        <f t="shared" si="186"/>
        <v>131.21428571428572</v>
      </c>
    </row>
    <row r="1309" spans="1:16">
      <c r="A1309" s="2">
        <v>41158</v>
      </c>
      <c r="B1309" s="1">
        <v>248.23</v>
      </c>
      <c r="C1309" s="1">
        <v>252.7</v>
      </c>
      <c r="D1309" s="1">
        <v>247.2</v>
      </c>
      <c r="E1309" s="1">
        <v>251.38</v>
      </c>
      <c r="F1309" s="1">
        <v>5361400</v>
      </c>
      <c r="G1309" s="1">
        <v>251.38</v>
      </c>
      <c r="H1309" s="1">
        <f t="shared" si="180"/>
        <v>5.5</v>
      </c>
      <c r="I1309" s="9">
        <f t="shared" si="187"/>
        <v>2.2249190938511326E-2</v>
      </c>
      <c r="J1309" s="1">
        <f t="shared" si="188"/>
        <v>5.1599999999999966</v>
      </c>
      <c r="K1309" s="9">
        <f t="shared" si="181"/>
        <v>2.095686784176751E-2</v>
      </c>
      <c r="L1309" s="1">
        <f t="shared" si="182"/>
        <v>1</v>
      </c>
      <c r="M1309" s="1">
        <f t="shared" si="183"/>
        <v>252.7</v>
      </c>
      <c r="N1309" s="1">
        <f t="shared" si="184"/>
        <v>247.2</v>
      </c>
      <c r="O1309" s="1">
        <f t="shared" si="185"/>
        <v>249.42</v>
      </c>
      <c r="P1309" s="1">
        <f t="shared" si="186"/>
        <v>127.25510204081633</v>
      </c>
    </row>
    <row r="1310" spans="1:16">
      <c r="A1310" s="2">
        <v>41157</v>
      </c>
      <c r="B1310" s="1">
        <v>247.61</v>
      </c>
      <c r="C1310" s="1">
        <v>248.61</v>
      </c>
      <c r="D1310" s="1">
        <v>245.3</v>
      </c>
      <c r="E1310" s="1">
        <v>246.22</v>
      </c>
      <c r="F1310" s="1">
        <v>2652600</v>
      </c>
      <c r="G1310" s="1">
        <v>246.22</v>
      </c>
      <c r="H1310" s="1">
        <f t="shared" si="180"/>
        <v>3.3100000000000023</v>
      </c>
      <c r="I1310" s="9">
        <f t="shared" si="187"/>
        <v>1.34936812066857E-2</v>
      </c>
      <c r="J1310" s="1">
        <f t="shared" si="188"/>
        <v>-1.6599999999999966</v>
      </c>
      <c r="K1310" s="9">
        <f t="shared" si="181"/>
        <v>-6.6967887687590637E-3</v>
      </c>
      <c r="L1310" s="1">
        <f t="shared" si="182"/>
        <v>1</v>
      </c>
      <c r="M1310" s="1">
        <f t="shared" si="183"/>
        <v>248.61</v>
      </c>
      <c r="N1310" s="1">
        <f t="shared" si="184"/>
        <v>245.3</v>
      </c>
      <c r="O1310" s="1">
        <f t="shared" si="185"/>
        <v>244.26</v>
      </c>
      <c r="P1310" s="1">
        <f t="shared" si="186"/>
        <v>124.62244897959184</v>
      </c>
    </row>
    <row r="1311" spans="1:16">
      <c r="A1311" s="2">
        <v>41156</v>
      </c>
      <c r="B1311" s="1">
        <v>248.27</v>
      </c>
      <c r="C1311" s="1">
        <v>251</v>
      </c>
      <c r="D1311" s="1">
        <v>244.66</v>
      </c>
      <c r="E1311" s="1">
        <v>247.88</v>
      </c>
      <c r="F1311" s="1">
        <v>3950800</v>
      </c>
      <c r="G1311" s="1">
        <v>247.88</v>
      </c>
      <c r="H1311" s="1">
        <f t="shared" si="180"/>
        <v>6.3400000000000034</v>
      </c>
      <c r="I1311" s="9">
        <f t="shared" si="187"/>
        <v>2.5913512629771943E-2</v>
      </c>
      <c r="J1311" s="1">
        <f t="shared" si="188"/>
        <v>-0.39000000000001478</v>
      </c>
      <c r="K1311" s="9">
        <f t="shared" si="181"/>
        <v>-1.5708704233294991E-3</v>
      </c>
      <c r="L1311" s="1">
        <f t="shared" si="182"/>
        <v>1</v>
      </c>
      <c r="M1311" s="1">
        <f t="shared" si="183"/>
        <v>251</v>
      </c>
      <c r="N1311" s="1">
        <f t="shared" si="184"/>
        <v>244.66</v>
      </c>
      <c r="O1311" s="1">
        <f t="shared" si="185"/>
        <v>245.92</v>
      </c>
      <c r="P1311" s="1">
        <f t="shared" si="186"/>
        <v>125.46938775510203</v>
      </c>
    </row>
    <row r="1312" spans="1:16">
      <c r="A1312" s="2">
        <v>41152</v>
      </c>
      <c r="B1312" s="1">
        <v>248.07</v>
      </c>
      <c r="C1312" s="1">
        <v>249.45</v>
      </c>
      <c r="D1312" s="1">
        <v>245.5</v>
      </c>
      <c r="E1312" s="1">
        <v>248.27</v>
      </c>
      <c r="F1312" s="1">
        <v>3347500</v>
      </c>
      <c r="G1312" s="1">
        <v>248.27</v>
      </c>
      <c r="H1312" s="1">
        <f t="shared" si="180"/>
        <v>3.9499999999999886</v>
      </c>
      <c r="I1312" s="9">
        <f t="shared" si="187"/>
        <v>1.6089613034623172E-2</v>
      </c>
      <c r="J1312" s="1">
        <f t="shared" si="188"/>
        <v>2.0500000000000114</v>
      </c>
      <c r="K1312" s="9">
        <f t="shared" si="181"/>
        <v>8.3258874177565244E-3</v>
      </c>
      <c r="L1312" s="1">
        <f t="shared" si="182"/>
        <v>1</v>
      </c>
      <c r="M1312" s="1">
        <f t="shared" si="183"/>
        <v>249.45</v>
      </c>
      <c r="N1312" s="1">
        <f t="shared" si="184"/>
        <v>245.5</v>
      </c>
      <c r="O1312" s="1">
        <f t="shared" si="185"/>
        <v>246.31</v>
      </c>
      <c r="P1312" s="1">
        <f t="shared" si="186"/>
        <v>125.66836734693878</v>
      </c>
    </row>
    <row r="1313" spans="1:16">
      <c r="A1313" s="2">
        <v>41151</v>
      </c>
      <c r="B1313" s="1">
        <v>246.99</v>
      </c>
      <c r="C1313" s="1">
        <v>250</v>
      </c>
      <c r="D1313" s="1">
        <v>245.25</v>
      </c>
      <c r="E1313" s="1">
        <v>246.22</v>
      </c>
      <c r="F1313" s="1">
        <v>3647500</v>
      </c>
      <c r="G1313" s="1">
        <v>246.22</v>
      </c>
      <c r="H1313" s="1">
        <f t="shared" si="180"/>
        <v>4.75</v>
      </c>
      <c r="I1313" s="9">
        <f t="shared" si="187"/>
        <v>1.9367991845056064E-2</v>
      </c>
      <c r="J1313" s="1">
        <f t="shared" si="188"/>
        <v>-0.90000000000000568</v>
      </c>
      <c r="K1313" s="9">
        <f t="shared" si="181"/>
        <v>-3.641955325348032E-3</v>
      </c>
      <c r="L1313" s="1">
        <f t="shared" si="182"/>
        <v>1</v>
      </c>
      <c r="M1313" s="1">
        <f t="shared" si="183"/>
        <v>250</v>
      </c>
      <c r="N1313" s="1">
        <f t="shared" si="184"/>
        <v>245.25</v>
      </c>
      <c r="O1313" s="1">
        <f t="shared" si="185"/>
        <v>244.26</v>
      </c>
      <c r="P1313" s="1">
        <f t="shared" si="186"/>
        <v>124.62244897959184</v>
      </c>
    </row>
    <row r="1314" spans="1:16">
      <c r="A1314" s="2">
        <v>41150</v>
      </c>
      <c r="B1314" s="1">
        <v>246.78</v>
      </c>
      <c r="C1314" s="1">
        <v>247.61</v>
      </c>
      <c r="D1314" s="1">
        <v>244.59</v>
      </c>
      <c r="E1314" s="1">
        <v>247.12</v>
      </c>
      <c r="F1314" s="1">
        <v>1772600</v>
      </c>
      <c r="G1314" s="1">
        <v>247.12</v>
      </c>
      <c r="H1314" s="1">
        <f t="shared" si="180"/>
        <v>3.0200000000000102</v>
      </c>
      <c r="I1314" s="9">
        <f t="shared" si="187"/>
        <v>1.2347193262193917E-2</v>
      </c>
      <c r="J1314" s="1">
        <f t="shared" si="188"/>
        <v>1.0099999999999909</v>
      </c>
      <c r="K1314" s="9">
        <f t="shared" si="181"/>
        <v>4.1038559993498468E-3</v>
      </c>
      <c r="L1314" s="1">
        <f t="shared" si="182"/>
        <v>1</v>
      </c>
      <c r="M1314" s="1">
        <f t="shared" si="183"/>
        <v>247.61</v>
      </c>
      <c r="N1314" s="1">
        <f t="shared" si="184"/>
        <v>244.59</v>
      </c>
      <c r="O1314" s="1">
        <f t="shared" si="185"/>
        <v>245.16</v>
      </c>
      <c r="P1314" s="1">
        <f t="shared" si="186"/>
        <v>125.08163265306122</v>
      </c>
    </row>
    <row r="1315" spans="1:16">
      <c r="A1315" s="2">
        <v>41149</v>
      </c>
      <c r="B1315" s="1">
        <v>243.97</v>
      </c>
      <c r="C1315" s="1">
        <v>246.78</v>
      </c>
      <c r="D1315" s="1">
        <v>243</v>
      </c>
      <c r="E1315" s="1">
        <v>246.11</v>
      </c>
      <c r="F1315" s="1">
        <v>2742300</v>
      </c>
      <c r="G1315" s="1">
        <v>246.11</v>
      </c>
      <c r="H1315" s="1">
        <f t="shared" si="180"/>
        <v>3.7800000000000011</v>
      </c>
      <c r="I1315" s="9">
        <f t="shared" si="187"/>
        <v>1.555555555555556E-2</v>
      </c>
      <c r="J1315" s="1">
        <f t="shared" si="188"/>
        <v>2.1900000000000261</v>
      </c>
      <c r="K1315" s="9">
        <f t="shared" si="181"/>
        <v>8.9783535585438931E-3</v>
      </c>
      <c r="L1315" s="1">
        <f t="shared" si="182"/>
        <v>1</v>
      </c>
      <c r="M1315" s="1">
        <f t="shared" si="183"/>
        <v>246.78</v>
      </c>
      <c r="N1315" s="1">
        <f t="shared" si="184"/>
        <v>243</v>
      </c>
      <c r="O1315" s="1">
        <f t="shared" si="185"/>
        <v>244.15</v>
      </c>
      <c r="P1315" s="1">
        <f t="shared" si="186"/>
        <v>124.56632653061224</v>
      </c>
    </row>
    <row r="1316" spans="1:16">
      <c r="A1316" s="2">
        <v>41148</v>
      </c>
      <c r="B1316" s="1">
        <v>245.79</v>
      </c>
      <c r="C1316" s="1">
        <v>247.5</v>
      </c>
      <c r="D1316" s="1">
        <v>243.12</v>
      </c>
      <c r="E1316" s="1">
        <v>243.92</v>
      </c>
      <c r="F1316" s="1">
        <v>2929700</v>
      </c>
      <c r="G1316" s="1">
        <v>243.92</v>
      </c>
      <c r="H1316" s="1">
        <f t="shared" si="180"/>
        <v>4.3799999999999955</v>
      </c>
      <c r="I1316" s="9">
        <f t="shared" si="187"/>
        <v>1.8015794669299093E-2</v>
      </c>
      <c r="J1316" s="1">
        <f t="shared" si="188"/>
        <v>-1.8200000000000216</v>
      </c>
      <c r="K1316" s="9">
        <f t="shared" si="181"/>
        <v>-7.4062016765688186E-3</v>
      </c>
      <c r="L1316" s="1">
        <f t="shared" si="182"/>
        <v>1</v>
      </c>
      <c r="M1316" s="1">
        <f t="shared" si="183"/>
        <v>247.5</v>
      </c>
      <c r="N1316" s="1">
        <f t="shared" si="184"/>
        <v>243.12</v>
      </c>
      <c r="O1316" s="1">
        <f t="shared" si="185"/>
        <v>241.95999999999998</v>
      </c>
      <c r="P1316" s="1">
        <f t="shared" si="186"/>
        <v>123.44897959183673</v>
      </c>
    </row>
    <row r="1317" spans="1:16">
      <c r="A1317" s="2">
        <v>41145</v>
      </c>
      <c r="B1317" s="1">
        <v>241.68</v>
      </c>
      <c r="C1317" s="1">
        <v>246.87</v>
      </c>
      <c r="D1317" s="1">
        <v>241.36</v>
      </c>
      <c r="E1317" s="1">
        <v>245.74</v>
      </c>
      <c r="F1317" s="1">
        <v>3698800</v>
      </c>
      <c r="G1317" s="1">
        <v>245.74</v>
      </c>
      <c r="H1317" s="1">
        <f t="shared" si="180"/>
        <v>5.5099999999999909</v>
      </c>
      <c r="I1317" s="9">
        <f t="shared" si="187"/>
        <v>2.2828969174676791E-2</v>
      </c>
      <c r="J1317" s="1">
        <f t="shared" si="188"/>
        <v>4.5400000000000205</v>
      </c>
      <c r="K1317" s="9">
        <f t="shared" si="181"/>
        <v>1.8822553897180849E-2</v>
      </c>
      <c r="L1317" s="1">
        <f t="shared" si="182"/>
        <v>1</v>
      </c>
      <c r="M1317" s="1">
        <f t="shared" si="183"/>
        <v>246.87</v>
      </c>
      <c r="N1317" s="1">
        <f t="shared" si="184"/>
        <v>241.36</v>
      </c>
      <c r="O1317" s="1">
        <f t="shared" si="185"/>
        <v>243.78</v>
      </c>
      <c r="P1317" s="1">
        <f t="shared" si="186"/>
        <v>124.37755102040816</v>
      </c>
    </row>
    <row r="1318" spans="1:16">
      <c r="A1318" s="2">
        <v>41144</v>
      </c>
      <c r="B1318" s="1">
        <v>242.14</v>
      </c>
      <c r="C1318" s="1">
        <v>243.48</v>
      </c>
      <c r="D1318" s="1">
        <v>239.02</v>
      </c>
      <c r="E1318" s="1">
        <v>241.2</v>
      </c>
      <c r="F1318" s="1">
        <v>2453900</v>
      </c>
      <c r="G1318" s="1">
        <v>241.2</v>
      </c>
      <c r="H1318" s="1">
        <f t="shared" si="180"/>
        <v>4.4599999999999795</v>
      </c>
      <c r="I1318" s="9">
        <f t="shared" si="187"/>
        <v>1.8659526399464395E-2</v>
      </c>
      <c r="J1318" s="1">
        <f t="shared" si="188"/>
        <v>-1.9000000000000057</v>
      </c>
      <c r="K1318" s="9">
        <f t="shared" si="181"/>
        <v>-7.8157136980666637E-3</v>
      </c>
      <c r="L1318" s="1">
        <f t="shared" si="182"/>
        <v>1</v>
      </c>
      <c r="M1318" s="1">
        <f t="shared" si="183"/>
        <v>243.48</v>
      </c>
      <c r="N1318" s="1">
        <f t="shared" si="184"/>
        <v>239.02</v>
      </c>
      <c r="O1318" s="1">
        <f t="shared" si="185"/>
        <v>239.23999999999998</v>
      </c>
      <c r="P1318" s="1">
        <f t="shared" si="186"/>
        <v>122.0612244897959</v>
      </c>
    </row>
    <row r="1319" spans="1:16">
      <c r="A1319" s="2">
        <v>41143</v>
      </c>
      <c r="B1319" s="1">
        <v>239.4</v>
      </c>
      <c r="C1319" s="1">
        <v>244.9</v>
      </c>
      <c r="D1319" s="1">
        <v>238.8</v>
      </c>
      <c r="E1319" s="1">
        <v>243.1</v>
      </c>
      <c r="F1319" s="1">
        <v>2473700</v>
      </c>
      <c r="G1319" s="1">
        <v>243.1</v>
      </c>
      <c r="H1319" s="1">
        <f t="shared" si="180"/>
        <v>6.0999999999999943</v>
      </c>
      <c r="I1319" s="9">
        <f t="shared" si="187"/>
        <v>2.5544388609715217E-2</v>
      </c>
      <c r="J1319" s="1">
        <f t="shared" si="188"/>
        <v>3.6500000000000057</v>
      </c>
      <c r="K1319" s="9">
        <f t="shared" si="181"/>
        <v>1.5243265817498458E-2</v>
      </c>
      <c r="L1319" s="1">
        <f t="shared" si="182"/>
        <v>1</v>
      </c>
      <c r="M1319" s="1">
        <f t="shared" si="183"/>
        <v>244.9</v>
      </c>
      <c r="N1319" s="1">
        <f t="shared" si="184"/>
        <v>238.8</v>
      </c>
      <c r="O1319" s="1">
        <f t="shared" si="185"/>
        <v>241.14</v>
      </c>
      <c r="P1319" s="1">
        <f t="shared" si="186"/>
        <v>123.03061224489795</v>
      </c>
    </row>
    <row r="1320" spans="1:16">
      <c r="A1320" s="2">
        <v>41142</v>
      </c>
      <c r="B1320" s="1">
        <v>240.88</v>
      </c>
      <c r="C1320" s="1">
        <v>243.85</v>
      </c>
      <c r="D1320" s="1">
        <v>238.55</v>
      </c>
      <c r="E1320" s="1">
        <v>239.45</v>
      </c>
      <c r="F1320" s="1">
        <v>2571500</v>
      </c>
      <c r="G1320" s="1">
        <v>239.45</v>
      </c>
      <c r="H1320" s="1">
        <f t="shared" si="180"/>
        <v>5.2999999999999829</v>
      </c>
      <c r="I1320" s="9">
        <f t="shared" si="187"/>
        <v>2.2217564451896803E-2</v>
      </c>
      <c r="J1320" s="1">
        <f t="shared" si="188"/>
        <v>-0.90000000000000568</v>
      </c>
      <c r="K1320" s="9">
        <f t="shared" si="181"/>
        <v>-3.7445392136467889E-3</v>
      </c>
      <c r="L1320" s="1">
        <f t="shared" si="182"/>
        <v>1</v>
      </c>
      <c r="M1320" s="1">
        <f t="shared" si="183"/>
        <v>243.85</v>
      </c>
      <c r="N1320" s="1">
        <f t="shared" si="184"/>
        <v>238.55</v>
      </c>
      <c r="O1320" s="1">
        <f t="shared" si="185"/>
        <v>237.48999999999998</v>
      </c>
      <c r="P1320" s="1">
        <f t="shared" si="186"/>
        <v>121.16836734693877</v>
      </c>
    </row>
    <row r="1321" spans="1:16">
      <c r="A1321" s="2">
        <v>41141</v>
      </c>
      <c r="B1321" s="1">
        <v>241.37</v>
      </c>
      <c r="C1321" s="1">
        <v>241.65</v>
      </c>
      <c r="D1321" s="1">
        <v>238.2</v>
      </c>
      <c r="E1321" s="1">
        <v>240.35</v>
      </c>
      <c r="F1321" s="1">
        <v>1889900</v>
      </c>
      <c r="G1321" s="1">
        <v>240.35</v>
      </c>
      <c r="H1321" s="1">
        <f t="shared" si="180"/>
        <v>3.4500000000000171</v>
      </c>
      <c r="I1321" s="9">
        <f t="shared" si="187"/>
        <v>1.4483627204030299E-2</v>
      </c>
      <c r="J1321" s="1">
        <f t="shared" si="188"/>
        <v>-0.81999999999999318</v>
      </c>
      <c r="K1321" s="9">
        <f t="shared" si="181"/>
        <v>-3.4000912219595853E-3</v>
      </c>
      <c r="L1321" s="1">
        <f t="shared" si="182"/>
        <v>1</v>
      </c>
      <c r="M1321" s="1">
        <f t="shared" si="183"/>
        <v>241.65</v>
      </c>
      <c r="N1321" s="1">
        <f t="shared" si="184"/>
        <v>238.2</v>
      </c>
      <c r="O1321" s="1">
        <f t="shared" si="185"/>
        <v>238.39</v>
      </c>
      <c r="P1321" s="1">
        <f t="shared" si="186"/>
        <v>121.62755102040816</v>
      </c>
    </row>
    <row r="1322" spans="1:16">
      <c r="A1322" s="2">
        <v>41138</v>
      </c>
      <c r="B1322" s="1">
        <v>240.6</v>
      </c>
      <c r="C1322" s="1">
        <v>243.35</v>
      </c>
      <c r="D1322" s="1">
        <v>240.47</v>
      </c>
      <c r="E1322" s="1">
        <v>241.17</v>
      </c>
      <c r="F1322" s="1">
        <v>3085800</v>
      </c>
      <c r="G1322" s="1">
        <v>241.17</v>
      </c>
      <c r="H1322" s="1">
        <f t="shared" si="180"/>
        <v>2.8799999999999955</v>
      </c>
      <c r="I1322" s="9">
        <f t="shared" si="187"/>
        <v>1.1976545930885331E-2</v>
      </c>
      <c r="J1322" s="1">
        <f t="shared" si="188"/>
        <v>-0.38000000000002387</v>
      </c>
      <c r="K1322" s="9">
        <f t="shared" si="181"/>
        <v>-1.5731732560547457E-3</v>
      </c>
      <c r="L1322" s="1">
        <f t="shared" si="182"/>
        <v>1</v>
      </c>
      <c r="M1322" s="1">
        <f t="shared" si="183"/>
        <v>243.35</v>
      </c>
      <c r="N1322" s="1">
        <f t="shared" si="184"/>
        <v>240.47</v>
      </c>
      <c r="O1322" s="1">
        <f t="shared" si="185"/>
        <v>239.20999999999998</v>
      </c>
      <c r="P1322" s="1">
        <f t="shared" si="186"/>
        <v>122.04591836734693</v>
      </c>
    </row>
    <row r="1323" spans="1:16">
      <c r="A1323" s="2">
        <v>41137</v>
      </c>
      <c r="B1323" s="1">
        <v>237.72</v>
      </c>
      <c r="C1323" s="1">
        <v>242.82</v>
      </c>
      <c r="D1323" s="1">
        <v>236.2</v>
      </c>
      <c r="E1323" s="1">
        <v>241.55</v>
      </c>
      <c r="F1323" s="1">
        <v>4312100</v>
      </c>
      <c r="G1323" s="1">
        <v>241.55</v>
      </c>
      <c r="H1323" s="1">
        <f t="shared" si="180"/>
        <v>6.6200000000000045</v>
      </c>
      <c r="I1323" s="9">
        <f t="shared" si="187"/>
        <v>2.8027095681625761E-2</v>
      </c>
      <c r="J1323" s="1">
        <f t="shared" si="188"/>
        <v>4.1300000000000239</v>
      </c>
      <c r="K1323" s="9">
        <f t="shared" si="181"/>
        <v>1.7395333164855632E-2</v>
      </c>
      <c r="L1323" s="1">
        <f t="shared" si="182"/>
        <v>1</v>
      </c>
      <c r="M1323" s="1">
        <f t="shared" si="183"/>
        <v>242.82</v>
      </c>
      <c r="N1323" s="1">
        <f t="shared" si="184"/>
        <v>236.2</v>
      </c>
      <c r="O1323" s="1">
        <f t="shared" si="185"/>
        <v>239.59</v>
      </c>
      <c r="P1323" s="1">
        <f t="shared" si="186"/>
        <v>122.23979591836735</v>
      </c>
    </row>
    <row r="1324" spans="1:16">
      <c r="A1324" s="2">
        <v>41136</v>
      </c>
      <c r="B1324" s="1">
        <v>232.26</v>
      </c>
      <c r="C1324" s="1">
        <v>238.14</v>
      </c>
      <c r="D1324" s="1">
        <v>232.25</v>
      </c>
      <c r="E1324" s="1">
        <v>237.42</v>
      </c>
      <c r="F1324" s="1">
        <v>3264700</v>
      </c>
      <c r="G1324" s="1">
        <v>237.42</v>
      </c>
      <c r="H1324" s="1">
        <f t="shared" si="180"/>
        <v>5.8899999999999864</v>
      </c>
      <c r="I1324" s="9">
        <f t="shared" si="187"/>
        <v>2.5360602798708231E-2</v>
      </c>
      <c r="J1324" s="1">
        <f t="shared" si="188"/>
        <v>4.2299999999999898</v>
      </c>
      <c r="K1324" s="9">
        <f t="shared" si="181"/>
        <v>1.8139714395986061E-2</v>
      </c>
      <c r="L1324" s="1">
        <f t="shared" si="182"/>
        <v>1</v>
      </c>
      <c r="M1324" s="1">
        <f t="shared" si="183"/>
        <v>238.14</v>
      </c>
      <c r="N1324" s="1">
        <f t="shared" si="184"/>
        <v>232.25</v>
      </c>
      <c r="O1324" s="1">
        <f t="shared" si="185"/>
        <v>235.45999999999998</v>
      </c>
      <c r="P1324" s="1">
        <f t="shared" si="186"/>
        <v>120.13265306122449</v>
      </c>
    </row>
    <row r="1325" spans="1:16">
      <c r="A1325" s="2">
        <v>41135</v>
      </c>
      <c r="B1325" s="1">
        <v>234.71</v>
      </c>
      <c r="C1325" s="1">
        <v>236.72</v>
      </c>
      <c r="D1325" s="1">
        <v>232.62</v>
      </c>
      <c r="E1325" s="1">
        <v>233.19</v>
      </c>
      <c r="F1325" s="1">
        <v>2751000</v>
      </c>
      <c r="G1325" s="1">
        <v>233.19</v>
      </c>
      <c r="H1325" s="1">
        <f t="shared" si="180"/>
        <v>4.0999999999999943</v>
      </c>
      <c r="I1325" s="9">
        <f t="shared" si="187"/>
        <v>1.7625311667096528E-2</v>
      </c>
      <c r="J1325" s="1">
        <f t="shared" si="188"/>
        <v>0.75</v>
      </c>
      <c r="K1325" s="9">
        <f t="shared" si="181"/>
        <v>3.2266391326794012E-3</v>
      </c>
      <c r="L1325" s="1">
        <f t="shared" si="182"/>
        <v>1</v>
      </c>
      <c r="M1325" s="1">
        <f t="shared" si="183"/>
        <v>236.72</v>
      </c>
      <c r="N1325" s="1">
        <f t="shared" si="184"/>
        <v>232.62</v>
      </c>
      <c r="O1325" s="1">
        <f t="shared" si="185"/>
        <v>231.23</v>
      </c>
      <c r="P1325" s="1">
        <f t="shared" si="186"/>
        <v>117.97448979591836</v>
      </c>
    </row>
    <row r="1326" spans="1:16">
      <c r="A1326" s="2">
        <v>41134</v>
      </c>
      <c r="B1326" s="1">
        <v>232.23</v>
      </c>
      <c r="C1326" s="1">
        <v>234.37</v>
      </c>
      <c r="D1326" s="1">
        <v>231</v>
      </c>
      <c r="E1326" s="1">
        <v>232.44</v>
      </c>
      <c r="F1326" s="1">
        <v>1997300</v>
      </c>
      <c r="G1326" s="1">
        <v>232.44</v>
      </c>
      <c r="H1326" s="1">
        <f t="shared" si="180"/>
        <v>3.3700000000000045</v>
      </c>
      <c r="I1326" s="9">
        <f t="shared" si="187"/>
        <v>1.4588744588744608E-2</v>
      </c>
      <c r="J1326" s="1">
        <f t="shared" si="188"/>
        <v>-0.31000000000000227</v>
      </c>
      <c r="K1326" s="9">
        <f t="shared" si="181"/>
        <v>-1.3319011815252513E-3</v>
      </c>
      <c r="L1326" s="1">
        <f t="shared" si="182"/>
        <v>1</v>
      </c>
      <c r="M1326" s="1">
        <f t="shared" si="183"/>
        <v>234.37</v>
      </c>
      <c r="N1326" s="1">
        <f t="shared" si="184"/>
        <v>231</v>
      </c>
      <c r="O1326" s="1">
        <f t="shared" si="185"/>
        <v>230.48</v>
      </c>
      <c r="P1326" s="1">
        <f t="shared" si="186"/>
        <v>117.59183673469387</v>
      </c>
    </row>
    <row r="1327" spans="1:16">
      <c r="A1327" s="2">
        <v>41131</v>
      </c>
      <c r="B1327" s="1">
        <v>233.08</v>
      </c>
      <c r="C1327" s="1">
        <v>234.85</v>
      </c>
      <c r="D1327" s="1">
        <v>231.43</v>
      </c>
      <c r="E1327" s="1">
        <v>232.75</v>
      </c>
      <c r="F1327" s="1">
        <v>1852500</v>
      </c>
      <c r="G1327" s="1">
        <v>232.75</v>
      </c>
      <c r="H1327" s="1">
        <f t="shared" si="180"/>
        <v>3.4199999999999875</v>
      </c>
      <c r="I1327" s="9">
        <f t="shared" si="187"/>
        <v>1.4777686557490332E-2</v>
      </c>
      <c r="J1327" s="1">
        <f t="shared" si="188"/>
        <v>-1.3100000000000023</v>
      </c>
      <c r="K1327" s="9">
        <f t="shared" si="181"/>
        <v>-5.5968555071349325E-3</v>
      </c>
      <c r="L1327" s="1">
        <f t="shared" si="182"/>
        <v>1</v>
      </c>
      <c r="M1327" s="1">
        <f t="shared" si="183"/>
        <v>234.85</v>
      </c>
      <c r="N1327" s="1">
        <f t="shared" si="184"/>
        <v>231.43</v>
      </c>
      <c r="O1327" s="1">
        <f t="shared" si="185"/>
        <v>230.79</v>
      </c>
      <c r="P1327" s="1">
        <f t="shared" si="186"/>
        <v>117.75</v>
      </c>
    </row>
    <row r="1328" spans="1:16">
      <c r="A1328" s="2">
        <v>41130</v>
      </c>
      <c r="B1328" s="1">
        <v>233.93</v>
      </c>
      <c r="C1328" s="1">
        <v>235.99</v>
      </c>
      <c r="D1328" s="1">
        <v>233.5</v>
      </c>
      <c r="E1328" s="1">
        <v>234.06</v>
      </c>
      <c r="F1328" s="1">
        <v>1548100</v>
      </c>
      <c r="G1328" s="1">
        <v>234.06</v>
      </c>
      <c r="H1328" s="1">
        <f t="shared" si="180"/>
        <v>2.4900000000000091</v>
      </c>
      <c r="I1328" s="9">
        <f t="shared" si="187"/>
        <v>1.0663811563169204E-2</v>
      </c>
      <c r="J1328" s="1">
        <f t="shared" si="188"/>
        <v>-0.31999999999999318</v>
      </c>
      <c r="K1328" s="9">
        <f t="shared" si="181"/>
        <v>-1.3653042068435583E-3</v>
      </c>
      <c r="L1328" s="1">
        <f t="shared" si="182"/>
        <v>1</v>
      </c>
      <c r="M1328" s="1">
        <f t="shared" si="183"/>
        <v>235.99</v>
      </c>
      <c r="N1328" s="1">
        <f t="shared" si="184"/>
        <v>233.5</v>
      </c>
      <c r="O1328" s="1">
        <f t="shared" si="185"/>
        <v>232.1</v>
      </c>
      <c r="P1328" s="1">
        <f t="shared" si="186"/>
        <v>118.41836734693878</v>
      </c>
    </row>
    <row r="1329" spans="1:16">
      <c r="A1329" s="2">
        <v>41129</v>
      </c>
      <c r="B1329" s="1">
        <v>235.29</v>
      </c>
      <c r="C1329" s="1">
        <v>236.45</v>
      </c>
      <c r="D1329" s="1">
        <v>233.59</v>
      </c>
      <c r="E1329" s="1">
        <v>234.38</v>
      </c>
      <c r="F1329" s="1">
        <v>1534300</v>
      </c>
      <c r="G1329" s="1">
        <v>234.38</v>
      </c>
      <c r="H1329" s="1">
        <f t="shared" si="180"/>
        <v>2.8599999999999852</v>
      </c>
      <c r="I1329" s="9">
        <f t="shared" si="187"/>
        <v>1.2243674814846462E-2</v>
      </c>
      <c r="J1329" s="1">
        <f t="shared" si="188"/>
        <v>-2.1800000000000068</v>
      </c>
      <c r="K1329" s="9">
        <f t="shared" si="181"/>
        <v>-9.2154210348326295E-3</v>
      </c>
      <c r="L1329" s="1">
        <f t="shared" si="182"/>
        <v>1</v>
      </c>
      <c r="M1329" s="1">
        <f t="shared" si="183"/>
        <v>236.45</v>
      </c>
      <c r="N1329" s="1">
        <f t="shared" si="184"/>
        <v>233.59</v>
      </c>
      <c r="O1329" s="1">
        <f t="shared" si="185"/>
        <v>232.42</v>
      </c>
      <c r="P1329" s="1">
        <f t="shared" si="186"/>
        <v>118.58163265306122</v>
      </c>
    </row>
    <row r="1330" spans="1:16">
      <c r="A1330" s="2">
        <v>41128</v>
      </c>
      <c r="B1330" s="1">
        <v>234.13</v>
      </c>
      <c r="C1330" s="1">
        <v>238</v>
      </c>
      <c r="D1330" s="1">
        <v>233.25</v>
      </c>
      <c r="E1330" s="1">
        <v>236.56</v>
      </c>
      <c r="F1330" s="1">
        <v>2058300</v>
      </c>
      <c r="G1330" s="1">
        <v>236.56</v>
      </c>
      <c r="H1330" s="1">
        <f t="shared" si="180"/>
        <v>4.75</v>
      </c>
      <c r="I1330" s="9">
        <f t="shared" si="187"/>
        <v>2.0364415862808145E-2</v>
      </c>
      <c r="J1330" s="1">
        <f t="shared" si="188"/>
        <v>2.5699999999999932</v>
      </c>
      <c r="K1330" s="9">
        <f t="shared" si="181"/>
        <v>1.0983375357921248E-2</v>
      </c>
      <c r="L1330" s="1">
        <f t="shared" si="182"/>
        <v>1</v>
      </c>
      <c r="M1330" s="1">
        <f t="shared" si="183"/>
        <v>238</v>
      </c>
      <c r="N1330" s="1">
        <f t="shared" si="184"/>
        <v>233.25</v>
      </c>
      <c r="O1330" s="1">
        <f t="shared" si="185"/>
        <v>234.6</v>
      </c>
      <c r="P1330" s="1">
        <f t="shared" si="186"/>
        <v>119.69387755102041</v>
      </c>
    </row>
    <row r="1331" spans="1:16">
      <c r="A1331" s="2">
        <v>41127</v>
      </c>
      <c r="B1331" s="1">
        <v>235.56</v>
      </c>
      <c r="C1331" s="1">
        <v>235.74</v>
      </c>
      <c r="D1331" s="1">
        <v>233.81</v>
      </c>
      <c r="E1331" s="1">
        <v>233.99</v>
      </c>
      <c r="F1331" s="1">
        <v>1843700</v>
      </c>
      <c r="G1331" s="1">
        <v>233.99</v>
      </c>
      <c r="H1331" s="1">
        <f t="shared" si="180"/>
        <v>1.9300000000000068</v>
      </c>
      <c r="I1331" s="9">
        <f t="shared" si="187"/>
        <v>8.2545656729823644E-3</v>
      </c>
      <c r="J1331" s="1">
        <f t="shared" si="188"/>
        <v>-0.97999999999998977</v>
      </c>
      <c r="K1331" s="9">
        <f t="shared" si="181"/>
        <v>-4.1707452015150434E-3</v>
      </c>
      <c r="L1331" s="1">
        <f t="shared" si="182"/>
        <v>1</v>
      </c>
      <c r="M1331" s="1">
        <f t="shared" si="183"/>
        <v>235.74</v>
      </c>
      <c r="N1331" s="1">
        <f t="shared" si="184"/>
        <v>233.81</v>
      </c>
      <c r="O1331" s="1">
        <f t="shared" si="185"/>
        <v>232.03</v>
      </c>
      <c r="P1331" s="1">
        <f t="shared" si="186"/>
        <v>118.38265306122449</v>
      </c>
    </row>
    <row r="1332" spans="1:16">
      <c r="A1332" s="2">
        <v>41124</v>
      </c>
      <c r="B1332" s="1">
        <v>234.03</v>
      </c>
      <c r="C1332" s="1">
        <v>236.49</v>
      </c>
      <c r="D1332" s="1">
        <v>233.03</v>
      </c>
      <c r="E1332" s="1">
        <v>234.97</v>
      </c>
      <c r="F1332" s="1">
        <v>2825300</v>
      </c>
      <c r="G1332" s="1">
        <v>234.97</v>
      </c>
      <c r="H1332" s="1">
        <f t="shared" si="180"/>
        <v>3.460000000000008</v>
      </c>
      <c r="I1332" s="9">
        <f t="shared" si="187"/>
        <v>1.4847873664335098E-2</v>
      </c>
      <c r="J1332" s="1">
        <f t="shared" si="188"/>
        <v>4.1599999999999966</v>
      </c>
      <c r="K1332" s="9">
        <f t="shared" si="181"/>
        <v>1.8023482518088454E-2</v>
      </c>
      <c r="L1332" s="1">
        <f t="shared" si="182"/>
        <v>1</v>
      </c>
      <c r="M1332" s="1">
        <f t="shared" si="183"/>
        <v>236.49</v>
      </c>
      <c r="N1332" s="1">
        <f t="shared" si="184"/>
        <v>233.03</v>
      </c>
      <c r="O1332" s="1">
        <f t="shared" si="185"/>
        <v>233.01</v>
      </c>
      <c r="P1332" s="1">
        <f t="shared" si="186"/>
        <v>118.88265306122449</v>
      </c>
    </row>
    <row r="1333" spans="1:16">
      <c r="A1333" s="2">
        <v>41123</v>
      </c>
      <c r="B1333" s="1">
        <v>230.56</v>
      </c>
      <c r="C1333" s="1">
        <v>234.34</v>
      </c>
      <c r="D1333" s="1">
        <v>228.66</v>
      </c>
      <c r="E1333" s="1">
        <v>230.81</v>
      </c>
      <c r="F1333" s="1">
        <v>3048100</v>
      </c>
      <c r="G1333" s="1">
        <v>230.81</v>
      </c>
      <c r="H1333" s="1">
        <f t="shared" si="180"/>
        <v>5.6800000000000068</v>
      </c>
      <c r="I1333" s="9">
        <f t="shared" si="187"/>
        <v>2.4840374354937491E-2</v>
      </c>
      <c r="J1333" s="1">
        <f t="shared" si="188"/>
        <v>-1.2800000000000011</v>
      </c>
      <c r="K1333" s="9">
        <f t="shared" si="181"/>
        <v>-5.515101900124956E-3</v>
      </c>
      <c r="L1333" s="1">
        <f t="shared" si="182"/>
        <v>1</v>
      </c>
      <c r="M1333" s="1">
        <f t="shared" si="183"/>
        <v>234.34</v>
      </c>
      <c r="N1333" s="1">
        <f t="shared" si="184"/>
        <v>228.66</v>
      </c>
      <c r="O1333" s="1">
        <f t="shared" si="185"/>
        <v>228.85</v>
      </c>
      <c r="P1333" s="1">
        <f t="shared" si="186"/>
        <v>116.76020408163265</v>
      </c>
    </row>
    <row r="1334" spans="1:16">
      <c r="A1334" s="2">
        <v>41122</v>
      </c>
      <c r="B1334" s="1">
        <v>234.14</v>
      </c>
      <c r="C1334" s="1">
        <v>234.38</v>
      </c>
      <c r="D1334" s="1">
        <v>230.7</v>
      </c>
      <c r="E1334" s="1">
        <v>232.09</v>
      </c>
      <c r="F1334" s="1">
        <v>2543800</v>
      </c>
      <c r="G1334" s="1">
        <v>232.09</v>
      </c>
      <c r="H1334" s="1">
        <f t="shared" si="180"/>
        <v>3.6800000000000068</v>
      </c>
      <c r="I1334" s="9">
        <f t="shared" si="187"/>
        <v>1.5951452102297387E-2</v>
      </c>
      <c r="J1334" s="1">
        <f t="shared" si="188"/>
        <v>-1.210000000000008</v>
      </c>
      <c r="K1334" s="9">
        <f t="shared" si="181"/>
        <v>-5.1864552078868748E-3</v>
      </c>
      <c r="L1334" s="1">
        <f t="shared" si="182"/>
        <v>1</v>
      </c>
      <c r="M1334" s="1">
        <f t="shared" si="183"/>
        <v>234.38</v>
      </c>
      <c r="N1334" s="1">
        <f t="shared" si="184"/>
        <v>230.7</v>
      </c>
      <c r="O1334" s="1">
        <f t="shared" si="185"/>
        <v>230.13</v>
      </c>
      <c r="P1334" s="1">
        <f t="shared" si="186"/>
        <v>117.41326530612245</v>
      </c>
    </row>
    <row r="1335" spans="1:16">
      <c r="A1335" s="2">
        <v>41121</v>
      </c>
      <c r="B1335" s="1">
        <v>235.1</v>
      </c>
      <c r="C1335" s="1">
        <v>236.3</v>
      </c>
      <c r="D1335" s="1">
        <v>231.61</v>
      </c>
      <c r="E1335" s="1">
        <v>233.3</v>
      </c>
      <c r="F1335" s="1">
        <v>3453600</v>
      </c>
      <c r="G1335" s="1">
        <v>233.3</v>
      </c>
      <c r="H1335" s="1">
        <f t="shared" si="180"/>
        <v>4.6899999999999977</v>
      </c>
      <c r="I1335" s="9">
        <f t="shared" si="187"/>
        <v>2.0249557445706133E-2</v>
      </c>
      <c r="J1335" s="1">
        <f t="shared" si="188"/>
        <v>-2.789999999999992</v>
      </c>
      <c r="K1335" s="9">
        <f t="shared" si="181"/>
        <v>-1.1817527214197942E-2</v>
      </c>
      <c r="L1335" s="1">
        <f t="shared" si="182"/>
        <v>1</v>
      </c>
      <c r="M1335" s="1">
        <f t="shared" si="183"/>
        <v>236.3</v>
      </c>
      <c r="N1335" s="1">
        <f t="shared" si="184"/>
        <v>231.61</v>
      </c>
      <c r="O1335" s="1">
        <f t="shared" si="185"/>
        <v>231.34</v>
      </c>
      <c r="P1335" s="1">
        <f t="shared" si="186"/>
        <v>118.03061224489797</v>
      </c>
    </row>
    <row r="1336" spans="1:16">
      <c r="A1336" s="2">
        <v>41120</v>
      </c>
      <c r="B1336" s="1">
        <v>237</v>
      </c>
      <c r="C1336" s="1">
        <v>240.74</v>
      </c>
      <c r="D1336" s="1">
        <v>234.07</v>
      </c>
      <c r="E1336" s="1">
        <v>236.09</v>
      </c>
      <c r="F1336" s="1">
        <v>3736400</v>
      </c>
      <c r="G1336" s="1">
        <v>236.09</v>
      </c>
      <c r="H1336" s="1">
        <f t="shared" si="180"/>
        <v>6.6700000000000159</v>
      </c>
      <c r="I1336" s="9">
        <f t="shared" si="187"/>
        <v>2.8495749134874251E-2</v>
      </c>
      <c r="J1336" s="1">
        <f t="shared" si="188"/>
        <v>-1.2299999999999898</v>
      </c>
      <c r="K1336" s="9">
        <f t="shared" si="181"/>
        <v>-5.1828754424405434E-3</v>
      </c>
      <c r="L1336" s="1">
        <f t="shared" si="182"/>
        <v>1</v>
      </c>
      <c r="M1336" s="1">
        <f t="shared" si="183"/>
        <v>240.74</v>
      </c>
      <c r="N1336" s="1">
        <f t="shared" si="184"/>
        <v>234.07</v>
      </c>
      <c r="O1336" s="1">
        <f t="shared" si="185"/>
        <v>234.13</v>
      </c>
      <c r="P1336" s="1">
        <f t="shared" si="186"/>
        <v>119.45408163265306</v>
      </c>
    </row>
    <row r="1337" spans="1:16">
      <c r="A1337" s="2">
        <v>41117</v>
      </c>
      <c r="B1337" s="1">
        <v>225.25</v>
      </c>
      <c r="C1337" s="1">
        <v>238.34</v>
      </c>
      <c r="D1337" s="1">
        <v>224.5</v>
      </c>
      <c r="E1337" s="1">
        <v>237.32</v>
      </c>
      <c r="F1337" s="1">
        <v>11313900</v>
      </c>
      <c r="G1337" s="1">
        <v>237.32</v>
      </c>
      <c r="H1337" s="1">
        <f t="shared" si="180"/>
        <v>13.840000000000003</v>
      </c>
      <c r="I1337" s="9">
        <f t="shared" si="187"/>
        <v>6.1648106904231642E-2</v>
      </c>
      <c r="J1337" s="1">
        <f t="shared" si="188"/>
        <v>17.310000000000002</v>
      </c>
      <c r="K1337" s="9">
        <f t="shared" si="181"/>
        <v>7.8678241898095552E-2</v>
      </c>
      <c r="L1337" s="1">
        <f t="shared" si="182"/>
        <v>1</v>
      </c>
      <c r="M1337" s="1">
        <f t="shared" si="183"/>
        <v>238.34</v>
      </c>
      <c r="N1337" s="1">
        <f t="shared" si="184"/>
        <v>224.5</v>
      </c>
      <c r="O1337" s="1">
        <f t="shared" si="185"/>
        <v>235.35999999999999</v>
      </c>
      <c r="P1337" s="1">
        <f t="shared" si="186"/>
        <v>120.08163265306122</v>
      </c>
    </row>
    <row r="1338" spans="1:16">
      <c r="A1338" s="2">
        <v>41116</v>
      </c>
      <c r="B1338" s="1">
        <v>220</v>
      </c>
      <c r="C1338" s="1">
        <v>221.45</v>
      </c>
      <c r="D1338" s="1">
        <v>214.95</v>
      </c>
      <c r="E1338" s="1">
        <v>220.01</v>
      </c>
      <c r="F1338" s="1">
        <v>6937400</v>
      </c>
      <c r="G1338" s="1">
        <v>220.01</v>
      </c>
      <c r="H1338" s="1">
        <f t="shared" si="180"/>
        <v>6.5</v>
      </c>
      <c r="I1338" s="9">
        <f t="shared" si="187"/>
        <v>3.0239590602465692E-2</v>
      </c>
      <c r="J1338" s="1">
        <f t="shared" si="188"/>
        <v>2.9599999999999795</v>
      </c>
      <c r="K1338" s="9">
        <f t="shared" si="181"/>
        <v>1.3637410734853625E-2</v>
      </c>
      <c r="L1338" s="1">
        <f t="shared" si="182"/>
        <v>1</v>
      </c>
      <c r="M1338" s="1">
        <f t="shared" si="183"/>
        <v>221.45</v>
      </c>
      <c r="N1338" s="1">
        <f t="shared" si="184"/>
        <v>214.95</v>
      </c>
      <c r="O1338" s="1">
        <f t="shared" si="185"/>
        <v>218.04999999999998</v>
      </c>
      <c r="P1338" s="1">
        <f t="shared" si="186"/>
        <v>111.25</v>
      </c>
    </row>
    <row r="1339" spans="1:16">
      <c r="A1339" s="2">
        <v>41115</v>
      </c>
      <c r="B1339" s="1">
        <v>222</v>
      </c>
      <c r="C1339" s="1">
        <v>222.5</v>
      </c>
      <c r="D1339" s="1">
        <v>215.91</v>
      </c>
      <c r="E1339" s="1">
        <v>217.05</v>
      </c>
      <c r="F1339" s="1">
        <v>3646700</v>
      </c>
      <c r="G1339" s="1">
        <v>217.05</v>
      </c>
      <c r="H1339" s="1">
        <f t="shared" si="180"/>
        <v>6.5900000000000034</v>
      </c>
      <c r="I1339" s="9">
        <f t="shared" si="187"/>
        <v>3.0521976749571599E-2</v>
      </c>
      <c r="J1339" s="1">
        <f t="shared" si="188"/>
        <v>-5.9899999999999807</v>
      </c>
      <c r="K1339" s="9">
        <f t="shared" si="181"/>
        <v>-2.6856169296987E-2</v>
      </c>
      <c r="L1339" s="1">
        <f t="shared" si="182"/>
        <v>1</v>
      </c>
      <c r="M1339" s="1">
        <f t="shared" si="183"/>
        <v>222.5</v>
      </c>
      <c r="N1339" s="1">
        <f t="shared" si="184"/>
        <v>215.91</v>
      </c>
      <c r="O1339" s="1">
        <f t="shared" si="185"/>
        <v>215.09</v>
      </c>
      <c r="P1339" s="1">
        <f t="shared" si="186"/>
        <v>109.73979591836735</v>
      </c>
    </row>
    <row r="1340" spans="1:16">
      <c r="A1340" s="2">
        <v>41114</v>
      </c>
      <c r="B1340" s="1">
        <v>226.27</v>
      </c>
      <c r="C1340" s="1">
        <v>226.61</v>
      </c>
      <c r="D1340" s="1">
        <v>221.23</v>
      </c>
      <c r="E1340" s="1">
        <v>223.04</v>
      </c>
      <c r="F1340" s="1">
        <v>5008700</v>
      </c>
      <c r="G1340" s="1">
        <v>223.04</v>
      </c>
      <c r="H1340" s="1">
        <f t="shared" si="180"/>
        <v>5.3800000000000239</v>
      </c>
      <c r="I1340" s="9">
        <f t="shared" si="187"/>
        <v>2.4318582470731927E-2</v>
      </c>
      <c r="J1340" s="1">
        <f t="shared" si="188"/>
        <v>-2.9699999999999989</v>
      </c>
      <c r="K1340" s="9">
        <f t="shared" si="181"/>
        <v>-1.3141011459669921E-2</v>
      </c>
      <c r="L1340" s="1">
        <f t="shared" si="182"/>
        <v>1</v>
      </c>
      <c r="M1340" s="1">
        <f t="shared" si="183"/>
        <v>226.61</v>
      </c>
      <c r="N1340" s="1">
        <f t="shared" si="184"/>
        <v>221.23</v>
      </c>
      <c r="O1340" s="1">
        <f t="shared" si="185"/>
        <v>221.07999999999998</v>
      </c>
      <c r="P1340" s="1">
        <f t="shared" si="186"/>
        <v>112.79591836734693</v>
      </c>
    </row>
    <row r="1341" spans="1:16">
      <c r="A1341" s="2">
        <v>41113</v>
      </c>
      <c r="B1341" s="1">
        <v>224.72</v>
      </c>
      <c r="C1341" s="1">
        <v>226.58</v>
      </c>
      <c r="D1341" s="1">
        <v>221.54</v>
      </c>
      <c r="E1341" s="1">
        <v>226.01</v>
      </c>
      <c r="F1341" s="1">
        <v>5515100</v>
      </c>
      <c r="G1341" s="1">
        <v>226.01</v>
      </c>
      <c r="H1341" s="1">
        <f t="shared" si="180"/>
        <v>5.0400000000000205</v>
      </c>
      <c r="I1341" s="9">
        <f t="shared" si="187"/>
        <v>2.2749842014986102E-2</v>
      </c>
      <c r="J1341" s="1">
        <f t="shared" si="188"/>
        <v>-2.2800000000000011</v>
      </c>
      <c r="K1341" s="9">
        <f t="shared" si="181"/>
        <v>-9.9872968592579665E-3</v>
      </c>
      <c r="L1341" s="1">
        <f t="shared" si="182"/>
        <v>1</v>
      </c>
      <c r="M1341" s="1">
        <f t="shared" si="183"/>
        <v>226.58</v>
      </c>
      <c r="N1341" s="1">
        <f t="shared" si="184"/>
        <v>221.54</v>
      </c>
      <c r="O1341" s="1">
        <f t="shared" si="185"/>
        <v>224.04999999999998</v>
      </c>
      <c r="P1341" s="1">
        <f t="shared" si="186"/>
        <v>114.31122448979592</v>
      </c>
    </row>
    <row r="1342" spans="1:16">
      <c r="A1342" s="2">
        <v>41110</v>
      </c>
      <c r="B1342" s="1">
        <v>225.36</v>
      </c>
      <c r="C1342" s="1">
        <v>229.39</v>
      </c>
      <c r="D1342" s="1">
        <v>225.29</v>
      </c>
      <c r="E1342" s="1">
        <v>228.29</v>
      </c>
      <c r="F1342" s="1">
        <v>4170000</v>
      </c>
      <c r="G1342" s="1">
        <v>228.29</v>
      </c>
      <c r="H1342" s="1">
        <f t="shared" si="180"/>
        <v>4.0999999999999943</v>
      </c>
      <c r="I1342" s="9">
        <f t="shared" si="187"/>
        <v>1.819876603488834E-2</v>
      </c>
      <c r="J1342" s="1">
        <f t="shared" si="188"/>
        <v>2.1200000000000045</v>
      </c>
      <c r="K1342" s="9">
        <f t="shared" si="181"/>
        <v>9.3734801255692824E-3</v>
      </c>
      <c r="L1342" s="1">
        <f t="shared" si="182"/>
        <v>1</v>
      </c>
      <c r="M1342" s="1">
        <f t="shared" si="183"/>
        <v>229.39</v>
      </c>
      <c r="N1342" s="1">
        <f t="shared" si="184"/>
        <v>225.29</v>
      </c>
      <c r="O1342" s="1">
        <f t="shared" si="185"/>
        <v>226.32999999999998</v>
      </c>
      <c r="P1342" s="1">
        <f t="shared" si="186"/>
        <v>115.47448979591836</v>
      </c>
    </row>
    <row r="1343" spans="1:16">
      <c r="A1343" s="2">
        <v>41109</v>
      </c>
      <c r="B1343" s="1">
        <v>220.73</v>
      </c>
      <c r="C1343" s="1">
        <v>227.5</v>
      </c>
      <c r="D1343" s="1">
        <v>220.69</v>
      </c>
      <c r="E1343" s="1">
        <v>226.17</v>
      </c>
      <c r="F1343" s="1">
        <v>5449400</v>
      </c>
      <c r="G1343" s="1">
        <v>226.17</v>
      </c>
      <c r="H1343" s="1">
        <f t="shared" si="180"/>
        <v>6.8100000000000023</v>
      </c>
      <c r="I1343" s="9">
        <f t="shared" si="187"/>
        <v>3.0857764284743315E-2</v>
      </c>
      <c r="J1343" s="1">
        <f t="shared" si="188"/>
        <v>8.6999999999999886</v>
      </c>
      <c r="K1343" s="9">
        <f t="shared" si="181"/>
        <v>4.0005518002483052E-2</v>
      </c>
      <c r="L1343" s="1">
        <f t="shared" si="182"/>
        <v>1</v>
      </c>
      <c r="M1343" s="1">
        <f t="shared" si="183"/>
        <v>227.5</v>
      </c>
      <c r="N1343" s="1">
        <f t="shared" si="184"/>
        <v>220.69</v>
      </c>
      <c r="O1343" s="1">
        <f t="shared" si="185"/>
        <v>224.20999999999998</v>
      </c>
      <c r="P1343" s="1">
        <f t="shared" si="186"/>
        <v>114.39285714285714</v>
      </c>
    </row>
    <row r="1344" spans="1:16">
      <c r="A1344" s="2">
        <v>41108</v>
      </c>
      <c r="B1344" s="1">
        <v>216.15</v>
      </c>
      <c r="C1344" s="1">
        <v>218.67</v>
      </c>
      <c r="D1344" s="1">
        <v>215.71</v>
      </c>
      <c r="E1344" s="1">
        <v>217.47</v>
      </c>
      <c r="F1344" s="1">
        <v>2093000</v>
      </c>
      <c r="G1344" s="1">
        <v>217.47</v>
      </c>
      <c r="H1344" s="1">
        <f t="shared" si="180"/>
        <v>2.9599999999999795</v>
      </c>
      <c r="I1344" s="9">
        <f t="shared" si="187"/>
        <v>1.3722126929674004E-2</v>
      </c>
      <c r="J1344" s="1">
        <f t="shared" si="188"/>
        <v>0.53999999999999204</v>
      </c>
      <c r="K1344" s="9">
        <f t="shared" si="181"/>
        <v>2.4892822569492095E-3</v>
      </c>
      <c r="L1344" s="1">
        <f t="shared" si="182"/>
        <v>1</v>
      </c>
      <c r="M1344" s="1">
        <f t="shared" si="183"/>
        <v>218.67</v>
      </c>
      <c r="N1344" s="1">
        <f t="shared" si="184"/>
        <v>215.71</v>
      </c>
      <c r="O1344" s="1">
        <f t="shared" si="185"/>
        <v>215.51</v>
      </c>
      <c r="P1344" s="1">
        <f t="shared" si="186"/>
        <v>109.95408163265306</v>
      </c>
    </row>
    <row r="1345" spans="1:16">
      <c r="A1345" s="2">
        <v>41107</v>
      </c>
      <c r="B1345" s="1">
        <v>217.45</v>
      </c>
      <c r="C1345" s="1">
        <v>217.94</v>
      </c>
      <c r="D1345" s="1">
        <v>213.96</v>
      </c>
      <c r="E1345" s="1">
        <v>216.93</v>
      </c>
      <c r="F1345" s="1">
        <v>1987000</v>
      </c>
      <c r="G1345" s="1">
        <v>216.93</v>
      </c>
      <c r="H1345" s="1">
        <f t="shared" si="180"/>
        <v>3.9799999999999898</v>
      </c>
      <c r="I1345" s="9">
        <f t="shared" si="187"/>
        <v>1.8601607777154559E-2</v>
      </c>
      <c r="J1345" s="1">
        <f t="shared" si="188"/>
        <v>0.92000000000001592</v>
      </c>
      <c r="K1345" s="9">
        <f t="shared" si="181"/>
        <v>4.259062080459312E-3</v>
      </c>
      <c r="L1345" s="1">
        <f t="shared" si="182"/>
        <v>1</v>
      </c>
      <c r="M1345" s="1">
        <f t="shared" si="183"/>
        <v>217.94</v>
      </c>
      <c r="N1345" s="1">
        <f t="shared" si="184"/>
        <v>213.96</v>
      </c>
      <c r="O1345" s="1">
        <f t="shared" si="185"/>
        <v>214.97</v>
      </c>
      <c r="P1345" s="1">
        <f t="shared" si="186"/>
        <v>109.67857142857143</v>
      </c>
    </row>
    <row r="1346" spans="1:16">
      <c r="A1346" s="2">
        <v>41106</v>
      </c>
      <c r="B1346" s="1">
        <v>216.6</v>
      </c>
      <c r="C1346" s="1">
        <v>218.31</v>
      </c>
      <c r="D1346" s="1">
        <v>214.46</v>
      </c>
      <c r="E1346" s="1">
        <v>216.01</v>
      </c>
      <c r="F1346" s="1">
        <v>2004200</v>
      </c>
      <c r="G1346" s="1">
        <v>216.01</v>
      </c>
      <c r="H1346" s="1">
        <f t="shared" si="180"/>
        <v>3.8499999999999943</v>
      </c>
      <c r="I1346" s="9">
        <f t="shared" si="187"/>
        <v>1.7952065653268647E-2</v>
      </c>
      <c r="J1346" s="1">
        <f t="shared" si="188"/>
        <v>-2.3799999999999955</v>
      </c>
      <c r="K1346" s="9">
        <f t="shared" si="181"/>
        <v>-1.0897934887128511E-2</v>
      </c>
      <c r="L1346" s="1">
        <f t="shared" si="182"/>
        <v>1</v>
      </c>
      <c r="M1346" s="1">
        <f t="shared" si="183"/>
        <v>218.31</v>
      </c>
      <c r="N1346" s="1">
        <f t="shared" si="184"/>
        <v>214.46</v>
      </c>
      <c r="O1346" s="1">
        <f t="shared" si="185"/>
        <v>214.04999999999998</v>
      </c>
      <c r="P1346" s="1">
        <f t="shared" si="186"/>
        <v>109.20918367346938</v>
      </c>
    </row>
    <row r="1347" spans="1:16">
      <c r="A1347" s="2">
        <v>41103</v>
      </c>
      <c r="B1347" s="1">
        <v>215.63</v>
      </c>
      <c r="C1347" s="1">
        <v>219.31</v>
      </c>
      <c r="D1347" s="1">
        <v>213.88</v>
      </c>
      <c r="E1347" s="1">
        <v>218.39</v>
      </c>
      <c r="F1347" s="1">
        <v>2221900</v>
      </c>
      <c r="G1347" s="1">
        <v>218.39</v>
      </c>
      <c r="H1347" s="1">
        <f t="shared" ref="H1347:H1410" si="189">C1347-D1347</f>
        <v>5.4300000000000068</v>
      </c>
      <c r="I1347" s="9">
        <f t="shared" si="187"/>
        <v>2.5388068075556419E-2</v>
      </c>
      <c r="J1347" s="1">
        <f t="shared" si="188"/>
        <v>3.0299999999999727</v>
      </c>
      <c r="K1347" s="9">
        <f t="shared" ref="K1347:K1410" si="190">(G1347-G1348)/G1348</f>
        <v>1.4069465081723498E-2</v>
      </c>
      <c r="L1347" s="1">
        <f t="shared" ref="L1347:L1410" si="191">G1347/E1347</f>
        <v>1</v>
      </c>
      <c r="M1347" s="1">
        <f t="shared" ref="M1347:M1410" si="192">L1347*C1347</f>
        <v>219.31</v>
      </c>
      <c r="N1347" s="1">
        <f t="shared" ref="N1347:N1410" si="193">L1347*D1347</f>
        <v>213.88</v>
      </c>
      <c r="O1347" s="1">
        <f t="shared" ref="O1347:O1410" si="194">G1347-$G$5163</f>
        <v>216.42999999999998</v>
      </c>
      <c r="P1347" s="1">
        <f t="shared" ref="P1347:P1410" si="195">(G1347-$G$5163)/$G$5163</f>
        <v>110.42346938775509</v>
      </c>
    </row>
    <row r="1348" spans="1:16">
      <c r="A1348" s="2">
        <v>41102</v>
      </c>
      <c r="B1348" s="1">
        <v>216.61</v>
      </c>
      <c r="C1348" s="1">
        <v>217.3</v>
      </c>
      <c r="D1348" s="1">
        <v>212.61</v>
      </c>
      <c r="E1348" s="1">
        <v>215.36</v>
      </c>
      <c r="F1348" s="1">
        <v>2616200</v>
      </c>
      <c r="G1348" s="1">
        <v>215.36</v>
      </c>
      <c r="H1348" s="1">
        <f t="shared" si="189"/>
        <v>4.6899999999999977</v>
      </c>
      <c r="I1348" s="9">
        <f t="shared" ref="I1348:I1411" si="196">(C1348-D1348)/D1348</f>
        <v>2.2059169371149039E-2</v>
      </c>
      <c r="J1348" s="1">
        <f t="shared" ref="J1348:J1411" si="197">G1348-G1349</f>
        <v>-3.0099999999999909</v>
      </c>
      <c r="K1348" s="9">
        <f t="shared" si="190"/>
        <v>-1.3783944681045889E-2</v>
      </c>
      <c r="L1348" s="1">
        <f t="shared" si="191"/>
        <v>1</v>
      </c>
      <c r="M1348" s="1">
        <f t="shared" si="192"/>
        <v>217.3</v>
      </c>
      <c r="N1348" s="1">
        <f t="shared" si="193"/>
        <v>212.61</v>
      </c>
      <c r="O1348" s="1">
        <f t="shared" si="194"/>
        <v>213.4</v>
      </c>
      <c r="P1348" s="1">
        <f t="shared" si="195"/>
        <v>108.87755102040816</v>
      </c>
    </row>
    <row r="1349" spans="1:16">
      <c r="A1349" s="2">
        <v>41101</v>
      </c>
      <c r="B1349" s="1">
        <v>218.95</v>
      </c>
      <c r="C1349" s="1">
        <v>221.74</v>
      </c>
      <c r="D1349" s="1">
        <v>215.34</v>
      </c>
      <c r="E1349" s="1">
        <v>218.37</v>
      </c>
      <c r="F1349" s="1">
        <v>2734700</v>
      </c>
      <c r="G1349" s="1">
        <v>218.37</v>
      </c>
      <c r="H1349" s="1">
        <f t="shared" si="189"/>
        <v>6.4000000000000057</v>
      </c>
      <c r="I1349" s="9">
        <f t="shared" si="196"/>
        <v>2.9720442091576139E-2</v>
      </c>
      <c r="J1349" s="1">
        <f t="shared" si="197"/>
        <v>-1.1299999999999955</v>
      </c>
      <c r="K1349" s="9">
        <f t="shared" si="190"/>
        <v>-5.1480637813211636E-3</v>
      </c>
      <c r="L1349" s="1">
        <f t="shared" si="191"/>
        <v>1</v>
      </c>
      <c r="M1349" s="1">
        <f t="shared" si="192"/>
        <v>221.74</v>
      </c>
      <c r="N1349" s="1">
        <f t="shared" si="193"/>
        <v>215.34</v>
      </c>
      <c r="O1349" s="1">
        <f t="shared" si="194"/>
        <v>216.41</v>
      </c>
      <c r="P1349" s="1">
        <f t="shared" si="195"/>
        <v>110.41326530612245</v>
      </c>
    </row>
    <row r="1350" spans="1:16">
      <c r="A1350" s="2">
        <v>41100</v>
      </c>
      <c r="B1350" s="1">
        <v>226.25</v>
      </c>
      <c r="C1350" s="1">
        <v>227.14</v>
      </c>
      <c r="D1350" s="1">
        <v>218.28</v>
      </c>
      <c r="E1350" s="1">
        <v>219.5</v>
      </c>
      <c r="F1350" s="1">
        <v>2982100</v>
      </c>
      <c r="G1350" s="1">
        <v>219.5</v>
      </c>
      <c r="H1350" s="1">
        <f t="shared" si="189"/>
        <v>8.8599999999999852</v>
      </c>
      <c r="I1350" s="9">
        <f t="shared" si="196"/>
        <v>4.0590067802821997E-2</v>
      </c>
      <c r="J1350" s="1">
        <f t="shared" si="197"/>
        <v>-5.5500000000000114</v>
      </c>
      <c r="K1350" s="9">
        <f t="shared" si="190"/>
        <v>-2.46611864030216E-2</v>
      </c>
      <c r="L1350" s="1">
        <f t="shared" si="191"/>
        <v>1</v>
      </c>
      <c r="M1350" s="1">
        <f t="shared" si="192"/>
        <v>227.14</v>
      </c>
      <c r="N1350" s="1">
        <f t="shared" si="193"/>
        <v>218.28</v>
      </c>
      <c r="O1350" s="1">
        <f t="shared" si="194"/>
        <v>217.54</v>
      </c>
      <c r="P1350" s="1">
        <f t="shared" si="195"/>
        <v>110.98979591836735</v>
      </c>
    </row>
    <row r="1351" spans="1:16">
      <c r="A1351" s="2">
        <v>41099</v>
      </c>
      <c r="B1351" s="1">
        <v>225</v>
      </c>
      <c r="C1351" s="1">
        <v>226</v>
      </c>
      <c r="D1351" s="1">
        <v>223.45</v>
      </c>
      <c r="E1351" s="1">
        <v>225.05</v>
      </c>
      <c r="F1351" s="1">
        <v>1922000</v>
      </c>
      <c r="G1351" s="1">
        <v>225.05</v>
      </c>
      <c r="H1351" s="1">
        <f t="shared" si="189"/>
        <v>2.5500000000000114</v>
      </c>
      <c r="I1351" s="9">
        <f t="shared" si="196"/>
        <v>1.1411948981875192E-2</v>
      </c>
      <c r="J1351" s="1">
        <f t="shared" si="197"/>
        <v>0</v>
      </c>
      <c r="K1351" s="9">
        <f t="shared" si="190"/>
        <v>0</v>
      </c>
      <c r="L1351" s="1">
        <f t="shared" si="191"/>
        <v>1</v>
      </c>
      <c r="M1351" s="1">
        <f t="shared" si="192"/>
        <v>226</v>
      </c>
      <c r="N1351" s="1">
        <f t="shared" si="193"/>
        <v>223.45</v>
      </c>
      <c r="O1351" s="1">
        <f t="shared" si="194"/>
        <v>223.09</v>
      </c>
      <c r="P1351" s="1">
        <f t="shared" si="195"/>
        <v>113.82142857142857</v>
      </c>
    </row>
    <row r="1352" spans="1:16">
      <c r="A1352" s="2">
        <v>41096</v>
      </c>
      <c r="B1352" s="1">
        <v>226.35</v>
      </c>
      <c r="C1352" s="1">
        <v>228.9</v>
      </c>
      <c r="D1352" s="1">
        <v>224.18</v>
      </c>
      <c r="E1352" s="1">
        <v>225.05</v>
      </c>
      <c r="F1352" s="1">
        <v>3203200</v>
      </c>
      <c r="G1352" s="1">
        <v>225.05</v>
      </c>
      <c r="H1352" s="1">
        <f t="shared" si="189"/>
        <v>4.7199999999999989</v>
      </c>
      <c r="I1352" s="9">
        <f t="shared" si="196"/>
        <v>2.1054509768935671E-2</v>
      </c>
      <c r="J1352" s="1">
        <f t="shared" si="197"/>
        <v>-2.0099999999999909</v>
      </c>
      <c r="K1352" s="9">
        <f t="shared" si="190"/>
        <v>-8.8522857394520878E-3</v>
      </c>
      <c r="L1352" s="1">
        <f t="shared" si="191"/>
        <v>1</v>
      </c>
      <c r="M1352" s="1">
        <f t="shared" si="192"/>
        <v>228.9</v>
      </c>
      <c r="N1352" s="1">
        <f t="shared" si="193"/>
        <v>224.18</v>
      </c>
      <c r="O1352" s="1">
        <f t="shared" si="194"/>
        <v>223.09</v>
      </c>
      <c r="P1352" s="1">
        <f t="shared" si="195"/>
        <v>113.82142857142857</v>
      </c>
    </row>
    <row r="1353" spans="1:16">
      <c r="A1353" s="2">
        <v>41095</v>
      </c>
      <c r="B1353" s="1">
        <v>228.62</v>
      </c>
      <c r="C1353" s="1">
        <v>230.5</v>
      </c>
      <c r="D1353" s="1">
        <v>226.53</v>
      </c>
      <c r="E1353" s="1">
        <v>227.06</v>
      </c>
      <c r="F1353" s="1">
        <v>2682300</v>
      </c>
      <c r="G1353" s="1">
        <v>227.06</v>
      </c>
      <c r="H1353" s="1">
        <f t="shared" si="189"/>
        <v>3.9699999999999989</v>
      </c>
      <c r="I1353" s="9">
        <f t="shared" si="196"/>
        <v>1.7525272590826816E-2</v>
      </c>
      <c r="J1353" s="1">
        <f t="shared" si="197"/>
        <v>-2.4699999999999989</v>
      </c>
      <c r="K1353" s="9">
        <f t="shared" si="190"/>
        <v>-1.0761120550690537E-2</v>
      </c>
      <c r="L1353" s="1">
        <f t="shared" si="191"/>
        <v>1</v>
      </c>
      <c r="M1353" s="1">
        <f t="shared" si="192"/>
        <v>230.5</v>
      </c>
      <c r="N1353" s="1">
        <f t="shared" si="193"/>
        <v>226.53</v>
      </c>
      <c r="O1353" s="1">
        <f t="shared" si="194"/>
        <v>225.1</v>
      </c>
      <c r="P1353" s="1">
        <f t="shared" si="195"/>
        <v>114.8469387755102</v>
      </c>
    </row>
    <row r="1354" spans="1:16">
      <c r="A1354" s="2">
        <v>41093</v>
      </c>
      <c r="B1354" s="1">
        <v>229.14</v>
      </c>
      <c r="C1354" s="1">
        <v>229.53</v>
      </c>
      <c r="D1354" s="1">
        <v>227.59</v>
      </c>
      <c r="E1354" s="1">
        <v>229.53</v>
      </c>
      <c r="F1354" s="1">
        <v>1331700</v>
      </c>
      <c r="G1354" s="1">
        <v>229.53</v>
      </c>
      <c r="H1354" s="1">
        <f t="shared" si="189"/>
        <v>1.9399999999999977</v>
      </c>
      <c r="I1354" s="9">
        <f t="shared" si="196"/>
        <v>8.5241003559031487E-3</v>
      </c>
      <c r="J1354" s="1">
        <f t="shared" si="197"/>
        <v>0.21000000000000796</v>
      </c>
      <c r="K1354" s="9">
        <f t="shared" si="190"/>
        <v>9.1575091575095044E-4</v>
      </c>
      <c r="L1354" s="1">
        <f t="shared" si="191"/>
        <v>1</v>
      </c>
      <c r="M1354" s="1">
        <f t="shared" si="192"/>
        <v>229.53</v>
      </c>
      <c r="N1354" s="1">
        <f t="shared" si="193"/>
        <v>227.59</v>
      </c>
      <c r="O1354" s="1">
        <f t="shared" si="194"/>
        <v>227.57</v>
      </c>
      <c r="P1354" s="1">
        <f t="shared" si="195"/>
        <v>116.10714285714286</v>
      </c>
    </row>
    <row r="1355" spans="1:16">
      <c r="A1355" s="2">
        <v>41092</v>
      </c>
      <c r="B1355" s="1">
        <v>229.3</v>
      </c>
      <c r="C1355" s="1">
        <v>229.34</v>
      </c>
      <c r="D1355" s="1">
        <v>226.34</v>
      </c>
      <c r="E1355" s="1">
        <v>229.32</v>
      </c>
      <c r="F1355" s="1">
        <v>2330700</v>
      </c>
      <c r="G1355" s="1">
        <v>229.32</v>
      </c>
      <c r="H1355" s="1">
        <f t="shared" si="189"/>
        <v>3</v>
      </c>
      <c r="I1355" s="9">
        <f t="shared" si="196"/>
        <v>1.3254396041353715E-2</v>
      </c>
      <c r="J1355" s="1">
        <f t="shared" si="197"/>
        <v>0.96999999999999886</v>
      </c>
      <c r="K1355" s="9">
        <f t="shared" si="190"/>
        <v>4.2478651193343505E-3</v>
      </c>
      <c r="L1355" s="1">
        <f t="shared" si="191"/>
        <v>1</v>
      </c>
      <c r="M1355" s="1">
        <f t="shared" si="192"/>
        <v>229.34</v>
      </c>
      <c r="N1355" s="1">
        <f t="shared" si="193"/>
        <v>226.34</v>
      </c>
      <c r="O1355" s="1">
        <f t="shared" si="194"/>
        <v>227.35999999999999</v>
      </c>
      <c r="P1355" s="1">
        <f t="shared" si="195"/>
        <v>116</v>
      </c>
    </row>
    <row r="1356" spans="1:16">
      <c r="A1356" s="2">
        <v>41089</v>
      </c>
      <c r="B1356" s="1">
        <v>224.7</v>
      </c>
      <c r="C1356" s="1">
        <v>228.35</v>
      </c>
      <c r="D1356" s="1">
        <v>223.71</v>
      </c>
      <c r="E1356" s="1">
        <v>228.35</v>
      </c>
      <c r="F1356" s="1">
        <v>3614400</v>
      </c>
      <c r="G1356" s="1">
        <v>228.35</v>
      </c>
      <c r="H1356" s="1">
        <f t="shared" si="189"/>
        <v>4.6399999999999864</v>
      </c>
      <c r="I1356" s="9">
        <f t="shared" si="196"/>
        <v>2.0741138080550652E-2</v>
      </c>
      <c r="J1356" s="1">
        <f t="shared" si="197"/>
        <v>7.039999999999992</v>
      </c>
      <c r="K1356" s="9">
        <f t="shared" si="190"/>
        <v>3.1810582440919943E-2</v>
      </c>
      <c r="L1356" s="1">
        <f t="shared" si="191"/>
        <v>1</v>
      </c>
      <c r="M1356" s="1">
        <f t="shared" si="192"/>
        <v>228.35</v>
      </c>
      <c r="N1356" s="1">
        <f t="shared" si="193"/>
        <v>223.71</v>
      </c>
      <c r="O1356" s="1">
        <f t="shared" si="194"/>
        <v>226.39</v>
      </c>
      <c r="P1356" s="1">
        <f t="shared" si="195"/>
        <v>115.50510204081633</v>
      </c>
    </row>
    <row r="1357" spans="1:16">
      <c r="A1357" s="2">
        <v>41088</v>
      </c>
      <c r="B1357" s="1">
        <v>223.92</v>
      </c>
      <c r="C1357" s="1">
        <v>224.62</v>
      </c>
      <c r="D1357" s="1">
        <v>218.75</v>
      </c>
      <c r="E1357" s="1">
        <v>221.31</v>
      </c>
      <c r="F1357" s="1">
        <v>2994800</v>
      </c>
      <c r="G1357" s="1">
        <v>221.31</v>
      </c>
      <c r="H1357" s="1">
        <f t="shared" si="189"/>
        <v>5.8700000000000045</v>
      </c>
      <c r="I1357" s="9">
        <f t="shared" si="196"/>
        <v>2.6834285714285734E-2</v>
      </c>
      <c r="J1357" s="1">
        <f t="shared" si="197"/>
        <v>-4.3100000000000023</v>
      </c>
      <c r="K1357" s="9">
        <f t="shared" si="190"/>
        <v>-1.9102916408119858E-2</v>
      </c>
      <c r="L1357" s="1">
        <f t="shared" si="191"/>
        <v>1</v>
      </c>
      <c r="M1357" s="1">
        <f t="shared" si="192"/>
        <v>224.62</v>
      </c>
      <c r="N1357" s="1">
        <f t="shared" si="193"/>
        <v>218.75</v>
      </c>
      <c r="O1357" s="1">
        <f t="shared" si="194"/>
        <v>219.35</v>
      </c>
      <c r="P1357" s="1">
        <f t="shared" si="195"/>
        <v>111.91326530612245</v>
      </c>
    </row>
    <row r="1358" spans="1:16">
      <c r="A1358" s="2">
        <v>41087</v>
      </c>
      <c r="B1358" s="1">
        <v>225.01</v>
      </c>
      <c r="C1358" s="1">
        <v>227.5</v>
      </c>
      <c r="D1358" s="1">
        <v>223.3</v>
      </c>
      <c r="E1358" s="1">
        <v>225.62</v>
      </c>
      <c r="F1358" s="1">
        <v>2799200</v>
      </c>
      <c r="G1358" s="1">
        <v>225.62</v>
      </c>
      <c r="H1358" s="1">
        <f t="shared" si="189"/>
        <v>4.1999999999999886</v>
      </c>
      <c r="I1358" s="9">
        <f t="shared" si="196"/>
        <v>1.8808777429467034E-2</v>
      </c>
      <c r="J1358" s="1">
        <f t="shared" si="197"/>
        <v>9.9999999999909051E-3</v>
      </c>
      <c r="K1358" s="9">
        <f t="shared" si="190"/>
        <v>4.4324276406147351E-5</v>
      </c>
      <c r="L1358" s="1">
        <f t="shared" si="191"/>
        <v>1</v>
      </c>
      <c r="M1358" s="1">
        <f t="shared" si="192"/>
        <v>227.5</v>
      </c>
      <c r="N1358" s="1">
        <f t="shared" si="193"/>
        <v>223.3</v>
      </c>
      <c r="O1358" s="1">
        <f t="shared" si="194"/>
        <v>223.66</v>
      </c>
      <c r="P1358" s="1">
        <f t="shared" si="195"/>
        <v>114.11224489795919</v>
      </c>
    </row>
    <row r="1359" spans="1:16">
      <c r="A1359" s="2">
        <v>41086</v>
      </c>
      <c r="B1359" s="1">
        <v>221.45</v>
      </c>
      <c r="C1359" s="1">
        <v>226.39</v>
      </c>
      <c r="D1359" s="1">
        <v>221.45</v>
      </c>
      <c r="E1359" s="1">
        <v>225.61</v>
      </c>
      <c r="F1359" s="1">
        <v>3754100</v>
      </c>
      <c r="G1359" s="1">
        <v>225.61</v>
      </c>
      <c r="H1359" s="1">
        <f t="shared" si="189"/>
        <v>4.9399999999999977</v>
      </c>
      <c r="I1359" s="9">
        <f t="shared" si="196"/>
        <v>2.2307518627229614E-2</v>
      </c>
      <c r="J1359" s="1">
        <f t="shared" si="197"/>
        <v>5.5400000000000205</v>
      </c>
      <c r="K1359" s="9">
        <f t="shared" si="190"/>
        <v>2.5173808333712095E-2</v>
      </c>
      <c r="L1359" s="1">
        <f t="shared" si="191"/>
        <v>1</v>
      </c>
      <c r="M1359" s="1">
        <f t="shared" si="192"/>
        <v>226.39</v>
      </c>
      <c r="N1359" s="1">
        <f t="shared" si="193"/>
        <v>221.45</v>
      </c>
      <c r="O1359" s="1">
        <f t="shared" si="194"/>
        <v>223.65</v>
      </c>
      <c r="P1359" s="1">
        <f t="shared" si="195"/>
        <v>114.10714285714286</v>
      </c>
    </row>
    <row r="1360" spans="1:16">
      <c r="A1360" s="2">
        <v>41085</v>
      </c>
      <c r="B1360" s="1">
        <v>220.3</v>
      </c>
      <c r="C1360" s="1">
        <v>221.59</v>
      </c>
      <c r="D1360" s="1">
        <v>218</v>
      </c>
      <c r="E1360" s="1">
        <v>220.07</v>
      </c>
      <c r="F1360" s="1">
        <v>2382300</v>
      </c>
      <c r="G1360" s="1">
        <v>220.07</v>
      </c>
      <c r="H1360" s="1">
        <f t="shared" si="189"/>
        <v>3.5900000000000034</v>
      </c>
      <c r="I1360" s="9">
        <f t="shared" si="196"/>
        <v>1.6467889908256896E-2</v>
      </c>
      <c r="J1360" s="1">
        <f t="shared" si="197"/>
        <v>-2.0900000000000034</v>
      </c>
      <c r="K1360" s="9">
        <f t="shared" si="190"/>
        <v>-9.4076341375585321E-3</v>
      </c>
      <c r="L1360" s="1">
        <f t="shared" si="191"/>
        <v>1</v>
      </c>
      <c r="M1360" s="1">
        <f t="shared" si="192"/>
        <v>221.59</v>
      </c>
      <c r="N1360" s="1">
        <f t="shared" si="193"/>
        <v>218</v>
      </c>
      <c r="O1360" s="1">
        <f t="shared" si="194"/>
        <v>218.10999999999999</v>
      </c>
      <c r="P1360" s="1">
        <f t="shared" si="195"/>
        <v>111.28061224489795</v>
      </c>
    </row>
    <row r="1361" spans="1:16">
      <c r="A1361" s="2">
        <v>41082</v>
      </c>
      <c r="B1361" s="1">
        <v>221.83</v>
      </c>
      <c r="C1361" s="1">
        <v>222.51</v>
      </c>
      <c r="D1361" s="1">
        <v>219.35</v>
      </c>
      <c r="E1361" s="1">
        <v>222.16</v>
      </c>
      <c r="F1361" s="1">
        <v>2187500</v>
      </c>
      <c r="G1361" s="1">
        <v>222.16</v>
      </c>
      <c r="H1361" s="1">
        <f t="shared" si="189"/>
        <v>3.1599999999999966</v>
      </c>
      <c r="I1361" s="9">
        <f t="shared" si="196"/>
        <v>1.4406200136767707E-2</v>
      </c>
      <c r="J1361" s="1">
        <f t="shared" si="197"/>
        <v>1.5900000000000034</v>
      </c>
      <c r="K1361" s="9">
        <f t="shared" si="190"/>
        <v>7.2085959105952918E-3</v>
      </c>
      <c r="L1361" s="1">
        <f t="shared" si="191"/>
        <v>1</v>
      </c>
      <c r="M1361" s="1">
        <f t="shared" si="192"/>
        <v>222.51</v>
      </c>
      <c r="N1361" s="1">
        <f t="shared" si="193"/>
        <v>219.35</v>
      </c>
      <c r="O1361" s="1">
        <f t="shared" si="194"/>
        <v>220.2</v>
      </c>
      <c r="P1361" s="1">
        <f t="shared" si="195"/>
        <v>112.3469387755102</v>
      </c>
    </row>
    <row r="1362" spans="1:16">
      <c r="A1362" s="2">
        <v>41081</v>
      </c>
      <c r="B1362" s="1">
        <v>223.84</v>
      </c>
      <c r="C1362" s="1">
        <v>226.03</v>
      </c>
      <c r="D1362" s="1">
        <v>220.52</v>
      </c>
      <c r="E1362" s="1">
        <v>220.57</v>
      </c>
      <c r="F1362" s="1">
        <v>2843000</v>
      </c>
      <c r="G1362" s="1">
        <v>220.57</v>
      </c>
      <c r="H1362" s="1">
        <f t="shared" si="189"/>
        <v>5.5099999999999909</v>
      </c>
      <c r="I1362" s="9">
        <f t="shared" si="196"/>
        <v>2.4986395791764877E-2</v>
      </c>
      <c r="J1362" s="1">
        <f t="shared" si="197"/>
        <v>-2.4500000000000171</v>
      </c>
      <c r="K1362" s="9">
        <f t="shared" si="190"/>
        <v>-1.0985561833019537E-2</v>
      </c>
      <c r="L1362" s="1">
        <f t="shared" si="191"/>
        <v>1</v>
      </c>
      <c r="M1362" s="1">
        <f t="shared" si="192"/>
        <v>226.03</v>
      </c>
      <c r="N1362" s="1">
        <f t="shared" si="193"/>
        <v>220.52</v>
      </c>
      <c r="O1362" s="1">
        <f t="shared" si="194"/>
        <v>218.60999999999999</v>
      </c>
      <c r="P1362" s="1">
        <f t="shared" si="195"/>
        <v>111.53571428571428</v>
      </c>
    </row>
    <row r="1363" spans="1:16">
      <c r="A1363" s="2">
        <v>41080</v>
      </c>
      <c r="B1363" s="1">
        <v>224.51</v>
      </c>
      <c r="C1363" s="1">
        <v>224.74</v>
      </c>
      <c r="D1363" s="1">
        <v>220.84</v>
      </c>
      <c r="E1363" s="1">
        <v>223.02</v>
      </c>
      <c r="F1363" s="1">
        <v>2444400</v>
      </c>
      <c r="G1363" s="1">
        <v>223.02</v>
      </c>
      <c r="H1363" s="1">
        <f t="shared" si="189"/>
        <v>3.9000000000000057</v>
      </c>
      <c r="I1363" s="9">
        <f t="shared" si="196"/>
        <v>1.7659844231117577E-2</v>
      </c>
      <c r="J1363" s="1">
        <f t="shared" si="197"/>
        <v>-1.0099999999999909</v>
      </c>
      <c r="K1363" s="9">
        <f t="shared" si="190"/>
        <v>-4.5083247779314868E-3</v>
      </c>
      <c r="L1363" s="1">
        <f t="shared" si="191"/>
        <v>1</v>
      </c>
      <c r="M1363" s="1">
        <f t="shared" si="192"/>
        <v>224.74</v>
      </c>
      <c r="N1363" s="1">
        <f t="shared" si="193"/>
        <v>220.84</v>
      </c>
      <c r="O1363" s="1">
        <f t="shared" si="194"/>
        <v>221.06</v>
      </c>
      <c r="P1363" s="1">
        <f t="shared" si="195"/>
        <v>112.78571428571429</v>
      </c>
    </row>
    <row r="1364" spans="1:16">
      <c r="A1364" s="2">
        <v>41079</v>
      </c>
      <c r="B1364" s="1">
        <v>223.26</v>
      </c>
      <c r="C1364" s="1">
        <v>225.2</v>
      </c>
      <c r="D1364" s="1">
        <v>221.66</v>
      </c>
      <c r="E1364" s="1">
        <v>224.03</v>
      </c>
      <c r="F1364" s="1">
        <v>2716600</v>
      </c>
      <c r="G1364" s="1">
        <v>224.03</v>
      </c>
      <c r="H1364" s="1">
        <f t="shared" si="189"/>
        <v>3.539999999999992</v>
      </c>
      <c r="I1364" s="9">
        <f t="shared" si="196"/>
        <v>1.5970405124966128E-2</v>
      </c>
      <c r="J1364" s="1">
        <f t="shared" si="197"/>
        <v>1.3700000000000045</v>
      </c>
      <c r="K1364" s="9">
        <f t="shared" si="190"/>
        <v>6.1528788287074669E-3</v>
      </c>
      <c r="L1364" s="1">
        <f t="shared" si="191"/>
        <v>1</v>
      </c>
      <c r="M1364" s="1">
        <f t="shared" si="192"/>
        <v>225.2</v>
      </c>
      <c r="N1364" s="1">
        <f t="shared" si="193"/>
        <v>221.66</v>
      </c>
      <c r="O1364" s="1">
        <f t="shared" si="194"/>
        <v>222.07</v>
      </c>
      <c r="P1364" s="1">
        <f t="shared" si="195"/>
        <v>113.30102040816327</v>
      </c>
    </row>
    <row r="1365" spans="1:16">
      <c r="A1365" s="2">
        <v>41078</v>
      </c>
      <c r="B1365" s="1">
        <v>217.28</v>
      </c>
      <c r="C1365" s="1">
        <v>223.76</v>
      </c>
      <c r="D1365" s="1">
        <v>216.73</v>
      </c>
      <c r="E1365" s="1">
        <v>222.66</v>
      </c>
      <c r="F1365" s="1">
        <v>3369600</v>
      </c>
      <c r="G1365" s="1">
        <v>222.66</v>
      </c>
      <c r="H1365" s="1">
        <f t="shared" si="189"/>
        <v>7.0300000000000011</v>
      </c>
      <c r="I1365" s="9">
        <f t="shared" si="196"/>
        <v>3.2436672357310944E-2</v>
      </c>
      <c r="J1365" s="1">
        <f t="shared" si="197"/>
        <v>4.3100000000000023</v>
      </c>
      <c r="K1365" s="9">
        <f t="shared" si="190"/>
        <v>1.9738951225097331E-2</v>
      </c>
      <c r="L1365" s="1">
        <f t="shared" si="191"/>
        <v>1</v>
      </c>
      <c r="M1365" s="1">
        <f t="shared" si="192"/>
        <v>223.76</v>
      </c>
      <c r="N1365" s="1">
        <f t="shared" si="193"/>
        <v>216.73</v>
      </c>
      <c r="O1365" s="1">
        <f t="shared" si="194"/>
        <v>220.7</v>
      </c>
      <c r="P1365" s="1">
        <f t="shared" si="195"/>
        <v>112.60204081632652</v>
      </c>
    </row>
    <row r="1366" spans="1:16">
      <c r="A1366" s="2">
        <v>41075</v>
      </c>
      <c r="B1366" s="1">
        <v>215.29</v>
      </c>
      <c r="C1366" s="1">
        <v>219.33</v>
      </c>
      <c r="D1366" s="1">
        <v>214.46</v>
      </c>
      <c r="E1366" s="1">
        <v>218.35</v>
      </c>
      <c r="F1366" s="1">
        <v>3785200</v>
      </c>
      <c r="G1366" s="1">
        <v>218.35</v>
      </c>
      <c r="H1366" s="1">
        <f t="shared" si="189"/>
        <v>4.8700000000000045</v>
      </c>
      <c r="I1366" s="9">
        <f t="shared" si="196"/>
        <v>2.270819733283598E-2</v>
      </c>
      <c r="J1366" s="1">
        <f t="shared" si="197"/>
        <v>3.9000000000000057</v>
      </c>
      <c r="K1366" s="9">
        <f t="shared" si="190"/>
        <v>1.8186057356027074E-2</v>
      </c>
      <c r="L1366" s="1">
        <f t="shared" si="191"/>
        <v>1</v>
      </c>
      <c r="M1366" s="1">
        <f t="shared" si="192"/>
        <v>219.33</v>
      </c>
      <c r="N1366" s="1">
        <f t="shared" si="193"/>
        <v>214.46</v>
      </c>
      <c r="O1366" s="1">
        <f t="shared" si="194"/>
        <v>216.39</v>
      </c>
      <c r="P1366" s="1">
        <f t="shared" si="195"/>
        <v>110.40306122448979</v>
      </c>
    </row>
    <row r="1367" spans="1:16">
      <c r="A1367" s="2">
        <v>41074</v>
      </c>
      <c r="B1367" s="1">
        <v>215.26</v>
      </c>
      <c r="C1367" s="1">
        <v>216.5</v>
      </c>
      <c r="D1367" s="1">
        <v>212.56</v>
      </c>
      <c r="E1367" s="1">
        <v>214.45</v>
      </c>
      <c r="F1367" s="1">
        <v>3060900</v>
      </c>
      <c r="G1367" s="1">
        <v>214.45</v>
      </c>
      <c r="H1367" s="1">
        <f t="shared" si="189"/>
        <v>3.9399999999999977</v>
      </c>
      <c r="I1367" s="9">
        <f t="shared" si="196"/>
        <v>1.8535942792623248E-2</v>
      </c>
      <c r="J1367" s="1">
        <f t="shared" si="197"/>
        <v>-0.28000000000000114</v>
      </c>
      <c r="K1367" s="9">
        <f t="shared" si="190"/>
        <v>-1.3039631164718536E-3</v>
      </c>
      <c r="L1367" s="1">
        <f t="shared" si="191"/>
        <v>1</v>
      </c>
      <c r="M1367" s="1">
        <f t="shared" si="192"/>
        <v>216.5</v>
      </c>
      <c r="N1367" s="1">
        <f t="shared" si="193"/>
        <v>212.56</v>
      </c>
      <c r="O1367" s="1">
        <f t="shared" si="194"/>
        <v>212.48999999999998</v>
      </c>
      <c r="P1367" s="1">
        <f t="shared" si="195"/>
        <v>108.41326530612244</v>
      </c>
    </row>
    <row r="1368" spans="1:16">
      <c r="A1368" s="2">
        <v>41073</v>
      </c>
      <c r="B1368" s="1">
        <v>215.52</v>
      </c>
      <c r="C1368" s="1">
        <v>217.38</v>
      </c>
      <c r="D1368" s="1">
        <v>213.52</v>
      </c>
      <c r="E1368" s="1">
        <v>214.73</v>
      </c>
      <c r="F1368" s="1">
        <v>2325200</v>
      </c>
      <c r="G1368" s="1">
        <v>214.73</v>
      </c>
      <c r="H1368" s="1">
        <f t="shared" si="189"/>
        <v>3.8599999999999852</v>
      </c>
      <c r="I1368" s="9">
        <f t="shared" si="196"/>
        <v>1.8077931809666471E-2</v>
      </c>
      <c r="J1368" s="1">
        <f t="shared" si="197"/>
        <v>-1.6899999999999977</v>
      </c>
      <c r="K1368" s="9">
        <f t="shared" si="190"/>
        <v>-7.8088901210608902E-3</v>
      </c>
      <c r="L1368" s="1">
        <f t="shared" si="191"/>
        <v>1</v>
      </c>
      <c r="M1368" s="1">
        <f t="shared" si="192"/>
        <v>217.38</v>
      </c>
      <c r="N1368" s="1">
        <f t="shared" si="193"/>
        <v>213.52</v>
      </c>
      <c r="O1368" s="1">
        <f t="shared" si="194"/>
        <v>212.76999999999998</v>
      </c>
      <c r="P1368" s="1">
        <f t="shared" si="195"/>
        <v>108.55612244897958</v>
      </c>
    </row>
    <row r="1369" spans="1:16">
      <c r="A1369" s="2">
        <v>41072</v>
      </c>
      <c r="B1369" s="1">
        <v>217.65</v>
      </c>
      <c r="C1369" s="1">
        <v>218</v>
      </c>
      <c r="D1369" s="1">
        <v>214.52</v>
      </c>
      <c r="E1369" s="1">
        <v>216.42</v>
      </c>
      <c r="F1369" s="1">
        <v>2833300</v>
      </c>
      <c r="G1369" s="1">
        <v>216.42</v>
      </c>
      <c r="H1369" s="1">
        <f t="shared" si="189"/>
        <v>3.4799999999999898</v>
      </c>
      <c r="I1369" s="9">
        <f t="shared" si="196"/>
        <v>1.6222263658400099E-2</v>
      </c>
      <c r="J1369" s="1">
        <f t="shared" si="197"/>
        <v>-8.0000000000012506E-2</v>
      </c>
      <c r="K1369" s="9">
        <f t="shared" si="190"/>
        <v>-3.6951501154740187E-4</v>
      </c>
      <c r="L1369" s="1">
        <f t="shared" si="191"/>
        <v>1</v>
      </c>
      <c r="M1369" s="1">
        <f t="shared" si="192"/>
        <v>218</v>
      </c>
      <c r="N1369" s="1">
        <f t="shared" si="193"/>
        <v>214.52</v>
      </c>
      <c r="O1369" s="1">
        <f t="shared" si="194"/>
        <v>214.45999999999998</v>
      </c>
      <c r="P1369" s="1">
        <f t="shared" si="195"/>
        <v>109.41836734693877</v>
      </c>
    </row>
    <row r="1370" spans="1:16">
      <c r="A1370" s="2">
        <v>41071</v>
      </c>
      <c r="B1370" s="1">
        <v>217.49</v>
      </c>
      <c r="C1370" s="1">
        <v>220.87</v>
      </c>
      <c r="D1370" s="1">
        <v>215.2</v>
      </c>
      <c r="E1370" s="1">
        <v>216.5</v>
      </c>
      <c r="F1370" s="1">
        <v>3749100</v>
      </c>
      <c r="G1370" s="1">
        <v>216.5</v>
      </c>
      <c r="H1370" s="1">
        <f t="shared" si="189"/>
        <v>5.6700000000000159</v>
      </c>
      <c r="I1370" s="9">
        <f t="shared" si="196"/>
        <v>2.634758364312275E-2</v>
      </c>
      <c r="J1370" s="1">
        <f t="shared" si="197"/>
        <v>-1.9799999999999898</v>
      </c>
      <c r="K1370" s="9">
        <f t="shared" si="190"/>
        <v>-9.0626144269497881E-3</v>
      </c>
      <c r="L1370" s="1">
        <f t="shared" si="191"/>
        <v>1</v>
      </c>
      <c r="M1370" s="1">
        <f t="shared" si="192"/>
        <v>220.87</v>
      </c>
      <c r="N1370" s="1">
        <f t="shared" si="193"/>
        <v>215.2</v>
      </c>
      <c r="O1370" s="1">
        <f t="shared" si="194"/>
        <v>214.54</v>
      </c>
      <c r="P1370" s="1">
        <f t="shared" si="195"/>
        <v>109.45918367346938</v>
      </c>
    </row>
    <row r="1371" spans="1:16">
      <c r="A1371" s="2">
        <v>41068</v>
      </c>
      <c r="B1371" s="1">
        <v>218.61</v>
      </c>
      <c r="C1371" s="1">
        <v>219.42</v>
      </c>
      <c r="D1371" s="1">
        <v>216.66</v>
      </c>
      <c r="E1371" s="1">
        <v>218.48</v>
      </c>
      <c r="F1371" s="1">
        <v>2877000</v>
      </c>
      <c r="G1371" s="1">
        <v>218.48</v>
      </c>
      <c r="H1371" s="1">
        <f t="shared" si="189"/>
        <v>2.7599999999999909</v>
      </c>
      <c r="I1371" s="9">
        <f t="shared" si="196"/>
        <v>1.2738853503184672E-2</v>
      </c>
      <c r="J1371" s="1">
        <f t="shared" si="197"/>
        <v>-0.3200000000000216</v>
      </c>
      <c r="K1371" s="9">
        <f t="shared" si="190"/>
        <v>-1.46252285191966E-3</v>
      </c>
      <c r="L1371" s="1">
        <f t="shared" si="191"/>
        <v>1</v>
      </c>
      <c r="M1371" s="1">
        <f t="shared" si="192"/>
        <v>219.42</v>
      </c>
      <c r="N1371" s="1">
        <f t="shared" si="193"/>
        <v>216.66</v>
      </c>
      <c r="O1371" s="1">
        <f t="shared" si="194"/>
        <v>216.51999999999998</v>
      </c>
      <c r="P1371" s="1">
        <f t="shared" si="195"/>
        <v>110.46938775510203</v>
      </c>
    </row>
    <row r="1372" spans="1:16">
      <c r="A1372" s="2">
        <v>41067</v>
      </c>
      <c r="B1372" s="1">
        <v>219.65</v>
      </c>
      <c r="C1372" s="1">
        <v>221.49</v>
      </c>
      <c r="D1372" s="1">
        <v>218.11</v>
      </c>
      <c r="E1372" s="1">
        <v>218.8</v>
      </c>
      <c r="F1372" s="1">
        <v>3503900</v>
      </c>
      <c r="G1372" s="1">
        <v>218.8</v>
      </c>
      <c r="H1372" s="1">
        <f t="shared" si="189"/>
        <v>3.3799999999999955</v>
      </c>
      <c r="I1372" s="9">
        <f t="shared" si="196"/>
        <v>1.5496767686029964E-2</v>
      </c>
      <c r="J1372" s="1">
        <f t="shared" si="197"/>
        <v>1.160000000000025</v>
      </c>
      <c r="K1372" s="9">
        <f t="shared" si="190"/>
        <v>5.3299025914355135E-3</v>
      </c>
      <c r="L1372" s="1">
        <f t="shared" si="191"/>
        <v>1</v>
      </c>
      <c r="M1372" s="1">
        <f t="shared" si="192"/>
        <v>221.49</v>
      </c>
      <c r="N1372" s="1">
        <f t="shared" si="193"/>
        <v>218.11</v>
      </c>
      <c r="O1372" s="1">
        <f t="shared" si="194"/>
        <v>216.84</v>
      </c>
      <c r="P1372" s="1">
        <f t="shared" si="195"/>
        <v>110.63265306122449</v>
      </c>
    </row>
    <row r="1373" spans="1:16">
      <c r="A1373" s="2">
        <v>41066</v>
      </c>
      <c r="B1373" s="1">
        <v>214.63</v>
      </c>
      <c r="C1373" s="1">
        <v>218.4</v>
      </c>
      <c r="D1373" s="1">
        <v>214.52</v>
      </c>
      <c r="E1373" s="1">
        <v>217.64</v>
      </c>
      <c r="F1373" s="1">
        <v>2710100</v>
      </c>
      <c r="G1373" s="1">
        <v>217.64</v>
      </c>
      <c r="H1373" s="1">
        <f t="shared" si="189"/>
        <v>3.8799999999999955</v>
      </c>
      <c r="I1373" s="9">
        <f t="shared" si="196"/>
        <v>1.8086891665112789E-2</v>
      </c>
      <c r="J1373" s="1">
        <f t="shared" si="197"/>
        <v>4.4299999999999784</v>
      </c>
      <c r="K1373" s="9">
        <f t="shared" si="190"/>
        <v>2.077763707143182E-2</v>
      </c>
      <c r="L1373" s="1">
        <f t="shared" si="191"/>
        <v>1</v>
      </c>
      <c r="M1373" s="1">
        <f t="shared" si="192"/>
        <v>218.4</v>
      </c>
      <c r="N1373" s="1">
        <f t="shared" si="193"/>
        <v>214.52</v>
      </c>
      <c r="O1373" s="1">
        <f t="shared" si="194"/>
        <v>215.67999999999998</v>
      </c>
      <c r="P1373" s="1">
        <f t="shared" si="195"/>
        <v>110.0408163265306</v>
      </c>
    </row>
    <row r="1374" spans="1:16">
      <c r="A1374" s="2">
        <v>41065</v>
      </c>
      <c r="B1374" s="1">
        <v>213.85</v>
      </c>
      <c r="C1374" s="1">
        <v>216.86</v>
      </c>
      <c r="D1374" s="1">
        <v>211.16</v>
      </c>
      <c r="E1374" s="1">
        <v>213.21</v>
      </c>
      <c r="F1374" s="1">
        <v>3543900</v>
      </c>
      <c r="G1374" s="1">
        <v>213.21</v>
      </c>
      <c r="H1374" s="1">
        <f t="shared" si="189"/>
        <v>5.7000000000000171</v>
      </c>
      <c r="I1374" s="9">
        <f t="shared" si="196"/>
        <v>2.6993748816063728E-2</v>
      </c>
      <c r="J1374" s="1">
        <f t="shared" si="197"/>
        <v>-1.3599999999999852</v>
      </c>
      <c r="K1374" s="9">
        <f t="shared" si="190"/>
        <v>-6.3382579111711107E-3</v>
      </c>
      <c r="L1374" s="1">
        <f t="shared" si="191"/>
        <v>1</v>
      </c>
      <c r="M1374" s="1">
        <f t="shared" si="192"/>
        <v>216.86</v>
      </c>
      <c r="N1374" s="1">
        <f t="shared" si="193"/>
        <v>211.16</v>
      </c>
      <c r="O1374" s="1">
        <f t="shared" si="194"/>
        <v>211.25</v>
      </c>
      <c r="P1374" s="1">
        <f t="shared" si="195"/>
        <v>107.78061224489797</v>
      </c>
    </row>
    <row r="1375" spans="1:16">
      <c r="A1375" s="2">
        <v>41064</v>
      </c>
      <c r="B1375" s="1">
        <v>207.4</v>
      </c>
      <c r="C1375" s="1">
        <v>215.35</v>
      </c>
      <c r="D1375" s="1">
        <v>206.37</v>
      </c>
      <c r="E1375" s="1">
        <v>214.57</v>
      </c>
      <c r="F1375" s="1">
        <v>4299600</v>
      </c>
      <c r="G1375" s="1">
        <v>214.57</v>
      </c>
      <c r="H1375" s="1">
        <f t="shared" si="189"/>
        <v>8.9799999999999898</v>
      </c>
      <c r="I1375" s="9">
        <f t="shared" si="196"/>
        <v>4.3514076658428984E-2</v>
      </c>
      <c r="J1375" s="1">
        <f t="shared" si="197"/>
        <v>6.3499999999999943</v>
      </c>
      <c r="K1375" s="9">
        <f t="shared" si="190"/>
        <v>3.0496590145038874E-2</v>
      </c>
      <c r="L1375" s="1">
        <f t="shared" si="191"/>
        <v>1</v>
      </c>
      <c r="M1375" s="1">
        <f t="shared" si="192"/>
        <v>215.35</v>
      </c>
      <c r="N1375" s="1">
        <f t="shared" si="193"/>
        <v>206.37</v>
      </c>
      <c r="O1375" s="1">
        <f t="shared" si="194"/>
        <v>212.60999999999999</v>
      </c>
      <c r="P1375" s="1">
        <f t="shared" si="195"/>
        <v>108.47448979591836</v>
      </c>
    </row>
    <row r="1376" spans="1:16">
      <c r="A1376" s="2">
        <v>41061</v>
      </c>
      <c r="B1376" s="1">
        <v>208.44</v>
      </c>
      <c r="C1376" s="1">
        <v>211.23</v>
      </c>
      <c r="D1376" s="1">
        <v>207.3</v>
      </c>
      <c r="E1376" s="1">
        <v>208.22</v>
      </c>
      <c r="F1376" s="1">
        <v>3951500</v>
      </c>
      <c r="G1376" s="1">
        <v>208.22</v>
      </c>
      <c r="H1376" s="1">
        <f t="shared" si="189"/>
        <v>3.9299999999999784</v>
      </c>
      <c r="I1376" s="9">
        <f t="shared" si="196"/>
        <v>1.8958031837915959E-2</v>
      </c>
      <c r="J1376" s="1">
        <f t="shared" si="197"/>
        <v>-4.6899999999999977</v>
      </c>
      <c r="K1376" s="9">
        <f t="shared" si="190"/>
        <v>-2.2028086985111068E-2</v>
      </c>
      <c r="L1376" s="1">
        <f t="shared" si="191"/>
        <v>1</v>
      </c>
      <c r="M1376" s="1">
        <f t="shared" si="192"/>
        <v>211.23</v>
      </c>
      <c r="N1376" s="1">
        <f t="shared" si="193"/>
        <v>207.3</v>
      </c>
      <c r="O1376" s="1">
        <f t="shared" si="194"/>
        <v>206.26</v>
      </c>
      <c r="P1376" s="1">
        <f t="shared" si="195"/>
        <v>105.23469387755102</v>
      </c>
    </row>
    <row r="1377" spans="1:16">
      <c r="A1377" s="2">
        <v>41060</v>
      </c>
      <c r="B1377" s="1">
        <v>209.48</v>
      </c>
      <c r="C1377" s="1">
        <v>213.79</v>
      </c>
      <c r="D1377" s="1">
        <v>207.11</v>
      </c>
      <c r="E1377" s="1">
        <v>212.91</v>
      </c>
      <c r="F1377" s="1">
        <v>4944000</v>
      </c>
      <c r="G1377" s="1">
        <v>212.91</v>
      </c>
      <c r="H1377" s="1">
        <f t="shared" si="189"/>
        <v>6.6799999999999784</v>
      </c>
      <c r="I1377" s="9">
        <f t="shared" si="196"/>
        <v>3.2253391917338503E-2</v>
      </c>
      <c r="J1377" s="1">
        <f t="shared" si="197"/>
        <v>3.6800000000000068</v>
      </c>
      <c r="K1377" s="9">
        <f t="shared" si="190"/>
        <v>1.758829995698517E-2</v>
      </c>
      <c r="L1377" s="1">
        <f t="shared" si="191"/>
        <v>1</v>
      </c>
      <c r="M1377" s="1">
        <f t="shared" si="192"/>
        <v>213.79</v>
      </c>
      <c r="N1377" s="1">
        <f t="shared" si="193"/>
        <v>207.11</v>
      </c>
      <c r="O1377" s="1">
        <f t="shared" si="194"/>
        <v>210.95</v>
      </c>
      <c r="P1377" s="1">
        <f t="shared" si="195"/>
        <v>107.62755102040816</v>
      </c>
    </row>
    <row r="1378" spans="1:16">
      <c r="A1378" s="2">
        <v>41059</v>
      </c>
      <c r="B1378" s="1">
        <v>212.14</v>
      </c>
      <c r="C1378" s="1">
        <v>212.98</v>
      </c>
      <c r="D1378" s="1">
        <v>207.75</v>
      </c>
      <c r="E1378" s="1">
        <v>209.23</v>
      </c>
      <c r="F1378" s="1">
        <v>4078200</v>
      </c>
      <c r="G1378" s="1">
        <v>209.23</v>
      </c>
      <c r="H1378" s="1">
        <f t="shared" si="189"/>
        <v>5.2299999999999898</v>
      </c>
      <c r="I1378" s="9">
        <f t="shared" si="196"/>
        <v>2.5174488567990323E-2</v>
      </c>
      <c r="J1378" s="1">
        <f t="shared" si="197"/>
        <v>-5.5200000000000102</v>
      </c>
      <c r="K1378" s="9">
        <f t="shared" si="190"/>
        <v>-2.5704307334109479E-2</v>
      </c>
      <c r="L1378" s="1">
        <f t="shared" si="191"/>
        <v>1</v>
      </c>
      <c r="M1378" s="1">
        <f t="shared" si="192"/>
        <v>212.98</v>
      </c>
      <c r="N1378" s="1">
        <f t="shared" si="193"/>
        <v>207.75</v>
      </c>
      <c r="O1378" s="1">
        <f t="shared" si="194"/>
        <v>207.26999999999998</v>
      </c>
      <c r="P1378" s="1">
        <f t="shared" si="195"/>
        <v>105.74999999999999</v>
      </c>
    </row>
    <row r="1379" spans="1:16">
      <c r="A1379" s="2">
        <v>41058</v>
      </c>
      <c r="B1379" s="1">
        <v>214.3</v>
      </c>
      <c r="C1379" s="1">
        <v>216.55</v>
      </c>
      <c r="D1379" s="1">
        <v>212.29</v>
      </c>
      <c r="E1379" s="1">
        <v>214.75</v>
      </c>
      <c r="F1379" s="1">
        <v>2693900</v>
      </c>
      <c r="G1379" s="1">
        <v>214.75</v>
      </c>
      <c r="H1379" s="1">
        <f t="shared" si="189"/>
        <v>4.2600000000000193</v>
      </c>
      <c r="I1379" s="9">
        <f t="shared" si="196"/>
        <v>2.0066889632107114E-2</v>
      </c>
      <c r="J1379" s="1">
        <f t="shared" si="197"/>
        <v>1.8600000000000136</v>
      </c>
      <c r="K1379" s="9">
        <f t="shared" si="190"/>
        <v>8.736906383578439E-3</v>
      </c>
      <c r="L1379" s="1">
        <f t="shared" si="191"/>
        <v>1</v>
      </c>
      <c r="M1379" s="1">
        <f t="shared" si="192"/>
        <v>216.55</v>
      </c>
      <c r="N1379" s="1">
        <f t="shared" si="193"/>
        <v>212.29</v>
      </c>
      <c r="O1379" s="1">
        <f t="shared" si="194"/>
        <v>212.79</v>
      </c>
      <c r="P1379" s="1">
        <f t="shared" si="195"/>
        <v>108.56632653061224</v>
      </c>
    </row>
    <row r="1380" spans="1:16">
      <c r="A1380" s="2">
        <v>41054</v>
      </c>
      <c r="B1380" s="1">
        <v>214.99</v>
      </c>
      <c r="C1380" s="1">
        <v>215.98</v>
      </c>
      <c r="D1380" s="1">
        <v>212.22</v>
      </c>
      <c r="E1380" s="1">
        <v>212.89</v>
      </c>
      <c r="F1380" s="1">
        <v>2171400</v>
      </c>
      <c r="G1380" s="1">
        <v>212.89</v>
      </c>
      <c r="H1380" s="1">
        <f t="shared" si="189"/>
        <v>3.7599999999999909</v>
      </c>
      <c r="I1380" s="9">
        <f t="shared" si="196"/>
        <v>1.7717463010083832E-2</v>
      </c>
      <c r="J1380" s="1">
        <f t="shared" si="197"/>
        <v>-2.3500000000000227</v>
      </c>
      <c r="K1380" s="9">
        <f t="shared" si="190"/>
        <v>-1.0918044973053442E-2</v>
      </c>
      <c r="L1380" s="1">
        <f t="shared" si="191"/>
        <v>1</v>
      </c>
      <c r="M1380" s="1">
        <f t="shared" si="192"/>
        <v>215.98</v>
      </c>
      <c r="N1380" s="1">
        <f t="shared" si="193"/>
        <v>212.22</v>
      </c>
      <c r="O1380" s="1">
        <f t="shared" si="194"/>
        <v>210.92999999999998</v>
      </c>
      <c r="P1380" s="1">
        <f t="shared" si="195"/>
        <v>107.6173469387755</v>
      </c>
    </row>
    <row r="1381" spans="1:16">
      <c r="A1381" s="2">
        <v>41053</v>
      </c>
      <c r="B1381" s="1">
        <v>216.98</v>
      </c>
      <c r="C1381" s="1">
        <v>217.66</v>
      </c>
      <c r="D1381" s="1">
        <v>212.7</v>
      </c>
      <c r="E1381" s="1">
        <v>215.24</v>
      </c>
      <c r="F1381" s="1">
        <v>3141100</v>
      </c>
      <c r="G1381" s="1">
        <v>215.24</v>
      </c>
      <c r="H1381" s="1">
        <f t="shared" si="189"/>
        <v>4.960000000000008</v>
      </c>
      <c r="I1381" s="9">
        <f t="shared" si="196"/>
        <v>2.331922896097794E-2</v>
      </c>
      <c r="J1381" s="1">
        <f t="shared" si="197"/>
        <v>-2.039999999999992</v>
      </c>
      <c r="K1381" s="9">
        <f t="shared" si="190"/>
        <v>-9.3888070692194035E-3</v>
      </c>
      <c r="L1381" s="1">
        <f t="shared" si="191"/>
        <v>1</v>
      </c>
      <c r="M1381" s="1">
        <f t="shared" si="192"/>
        <v>217.66</v>
      </c>
      <c r="N1381" s="1">
        <f t="shared" si="193"/>
        <v>212.7</v>
      </c>
      <c r="O1381" s="1">
        <f t="shared" si="194"/>
        <v>213.28</v>
      </c>
      <c r="P1381" s="1">
        <f t="shared" si="195"/>
        <v>108.81632653061224</v>
      </c>
    </row>
    <row r="1382" spans="1:16">
      <c r="A1382" s="2">
        <v>41052</v>
      </c>
      <c r="B1382" s="1">
        <v>214.71</v>
      </c>
      <c r="C1382" s="1">
        <v>217.55</v>
      </c>
      <c r="D1382" s="1">
        <v>211.18</v>
      </c>
      <c r="E1382" s="1">
        <v>217.28</v>
      </c>
      <c r="F1382" s="1">
        <v>4243800</v>
      </c>
      <c r="G1382" s="1">
        <v>217.28</v>
      </c>
      <c r="H1382" s="1">
        <f t="shared" si="189"/>
        <v>6.3700000000000045</v>
      </c>
      <c r="I1382" s="9">
        <f t="shared" si="196"/>
        <v>3.0163841272847828E-2</v>
      </c>
      <c r="J1382" s="1">
        <f t="shared" si="197"/>
        <v>1.9499999999999886</v>
      </c>
      <c r="K1382" s="9">
        <f t="shared" si="190"/>
        <v>9.0558677378906258E-3</v>
      </c>
      <c r="L1382" s="1">
        <f t="shared" si="191"/>
        <v>1</v>
      </c>
      <c r="M1382" s="1">
        <f t="shared" si="192"/>
        <v>217.55</v>
      </c>
      <c r="N1382" s="1">
        <f t="shared" si="193"/>
        <v>211.18</v>
      </c>
      <c r="O1382" s="1">
        <f t="shared" si="194"/>
        <v>215.32</v>
      </c>
      <c r="P1382" s="1">
        <f t="shared" si="195"/>
        <v>109.85714285714286</v>
      </c>
    </row>
    <row r="1383" spans="1:16">
      <c r="A1383" s="2">
        <v>41051</v>
      </c>
      <c r="B1383" s="1">
        <v>218.31</v>
      </c>
      <c r="C1383" s="1">
        <v>218.87</v>
      </c>
      <c r="D1383" s="1">
        <v>213.96</v>
      </c>
      <c r="E1383" s="1">
        <v>215.33</v>
      </c>
      <c r="F1383" s="1">
        <v>3733100</v>
      </c>
      <c r="G1383" s="1">
        <v>215.33</v>
      </c>
      <c r="H1383" s="1">
        <f t="shared" si="189"/>
        <v>4.9099999999999966</v>
      </c>
      <c r="I1383" s="9">
        <f t="shared" si="196"/>
        <v>2.2948214619555041E-2</v>
      </c>
      <c r="J1383" s="1">
        <f t="shared" si="197"/>
        <v>-2.7800000000000011</v>
      </c>
      <c r="K1383" s="9">
        <f t="shared" si="190"/>
        <v>-1.2745862179634134E-2</v>
      </c>
      <c r="L1383" s="1">
        <f t="shared" si="191"/>
        <v>1</v>
      </c>
      <c r="M1383" s="1">
        <f t="shared" si="192"/>
        <v>218.87</v>
      </c>
      <c r="N1383" s="1">
        <f t="shared" si="193"/>
        <v>213.96</v>
      </c>
      <c r="O1383" s="1">
        <f t="shared" si="194"/>
        <v>213.37</v>
      </c>
      <c r="P1383" s="1">
        <f t="shared" si="195"/>
        <v>108.86224489795919</v>
      </c>
    </row>
    <row r="1384" spans="1:16">
      <c r="A1384" s="2">
        <v>41050</v>
      </c>
      <c r="B1384" s="1">
        <v>214.03</v>
      </c>
      <c r="C1384" s="1">
        <v>219.98</v>
      </c>
      <c r="D1384" s="1">
        <v>212.82</v>
      </c>
      <c r="E1384" s="1">
        <v>218.11</v>
      </c>
      <c r="F1384" s="1">
        <v>3579800</v>
      </c>
      <c r="G1384" s="1">
        <v>218.11</v>
      </c>
      <c r="H1384" s="1">
        <f t="shared" si="189"/>
        <v>7.1599999999999966</v>
      </c>
      <c r="I1384" s="9">
        <f t="shared" si="196"/>
        <v>3.36434545625411E-2</v>
      </c>
      <c r="J1384" s="1">
        <f t="shared" si="197"/>
        <v>4.2600000000000193</v>
      </c>
      <c r="K1384" s="9">
        <f t="shared" si="190"/>
        <v>1.9920505026888097E-2</v>
      </c>
      <c r="L1384" s="1">
        <f t="shared" si="191"/>
        <v>1</v>
      </c>
      <c r="M1384" s="1">
        <f t="shared" si="192"/>
        <v>219.98</v>
      </c>
      <c r="N1384" s="1">
        <f t="shared" si="193"/>
        <v>212.82</v>
      </c>
      <c r="O1384" s="1">
        <f t="shared" si="194"/>
        <v>216.15</v>
      </c>
      <c r="P1384" s="1">
        <f t="shared" si="195"/>
        <v>110.28061224489797</v>
      </c>
    </row>
    <row r="1385" spans="1:16">
      <c r="A1385" s="2">
        <v>41047</v>
      </c>
      <c r="B1385" s="1">
        <v>219.41</v>
      </c>
      <c r="C1385" s="1">
        <v>219.63</v>
      </c>
      <c r="D1385" s="1">
        <v>212.81</v>
      </c>
      <c r="E1385" s="1">
        <v>213.85</v>
      </c>
      <c r="F1385" s="1">
        <v>5231700</v>
      </c>
      <c r="G1385" s="1">
        <v>213.85</v>
      </c>
      <c r="H1385" s="1">
        <f t="shared" si="189"/>
        <v>6.8199999999999932</v>
      </c>
      <c r="I1385" s="9">
        <f t="shared" si="196"/>
        <v>3.204736619519756E-2</v>
      </c>
      <c r="J1385" s="1">
        <f t="shared" si="197"/>
        <v>-4.5100000000000193</v>
      </c>
      <c r="K1385" s="9">
        <f t="shared" si="190"/>
        <v>-2.0653965927825695E-2</v>
      </c>
      <c r="L1385" s="1">
        <f t="shared" si="191"/>
        <v>1</v>
      </c>
      <c r="M1385" s="1">
        <f t="shared" si="192"/>
        <v>219.63</v>
      </c>
      <c r="N1385" s="1">
        <f t="shared" si="193"/>
        <v>212.81</v>
      </c>
      <c r="O1385" s="1">
        <f t="shared" si="194"/>
        <v>211.89</v>
      </c>
      <c r="P1385" s="1">
        <f t="shared" si="195"/>
        <v>108.10714285714285</v>
      </c>
    </row>
    <row r="1386" spans="1:16">
      <c r="A1386" s="2">
        <v>41046</v>
      </c>
      <c r="B1386" s="1">
        <v>225.05</v>
      </c>
      <c r="C1386" s="1">
        <v>226</v>
      </c>
      <c r="D1386" s="1">
        <v>218.09</v>
      </c>
      <c r="E1386" s="1">
        <v>218.36</v>
      </c>
      <c r="F1386" s="1">
        <v>4505500</v>
      </c>
      <c r="G1386" s="1">
        <v>218.36</v>
      </c>
      <c r="H1386" s="1">
        <f t="shared" si="189"/>
        <v>7.9099999999999966</v>
      </c>
      <c r="I1386" s="9">
        <f t="shared" si="196"/>
        <v>3.6269430051813455E-2</v>
      </c>
      <c r="J1386" s="1">
        <f t="shared" si="197"/>
        <v>-5.6999999999999886</v>
      </c>
      <c r="K1386" s="9">
        <f t="shared" si="190"/>
        <v>-2.5439614389002895E-2</v>
      </c>
      <c r="L1386" s="1">
        <f t="shared" si="191"/>
        <v>1</v>
      </c>
      <c r="M1386" s="1">
        <f t="shared" si="192"/>
        <v>226</v>
      </c>
      <c r="N1386" s="1">
        <f t="shared" si="193"/>
        <v>218.09</v>
      </c>
      <c r="O1386" s="1">
        <f t="shared" si="194"/>
        <v>216.4</v>
      </c>
      <c r="P1386" s="1">
        <f t="shared" si="195"/>
        <v>110.40816326530613</v>
      </c>
    </row>
    <row r="1387" spans="1:16">
      <c r="A1387" s="2">
        <v>41045</v>
      </c>
      <c r="B1387" s="1">
        <v>225</v>
      </c>
      <c r="C1387" s="1">
        <v>228</v>
      </c>
      <c r="D1387" s="1">
        <v>222.5</v>
      </c>
      <c r="E1387" s="1">
        <v>224.06</v>
      </c>
      <c r="F1387" s="1">
        <v>5261800</v>
      </c>
      <c r="G1387" s="1">
        <v>224.06</v>
      </c>
      <c r="H1387" s="1">
        <f t="shared" si="189"/>
        <v>5.5</v>
      </c>
      <c r="I1387" s="9">
        <f t="shared" si="196"/>
        <v>2.4719101123595506E-2</v>
      </c>
      <c r="J1387" s="1">
        <f t="shared" si="197"/>
        <v>-0.32999999999998408</v>
      </c>
      <c r="K1387" s="9">
        <f t="shared" si="190"/>
        <v>-1.4706537724496818E-3</v>
      </c>
      <c r="L1387" s="1">
        <f t="shared" si="191"/>
        <v>1</v>
      </c>
      <c r="M1387" s="1">
        <f t="shared" si="192"/>
        <v>228</v>
      </c>
      <c r="N1387" s="1">
        <f t="shared" si="193"/>
        <v>222.5</v>
      </c>
      <c r="O1387" s="1">
        <f t="shared" si="194"/>
        <v>222.1</v>
      </c>
      <c r="P1387" s="1">
        <f t="shared" si="195"/>
        <v>113.31632653061224</v>
      </c>
    </row>
    <row r="1388" spans="1:16">
      <c r="A1388" s="2">
        <v>41044</v>
      </c>
      <c r="B1388" s="1">
        <v>226.5</v>
      </c>
      <c r="C1388" s="1">
        <v>230.61</v>
      </c>
      <c r="D1388" s="1">
        <v>223</v>
      </c>
      <c r="E1388" s="1">
        <v>224.39</v>
      </c>
      <c r="F1388" s="1">
        <v>5713700</v>
      </c>
      <c r="G1388" s="1">
        <v>224.39</v>
      </c>
      <c r="H1388" s="1">
        <f t="shared" si="189"/>
        <v>7.6100000000000136</v>
      </c>
      <c r="I1388" s="9">
        <f t="shared" si="196"/>
        <v>3.4125560538116655E-2</v>
      </c>
      <c r="J1388" s="1">
        <f t="shared" si="197"/>
        <v>1.4599999999999795</v>
      </c>
      <c r="K1388" s="9">
        <f t="shared" si="190"/>
        <v>6.5491409859596266E-3</v>
      </c>
      <c r="L1388" s="1">
        <f t="shared" si="191"/>
        <v>1</v>
      </c>
      <c r="M1388" s="1">
        <f t="shared" si="192"/>
        <v>230.61</v>
      </c>
      <c r="N1388" s="1">
        <f t="shared" si="193"/>
        <v>223</v>
      </c>
      <c r="O1388" s="1">
        <f t="shared" si="194"/>
        <v>222.42999999999998</v>
      </c>
      <c r="P1388" s="1">
        <f t="shared" si="195"/>
        <v>113.48469387755101</v>
      </c>
    </row>
    <row r="1389" spans="1:16">
      <c r="A1389" s="2">
        <v>41043</v>
      </c>
      <c r="B1389" s="1">
        <v>225.6</v>
      </c>
      <c r="C1389" s="1">
        <v>227.29</v>
      </c>
      <c r="D1389" s="1">
        <v>222.51</v>
      </c>
      <c r="E1389" s="1">
        <v>222.93</v>
      </c>
      <c r="F1389" s="1">
        <v>3096600</v>
      </c>
      <c r="G1389" s="1">
        <v>222.93</v>
      </c>
      <c r="H1389" s="1">
        <f t="shared" si="189"/>
        <v>4.7800000000000011</v>
      </c>
      <c r="I1389" s="9">
        <f t="shared" si="196"/>
        <v>2.1482180576153885E-2</v>
      </c>
      <c r="J1389" s="1">
        <f t="shared" si="197"/>
        <v>-4.75</v>
      </c>
      <c r="K1389" s="9">
        <f t="shared" si="190"/>
        <v>-2.0862614195361912E-2</v>
      </c>
      <c r="L1389" s="1">
        <f t="shared" si="191"/>
        <v>1</v>
      </c>
      <c r="M1389" s="1">
        <f t="shared" si="192"/>
        <v>227.29</v>
      </c>
      <c r="N1389" s="1">
        <f t="shared" si="193"/>
        <v>222.51</v>
      </c>
      <c r="O1389" s="1">
        <f t="shared" si="194"/>
        <v>220.97</v>
      </c>
      <c r="P1389" s="1">
        <f t="shared" si="195"/>
        <v>112.73979591836735</v>
      </c>
    </row>
    <row r="1390" spans="1:16">
      <c r="A1390" s="2">
        <v>41040</v>
      </c>
      <c r="B1390" s="1">
        <v>225.95</v>
      </c>
      <c r="C1390" s="1">
        <v>230.68</v>
      </c>
      <c r="D1390" s="1">
        <v>225.73</v>
      </c>
      <c r="E1390" s="1">
        <v>227.68</v>
      </c>
      <c r="F1390" s="1">
        <v>4193600</v>
      </c>
      <c r="G1390" s="1">
        <v>227.68</v>
      </c>
      <c r="H1390" s="1">
        <f t="shared" si="189"/>
        <v>4.9500000000000171</v>
      </c>
      <c r="I1390" s="9">
        <f t="shared" si="196"/>
        <v>2.1928853054534254E-2</v>
      </c>
      <c r="J1390" s="1">
        <f t="shared" si="197"/>
        <v>0.99000000000000909</v>
      </c>
      <c r="K1390" s="9">
        <f t="shared" si="190"/>
        <v>4.3671974943756192E-3</v>
      </c>
      <c r="L1390" s="1">
        <f t="shared" si="191"/>
        <v>1</v>
      </c>
      <c r="M1390" s="1">
        <f t="shared" si="192"/>
        <v>230.68</v>
      </c>
      <c r="N1390" s="1">
        <f t="shared" si="193"/>
        <v>225.73</v>
      </c>
      <c r="O1390" s="1">
        <f t="shared" si="194"/>
        <v>225.72</v>
      </c>
      <c r="P1390" s="1">
        <f t="shared" si="195"/>
        <v>115.16326530612245</v>
      </c>
    </row>
    <row r="1391" spans="1:16">
      <c r="A1391" s="2">
        <v>41039</v>
      </c>
      <c r="B1391" s="1">
        <v>223.91</v>
      </c>
      <c r="C1391" s="1">
        <v>229.08</v>
      </c>
      <c r="D1391" s="1">
        <v>221.95</v>
      </c>
      <c r="E1391" s="1">
        <v>226.69</v>
      </c>
      <c r="F1391" s="1">
        <v>4648400</v>
      </c>
      <c r="G1391" s="1">
        <v>226.69</v>
      </c>
      <c r="H1391" s="1">
        <f t="shared" si="189"/>
        <v>7.1300000000000239</v>
      </c>
      <c r="I1391" s="9">
        <f t="shared" si="196"/>
        <v>3.2124352331606328E-2</v>
      </c>
      <c r="J1391" s="1">
        <f t="shared" si="197"/>
        <v>3.710000000000008</v>
      </c>
      <c r="K1391" s="9">
        <f t="shared" si="190"/>
        <v>1.663826352139209E-2</v>
      </c>
      <c r="L1391" s="1">
        <f t="shared" si="191"/>
        <v>1</v>
      </c>
      <c r="M1391" s="1">
        <f t="shared" si="192"/>
        <v>229.08</v>
      </c>
      <c r="N1391" s="1">
        <f t="shared" si="193"/>
        <v>221.95</v>
      </c>
      <c r="O1391" s="1">
        <f t="shared" si="194"/>
        <v>224.73</v>
      </c>
      <c r="P1391" s="1">
        <f t="shared" si="195"/>
        <v>114.65816326530611</v>
      </c>
    </row>
    <row r="1392" spans="1:16">
      <c r="A1392" s="2">
        <v>41038</v>
      </c>
      <c r="B1392" s="1">
        <v>220.59</v>
      </c>
      <c r="C1392" s="1">
        <v>225.78</v>
      </c>
      <c r="D1392" s="1">
        <v>220.16</v>
      </c>
      <c r="E1392" s="1">
        <v>222.98</v>
      </c>
      <c r="F1392" s="1">
        <v>3712000</v>
      </c>
      <c r="G1392" s="1">
        <v>222.98</v>
      </c>
      <c r="H1392" s="1">
        <f t="shared" si="189"/>
        <v>5.6200000000000045</v>
      </c>
      <c r="I1392" s="9">
        <f t="shared" si="196"/>
        <v>2.5526889534883742E-2</v>
      </c>
      <c r="J1392" s="1">
        <f t="shared" si="197"/>
        <v>-0.92000000000001592</v>
      </c>
      <c r="K1392" s="9">
        <f t="shared" si="190"/>
        <v>-4.1089772219741662E-3</v>
      </c>
      <c r="L1392" s="1">
        <f t="shared" si="191"/>
        <v>1</v>
      </c>
      <c r="M1392" s="1">
        <f t="shared" si="192"/>
        <v>225.78</v>
      </c>
      <c r="N1392" s="1">
        <f t="shared" si="193"/>
        <v>220.16</v>
      </c>
      <c r="O1392" s="1">
        <f t="shared" si="194"/>
        <v>221.01999999999998</v>
      </c>
      <c r="P1392" s="1">
        <f t="shared" si="195"/>
        <v>112.76530612244898</v>
      </c>
    </row>
    <row r="1393" spans="1:16">
      <c r="A1393" s="2">
        <v>41037</v>
      </c>
      <c r="B1393" s="1">
        <v>223.15</v>
      </c>
      <c r="C1393" s="1">
        <v>225.39</v>
      </c>
      <c r="D1393" s="1">
        <v>218.2</v>
      </c>
      <c r="E1393" s="1">
        <v>223.9</v>
      </c>
      <c r="F1393" s="1">
        <v>4522400</v>
      </c>
      <c r="G1393" s="1">
        <v>223.9</v>
      </c>
      <c r="H1393" s="1">
        <f t="shared" si="189"/>
        <v>7.1899999999999977</v>
      </c>
      <c r="I1393" s="9">
        <f t="shared" si="196"/>
        <v>3.2951420714940415E-2</v>
      </c>
      <c r="J1393" s="1">
        <f t="shared" si="197"/>
        <v>-1.2599999999999909</v>
      </c>
      <c r="K1393" s="9">
        <f t="shared" si="190"/>
        <v>-5.5960206075679111E-3</v>
      </c>
      <c r="L1393" s="1">
        <f t="shared" si="191"/>
        <v>1</v>
      </c>
      <c r="M1393" s="1">
        <f t="shared" si="192"/>
        <v>225.39</v>
      </c>
      <c r="N1393" s="1">
        <f t="shared" si="193"/>
        <v>218.2</v>
      </c>
      <c r="O1393" s="1">
        <f t="shared" si="194"/>
        <v>221.94</v>
      </c>
      <c r="P1393" s="1">
        <f t="shared" si="195"/>
        <v>113.23469387755102</v>
      </c>
    </row>
    <row r="1394" spans="1:16">
      <c r="A1394" s="2">
        <v>41036</v>
      </c>
      <c r="B1394" s="1">
        <v>222.36</v>
      </c>
      <c r="C1394" s="1">
        <v>226.87</v>
      </c>
      <c r="D1394" s="1">
        <v>222.29</v>
      </c>
      <c r="E1394" s="1">
        <v>225.16</v>
      </c>
      <c r="F1394" s="1">
        <v>3314300</v>
      </c>
      <c r="G1394" s="1">
        <v>225.16</v>
      </c>
      <c r="H1394" s="1">
        <f t="shared" si="189"/>
        <v>4.5800000000000125</v>
      </c>
      <c r="I1394" s="9">
        <f t="shared" si="196"/>
        <v>2.0603715866660724E-2</v>
      </c>
      <c r="J1394" s="1">
        <f t="shared" si="197"/>
        <v>1.1699999999999875</v>
      </c>
      <c r="K1394" s="9">
        <f t="shared" si="190"/>
        <v>5.2234474753336639E-3</v>
      </c>
      <c r="L1394" s="1">
        <f t="shared" si="191"/>
        <v>1</v>
      </c>
      <c r="M1394" s="1">
        <f t="shared" si="192"/>
        <v>226.87</v>
      </c>
      <c r="N1394" s="1">
        <f t="shared" si="193"/>
        <v>222.29</v>
      </c>
      <c r="O1394" s="1">
        <f t="shared" si="194"/>
        <v>223.2</v>
      </c>
      <c r="P1394" s="1">
        <f t="shared" si="195"/>
        <v>113.87755102040816</v>
      </c>
    </row>
    <row r="1395" spans="1:16">
      <c r="A1395" s="2">
        <v>41033</v>
      </c>
      <c r="B1395" s="1">
        <v>227.8</v>
      </c>
      <c r="C1395" s="1">
        <v>229.72</v>
      </c>
      <c r="D1395" s="1">
        <v>223.74</v>
      </c>
      <c r="E1395" s="1">
        <v>223.99</v>
      </c>
      <c r="F1395" s="1">
        <v>4585200</v>
      </c>
      <c r="G1395" s="1">
        <v>223.99</v>
      </c>
      <c r="H1395" s="1">
        <f t="shared" si="189"/>
        <v>5.9799999999999898</v>
      </c>
      <c r="I1395" s="9">
        <f t="shared" si="196"/>
        <v>2.6727451506212523E-2</v>
      </c>
      <c r="J1395" s="1">
        <f t="shared" si="197"/>
        <v>-5.4599999999999795</v>
      </c>
      <c r="K1395" s="9">
        <f t="shared" si="190"/>
        <v>-2.3796033994334189E-2</v>
      </c>
      <c r="L1395" s="1">
        <f t="shared" si="191"/>
        <v>1</v>
      </c>
      <c r="M1395" s="1">
        <f t="shared" si="192"/>
        <v>229.72</v>
      </c>
      <c r="N1395" s="1">
        <f t="shared" si="193"/>
        <v>223.74</v>
      </c>
      <c r="O1395" s="1">
        <f t="shared" si="194"/>
        <v>222.03</v>
      </c>
      <c r="P1395" s="1">
        <f t="shared" si="195"/>
        <v>113.28061224489797</v>
      </c>
    </row>
    <row r="1396" spans="1:16">
      <c r="A1396" s="2">
        <v>41032</v>
      </c>
      <c r="B1396" s="1">
        <v>229.74</v>
      </c>
      <c r="C1396" s="1">
        <v>232.53</v>
      </c>
      <c r="D1396" s="1">
        <v>228.03</v>
      </c>
      <c r="E1396" s="1">
        <v>229.45</v>
      </c>
      <c r="F1396" s="1">
        <v>4055500</v>
      </c>
      <c r="G1396" s="1">
        <v>229.45</v>
      </c>
      <c r="H1396" s="1">
        <f t="shared" si="189"/>
        <v>4.5</v>
      </c>
      <c r="I1396" s="9">
        <f t="shared" si="196"/>
        <v>1.9734245494013945E-2</v>
      </c>
      <c r="J1396" s="1">
        <f t="shared" si="197"/>
        <v>-0.80000000000001137</v>
      </c>
      <c r="K1396" s="9">
        <f t="shared" si="190"/>
        <v>-3.4744842562432631E-3</v>
      </c>
      <c r="L1396" s="1">
        <f t="shared" si="191"/>
        <v>1</v>
      </c>
      <c r="M1396" s="1">
        <f t="shared" si="192"/>
        <v>232.53</v>
      </c>
      <c r="N1396" s="1">
        <f t="shared" si="193"/>
        <v>228.03</v>
      </c>
      <c r="O1396" s="1">
        <f t="shared" si="194"/>
        <v>227.48999999999998</v>
      </c>
      <c r="P1396" s="1">
        <f t="shared" si="195"/>
        <v>116.06632653061224</v>
      </c>
    </row>
    <row r="1397" spans="1:16">
      <c r="A1397" s="2">
        <v>41031</v>
      </c>
      <c r="B1397" s="1">
        <v>227.82</v>
      </c>
      <c r="C1397" s="1">
        <v>231.44</v>
      </c>
      <c r="D1397" s="1">
        <v>227.4</v>
      </c>
      <c r="E1397" s="1">
        <v>230.25</v>
      </c>
      <c r="F1397" s="1">
        <v>4593400</v>
      </c>
      <c r="G1397" s="1">
        <v>230.25</v>
      </c>
      <c r="H1397" s="1">
        <f t="shared" si="189"/>
        <v>4.039999999999992</v>
      </c>
      <c r="I1397" s="9">
        <f t="shared" si="196"/>
        <v>1.776605101143356E-2</v>
      </c>
      <c r="J1397" s="1">
        <f t="shared" si="197"/>
        <v>0.21000000000000796</v>
      </c>
      <c r="K1397" s="9">
        <f t="shared" si="190"/>
        <v>9.1288471570165179E-4</v>
      </c>
      <c r="L1397" s="1">
        <f t="shared" si="191"/>
        <v>1</v>
      </c>
      <c r="M1397" s="1">
        <f t="shared" si="192"/>
        <v>231.44</v>
      </c>
      <c r="N1397" s="1">
        <f t="shared" si="193"/>
        <v>227.4</v>
      </c>
      <c r="O1397" s="1">
        <f t="shared" si="194"/>
        <v>228.29</v>
      </c>
      <c r="P1397" s="1">
        <f t="shared" si="195"/>
        <v>116.47448979591836</v>
      </c>
    </row>
    <row r="1398" spans="1:16">
      <c r="A1398" s="2">
        <v>41030</v>
      </c>
      <c r="B1398" s="1">
        <v>229.4</v>
      </c>
      <c r="C1398" s="1">
        <v>232.97</v>
      </c>
      <c r="D1398" s="1">
        <v>228.4</v>
      </c>
      <c r="E1398" s="1">
        <v>230.04</v>
      </c>
      <c r="F1398" s="1">
        <v>6754900</v>
      </c>
      <c r="G1398" s="1">
        <v>230.04</v>
      </c>
      <c r="H1398" s="1">
        <f t="shared" si="189"/>
        <v>4.5699999999999932</v>
      </c>
      <c r="I1398" s="9">
        <f t="shared" si="196"/>
        <v>2.000875656742554E-2</v>
      </c>
      <c r="J1398" s="1">
        <f t="shared" si="197"/>
        <v>-1.8600000000000136</v>
      </c>
      <c r="K1398" s="9">
        <f t="shared" si="190"/>
        <v>-8.0206985769728911E-3</v>
      </c>
      <c r="L1398" s="1">
        <f t="shared" si="191"/>
        <v>1</v>
      </c>
      <c r="M1398" s="1">
        <f t="shared" si="192"/>
        <v>232.97</v>
      </c>
      <c r="N1398" s="1">
        <f t="shared" si="193"/>
        <v>228.4</v>
      </c>
      <c r="O1398" s="1">
        <f t="shared" si="194"/>
        <v>228.07999999999998</v>
      </c>
      <c r="P1398" s="1">
        <f t="shared" si="195"/>
        <v>116.3673469387755</v>
      </c>
    </row>
    <row r="1399" spans="1:16">
      <c r="A1399" s="2">
        <v>41029</v>
      </c>
      <c r="B1399" s="1">
        <v>223.95</v>
      </c>
      <c r="C1399" s="1">
        <v>233.84</v>
      </c>
      <c r="D1399" s="1">
        <v>223.05</v>
      </c>
      <c r="E1399" s="1">
        <v>231.9</v>
      </c>
      <c r="F1399" s="1">
        <v>9756900</v>
      </c>
      <c r="G1399" s="1">
        <v>231.9</v>
      </c>
      <c r="H1399" s="1">
        <f t="shared" si="189"/>
        <v>10.789999999999992</v>
      </c>
      <c r="I1399" s="9">
        <f t="shared" si="196"/>
        <v>4.8374803855637714E-2</v>
      </c>
      <c r="J1399" s="1">
        <f t="shared" si="197"/>
        <v>5.0500000000000114</v>
      </c>
      <c r="K1399" s="9">
        <f t="shared" si="190"/>
        <v>2.2261406215560994E-2</v>
      </c>
      <c r="L1399" s="1">
        <f t="shared" si="191"/>
        <v>1</v>
      </c>
      <c r="M1399" s="1">
        <f t="shared" si="192"/>
        <v>233.84</v>
      </c>
      <c r="N1399" s="1">
        <f t="shared" si="193"/>
        <v>223.05</v>
      </c>
      <c r="O1399" s="1">
        <f t="shared" si="194"/>
        <v>229.94</v>
      </c>
      <c r="P1399" s="1">
        <f t="shared" si="195"/>
        <v>117.31632653061224</v>
      </c>
    </row>
    <row r="1400" spans="1:16">
      <c r="A1400" s="2">
        <v>41026</v>
      </c>
      <c r="B1400" s="1">
        <v>224.83</v>
      </c>
      <c r="C1400" s="1">
        <v>228.69</v>
      </c>
      <c r="D1400" s="1">
        <v>220.22</v>
      </c>
      <c r="E1400" s="1">
        <v>226.85</v>
      </c>
      <c r="F1400" s="1">
        <v>22116900</v>
      </c>
      <c r="G1400" s="1">
        <v>226.85</v>
      </c>
      <c r="H1400" s="1">
        <f t="shared" si="189"/>
        <v>8.4699999999999989</v>
      </c>
      <c r="I1400" s="9">
        <f t="shared" si="196"/>
        <v>3.8461538461538457E-2</v>
      </c>
      <c r="J1400" s="1">
        <f t="shared" si="197"/>
        <v>30.859999999999985</v>
      </c>
      <c r="K1400" s="9">
        <f t="shared" si="190"/>
        <v>0.15745701311291385</v>
      </c>
      <c r="L1400" s="1">
        <f t="shared" si="191"/>
        <v>1</v>
      </c>
      <c r="M1400" s="1">
        <f t="shared" si="192"/>
        <v>228.69</v>
      </c>
      <c r="N1400" s="1">
        <f t="shared" si="193"/>
        <v>220.22</v>
      </c>
      <c r="O1400" s="1">
        <f t="shared" si="194"/>
        <v>224.89</v>
      </c>
      <c r="P1400" s="1">
        <f t="shared" si="195"/>
        <v>114.73979591836734</v>
      </c>
    </row>
    <row r="1401" spans="1:16">
      <c r="A1401" s="2">
        <v>41025</v>
      </c>
      <c r="B1401" s="1">
        <v>193.57</v>
      </c>
      <c r="C1401" s="1">
        <v>196.36</v>
      </c>
      <c r="D1401" s="1">
        <v>193.02</v>
      </c>
      <c r="E1401" s="1">
        <v>195.99</v>
      </c>
      <c r="F1401" s="1">
        <v>10234000</v>
      </c>
      <c r="G1401" s="1">
        <v>195.99</v>
      </c>
      <c r="H1401" s="1">
        <f t="shared" si="189"/>
        <v>3.3400000000000034</v>
      </c>
      <c r="I1401" s="9">
        <f t="shared" si="196"/>
        <v>1.7303906330950178E-2</v>
      </c>
      <c r="J1401" s="1">
        <f t="shared" si="197"/>
        <v>1.5700000000000216</v>
      </c>
      <c r="K1401" s="9">
        <f t="shared" si="190"/>
        <v>8.0753008949697655E-3</v>
      </c>
      <c r="L1401" s="1">
        <f t="shared" si="191"/>
        <v>1</v>
      </c>
      <c r="M1401" s="1">
        <f t="shared" si="192"/>
        <v>196.36</v>
      </c>
      <c r="N1401" s="1">
        <f t="shared" si="193"/>
        <v>193.02</v>
      </c>
      <c r="O1401" s="1">
        <f t="shared" si="194"/>
        <v>194.03</v>
      </c>
      <c r="P1401" s="1">
        <f t="shared" si="195"/>
        <v>98.994897959183675</v>
      </c>
    </row>
    <row r="1402" spans="1:16">
      <c r="A1402" s="2">
        <v>41024</v>
      </c>
      <c r="B1402" s="1">
        <v>191.67</v>
      </c>
      <c r="C1402" s="1">
        <v>194.8</v>
      </c>
      <c r="D1402" s="1">
        <v>191.6</v>
      </c>
      <c r="E1402" s="1">
        <v>194.42</v>
      </c>
      <c r="F1402" s="1">
        <v>3955100</v>
      </c>
      <c r="G1402" s="1">
        <v>194.42</v>
      </c>
      <c r="H1402" s="1">
        <f t="shared" si="189"/>
        <v>3.2000000000000171</v>
      </c>
      <c r="I1402" s="9">
        <f t="shared" si="196"/>
        <v>1.6701461377870652E-2</v>
      </c>
      <c r="J1402" s="1">
        <f t="shared" si="197"/>
        <v>4.089999999999975</v>
      </c>
      <c r="K1402" s="9">
        <f t="shared" si="190"/>
        <v>2.1488992801975384E-2</v>
      </c>
      <c r="L1402" s="1">
        <f t="shared" si="191"/>
        <v>1</v>
      </c>
      <c r="M1402" s="1">
        <f t="shared" si="192"/>
        <v>194.8</v>
      </c>
      <c r="N1402" s="1">
        <f t="shared" si="193"/>
        <v>191.6</v>
      </c>
      <c r="O1402" s="1">
        <f t="shared" si="194"/>
        <v>192.45999999999998</v>
      </c>
      <c r="P1402" s="1">
        <f t="shared" si="195"/>
        <v>98.193877551020393</v>
      </c>
    </row>
    <row r="1403" spans="1:16">
      <c r="A1403" s="2">
        <v>41023</v>
      </c>
      <c r="B1403" s="1">
        <v>188.68</v>
      </c>
      <c r="C1403" s="1">
        <v>190.7</v>
      </c>
      <c r="D1403" s="1">
        <v>186.51</v>
      </c>
      <c r="E1403" s="1">
        <v>190.33</v>
      </c>
      <c r="F1403" s="1">
        <v>3376300</v>
      </c>
      <c r="G1403" s="1">
        <v>190.33</v>
      </c>
      <c r="H1403" s="1">
        <f t="shared" si="189"/>
        <v>4.1899999999999977</v>
      </c>
      <c r="I1403" s="9">
        <f t="shared" si="196"/>
        <v>2.2465283362822358E-2</v>
      </c>
      <c r="J1403" s="1">
        <f t="shared" si="197"/>
        <v>2.0900000000000034</v>
      </c>
      <c r="K1403" s="9">
        <f t="shared" si="190"/>
        <v>1.1102847428814297E-2</v>
      </c>
      <c r="L1403" s="1">
        <f t="shared" si="191"/>
        <v>1</v>
      </c>
      <c r="M1403" s="1">
        <f t="shared" si="192"/>
        <v>190.7</v>
      </c>
      <c r="N1403" s="1">
        <f t="shared" si="193"/>
        <v>186.51</v>
      </c>
      <c r="O1403" s="1">
        <f t="shared" si="194"/>
        <v>188.37</v>
      </c>
      <c r="P1403" s="1">
        <f t="shared" si="195"/>
        <v>96.107142857142861</v>
      </c>
    </row>
    <row r="1404" spans="1:16">
      <c r="A1404" s="2">
        <v>41022</v>
      </c>
      <c r="B1404" s="1">
        <v>188.99</v>
      </c>
      <c r="C1404" s="1">
        <v>188.99</v>
      </c>
      <c r="D1404" s="1">
        <v>185.51</v>
      </c>
      <c r="E1404" s="1">
        <v>188.24</v>
      </c>
      <c r="F1404" s="1">
        <v>3481000</v>
      </c>
      <c r="G1404" s="1">
        <v>188.24</v>
      </c>
      <c r="H1404" s="1">
        <f t="shared" si="189"/>
        <v>3.4800000000000182</v>
      </c>
      <c r="I1404" s="9">
        <f t="shared" si="196"/>
        <v>1.8759096544660764E-2</v>
      </c>
      <c r="J1404" s="1">
        <f t="shared" si="197"/>
        <v>-1.7399999999999807</v>
      </c>
      <c r="K1404" s="9">
        <f t="shared" si="190"/>
        <v>-9.1588588272448722E-3</v>
      </c>
      <c r="L1404" s="1">
        <f t="shared" si="191"/>
        <v>1</v>
      </c>
      <c r="M1404" s="1">
        <f t="shared" si="192"/>
        <v>188.99</v>
      </c>
      <c r="N1404" s="1">
        <f t="shared" si="193"/>
        <v>185.51</v>
      </c>
      <c r="O1404" s="1">
        <f t="shared" si="194"/>
        <v>186.28</v>
      </c>
      <c r="P1404" s="1">
        <f t="shared" si="195"/>
        <v>95.040816326530617</v>
      </c>
    </row>
    <row r="1405" spans="1:16">
      <c r="A1405" s="2">
        <v>41019</v>
      </c>
      <c r="B1405" s="1">
        <v>192.34</v>
      </c>
      <c r="C1405" s="1">
        <v>193.48</v>
      </c>
      <c r="D1405" s="1">
        <v>189.8</v>
      </c>
      <c r="E1405" s="1">
        <v>189.98</v>
      </c>
      <c r="F1405" s="1">
        <v>3243600</v>
      </c>
      <c r="G1405" s="1">
        <v>189.98</v>
      </c>
      <c r="H1405" s="1">
        <f t="shared" si="189"/>
        <v>3.6799999999999784</v>
      </c>
      <c r="I1405" s="9">
        <f t="shared" si="196"/>
        <v>1.9388830347734344E-2</v>
      </c>
      <c r="J1405" s="1">
        <f t="shared" si="197"/>
        <v>-1.1200000000000045</v>
      </c>
      <c r="K1405" s="9">
        <f t="shared" si="190"/>
        <v>-5.8608058608058851E-3</v>
      </c>
      <c r="L1405" s="1">
        <f t="shared" si="191"/>
        <v>1</v>
      </c>
      <c r="M1405" s="1">
        <f t="shared" si="192"/>
        <v>193.48</v>
      </c>
      <c r="N1405" s="1">
        <f t="shared" si="193"/>
        <v>189.8</v>
      </c>
      <c r="O1405" s="1">
        <f t="shared" si="194"/>
        <v>188.01999999999998</v>
      </c>
      <c r="P1405" s="1">
        <f t="shared" si="195"/>
        <v>95.928571428571416</v>
      </c>
    </row>
    <row r="1406" spans="1:16">
      <c r="A1406" s="2">
        <v>41018</v>
      </c>
      <c r="B1406" s="1">
        <v>192.93</v>
      </c>
      <c r="C1406" s="1">
        <v>194.55</v>
      </c>
      <c r="D1406" s="1">
        <v>189.75</v>
      </c>
      <c r="E1406" s="1">
        <v>191.1</v>
      </c>
      <c r="F1406" s="1">
        <v>4002400</v>
      </c>
      <c r="G1406" s="1">
        <v>191.1</v>
      </c>
      <c r="H1406" s="1">
        <f t="shared" si="189"/>
        <v>4.8000000000000114</v>
      </c>
      <c r="I1406" s="9">
        <f t="shared" si="196"/>
        <v>2.5296442687747094E-2</v>
      </c>
      <c r="J1406" s="1">
        <f t="shared" si="197"/>
        <v>3.0000000000001137E-2</v>
      </c>
      <c r="K1406" s="9">
        <f t="shared" si="190"/>
        <v>1.5701051970482617E-4</v>
      </c>
      <c r="L1406" s="1">
        <f t="shared" si="191"/>
        <v>1</v>
      </c>
      <c r="M1406" s="1">
        <f t="shared" si="192"/>
        <v>194.55</v>
      </c>
      <c r="N1406" s="1">
        <f t="shared" si="193"/>
        <v>189.75</v>
      </c>
      <c r="O1406" s="1">
        <f t="shared" si="194"/>
        <v>189.14</v>
      </c>
      <c r="P1406" s="1">
        <f t="shared" si="195"/>
        <v>96.5</v>
      </c>
    </row>
    <row r="1407" spans="1:16">
      <c r="A1407" s="2">
        <v>41017</v>
      </c>
      <c r="B1407" s="1">
        <v>188.82</v>
      </c>
      <c r="C1407" s="1">
        <v>193.45</v>
      </c>
      <c r="D1407" s="1">
        <v>188.74</v>
      </c>
      <c r="E1407" s="1">
        <v>191.07</v>
      </c>
      <c r="F1407" s="1">
        <v>4001900</v>
      </c>
      <c r="G1407" s="1">
        <v>191.07</v>
      </c>
      <c r="H1407" s="1">
        <f t="shared" si="189"/>
        <v>4.7099999999999795</v>
      </c>
      <c r="I1407" s="9">
        <f t="shared" si="196"/>
        <v>2.4954964501430428E-2</v>
      </c>
      <c r="J1407" s="1">
        <f t="shared" si="197"/>
        <v>2.6800000000000068</v>
      </c>
      <c r="K1407" s="9">
        <f t="shared" si="190"/>
        <v>1.422580816391532E-2</v>
      </c>
      <c r="L1407" s="1">
        <f t="shared" si="191"/>
        <v>1</v>
      </c>
      <c r="M1407" s="1">
        <f t="shared" si="192"/>
        <v>193.45</v>
      </c>
      <c r="N1407" s="1">
        <f t="shared" si="193"/>
        <v>188.74</v>
      </c>
      <c r="O1407" s="1">
        <f t="shared" si="194"/>
        <v>189.10999999999999</v>
      </c>
      <c r="P1407" s="1">
        <f t="shared" si="195"/>
        <v>96.48469387755101</v>
      </c>
    </row>
    <row r="1408" spans="1:16">
      <c r="A1408" s="2">
        <v>41016</v>
      </c>
      <c r="B1408" s="1">
        <v>187.21</v>
      </c>
      <c r="C1408" s="1">
        <v>190.04</v>
      </c>
      <c r="D1408" s="1">
        <v>186.87</v>
      </c>
      <c r="E1408" s="1">
        <v>188.39</v>
      </c>
      <c r="F1408" s="1">
        <v>2829200</v>
      </c>
      <c r="G1408" s="1">
        <v>188.39</v>
      </c>
      <c r="H1408" s="1">
        <f t="shared" si="189"/>
        <v>3.1699999999999875</v>
      </c>
      <c r="I1408" s="9">
        <f t="shared" si="196"/>
        <v>1.6963664579654238E-2</v>
      </c>
      <c r="J1408" s="1">
        <f t="shared" si="197"/>
        <v>2.8899999999999864</v>
      </c>
      <c r="K1408" s="9">
        <f t="shared" si="190"/>
        <v>1.5579514824797771E-2</v>
      </c>
      <c r="L1408" s="1">
        <f t="shared" si="191"/>
        <v>1</v>
      </c>
      <c r="M1408" s="1">
        <f t="shared" si="192"/>
        <v>190.04</v>
      </c>
      <c r="N1408" s="1">
        <f t="shared" si="193"/>
        <v>186.87</v>
      </c>
      <c r="O1408" s="1">
        <f t="shared" si="194"/>
        <v>186.42999999999998</v>
      </c>
      <c r="P1408" s="1">
        <f t="shared" si="195"/>
        <v>95.117346938775498</v>
      </c>
    </row>
    <row r="1409" spans="1:16">
      <c r="A1409" s="2">
        <v>41015</v>
      </c>
      <c r="B1409" s="1">
        <v>189.01</v>
      </c>
      <c r="C1409" s="1">
        <v>189.47</v>
      </c>
      <c r="D1409" s="1">
        <v>183.65</v>
      </c>
      <c r="E1409" s="1">
        <v>185.5</v>
      </c>
      <c r="F1409" s="1">
        <v>4044300</v>
      </c>
      <c r="G1409" s="1">
        <v>185.5</v>
      </c>
      <c r="H1409" s="1">
        <f t="shared" si="189"/>
        <v>5.8199999999999932</v>
      </c>
      <c r="I1409" s="9">
        <f t="shared" si="196"/>
        <v>3.1690716035937885E-2</v>
      </c>
      <c r="J1409" s="1">
        <f t="shared" si="197"/>
        <v>-2.960000000000008</v>
      </c>
      <c r="K1409" s="9">
        <f t="shared" si="190"/>
        <v>-1.5706250663270763E-2</v>
      </c>
      <c r="L1409" s="1">
        <f t="shared" si="191"/>
        <v>1</v>
      </c>
      <c r="M1409" s="1">
        <f t="shared" si="192"/>
        <v>189.47</v>
      </c>
      <c r="N1409" s="1">
        <f t="shared" si="193"/>
        <v>183.65</v>
      </c>
      <c r="O1409" s="1">
        <f t="shared" si="194"/>
        <v>183.54</v>
      </c>
      <c r="P1409" s="1">
        <f t="shared" si="195"/>
        <v>93.642857142857139</v>
      </c>
    </row>
    <row r="1410" spans="1:16">
      <c r="A1410" s="2">
        <v>41012</v>
      </c>
      <c r="B1410" s="1">
        <v>189.9</v>
      </c>
      <c r="C1410" s="1">
        <v>189.94</v>
      </c>
      <c r="D1410" s="1">
        <v>186.26</v>
      </c>
      <c r="E1410" s="1">
        <v>188.46</v>
      </c>
      <c r="F1410" s="1">
        <v>3431800</v>
      </c>
      <c r="G1410" s="1">
        <v>188.46</v>
      </c>
      <c r="H1410" s="1">
        <f t="shared" si="189"/>
        <v>3.6800000000000068</v>
      </c>
      <c r="I1410" s="9">
        <f t="shared" si="196"/>
        <v>1.9757328465585779E-2</v>
      </c>
      <c r="J1410" s="1">
        <f t="shared" si="197"/>
        <v>-2.2299999999999898</v>
      </c>
      <c r="K1410" s="9">
        <f t="shared" si="190"/>
        <v>-1.16943730662331E-2</v>
      </c>
      <c r="L1410" s="1">
        <f t="shared" si="191"/>
        <v>1</v>
      </c>
      <c r="M1410" s="1">
        <f t="shared" si="192"/>
        <v>189.94</v>
      </c>
      <c r="N1410" s="1">
        <f t="shared" si="193"/>
        <v>186.26</v>
      </c>
      <c r="O1410" s="1">
        <f t="shared" si="194"/>
        <v>186.5</v>
      </c>
      <c r="P1410" s="1">
        <f t="shared" si="195"/>
        <v>95.153061224489804</v>
      </c>
    </row>
    <row r="1411" spans="1:16">
      <c r="A1411" s="2">
        <v>41011</v>
      </c>
      <c r="B1411" s="1">
        <v>188.06</v>
      </c>
      <c r="C1411" s="1">
        <v>192.26</v>
      </c>
      <c r="D1411" s="1">
        <v>185.61</v>
      </c>
      <c r="E1411" s="1">
        <v>190.69</v>
      </c>
      <c r="F1411" s="1">
        <v>4027900</v>
      </c>
      <c r="G1411" s="1">
        <v>190.69</v>
      </c>
      <c r="H1411" s="1">
        <f t="shared" ref="H1411:H1474" si="198">C1411-D1411</f>
        <v>6.6499999999999773</v>
      </c>
      <c r="I1411" s="9">
        <f t="shared" si="196"/>
        <v>3.5827811001562293E-2</v>
      </c>
      <c r="J1411" s="1">
        <f t="shared" si="197"/>
        <v>2.7199999999999989</v>
      </c>
      <c r="K1411" s="9">
        <f t="shared" ref="K1411:K1474" si="199">(G1411-G1412)/G1412</f>
        <v>1.4470394211842309E-2</v>
      </c>
      <c r="L1411" s="1">
        <f t="shared" ref="L1411:L1474" si="200">G1411/E1411</f>
        <v>1</v>
      </c>
      <c r="M1411" s="1">
        <f t="shared" ref="M1411:M1474" si="201">L1411*C1411</f>
        <v>192.26</v>
      </c>
      <c r="N1411" s="1">
        <f t="shared" ref="N1411:N1474" si="202">L1411*D1411</f>
        <v>185.61</v>
      </c>
      <c r="O1411" s="1">
        <f t="shared" ref="O1411:O1474" si="203">G1411-$G$5163</f>
        <v>188.73</v>
      </c>
      <c r="P1411" s="1">
        <f t="shared" ref="P1411:P1474" si="204">(G1411-$G$5163)/$G$5163</f>
        <v>96.290816326530603</v>
      </c>
    </row>
    <row r="1412" spans="1:16">
      <c r="A1412" s="2">
        <v>41010</v>
      </c>
      <c r="B1412" s="1">
        <v>189.63</v>
      </c>
      <c r="C1412" s="1">
        <v>191.97</v>
      </c>
      <c r="D1412" s="1">
        <v>186.79</v>
      </c>
      <c r="E1412" s="1">
        <v>187.97</v>
      </c>
      <c r="F1412" s="1">
        <v>4337800</v>
      </c>
      <c r="G1412" s="1">
        <v>187.97</v>
      </c>
      <c r="H1412" s="1">
        <f t="shared" si="198"/>
        <v>5.1800000000000068</v>
      </c>
      <c r="I1412" s="9">
        <f t="shared" ref="I1412:I1475" si="205">(C1412-D1412)/D1412</f>
        <v>2.773167728465125E-2</v>
      </c>
      <c r="J1412" s="1">
        <f t="shared" ref="J1412:J1475" si="206">G1412-G1413</f>
        <v>0.99000000000000909</v>
      </c>
      <c r="K1412" s="9">
        <f t="shared" si="199"/>
        <v>5.2946839234143178E-3</v>
      </c>
      <c r="L1412" s="1">
        <f t="shared" si="200"/>
        <v>1</v>
      </c>
      <c r="M1412" s="1">
        <f t="shared" si="201"/>
        <v>191.97</v>
      </c>
      <c r="N1412" s="1">
        <f t="shared" si="202"/>
        <v>186.79</v>
      </c>
      <c r="O1412" s="1">
        <f t="shared" si="203"/>
        <v>186.01</v>
      </c>
      <c r="P1412" s="1">
        <f t="shared" si="204"/>
        <v>94.90306122448979</v>
      </c>
    </row>
    <row r="1413" spans="1:16">
      <c r="A1413" s="2">
        <v>41009</v>
      </c>
      <c r="B1413" s="1">
        <v>192.75</v>
      </c>
      <c r="C1413" s="1">
        <v>193.52</v>
      </c>
      <c r="D1413" s="1">
        <v>186.57</v>
      </c>
      <c r="E1413" s="1">
        <v>186.98</v>
      </c>
      <c r="F1413" s="1">
        <v>4455000</v>
      </c>
      <c r="G1413" s="1">
        <v>186.98</v>
      </c>
      <c r="H1413" s="1">
        <f t="shared" si="198"/>
        <v>6.9500000000000171</v>
      </c>
      <c r="I1413" s="9">
        <f t="shared" si="205"/>
        <v>3.7251433778206666E-2</v>
      </c>
      <c r="J1413" s="1">
        <f t="shared" si="206"/>
        <v>-4.8900000000000148</v>
      </c>
      <c r="K1413" s="9">
        <f t="shared" si="199"/>
        <v>-2.5486006149997471E-2</v>
      </c>
      <c r="L1413" s="1">
        <f t="shared" si="200"/>
        <v>1</v>
      </c>
      <c r="M1413" s="1">
        <f t="shared" si="201"/>
        <v>193.52</v>
      </c>
      <c r="N1413" s="1">
        <f t="shared" si="202"/>
        <v>186.57</v>
      </c>
      <c r="O1413" s="1">
        <f t="shared" si="203"/>
        <v>185.01999999999998</v>
      </c>
      <c r="P1413" s="1">
        <f t="shared" si="204"/>
        <v>94.397959183673464</v>
      </c>
    </row>
    <row r="1414" spans="1:16">
      <c r="A1414" s="2">
        <v>41008</v>
      </c>
      <c r="B1414" s="1">
        <v>192.02</v>
      </c>
      <c r="C1414" s="1">
        <v>194.2</v>
      </c>
      <c r="D1414" s="1">
        <v>190.5</v>
      </c>
      <c r="E1414" s="1">
        <v>191.87</v>
      </c>
      <c r="F1414" s="1">
        <v>3135900</v>
      </c>
      <c r="G1414" s="1">
        <v>191.87</v>
      </c>
      <c r="H1414" s="1">
        <f t="shared" si="198"/>
        <v>3.6999999999999886</v>
      </c>
      <c r="I1414" s="9">
        <f t="shared" si="205"/>
        <v>1.9422572178477631E-2</v>
      </c>
      <c r="J1414" s="1">
        <f t="shared" si="206"/>
        <v>-2.5199999999999818</v>
      </c>
      <c r="K1414" s="9">
        <f t="shared" si="199"/>
        <v>-1.2963629816348484E-2</v>
      </c>
      <c r="L1414" s="1">
        <f t="shared" si="200"/>
        <v>1</v>
      </c>
      <c r="M1414" s="1">
        <f t="shared" si="201"/>
        <v>194.2</v>
      </c>
      <c r="N1414" s="1">
        <f t="shared" si="202"/>
        <v>190.5</v>
      </c>
      <c r="O1414" s="1">
        <f t="shared" si="203"/>
        <v>189.91</v>
      </c>
      <c r="P1414" s="1">
        <f t="shared" si="204"/>
        <v>96.892857142857139</v>
      </c>
    </row>
    <row r="1415" spans="1:16">
      <c r="A1415" s="2">
        <v>41004</v>
      </c>
      <c r="B1415" s="1">
        <v>193.55</v>
      </c>
      <c r="C1415" s="1">
        <v>196.03</v>
      </c>
      <c r="D1415" s="1">
        <v>193.55</v>
      </c>
      <c r="E1415" s="1">
        <v>194.39</v>
      </c>
      <c r="F1415" s="1">
        <v>3217500</v>
      </c>
      <c r="G1415" s="1">
        <v>194.39</v>
      </c>
      <c r="H1415" s="1">
        <f t="shared" si="198"/>
        <v>2.4799999999999898</v>
      </c>
      <c r="I1415" s="9">
        <f t="shared" si="205"/>
        <v>1.2813226556445309E-2</v>
      </c>
      <c r="J1415" s="1">
        <f t="shared" si="206"/>
        <v>0.39999999999997726</v>
      </c>
      <c r="K1415" s="9">
        <f t="shared" si="199"/>
        <v>2.0619619568017799E-3</v>
      </c>
      <c r="L1415" s="1">
        <f t="shared" si="200"/>
        <v>1</v>
      </c>
      <c r="M1415" s="1">
        <f t="shared" si="201"/>
        <v>196.03</v>
      </c>
      <c r="N1415" s="1">
        <f t="shared" si="202"/>
        <v>193.55</v>
      </c>
      <c r="O1415" s="1">
        <f t="shared" si="203"/>
        <v>192.42999999999998</v>
      </c>
      <c r="P1415" s="1">
        <f t="shared" si="204"/>
        <v>98.178571428571416</v>
      </c>
    </row>
    <row r="1416" spans="1:16">
      <c r="A1416" s="2">
        <v>41003</v>
      </c>
      <c r="B1416" s="1">
        <v>196.95</v>
      </c>
      <c r="C1416" s="1">
        <v>197.68</v>
      </c>
      <c r="D1416" s="1">
        <v>192.36</v>
      </c>
      <c r="E1416" s="1">
        <v>193.99</v>
      </c>
      <c r="F1416" s="1">
        <v>5456900</v>
      </c>
      <c r="G1416" s="1">
        <v>193.99</v>
      </c>
      <c r="H1416" s="1">
        <f t="shared" si="198"/>
        <v>5.3199999999999932</v>
      </c>
      <c r="I1416" s="9">
        <f t="shared" si="205"/>
        <v>2.7656477438136789E-2</v>
      </c>
      <c r="J1416" s="1">
        <f t="shared" si="206"/>
        <v>-5.6699999999999875</v>
      </c>
      <c r="K1416" s="9">
        <f t="shared" si="199"/>
        <v>-2.8398277071020672E-2</v>
      </c>
      <c r="L1416" s="1">
        <f t="shared" si="200"/>
        <v>1</v>
      </c>
      <c r="M1416" s="1">
        <f t="shared" si="201"/>
        <v>197.68</v>
      </c>
      <c r="N1416" s="1">
        <f t="shared" si="202"/>
        <v>192.36</v>
      </c>
      <c r="O1416" s="1">
        <f t="shared" si="203"/>
        <v>192.03</v>
      </c>
      <c r="P1416" s="1">
        <f t="shared" si="204"/>
        <v>97.974489795918373</v>
      </c>
    </row>
    <row r="1417" spans="1:16">
      <c r="A1417" s="2">
        <v>41002</v>
      </c>
      <c r="B1417" s="1">
        <v>198.24</v>
      </c>
      <c r="C1417" s="1">
        <v>202.39</v>
      </c>
      <c r="D1417" s="1">
        <v>197.5</v>
      </c>
      <c r="E1417" s="1">
        <v>199.66</v>
      </c>
      <c r="F1417" s="1">
        <v>5000700</v>
      </c>
      <c r="G1417" s="1">
        <v>199.66</v>
      </c>
      <c r="H1417" s="1">
        <f t="shared" si="198"/>
        <v>4.8899999999999864</v>
      </c>
      <c r="I1417" s="9">
        <f t="shared" si="205"/>
        <v>2.4759493670886007E-2</v>
      </c>
      <c r="J1417" s="1">
        <f t="shared" si="206"/>
        <v>1.6099999999999852</v>
      </c>
      <c r="K1417" s="9">
        <f t="shared" si="199"/>
        <v>8.1292602878060352E-3</v>
      </c>
      <c r="L1417" s="1">
        <f t="shared" si="200"/>
        <v>1</v>
      </c>
      <c r="M1417" s="1">
        <f t="shared" si="201"/>
        <v>202.39</v>
      </c>
      <c r="N1417" s="1">
        <f t="shared" si="202"/>
        <v>197.5</v>
      </c>
      <c r="O1417" s="1">
        <f t="shared" si="203"/>
        <v>197.7</v>
      </c>
      <c r="P1417" s="1">
        <f t="shared" si="204"/>
        <v>100.86734693877551</v>
      </c>
    </row>
    <row r="1418" spans="1:16">
      <c r="A1418" s="2">
        <v>41001</v>
      </c>
      <c r="B1418" s="1">
        <v>198.02</v>
      </c>
      <c r="C1418" s="1">
        <v>199.9</v>
      </c>
      <c r="D1418" s="1">
        <v>197</v>
      </c>
      <c r="E1418" s="1">
        <v>198.05</v>
      </c>
      <c r="F1418" s="1">
        <v>6430300</v>
      </c>
      <c r="G1418" s="1">
        <v>198.05</v>
      </c>
      <c r="H1418" s="1">
        <f t="shared" si="198"/>
        <v>2.9000000000000057</v>
      </c>
      <c r="I1418" s="9">
        <f t="shared" si="205"/>
        <v>1.4720812182741145E-2</v>
      </c>
      <c r="J1418" s="1">
        <f t="shared" si="206"/>
        <v>-4.4599999999999795</v>
      </c>
      <c r="K1418" s="9">
        <f t="shared" si="199"/>
        <v>-2.2023603772653104E-2</v>
      </c>
      <c r="L1418" s="1">
        <f t="shared" si="200"/>
        <v>1</v>
      </c>
      <c r="M1418" s="1">
        <f t="shared" si="201"/>
        <v>199.9</v>
      </c>
      <c r="N1418" s="1">
        <f t="shared" si="202"/>
        <v>197</v>
      </c>
      <c r="O1418" s="1">
        <f t="shared" si="203"/>
        <v>196.09</v>
      </c>
      <c r="P1418" s="1">
        <f t="shared" si="204"/>
        <v>100.04591836734694</v>
      </c>
    </row>
    <row r="1419" spans="1:16">
      <c r="A1419" s="2">
        <v>40998</v>
      </c>
      <c r="B1419" s="1">
        <v>205.02</v>
      </c>
      <c r="C1419" s="1">
        <v>206.85</v>
      </c>
      <c r="D1419" s="1">
        <v>201.87</v>
      </c>
      <c r="E1419" s="1">
        <v>202.51</v>
      </c>
      <c r="F1419" s="1">
        <v>4438100</v>
      </c>
      <c r="G1419" s="1">
        <v>202.51</v>
      </c>
      <c r="H1419" s="1">
        <f t="shared" si="198"/>
        <v>4.9799999999999898</v>
      </c>
      <c r="I1419" s="9">
        <f t="shared" si="205"/>
        <v>2.4669341655520829E-2</v>
      </c>
      <c r="J1419" s="1">
        <f t="shared" si="206"/>
        <v>-2.1000000000000227</v>
      </c>
      <c r="K1419" s="9">
        <f t="shared" si="199"/>
        <v>-1.0263427984947083E-2</v>
      </c>
      <c r="L1419" s="1">
        <f t="shared" si="200"/>
        <v>1</v>
      </c>
      <c r="M1419" s="1">
        <f t="shared" si="201"/>
        <v>206.85</v>
      </c>
      <c r="N1419" s="1">
        <f t="shared" si="202"/>
        <v>201.87</v>
      </c>
      <c r="O1419" s="1">
        <f t="shared" si="203"/>
        <v>200.54999999999998</v>
      </c>
      <c r="P1419" s="1">
        <f t="shared" si="204"/>
        <v>102.32142857142857</v>
      </c>
    </row>
    <row r="1420" spans="1:16">
      <c r="A1420" s="2">
        <v>40997</v>
      </c>
      <c r="B1420" s="1">
        <v>201.28</v>
      </c>
      <c r="C1420" s="1">
        <v>205.31</v>
      </c>
      <c r="D1420" s="1">
        <v>200.63</v>
      </c>
      <c r="E1420" s="1">
        <v>204.61</v>
      </c>
      <c r="F1420" s="1">
        <v>5711200</v>
      </c>
      <c r="G1420" s="1">
        <v>204.61</v>
      </c>
      <c r="H1420" s="1">
        <f t="shared" si="198"/>
        <v>4.6800000000000068</v>
      </c>
      <c r="I1420" s="9">
        <f t="shared" si="205"/>
        <v>2.3326521457409197E-2</v>
      </c>
      <c r="J1420" s="1">
        <f t="shared" si="206"/>
        <v>3.4500000000000171</v>
      </c>
      <c r="K1420" s="9">
        <f t="shared" si="199"/>
        <v>1.7150526943726471E-2</v>
      </c>
      <c r="L1420" s="1">
        <f t="shared" si="200"/>
        <v>1</v>
      </c>
      <c r="M1420" s="1">
        <f t="shared" si="201"/>
        <v>205.31</v>
      </c>
      <c r="N1420" s="1">
        <f t="shared" si="202"/>
        <v>200.63</v>
      </c>
      <c r="O1420" s="1">
        <f t="shared" si="203"/>
        <v>202.65</v>
      </c>
      <c r="P1420" s="1">
        <f t="shared" si="204"/>
        <v>103.39285714285715</v>
      </c>
    </row>
    <row r="1421" spans="1:16">
      <c r="A1421" s="2">
        <v>40996</v>
      </c>
      <c r="B1421" s="1">
        <v>206.14</v>
      </c>
      <c r="C1421" s="1">
        <v>207</v>
      </c>
      <c r="D1421" s="1">
        <v>200.31</v>
      </c>
      <c r="E1421" s="1">
        <v>201.16</v>
      </c>
      <c r="F1421" s="1">
        <v>6245000</v>
      </c>
      <c r="G1421" s="1">
        <v>201.16</v>
      </c>
      <c r="H1421" s="1">
        <f t="shared" si="198"/>
        <v>6.6899999999999977</v>
      </c>
      <c r="I1421" s="9">
        <f t="shared" si="205"/>
        <v>3.3398232739254144E-2</v>
      </c>
      <c r="J1421" s="1">
        <f t="shared" si="206"/>
        <v>-4.2800000000000011</v>
      </c>
      <c r="K1421" s="9">
        <f t="shared" si="199"/>
        <v>-2.0833333333333339E-2</v>
      </c>
      <c r="L1421" s="1">
        <f t="shared" si="200"/>
        <v>1</v>
      </c>
      <c r="M1421" s="1">
        <f t="shared" si="201"/>
        <v>207</v>
      </c>
      <c r="N1421" s="1">
        <f t="shared" si="202"/>
        <v>200.31</v>
      </c>
      <c r="O1421" s="1">
        <f t="shared" si="203"/>
        <v>199.2</v>
      </c>
      <c r="P1421" s="1">
        <f t="shared" si="204"/>
        <v>101.63265306122449</v>
      </c>
    </row>
    <row r="1422" spans="1:16">
      <c r="A1422" s="2">
        <v>40995</v>
      </c>
      <c r="B1422" s="1">
        <v>203.59</v>
      </c>
      <c r="C1422" s="1">
        <v>209.85</v>
      </c>
      <c r="D1422" s="1">
        <v>202.88</v>
      </c>
      <c r="E1422" s="1">
        <v>205.44</v>
      </c>
      <c r="F1422" s="1">
        <v>9600800</v>
      </c>
      <c r="G1422" s="1">
        <v>205.44</v>
      </c>
      <c r="H1422" s="1">
        <f t="shared" si="198"/>
        <v>6.9699999999999989</v>
      </c>
      <c r="I1422" s="9">
        <f t="shared" si="205"/>
        <v>3.4355283911671919E-2</v>
      </c>
      <c r="J1422" s="1">
        <f t="shared" si="206"/>
        <v>2.5699999999999932</v>
      </c>
      <c r="K1422" s="9">
        <f t="shared" si="199"/>
        <v>1.2668211169714562E-2</v>
      </c>
      <c r="L1422" s="1">
        <f t="shared" si="200"/>
        <v>1</v>
      </c>
      <c r="M1422" s="1">
        <f t="shared" si="201"/>
        <v>209.85</v>
      </c>
      <c r="N1422" s="1">
        <f t="shared" si="202"/>
        <v>202.88</v>
      </c>
      <c r="O1422" s="1">
        <f t="shared" si="203"/>
        <v>203.48</v>
      </c>
      <c r="P1422" s="1">
        <f t="shared" si="204"/>
        <v>103.81632653061224</v>
      </c>
    </row>
    <row r="1423" spans="1:16">
      <c r="A1423" s="2">
        <v>40994</v>
      </c>
      <c r="B1423" s="1">
        <v>196.48</v>
      </c>
      <c r="C1423" s="1">
        <v>202.97</v>
      </c>
      <c r="D1423" s="1">
        <v>195.5</v>
      </c>
      <c r="E1423" s="1">
        <v>202.87</v>
      </c>
      <c r="F1423" s="1">
        <v>7613700</v>
      </c>
      <c r="G1423" s="1">
        <v>202.87</v>
      </c>
      <c r="H1423" s="1">
        <f t="shared" si="198"/>
        <v>7.4699999999999989</v>
      </c>
      <c r="I1423" s="9">
        <f t="shared" si="205"/>
        <v>3.820971867007672E-2</v>
      </c>
      <c r="J1423" s="1">
        <f t="shared" si="206"/>
        <v>7.8300000000000125</v>
      </c>
      <c r="K1423" s="9">
        <f t="shared" si="199"/>
        <v>4.014561115668587E-2</v>
      </c>
      <c r="L1423" s="1">
        <f t="shared" si="200"/>
        <v>1</v>
      </c>
      <c r="M1423" s="1">
        <f t="shared" si="201"/>
        <v>202.97</v>
      </c>
      <c r="N1423" s="1">
        <f t="shared" si="202"/>
        <v>195.5</v>
      </c>
      <c r="O1423" s="1">
        <f t="shared" si="203"/>
        <v>200.91</v>
      </c>
      <c r="P1423" s="1">
        <f t="shared" si="204"/>
        <v>102.50510204081633</v>
      </c>
    </row>
    <row r="1424" spans="1:16">
      <c r="A1424" s="2">
        <v>40991</v>
      </c>
      <c r="B1424" s="1">
        <v>192.01</v>
      </c>
      <c r="C1424" s="1">
        <v>196.2</v>
      </c>
      <c r="D1424" s="1">
        <v>191.8</v>
      </c>
      <c r="E1424" s="1">
        <v>195.04</v>
      </c>
      <c r="F1424" s="1">
        <v>5984000</v>
      </c>
      <c r="G1424" s="1">
        <v>195.04</v>
      </c>
      <c r="H1424" s="1">
        <f t="shared" si="198"/>
        <v>4.3999999999999773</v>
      </c>
      <c r="I1424" s="9">
        <f t="shared" si="205"/>
        <v>2.294056308654837E-2</v>
      </c>
      <c r="J1424" s="1">
        <f t="shared" si="206"/>
        <v>2.6399999999999864</v>
      </c>
      <c r="K1424" s="9">
        <f t="shared" si="199"/>
        <v>1.3721413721413649E-2</v>
      </c>
      <c r="L1424" s="1">
        <f t="shared" si="200"/>
        <v>1</v>
      </c>
      <c r="M1424" s="1">
        <f t="shared" si="201"/>
        <v>196.2</v>
      </c>
      <c r="N1424" s="1">
        <f t="shared" si="202"/>
        <v>191.8</v>
      </c>
      <c r="O1424" s="1">
        <f t="shared" si="203"/>
        <v>193.07999999999998</v>
      </c>
      <c r="P1424" s="1">
        <f t="shared" si="204"/>
        <v>98.510204081632651</v>
      </c>
    </row>
    <row r="1425" spans="1:16">
      <c r="A1425" s="2">
        <v>40990</v>
      </c>
      <c r="B1425" s="1">
        <v>190.54</v>
      </c>
      <c r="C1425" s="1">
        <v>194.06</v>
      </c>
      <c r="D1425" s="1">
        <v>190.26</v>
      </c>
      <c r="E1425" s="1">
        <v>192.4</v>
      </c>
      <c r="F1425" s="1">
        <v>3739600</v>
      </c>
      <c r="G1425" s="1">
        <v>192.4</v>
      </c>
      <c r="H1425" s="1">
        <f t="shared" si="198"/>
        <v>3.8000000000000114</v>
      </c>
      <c r="I1425" s="9">
        <f t="shared" si="205"/>
        <v>1.9972668979291557E-2</v>
      </c>
      <c r="J1425" s="1">
        <f t="shared" si="206"/>
        <v>0.67000000000001592</v>
      </c>
      <c r="K1425" s="9">
        <f t="shared" si="199"/>
        <v>3.4944974704011682E-3</v>
      </c>
      <c r="L1425" s="1">
        <f t="shared" si="200"/>
        <v>1</v>
      </c>
      <c r="M1425" s="1">
        <f t="shared" si="201"/>
        <v>194.06</v>
      </c>
      <c r="N1425" s="1">
        <f t="shared" si="202"/>
        <v>190.26</v>
      </c>
      <c r="O1425" s="1">
        <f t="shared" si="203"/>
        <v>190.44</v>
      </c>
      <c r="P1425" s="1">
        <f t="shared" si="204"/>
        <v>97.163265306122454</v>
      </c>
    </row>
    <row r="1426" spans="1:16">
      <c r="A1426" s="2">
        <v>40989</v>
      </c>
      <c r="B1426" s="1">
        <v>192.5</v>
      </c>
      <c r="C1426" s="1">
        <v>194.28</v>
      </c>
      <c r="D1426" s="1">
        <v>191.26</v>
      </c>
      <c r="E1426" s="1">
        <v>191.73</v>
      </c>
      <c r="F1426" s="1">
        <v>4214400</v>
      </c>
      <c r="G1426" s="1">
        <v>191.73</v>
      </c>
      <c r="H1426" s="1">
        <f t="shared" si="198"/>
        <v>3.0200000000000102</v>
      </c>
      <c r="I1426" s="9">
        <f t="shared" si="205"/>
        <v>1.5790024051030065E-2</v>
      </c>
      <c r="J1426" s="1">
        <f t="shared" si="206"/>
        <v>-0.60000000000002274</v>
      </c>
      <c r="K1426" s="9">
        <f t="shared" si="199"/>
        <v>-3.1196381219779686E-3</v>
      </c>
      <c r="L1426" s="1">
        <f t="shared" si="200"/>
        <v>1</v>
      </c>
      <c r="M1426" s="1">
        <f t="shared" si="201"/>
        <v>194.28</v>
      </c>
      <c r="N1426" s="1">
        <f t="shared" si="202"/>
        <v>191.26</v>
      </c>
      <c r="O1426" s="1">
        <f t="shared" si="203"/>
        <v>189.76999999999998</v>
      </c>
      <c r="P1426" s="1">
        <f t="shared" si="204"/>
        <v>96.821428571428569</v>
      </c>
    </row>
    <row r="1427" spans="1:16">
      <c r="A1427" s="2">
        <v>40988</v>
      </c>
      <c r="B1427" s="1">
        <v>184.88</v>
      </c>
      <c r="C1427" s="1">
        <v>194.41</v>
      </c>
      <c r="D1427" s="1">
        <v>182.88</v>
      </c>
      <c r="E1427" s="1">
        <v>192.33</v>
      </c>
      <c r="F1427" s="1">
        <v>9165400</v>
      </c>
      <c r="G1427" s="1">
        <v>192.33</v>
      </c>
      <c r="H1427" s="1">
        <f t="shared" si="198"/>
        <v>11.530000000000001</v>
      </c>
      <c r="I1427" s="9">
        <f t="shared" si="205"/>
        <v>6.3046806649168868E-2</v>
      </c>
      <c r="J1427" s="1">
        <f t="shared" si="206"/>
        <v>6.8100000000000023</v>
      </c>
      <c r="K1427" s="9">
        <f t="shared" si="199"/>
        <v>3.6707632600258742E-2</v>
      </c>
      <c r="L1427" s="1">
        <f t="shared" si="200"/>
        <v>1</v>
      </c>
      <c r="M1427" s="1">
        <f t="shared" si="201"/>
        <v>194.41</v>
      </c>
      <c r="N1427" s="1">
        <f t="shared" si="202"/>
        <v>182.88</v>
      </c>
      <c r="O1427" s="1">
        <f t="shared" si="203"/>
        <v>190.37</v>
      </c>
      <c r="P1427" s="1">
        <f t="shared" si="204"/>
        <v>97.127551020408163</v>
      </c>
    </row>
    <row r="1428" spans="1:16">
      <c r="A1428" s="2">
        <v>40987</v>
      </c>
      <c r="B1428" s="1">
        <v>183.45</v>
      </c>
      <c r="C1428" s="1">
        <v>186.68</v>
      </c>
      <c r="D1428" s="1">
        <v>183</v>
      </c>
      <c r="E1428" s="1">
        <v>185.52</v>
      </c>
      <c r="F1428" s="1">
        <v>3903400</v>
      </c>
      <c r="G1428" s="1">
        <v>185.52</v>
      </c>
      <c r="H1428" s="1">
        <f t="shared" si="198"/>
        <v>3.6800000000000068</v>
      </c>
      <c r="I1428" s="9">
        <f t="shared" si="205"/>
        <v>2.0109289617486377E-2</v>
      </c>
      <c r="J1428" s="1">
        <f t="shared" si="206"/>
        <v>0.46999999999999886</v>
      </c>
      <c r="K1428" s="9">
        <f t="shared" si="199"/>
        <v>2.53985409348824E-3</v>
      </c>
      <c r="L1428" s="1">
        <f t="shared" si="200"/>
        <v>1</v>
      </c>
      <c r="M1428" s="1">
        <f t="shared" si="201"/>
        <v>186.68</v>
      </c>
      <c r="N1428" s="1">
        <f t="shared" si="202"/>
        <v>183</v>
      </c>
      <c r="O1428" s="1">
        <f t="shared" si="203"/>
        <v>183.56</v>
      </c>
      <c r="P1428" s="1">
        <f t="shared" si="204"/>
        <v>93.653061224489804</v>
      </c>
    </row>
    <row r="1429" spans="1:16">
      <c r="A1429" s="2">
        <v>40984</v>
      </c>
      <c r="B1429" s="1">
        <v>183.28</v>
      </c>
      <c r="C1429" s="1">
        <v>185.68</v>
      </c>
      <c r="D1429" s="1">
        <v>182.35</v>
      </c>
      <c r="E1429" s="1">
        <v>185.05</v>
      </c>
      <c r="F1429" s="1">
        <v>4934000</v>
      </c>
      <c r="G1429" s="1">
        <v>185.05</v>
      </c>
      <c r="H1429" s="1">
        <f t="shared" si="198"/>
        <v>3.3300000000000125</v>
      </c>
      <c r="I1429" s="9">
        <f t="shared" si="205"/>
        <v>1.8261584864272075E-2</v>
      </c>
      <c r="J1429" s="1">
        <f t="shared" si="206"/>
        <v>0.62000000000000455</v>
      </c>
      <c r="K1429" s="9">
        <f t="shared" si="199"/>
        <v>3.3617090495039015E-3</v>
      </c>
      <c r="L1429" s="1">
        <f t="shared" si="200"/>
        <v>1</v>
      </c>
      <c r="M1429" s="1">
        <f t="shared" si="201"/>
        <v>185.68</v>
      </c>
      <c r="N1429" s="1">
        <f t="shared" si="202"/>
        <v>182.35</v>
      </c>
      <c r="O1429" s="1">
        <f t="shared" si="203"/>
        <v>183.09</v>
      </c>
      <c r="P1429" s="1">
        <f t="shared" si="204"/>
        <v>93.413265306122454</v>
      </c>
    </row>
    <row r="1430" spans="1:16">
      <c r="A1430" s="2">
        <v>40983</v>
      </c>
      <c r="B1430" s="1">
        <v>182.02</v>
      </c>
      <c r="C1430" s="1">
        <v>184.43</v>
      </c>
      <c r="D1430" s="1">
        <v>180.3</v>
      </c>
      <c r="E1430" s="1">
        <v>184.43</v>
      </c>
      <c r="F1430" s="1">
        <v>4160100</v>
      </c>
      <c r="G1430" s="1">
        <v>184.43</v>
      </c>
      <c r="H1430" s="1">
        <f t="shared" si="198"/>
        <v>4.1299999999999955</v>
      </c>
      <c r="I1430" s="9">
        <f t="shared" si="205"/>
        <v>2.2906267332224044E-2</v>
      </c>
      <c r="J1430" s="1">
        <f t="shared" si="206"/>
        <v>2.1700000000000159</v>
      </c>
      <c r="K1430" s="9">
        <f t="shared" si="199"/>
        <v>1.1906068254142522E-2</v>
      </c>
      <c r="L1430" s="1">
        <f t="shared" si="200"/>
        <v>1</v>
      </c>
      <c r="M1430" s="1">
        <f t="shared" si="201"/>
        <v>184.43</v>
      </c>
      <c r="N1430" s="1">
        <f t="shared" si="202"/>
        <v>180.3</v>
      </c>
      <c r="O1430" s="1">
        <f t="shared" si="203"/>
        <v>182.47</v>
      </c>
      <c r="P1430" s="1">
        <f t="shared" si="204"/>
        <v>93.09693877551021</v>
      </c>
    </row>
    <row r="1431" spans="1:16">
      <c r="A1431" s="2">
        <v>40982</v>
      </c>
      <c r="B1431" s="1">
        <v>183.65</v>
      </c>
      <c r="C1431" s="1">
        <v>184.32</v>
      </c>
      <c r="D1431" s="1">
        <v>181.14</v>
      </c>
      <c r="E1431" s="1">
        <v>182.26</v>
      </c>
      <c r="F1431" s="1">
        <v>3699700</v>
      </c>
      <c r="G1431" s="1">
        <v>182.26</v>
      </c>
      <c r="H1431" s="1">
        <f t="shared" si="198"/>
        <v>3.1800000000000068</v>
      </c>
      <c r="I1431" s="9">
        <f t="shared" si="205"/>
        <v>1.755548194766483E-2</v>
      </c>
      <c r="J1431" s="1">
        <f t="shared" si="206"/>
        <v>-2.3300000000000125</v>
      </c>
      <c r="K1431" s="9">
        <f t="shared" si="199"/>
        <v>-1.2622568936562177E-2</v>
      </c>
      <c r="L1431" s="1">
        <f t="shared" si="200"/>
        <v>1</v>
      </c>
      <c r="M1431" s="1">
        <f t="shared" si="201"/>
        <v>184.32</v>
      </c>
      <c r="N1431" s="1">
        <f t="shared" si="202"/>
        <v>181.14</v>
      </c>
      <c r="O1431" s="1">
        <f t="shared" si="203"/>
        <v>180.29999999999998</v>
      </c>
      <c r="P1431" s="1">
        <f t="shared" si="204"/>
        <v>91.989795918367335</v>
      </c>
    </row>
    <row r="1432" spans="1:16">
      <c r="A1432" s="2">
        <v>40981</v>
      </c>
      <c r="B1432" s="1">
        <v>183.92</v>
      </c>
      <c r="C1432" s="1">
        <v>184.87</v>
      </c>
      <c r="D1432" s="1">
        <v>180.77</v>
      </c>
      <c r="E1432" s="1">
        <v>184.59</v>
      </c>
      <c r="F1432" s="1">
        <v>4405800</v>
      </c>
      <c r="G1432" s="1">
        <v>184.59</v>
      </c>
      <c r="H1432" s="1">
        <f t="shared" si="198"/>
        <v>4.0999999999999943</v>
      </c>
      <c r="I1432" s="9">
        <f t="shared" si="205"/>
        <v>2.2680754549980607E-2</v>
      </c>
      <c r="J1432" s="1">
        <f t="shared" si="206"/>
        <v>1.2000000000000171</v>
      </c>
      <c r="K1432" s="9">
        <f t="shared" si="199"/>
        <v>6.543432030099881E-3</v>
      </c>
      <c r="L1432" s="1">
        <f t="shared" si="200"/>
        <v>1</v>
      </c>
      <c r="M1432" s="1">
        <f t="shared" si="201"/>
        <v>184.87</v>
      </c>
      <c r="N1432" s="1">
        <f t="shared" si="202"/>
        <v>180.77</v>
      </c>
      <c r="O1432" s="1">
        <f t="shared" si="203"/>
        <v>182.63</v>
      </c>
      <c r="P1432" s="1">
        <f t="shared" si="204"/>
        <v>93.178571428571431</v>
      </c>
    </row>
    <row r="1433" spans="1:16">
      <c r="A1433" s="2">
        <v>40980</v>
      </c>
      <c r="B1433" s="1">
        <v>184.13</v>
      </c>
      <c r="C1433" s="1">
        <v>185.4</v>
      </c>
      <c r="D1433" s="1">
        <v>182.2</v>
      </c>
      <c r="E1433" s="1">
        <v>183.39</v>
      </c>
      <c r="F1433" s="1">
        <v>2587600</v>
      </c>
      <c r="G1433" s="1">
        <v>183.39</v>
      </c>
      <c r="H1433" s="1">
        <f t="shared" si="198"/>
        <v>3.2000000000000171</v>
      </c>
      <c r="I1433" s="9">
        <f t="shared" si="205"/>
        <v>1.7563117453348064E-2</v>
      </c>
      <c r="J1433" s="1">
        <f t="shared" si="206"/>
        <v>-0.93000000000000682</v>
      </c>
      <c r="K1433" s="9">
        <f t="shared" si="199"/>
        <v>-5.0455729166667043E-3</v>
      </c>
      <c r="L1433" s="1">
        <f t="shared" si="200"/>
        <v>1</v>
      </c>
      <c r="M1433" s="1">
        <f t="shared" si="201"/>
        <v>185.4</v>
      </c>
      <c r="N1433" s="1">
        <f t="shared" si="202"/>
        <v>182.2</v>
      </c>
      <c r="O1433" s="1">
        <f t="shared" si="203"/>
        <v>181.42999999999998</v>
      </c>
      <c r="P1433" s="1">
        <f t="shared" si="204"/>
        <v>92.56632653061223</v>
      </c>
    </row>
    <row r="1434" spans="1:16">
      <c r="A1434" s="2">
        <v>40977</v>
      </c>
      <c r="B1434" s="1">
        <v>186.79</v>
      </c>
      <c r="C1434" s="1">
        <v>187.2</v>
      </c>
      <c r="D1434" s="1">
        <v>183.44</v>
      </c>
      <c r="E1434" s="1">
        <v>184.32</v>
      </c>
      <c r="F1434" s="1">
        <v>4510600</v>
      </c>
      <c r="G1434" s="1">
        <v>184.32</v>
      </c>
      <c r="H1434" s="1">
        <f t="shared" si="198"/>
        <v>3.7599999999999909</v>
      </c>
      <c r="I1434" s="9">
        <f t="shared" si="205"/>
        <v>2.0497165285651934E-2</v>
      </c>
      <c r="J1434" s="1">
        <f t="shared" si="206"/>
        <v>-3.3199999999999932</v>
      </c>
      <c r="K1434" s="9">
        <f t="shared" si="199"/>
        <v>-1.769345555318692E-2</v>
      </c>
      <c r="L1434" s="1">
        <f t="shared" si="200"/>
        <v>1</v>
      </c>
      <c r="M1434" s="1">
        <f t="shared" si="201"/>
        <v>187.2</v>
      </c>
      <c r="N1434" s="1">
        <f t="shared" si="202"/>
        <v>183.44</v>
      </c>
      <c r="O1434" s="1">
        <f t="shared" si="203"/>
        <v>182.35999999999999</v>
      </c>
      <c r="P1434" s="1">
        <f t="shared" si="204"/>
        <v>93.040816326530603</v>
      </c>
    </row>
    <row r="1435" spans="1:16">
      <c r="A1435" s="2">
        <v>40976</v>
      </c>
      <c r="B1435" s="1">
        <v>184.17</v>
      </c>
      <c r="C1435" s="1">
        <v>188.38</v>
      </c>
      <c r="D1435" s="1">
        <v>183.8</v>
      </c>
      <c r="E1435" s="1">
        <v>187.64</v>
      </c>
      <c r="F1435" s="1">
        <v>4221500</v>
      </c>
      <c r="G1435" s="1">
        <v>187.64</v>
      </c>
      <c r="H1435" s="1">
        <f t="shared" si="198"/>
        <v>4.5799999999999841</v>
      </c>
      <c r="I1435" s="9">
        <f t="shared" si="205"/>
        <v>2.4918389553862805E-2</v>
      </c>
      <c r="J1435" s="1">
        <f t="shared" si="206"/>
        <v>3.8699999999999761</v>
      </c>
      <c r="K1435" s="9">
        <f t="shared" si="199"/>
        <v>2.1058932361103424E-2</v>
      </c>
      <c r="L1435" s="1">
        <f t="shared" si="200"/>
        <v>1</v>
      </c>
      <c r="M1435" s="1">
        <f t="shared" si="201"/>
        <v>188.38</v>
      </c>
      <c r="N1435" s="1">
        <f t="shared" si="202"/>
        <v>183.8</v>
      </c>
      <c r="O1435" s="1">
        <f t="shared" si="203"/>
        <v>185.67999999999998</v>
      </c>
      <c r="P1435" s="1">
        <f t="shared" si="204"/>
        <v>94.73469387755101</v>
      </c>
    </row>
    <row r="1436" spans="1:16">
      <c r="A1436" s="2">
        <v>40975</v>
      </c>
      <c r="B1436" s="1">
        <v>182.65</v>
      </c>
      <c r="C1436" s="1">
        <v>185.5</v>
      </c>
      <c r="D1436" s="1">
        <v>182.4</v>
      </c>
      <c r="E1436" s="1">
        <v>183.77</v>
      </c>
      <c r="F1436" s="1">
        <v>4951500</v>
      </c>
      <c r="G1436" s="1">
        <v>183.77</v>
      </c>
      <c r="H1436" s="1">
        <f t="shared" si="198"/>
        <v>3.0999999999999943</v>
      </c>
      <c r="I1436" s="9">
        <f t="shared" si="205"/>
        <v>1.6995614035087689E-2</v>
      </c>
      <c r="J1436" s="1">
        <f t="shared" si="206"/>
        <v>2.6800000000000068</v>
      </c>
      <c r="K1436" s="9">
        <f t="shared" si="199"/>
        <v>1.4799271080678153E-2</v>
      </c>
      <c r="L1436" s="1">
        <f t="shared" si="200"/>
        <v>1</v>
      </c>
      <c r="M1436" s="1">
        <f t="shared" si="201"/>
        <v>185.5</v>
      </c>
      <c r="N1436" s="1">
        <f t="shared" si="202"/>
        <v>182.4</v>
      </c>
      <c r="O1436" s="1">
        <f t="shared" si="203"/>
        <v>181.81</v>
      </c>
      <c r="P1436" s="1">
        <f t="shared" si="204"/>
        <v>92.760204081632651</v>
      </c>
    </row>
    <row r="1437" spans="1:16">
      <c r="A1437" s="2">
        <v>40974</v>
      </c>
      <c r="B1437" s="1">
        <v>178.68</v>
      </c>
      <c r="C1437" s="1">
        <v>183.5</v>
      </c>
      <c r="D1437" s="1">
        <v>178.04</v>
      </c>
      <c r="E1437" s="1">
        <v>181.09</v>
      </c>
      <c r="F1437" s="1">
        <v>5612200</v>
      </c>
      <c r="G1437" s="1">
        <v>181.09</v>
      </c>
      <c r="H1437" s="1">
        <f t="shared" si="198"/>
        <v>5.460000000000008</v>
      </c>
      <c r="I1437" s="9">
        <f t="shared" si="205"/>
        <v>3.0667265782970164E-2</v>
      </c>
      <c r="J1437" s="1">
        <f t="shared" si="206"/>
        <v>0.83000000000001251</v>
      </c>
      <c r="K1437" s="9">
        <f t="shared" si="199"/>
        <v>4.6044602241207839E-3</v>
      </c>
      <c r="L1437" s="1">
        <f t="shared" si="200"/>
        <v>1</v>
      </c>
      <c r="M1437" s="1">
        <f t="shared" si="201"/>
        <v>183.5</v>
      </c>
      <c r="N1437" s="1">
        <f t="shared" si="202"/>
        <v>178.04</v>
      </c>
      <c r="O1437" s="1">
        <f t="shared" si="203"/>
        <v>179.13</v>
      </c>
      <c r="P1437" s="1">
        <f t="shared" si="204"/>
        <v>91.392857142857139</v>
      </c>
    </row>
    <row r="1438" spans="1:16">
      <c r="A1438" s="2">
        <v>40973</v>
      </c>
      <c r="B1438" s="1">
        <v>179</v>
      </c>
      <c r="C1438" s="1">
        <v>181.82</v>
      </c>
      <c r="D1438" s="1">
        <v>178.18</v>
      </c>
      <c r="E1438" s="1">
        <v>180.26</v>
      </c>
      <c r="F1438" s="1">
        <v>4682700</v>
      </c>
      <c r="G1438" s="1">
        <v>180.26</v>
      </c>
      <c r="H1438" s="1">
        <f t="shared" si="198"/>
        <v>3.6399999999999864</v>
      </c>
      <c r="I1438" s="9">
        <f t="shared" si="205"/>
        <v>2.0428779885508959E-2</v>
      </c>
      <c r="J1438" s="1">
        <f t="shared" si="206"/>
        <v>0.95999999999997954</v>
      </c>
      <c r="K1438" s="9">
        <f t="shared" si="199"/>
        <v>5.354155047406467E-3</v>
      </c>
      <c r="L1438" s="1">
        <f t="shared" si="200"/>
        <v>1</v>
      </c>
      <c r="M1438" s="1">
        <f t="shared" si="201"/>
        <v>181.82</v>
      </c>
      <c r="N1438" s="1">
        <f t="shared" si="202"/>
        <v>178.18</v>
      </c>
      <c r="O1438" s="1">
        <f t="shared" si="203"/>
        <v>178.29999999999998</v>
      </c>
      <c r="P1438" s="1">
        <f t="shared" si="204"/>
        <v>90.969387755102034</v>
      </c>
    </row>
    <row r="1439" spans="1:16">
      <c r="A1439" s="2">
        <v>40970</v>
      </c>
      <c r="B1439" s="1">
        <v>179.48</v>
      </c>
      <c r="C1439" s="1">
        <v>181.84</v>
      </c>
      <c r="D1439" s="1">
        <v>178.92</v>
      </c>
      <c r="E1439" s="1">
        <v>179.3</v>
      </c>
      <c r="F1439" s="1">
        <v>3657800</v>
      </c>
      <c r="G1439" s="1">
        <v>179.3</v>
      </c>
      <c r="H1439" s="1">
        <f t="shared" si="198"/>
        <v>2.9200000000000159</v>
      </c>
      <c r="I1439" s="9">
        <f t="shared" si="205"/>
        <v>1.6320143080706551E-2</v>
      </c>
      <c r="J1439" s="1">
        <f t="shared" si="206"/>
        <v>-0.73999999999998067</v>
      </c>
      <c r="K1439" s="9">
        <f t="shared" si="199"/>
        <v>-4.110197733836818E-3</v>
      </c>
      <c r="L1439" s="1">
        <f t="shared" si="200"/>
        <v>1</v>
      </c>
      <c r="M1439" s="1">
        <f t="shared" si="201"/>
        <v>181.84</v>
      </c>
      <c r="N1439" s="1">
        <f t="shared" si="202"/>
        <v>178.92</v>
      </c>
      <c r="O1439" s="1">
        <f t="shared" si="203"/>
        <v>177.34</v>
      </c>
      <c r="P1439" s="1">
        <f t="shared" si="204"/>
        <v>90.479591836734699</v>
      </c>
    </row>
    <row r="1440" spans="1:16">
      <c r="A1440" s="2">
        <v>40969</v>
      </c>
      <c r="B1440" s="1">
        <v>179.89</v>
      </c>
      <c r="C1440" s="1">
        <v>180.49</v>
      </c>
      <c r="D1440" s="1">
        <v>176.58</v>
      </c>
      <c r="E1440" s="1">
        <v>180.04</v>
      </c>
      <c r="F1440" s="1">
        <v>4936000</v>
      </c>
      <c r="G1440" s="1">
        <v>180.04</v>
      </c>
      <c r="H1440" s="1">
        <f t="shared" si="198"/>
        <v>3.9099999999999966</v>
      </c>
      <c r="I1440" s="9">
        <f t="shared" si="205"/>
        <v>2.2142938045078699E-2</v>
      </c>
      <c r="J1440" s="1">
        <f t="shared" si="206"/>
        <v>0.34999999999999432</v>
      </c>
      <c r="K1440" s="9">
        <f t="shared" si="199"/>
        <v>1.947798987144495E-3</v>
      </c>
      <c r="L1440" s="1">
        <f t="shared" si="200"/>
        <v>1</v>
      </c>
      <c r="M1440" s="1">
        <f t="shared" si="201"/>
        <v>180.49</v>
      </c>
      <c r="N1440" s="1">
        <f t="shared" si="202"/>
        <v>176.58</v>
      </c>
      <c r="O1440" s="1">
        <f t="shared" si="203"/>
        <v>178.07999999999998</v>
      </c>
      <c r="P1440" s="1">
        <f t="shared" si="204"/>
        <v>90.857142857142847</v>
      </c>
    </row>
    <row r="1441" spans="1:16">
      <c r="A1441" s="2">
        <v>40968</v>
      </c>
      <c r="B1441" s="1">
        <v>183.89</v>
      </c>
      <c r="C1441" s="1">
        <v>184</v>
      </c>
      <c r="D1441" s="1">
        <v>179.01</v>
      </c>
      <c r="E1441" s="1">
        <v>179.69</v>
      </c>
      <c r="F1441" s="1">
        <v>5300300</v>
      </c>
      <c r="G1441" s="1">
        <v>179.69</v>
      </c>
      <c r="H1441" s="1">
        <f t="shared" si="198"/>
        <v>4.9900000000000091</v>
      </c>
      <c r="I1441" s="9">
        <f t="shared" si="205"/>
        <v>2.78755376794593E-2</v>
      </c>
      <c r="J1441" s="1">
        <f t="shared" si="206"/>
        <v>-4.1100000000000136</v>
      </c>
      <c r="K1441" s="9">
        <f t="shared" si="199"/>
        <v>-2.2361262241566992E-2</v>
      </c>
      <c r="L1441" s="1">
        <f t="shared" si="200"/>
        <v>1</v>
      </c>
      <c r="M1441" s="1">
        <f t="shared" si="201"/>
        <v>184</v>
      </c>
      <c r="N1441" s="1">
        <f t="shared" si="202"/>
        <v>179.01</v>
      </c>
      <c r="O1441" s="1">
        <f t="shared" si="203"/>
        <v>177.73</v>
      </c>
      <c r="P1441" s="1">
        <f t="shared" si="204"/>
        <v>90.678571428571431</v>
      </c>
    </row>
    <row r="1442" spans="1:16">
      <c r="A1442" s="2">
        <v>40967</v>
      </c>
      <c r="B1442" s="1">
        <v>178.9</v>
      </c>
      <c r="C1442" s="1">
        <v>184.29</v>
      </c>
      <c r="D1442" s="1">
        <v>177.95</v>
      </c>
      <c r="E1442" s="1">
        <v>183.8</v>
      </c>
      <c r="F1442" s="1">
        <v>5764500</v>
      </c>
      <c r="G1442" s="1">
        <v>183.8</v>
      </c>
      <c r="H1442" s="1">
        <f t="shared" si="198"/>
        <v>6.3400000000000034</v>
      </c>
      <c r="I1442" s="9">
        <f t="shared" si="205"/>
        <v>3.5627985389154279E-2</v>
      </c>
      <c r="J1442" s="1">
        <f t="shared" si="206"/>
        <v>5.2700000000000102</v>
      </c>
      <c r="K1442" s="9">
        <f t="shared" si="199"/>
        <v>2.9518848372822551E-2</v>
      </c>
      <c r="L1442" s="1">
        <f t="shared" si="200"/>
        <v>1</v>
      </c>
      <c r="M1442" s="1">
        <f t="shared" si="201"/>
        <v>184.29</v>
      </c>
      <c r="N1442" s="1">
        <f t="shared" si="202"/>
        <v>177.95</v>
      </c>
      <c r="O1442" s="1">
        <f t="shared" si="203"/>
        <v>181.84</v>
      </c>
      <c r="P1442" s="1">
        <f t="shared" si="204"/>
        <v>92.775510204081641</v>
      </c>
    </row>
    <row r="1443" spans="1:16">
      <c r="A1443" s="2">
        <v>40966</v>
      </c>
      <c r="B1443" s="1">
        <v>177.54</v>
      </c>
      <c r="C1443" s="1">
        <v>179.19</v>
      </c>
      <c r="D1443" s="1">
        <v>176.5</v>
      </c>
      <c r="E1443" s="1">
        <v>178.53</v>
      </c>
      <c r="F1443" s="1">
        <v>3706200</v>
      </c>
      <c r="G1443" s="1">
        <v>178.53</v>
      </c>
      <c r="H1443" s="1">
        <f t="shared" si="198"/>
        <v>2.6899999999999977</v>
      </c>
      <c r="I1443" s="9">
        <f t="shared" si="205"/>
        <v>1.5240793201133132E-2</v>
      </c>
      <c r="J1443" s="1">
        <f t="shared" si="206"/>
        <v>-0.59999999999999432</v>
      </c>
      <c r="K1443" s="9">
        <f t="shared" si="199"/>
        <v>-3.3495226930162136E-3</v>
      </c>
      <c r="L1443" s="1">
        <f t="shared" si="200"/>
        <v>1</v>
      </c>
      <c r="M1443" s="1">
        <f t="shared" si="201"/>
        <v>179.19</v>
      </c>
      <c r="N1443" s="1">
        <f t="shared" si="202"/>
        <v>176.5</v>
      </c>
      <c r="O1443" s="1">
        <f t="shared" si="203"/>
        <v>176.57</v>
      </c>
      <c r="P1443" s="1">
        <f t="shared" si="204"/>
        <v>90.086734693877546</v>
      </c>
    </row>
    <row r="1444" spans="1:16">
      <c r="A1444" s="2">
        <v>40963</v>
      </c>
      <c r="B1444" s="1">
        <v>179.7</v>
      </c>
      <c r="C1444" s="1">
        <v>180.74</v>
      </c>
      <c r="D1444" s="1">
        <v>178.37</v>
      </c>
      <c r="E1444" s="1">
        <v>179.13</v>
      </c>
      <c r="F1444" s="1">
        <v>3668700</v>
      </c>
      <c r="G1444" s="1">
        <v>179.13</v>
      </c>
      <c r="H1444" s="1">
        <f t="shared" si="198"/>
        <v>2.3700000000000045</v>
      </c>
      <c r="I1444" s="9">
        <f t="shared" si="205"/>
        <v>1.328698772215061E-2</v>
      </c>
      <c r="J1444" s="1">
        <f t="shared" si="206"/>
        <v>0.24000000000000909</v>
      </c>
      <c r="K1444" s="9">
        <f t="shared" si="199"/>
        <v>1.3416065738722628E-3</v>
      </c>
      <c r="L1444" s="1">
        <f t="shared" si="200"/>
        <v>1</v>
      </c>
      <c r="M1444" s="1">
        <f t="shared" si="201"/>
        <v>180.74</v>
      </c>
      <c r="N1444" s="1">
        <f t="shared" si="202"/>
        <v>178.37</v>
      </c>
      <c r="O1444" s="1">
        <f t="shared" si="203"/>
        <v>177.17</v>
      </c>
      <c r="P1444" s="1">
        <f t="shared" si="204"/>
        <v>90.392857142857139</v>
      </c>
    </row>
    <row r="1445" spans="1:16">
      <c r="A1445" s="2">
        <v>40962</v>
      </c>
      <c r="B1445" s="1">
        <v>179.64</v>
      </c>
      <c r="C1445" s="1">
        <v>180.75</v>
      </c>
      <c r="D1445" s="1">
        <v>176.96</v>
      </c>
      <c r="E1445" s="1">
        <v>178.89</v>
      </c>
      <c r="F1445" s="1">
        <v>5153800</v>
      </c>
      <c r="G1445" s="1">
        <v>178.89</v>
      </c>
      <c r="H1445" s="1">
        <f t="shared" si="198"/>
        <v>3.789999999999992</v>
      </c>
      <c r="I1445" s="9">
        <f t="shared" si="205"/>
        <v>2.1417269439421294E-2</v>
      </c>
      <c r="J1445" s="1">
        <f t="shared" si="206"/>
        <v>-1.6900000000000261</v>
      </c>
      <c r="K1445" s="9">
        <f t="shared" si="199"/>
        <v>-9.3587329715363061E-3</v>
      </c>
      <c r="L1445" s="1">
        <f t="shared" si="200"/>
        <v>1</v>
      </c>
      <c r="M1445" s="1">
        <f t="shared" si="201"/>
        <v>180.75</v>
      </c>
      <c r="N1445" s="1">
        <f t="shared" si="202"/>
        <v>176.96</v>
      </c>
      <c r="O1445" s="1">
        <f t="shared" si="203"/>
        <v>176.92999999999998</v>
      </c>
      <c r="P1445" s="1">
        <f t="shared" si="204"/>
        <v>90.270408163265301</v>
      </c>
    </row>
    <row r="1446" spans="1:16">
      <c r="A1446" s="2">
        <v>40961</v>
      </c>
      <c r="B1446" s="1">
        <v>181.95</v>
      </c>
      <c r="C1446" s="1">
        <v>182.99</v>
      </c>
      <c r="D1446" s="1">
        <v>180.29</v>
      </c>
      <c r="E1446" s="1">
        <v>180.58</v>
      </c>
      <c r="F1446" s="1">
        <v>5785400</v>
      </c>
      <c r="G1446" s="1">
        <v>180.58</v>
      </c>
      <c r="H1446" s="1">
        <f t="shared" si="198"/>
        <v>2.7000000000000171</v>
      </c>
      <c r="I1446" s="9">
        <f t="shared" si="205"/>
        <v>1.4975872205890604E-2</v>
      </c>
      <c r="J1446" s="1">
        <f t="shared" si="206"/>
        <v>-1.6799999999999784</v>
      </c>
      <c r="K1446" s="9">
        <f t="shared" si="199"/>
        <v>-9.2176012290133783E-3</v>
      </c>
      <c r="L1446" s="1">
        <f t="shared" si="200"/>
        <v>1</v>
      </c>
      <c r="M1446" s="1">
        <f t="shared" si="201"/>
        <v>182.99</v>
      </c>
      <c r="N1446" s="1">
        <f t="shared" si="202"/>
        <v>180.29</v>
      </c>
      <c r="O1446" s="1">
        <f t="shared" si="203"/>
        <v>178.62</v>
      </c>
      <c r="P1446" s="1">
        <f t="shared" si="204"/>
        <v>91.132653061224488</v>
      </c>
    </row>
    <row r="1447" spans="1:16">
      <c r="A1447" s="2">
        <v>40960</v>
      </c>
      <c r="B1447" s="1">
        <v>182.65</v>
      </c>
      <c r="C1447" s="1">
        <v>184.75</v>
      </c>
      <c r="D1447" s="1">
        <v>180.58</v>
      </c>
      <c r="E1447" s="1">
        <v>182.26</v>
      </c>
      <c r="F1447" s="1">
        <v>6756500</v>
      </c>
      <c r="G1447" s="1">
        <v>182.26</v>
      </c>
      <c r="H1447" s="1">
        <f t="shared" si="198"/>
        <v>4.1699999999999875</v>
      </c>
      <c r="I1447" s="9">
        <f t="shared" si="205"/>
        <v>2.3092258278879098E-2</v>
      </c>
      <c r="J1447" s="1">
        <f t="shared" si="206"/>
        <v>-0.24000000000000909</v>
      </c>
      <c r="K1447" s="9">
        <f t="shared" si="199"/>
        <v>-1.3150684931507348E-3</v>
      </c>
      <c r="L1447" s="1">
        <f t="shared" si="200"/>
        <v>1</v>
      </c>
      <c r="M1447" s="1">
        <f t="shared" si="201"/>
        <v>184.75</v>
      </c>
      <c r="N1447" s="1">
        <f t="shared" si="202"/>
        <v>180.58</v>
      </c>
      <c r="O1447" s="1">
        <f t="shared" si="203"/>
        <v>180.29999999999998</v>
      </c>
      <c r="P1447" s="1">
        <f t="shared" si="204"/>
        <v>91.989795918367335</v>
      </c>
    </row>
    <row r="1448" spans="1:16">
      <c r="A1448" s="2">
        <v>40956</v>
      </c>
      <c r="B1448" s="1">
        <v>180.09</v>
      </c>
      <c r="C1448" s="1">
        <v>183.41</v>
      </c>
      <c r="D1448" s="1">
        <v>179.36</v>
      </c>
      <c r="E1448" s="1">
        <v>182.5</v>
      </c>
      <c r="F1448" s="1">
        <v>7418100</v>
      </c>
      <c r="G1448" s="1">
        <v>182.5</v>
      </c>
      <c r="H1448" s="1">
        <f t="shared" si="198"/>
        <v>4.0499999999999829</v>
      </c>
      <c r="I1448" s="9">
        <f t="shared" si="205"/>
        <v>2.2580285459411143E-2</v>
      </c>
      <c r="J1448" s="1">
        <f t="shared" si="206"/>
        <v>2.5699999999999932</v>
      </c>
      <c r="K1448" s="9">
        <f t="shared" si="199"/>
        <v>1.4283332407047147E-2</v>
      </c>
      <c r="L1448" s="1">
        <f t="shared" si="200"/>
        <v>1</v>
      </c>
      <c r="M1448" s="1">
        <f t="shared" si="201"/>
        <v>183.41</v>
      </c>
      <c r="N1448" s="1">
        <f t="shared" si="202"/>
        <v>179.36</v>
      </c>
      <c r="O1448" s="1">
        <f t="shared" si="203"/>
        <v>180.54</v>
      </c>
      <c r="P1448" s="1">
        <f t="shared" si="204"/>
        <v>92.112244897959187</v>
      </c>
    </row>
    <row r="1449" spans="1:16">
      <c r="A1449" s="2">
        <v>40955</v>
      </c>
      <c r="B1449" s="1">
        <v>177.79</v>
      </c>
      <c r="C1449" s="1">
        <v>181.68</v>
      </c>
      <c r="D1449" s="1">
        <v>175.14</v>
      </c>
      <c r="E1449" s="1">
        <v>179.93</v>
      </c>
      <c r="F1449" s="1">
        <v>12563800</v>
      </c>
      <c r="G1449" s="1">
        <v>179.93</v>
      </c>
      <c r="H1449" s="1">
        <f t="shared" si="198"/>
        <v>6.5400000000000205</v>
      </c>
      <c r="I1449" s="9">
        <f t="shared" si="205"/>
        <v>3.7341555327166959E-2</v>
      </c>
      <c r="J1449" s="1">
        <f t="shared" si="206"/>
        <v>-4.539999999999992</v>
      </c>
      <c r="K1449" s="9">
        <f t="shared" si="199"/>
        <v>-2.4611047866861777E-2</v>
      </c>
      <c r="L1449" s="1">
        <f t="shared" si="200"/>
        <v>1</v>
      </c>
      <c r="M1449" s="1">
        <f t="shared" si="201"/>
        <v>181.68</v>
      </c>
      <c r="N1449" s="1">
        <f t="shared" si="202"/>
        <v>175.14</v>
      </c>
      <c r="O1449" s="1">
        <f t="shared" si="203"/>
        <v>177.97</v>
      </c>
      <c r="P1449" s="1">
        <f t="shared" si="204"/>
        <v>90.801020408163268</v>
      </c>
    </row>
    <row r="1450" spans="1:16">
      <c r="A1450" s="2">
        <v>40954</v>
      </c>
      <c r="B1450" s="1">
        <v>191.29</v>
      </c>
      <c r="C1450" s="1">
        <v>191.54</v>
      </c>
      <c r="D1450" s="1">
        <v>183.26</v>
      </c>
      <c r="E1450" s="1">
        <v>184.47</v>
      </c>
      <c r="F1450" s="1">
        <v>7794400</v>
      </c>
      <c r="G1450" s="1">
        <v>184.47</v>
      </c>
      <c r="H1450" s="1">
        <f t="shared" si="198"/>
        <v>8.2800000000000011</v>
      </c>
      <c r="I1450" s="9">
        <f t="shared" si="205"/>
        <v>4.5181709047255277E-2</v>
      </c>
      <c r="J1450" s="1">
        <f t="shared" si="206"/>
        <v>-6.8300000000000125</v>
      </c>
      <c r="K1450" s="9">
        <f t="shared" si="199"/>
        <v>-3.570308416100372E-2</v>
      </c>
      <c r="L1450" s="1">
        <f t="shared" si="200"/>
        <v>1</v>
      </c>
      <c r="M1450" s="1">
        <f t="shared" si="201"/>
        <v>191.54</v>
      </c>
      <c r="N1450" s="1">
        <f t="shared" si="202"/>
        <v>183.26</v>
      </c>
      <c r="O1450" s="1">
        <f t="shared" si="203"/>
        <v>182.51</v>
      </c>
      <c r="P1450" s="1">
        <f t="shared" si="204"/>
        <v>93.117346938775512</v>
      </c>
    </row>
    <row r="1451" spans="1:16">
      <c r="A1451" s="2">
        <v>40953</v>
      </c>
      <c r="B1451" s="1">
        <v>191.08</v>
      </c>
      <c r="C1451" s="1">
        <v>193.57</v>
      </c>
      <c r="D1451" s="1">
        <v>186.1</v>
      </c>
      <c r="E1451" s="1">
        <v>191.3</v>
      </c>
      <c r="F1451" s="1">
        <v>9527100</v>
      </c>
      <c r="G1451" s="1">
        <v>191.3</v>
      </c>
      <c r="H1451" s="1">
        <f t="shared" si="198"/>
        <v>7.4699999999999989</v>
      </c>
      <c r="I1451" s="9">
        <f t="shared" si="205"/>
        <v>4.0139709833422889E-2</v>
      </c>
      <c r="J1451" s="1">
        <f t="shared" si="206"/>
        <v>-0.28999999999999204</v>
      </c>
      <c r="K1451" s="9">
        <f t="shared" si="199"/>
        <v>-1.5136489378359624E-3</v>
      </c>
      <c r="L1451" s="1">
        <f t="shared" si="200"/>
        <v>1</v>
      </c>
      <c r="M1451" s="1">
        <f t="shared" si="201"/>
        <v>193.57</v>
      </c>
      <c r="N1451" s="1">
        <f t="shared" si="202"/>
        <v>186.1</v>
      </c>
      <c r="O1451" s="1">
        <f t="shared" si="203"/>
        <v>189.34</v>
      </c>
      <c r="P1451" s="1">
        <f t="shared" si="204"/>
        <v>96.602040816326536</v>
      </c>
    </row>
    <row r="1452" spans="1:16">
      <c r="A1452" s="2">
        <v>40952</v>
      </c>
      <c r="B1452" s="1">
        <v>187.17</v>
      </c>
      <c r="C1452" s="1">
        <v>192.5</v>
      </c>
      <c r="D1452" s="1">
        <v>185.68</v>
      </c>
      <c r="E1452" s="1">
        <v>191.59</v>
      </c>
      <c r="F1452" s="1">
        <v>6071400</v>
      </c>
      <c r="G1452" s="1">
        <v>191.59</v>
      </c>
      <c r="H1452" s="1">
        <f t="shared" si="198"/>
        <v>6.8199999999999932</v>
      </c>
      <c r="I1452" s="9">
        <f t="shared" si="205"/>
        <v>3.6729857819905176E-2</v>
      </c>
      <c r="J1452" s="1">
        <f t="shared" si="206"/>
        <v>6.0500000000000114</v>
      </c>
      <c r="K1452" s="9">
        <f t="shared" si="199"/>
        <v>3.2607523984046628E-2</v>
      </c>
      <c r="L1452" s="1">
        <f t="shared" si="200"/>
        <v>1</v>
      </c>
      <c r="M1452" s="1">
        <f t="shared" si="201"/>
        <v>192.5</v>
      </c>
      <c r="N1452" s="1">
        <f t="shared" si="202"/>
        <v>185.68</v>
      </c>
      <c r="O1452" s="1">
        <f t="shared" si="203"/>
        <v>189.63</v>
      </c>
      <c r="P1452" s="1">
        <f t="shared" si="204"/>
        <v>96.75</v>
      </c>
    </row>
    <row r="1453" spans="1:16">
      <c r="A1453" s="2">
        <v>40949</v>
      </c>
      <c r="B1453" s="1">
        <v>183.42</v>
      </c>
      <c r="C1453" s="1">
        <v>187.63</v>
      </c>
      <c r="D1453" s="1">
        <v>182.52</v>
      </c>
      <c r="E1453" s="1">
        <v>185.54</v>
      </c>
      <c r="F1453" s="1">
        <v>5797100</v>
      </c>
      <c r="G1453" s="1">
        <v>185.54</v>
      </c>
      <c r="H1453" s="1">
        <f t="shared" si="198"/>
        <v>5.1099999999999852</v>
      </c>
      <c r="I1453" s="9">
        <f t="shared" si="205"/>
        <v>2.7996931843085607E-2</v>
      </c>
      <c r="J1453" s="1">
        <f t="shared" si="206"/>
        <v>0.56000000000000227</v>
      </c>
      <c r="K1453" s="9">
        <f t="shared" si="199"/>
        <v>3.0273543085739124E-3</v>
      </c>
      <c r="L1453" s="1">
        <f t="shared" si="200"/>
        <v>1</v>
      </c>
      <c r="M1453" s="1">
        <f t="shared" si="201"/>
        <v>187.63</v>
      </c>
      <c r="N1453" s="1">
        <f t="shared" si="202"/>
        <v>182.52</v>
      </c>
      <c r="O1453" s="1">
        <f t="shared" si="203"/>
        <v>183.57999999999998</v>
      </c>
      <c r="P1453" s="1">
        <f t="shared" si="204"/>
        <v>93.66326530612244</v>
      </c>
    </row>
    <row r="1454" spans="1:16">
      <c r="A1454" s="2">
        <v>40948</v>
      </c>
      <c r="B1454" s="1">
        <v>184.5</v>
      </c>
      <c r="C1454" s="1">
        <v>185.69</v>
      </c>
      <c r="D1454" s="1">
        <v>181.76</v>
      </c>
      <c r="E1454" s="1">
        <v>184.98</v>
      </c>
      <c r="F1454" s="1">
        <v>7189200</v>
      </c>
      <c r="G1454" s="1">
        <v>184.98</v>
      </c>
      <c r="H1454" s="1">
        <f t="shared" si="198"/>
        <v>3.9300000000000068</v>
      </c>
      <c r="I1454" s="9">
        <f t="shared" si="205"/>
        <v>2.1621919014084546E-2</v>
      </c>
      <c r="J1454" s="1">
        <f t="shared" si="206"/>
        <v>-0.5</v>
      </c>
      <c r="K1454" s="9">
        <f t="shared" si="199"/>
        <v>-2.6957084321759758E-3</v>
      </c>
      <c r="L1454" s="1">
        <f t="shared" si="200"/>
        <v>1</v>
      </c>
      <c r="M1454" s="1">
        <f t="shared" si="201"/>
        <v>185.69</v>
      </c>
      <c r="N1454" s="1">
        <f t="shared" si="202"/>
        <v>181.76</v>
      </c>
      <c r="O1454" s="1">
        <f t="shared" si="203"/>
        <v>183.01999999999998</v>
      </c>
      <c r="P1454" s="1">
        <f t="shared" si="204"/>
        <v>93.377551020408163</v>
      </c>
    </row>
    <row r="1455" spans="1:16">
      <c r="A1455" s="2">
        <v>40947</v>
      </c>
      <c r="B1455" s="1">
        <v>184.95</v>
      </c>
      <c r="C1455" s="1">
        <v>186.49</v>
      </c>
      <c r="D1455" s="1">
        <v>182.91</v>
      </c>
      <c r="E1455" s="1">
        <v>185.48</v>
      </c>
      <c r="F1455" s="1">
        <v>5476600</v>
      </c>
      <c r="G1455" s="1">
        <v>185.48</v>
      </c>
      <c r="H1455" s="1">
        <f t="shared" si="198"/>
        <v>3.5800000000000125</v>
      </c>
      <c r="I1455" s="9">
        <f t="shared" si="205"/>
        <v>1.9572467333661431E-2</v>
      </c>
      <c r="J1455" s="1">
        <f t="shared" si="206"/>
        <v>1.289999999999992</v>
      </c>
      <c r="K1455" s="9">
        <f t="shared" si="199"/>
        <v>7.0036375481838976E-3</v>
      </c>
      <c r="L1455" s="1">
        <f t="shared" si="200"/>
        <v>1</v>
      </c>
      <c r="M1455" s="1">
        <f t="shared" si="201"/>
        <v>186.49</v>
      </c>
      <c r="N1455" s="1">
        <f t="shared" si="202"/>
        <v>182.91</v>
      </c>
      <c r="O1455" s="1">
        <f t="shared" si="203"/>
        <v>183.51999999999998</v>
      </c>
      <c r="P1455" s="1">
        <f t="shared" si="204"/>
        <v>93.632653061224488</v>
      </c>
    </row>
    <row r="1456" spans="1:16">
      <c r="A1456" s="2">
        <v>40946</v>
      </c>
      <c r="B1456" s="1">
        <v>182.65</v>
      </c>
      <c r="C1456" s="1">
        <v>184.94</v>
      </c>
      <c r="D1456" s="1">
        <v>182.06</v>
      </c>
      <c r="E1456" s="1">
        <v>184.19</v>
      </c>
      <c r="F1456" s="1">
        <v>5103900</v>
      </c>
      <c r="G1456" s="1">
        <v>184.19</v>
      </c>
      <c r="H1456" s="1">
        <f t="shared" si="198"/>
        <v>2.8799999999999955</v>
      </c>
      <c r="I1456" s="9">
        <f t="shared" si="205"/>
        <v>1.5818960782159702E-2</v>
      </c>
      <c r="J1456" s="1">
        <f t="shared" si="206"/>
        <v>1.0500000000000114</v>
      </c>
      <c r="K1456" s="9">
        <f t="shared" si="199"/>
        <v>5.7333187725238152E-3</v>
      </c>
      <c r="L1456" s="1">
        <f t="shared" si="200"/>
        <v>1</v>
      </c>
      <c r="M1456" s="1">
        <f t="shared" si="201"/>
        <v>184.94</v>
      </c>
      <c r="N1456" s="1">
        <f t="shared" si="202"/>
        <v>182.06</v>
      </c>
      <c r="O1456" s="1">
        <f t="shared" si="203"/>
        <v>182.23</v>
      </c>
      <c r="P1456" s="1">
        <f t="shared" si="204"/>
        <v>92.974489795918359</v>
      </c>
    </row>
    <row r="1457" spans="1:16">
      <c r="A1457" s="2">
        <v>40945</v>
      </c>
      <c r="B1457" s="1">
        <v>186.28</v>
      </c>
      <c r="C1457" s="1">
        <v>186.56</v>
      </c>
      <c r="D1457" s="1">
        <v>182.92</v>
      </c>
      <c r="E1457" s="1">
        <v>183.14</v>
      </c>
      <c r="F1457" s="1">
        <v>5310000</v>
      </c>
      <c r="G1457" s="1">
        <v>183.14</v>
      </c>
      <c r="H1457" s="1">
        <f t="shared" si="198"/>
        <v>3.6400000000000148</v>
      </c>
      <c r="I1457" s="9">
        <f t="shared" si="205"/>
        <v>1.9899409577957661E-2</v>
      </c>
      <c r="J1457" s="1">
        <f t="shared" si="206"/>
        <v>-4.5400000000000205</v>
      </c>
      <c r="K1457" s="9">
        <f t="shared" si="199"/>
        <v>-2.419011082693958E-2</v>
      </c>
      <c r="L1457" s="1">
        <f t="shared" si="200"/>
        <v>1</v>
      </c>
      <c r="M1457" s="1">
        <f t="shared" si="201"/>
        <v>186.56</v>
      </c>
      <c r="N1457" s="1">
        <f t="shared" si="202"/>
        <v>182.92</v>
      </c>
      <c r="O1457" s="1">
        <f t="shared" si="203"/>
        <v>181.17999999999998</v>
      </c>
      <c r="P1457" s="1">
        <f t="shared" si="204"/>
        <v>92.438775510204067</v>
      </c>
    </row>
    <row r="1458" spans="1:16">
      <c r="A1458" s="2">
        <v>40942</v>
      </c>
      <c r="B1458" s="1">
        <v>182.83</v>
      </c>
      <c r="C1458" s="1">
        <v>187.9</v>
      </c>
      <c r="D1458" s="1">
        <v>181.89</v>
      </c>
      <c r="E1458" s="1">
        <v>187.68</v>
      </c>
      <c r="F1458" s="1">
        <v>8120500</v>
      </c>
      <c r="G1458" s="1">
        <v>187.68</v>
      </c>
      <c r="H1458" s="1">
        <f t="shared" si="198"/>
        <v>6.0100000000000193</v>
      </c>
      <c r="I1458" s="9">
        <f t="shared" si="205"/>
        <v>3.3041948430370109E-2</v>
      </c>
      <c r="J1458" s="1">
        <f t="shared" si="206"/>
        <v>5.960000000000008</v>
      </c>
      <c r="K1458" s="9">
        <f t="shared" si="199"/>
        <v>3.27977107638125E-2</v>
      </c>
      <c r="L1458" s="1">
        <f t="shared" si="200"/>
        <v>1</v>
      </c>
      <c r="M1458" s="1">
        <f t="shared" si="201"/>
        <v>187.9</v>
      </c>
      <c r="N1458" s="1">
        <f t="shared" si="202"/>
        <v>181.89</v>
      </c>
      <c r="O1458" s="1">
        <f t="shared" si="203"/>
        <v>185.72</v>
      </c>
      <c r="P1458" s="1">
        <f t="shared" si="204"/>
        <v>94.755102040816325</v>
      </c>
    </row>
    <row r="1459" spans="1:16">
      <c r="A1459" s="2">
        <v>40941</v>
      </c>
      <c r="B1459" s="1">
        <v>179.65</v>
      </c>
      <c r="C1459" s="1">
        <v>181.94</v>
      </c>
      <c r="D1459" s="1">
        <v>176.8</v>
      </c>
      <c r="E1459" s="1">
        <v>181.72</v>
      </c>
      <c r="F1459" s="1">
        <v>8736300</v>
      </c>
      <c r="G1459" s="1">
        <v>181.72</v>
      </c>
      <c r="H1459" s="1">
        <f t="shared" si="198"/>
        <v>5.1399999999999864</v>
      </c>
      <c r="I1459" s="9">
        <f t="shared" si="205"/>
        <v>2.907239819004517E-2</v>
      </c>
      <c r="J1459" s="1">
        <f t="shared" si="206"/>
        <v>2.2599999999999909</v>
      </c>
      <c r="K1459" s="9">
        <f t="shared" si="199"/>
        <v>1.2593335562242231E-2</v>
      </c>
      <c r="L1459" s="1">
        <f t="shared" si="200"/>
        <v>1</v>
      </c>
      <c r="M1459" s="1">
        <f t="shared" si="201"/>
        <v>181.94</v>
      </c>
      <c r="N1459" s="1">
        <f t="shared" si="202"/>
        <v>176.8</v>
      </c>
      <c r="O1459" s="1">
        <f t="shared" si="203"/>
        <v>179.76</v>
      </c>
      <c r="P1459" s="1">
        <f t="shared" si="204"/>
        <v>91.714285714285708</v>
      </c>
    </row>
    <row r="1460" spans="1:16">
      <c r="A1460" s="2">
        <v>40940</v>
      </c>
      <c r="B1460" s="1">
        <v>173.81</v>
      </c>
      <c r="C1460" s="1">
        <v>179.95</v>
      </c>
      <c r="D1460" s="1">
        <v>172</v>
      </c>
      <c r="E1460" s="1">
        <v>179.46</v>
      </c>
      <c r="F1460" s="1">
        <v>21336600</v>
      </c>
      <c r="G1460" s="1">
        <v>179.46</v>
      </c>
      <c r="H1460" s="1">
        <f t="shared" si="198"/>
        <v>7.9499999999999886</v>
      </c>
      <c r="I1460" s="9">
        <f t="shared" si="205"/>
        <v>4.622093023255807E-2</v>
      </c>
      <c r="J1460" s="1">
        <f t="shared" si="206"/>
        <v>-14.97999999999999</v>
      </c>
      <c r="K1460" s="9">
        <f t="shared" si="199"/>
        <v>-7.7041760954536048E-2</v>
      </c>
      <c r="L1460" s="1">
        <f t="shared" si="200"/>
        <v>1</v>
      </c>
      <c r="M1460" s="1">
        <f t="shared" si="201"/>
        <v>179.95</v>
      </c>
      <c r="N1460" s="1">
        <f t="shared" si="202"/>
        <v>172</v>
      </c>
      <c r="O1460" s="1">
        <f t="shared" si="203"/>
        <v>177.5</v>
      </c>
      <c r="P1460" s="1">
        <f t="shared" si="204"/>
        <v>90.561224489795919</v>
      </c>
    </row>
    <row r="1461" spans="1:16">
      <c r="A1461" s="2">
        <v>40939</v>
      </c>
      <c r="B1461" s="1">
        <v>194</v>
      </c>
      <c r="C1461" s="1">
        <v>195.63</v>
      </c>
      <c r="D1461" s="1">
        <v>189.7</v>
      </c>
      <c r="E1461" s="1">
        <v>194.44</v>
      </c>
      <c r="F1461" s="1">
        <v>12772200</v>
      </c>
      <c r="G1461" s="1">
        <v>194.44</v>
      </c>
      <c r="H1461" s="1">
        <f t="shared" si="198"/>
        <v>5.9300000000000068</v>
      </c>
      <c r="I1461" s="9">
        <f t="shared" si="205"/>
        <v>3.1259884027411741E-2</v>
      </c>
      <c r="J1461" s="1">
        <f t="shared" si="206"/>
        <v>2.289999999999992</v>
      </c>
      <c r="K1461" s="9">
        <f t="shared" si="199"/>
        <v>1.1917772573510236E-2</v>
      </c>
      <c r="L1461" s="1">
        <f t="shared" si="200"/>
        <v>1</v>
      </c>
      <c r="M1461" s="1">
        <f t="shared" si="201"/>
        <v>195.63</v>
      </c>
      <c r="N1461" s="1">
        <f t="shared" si="202"/>
        <v>189.7</v>
      </c>
      <c r="O1461" s="1">
        <f t="shared" si="203"/>
        <v>192.48</v>
      </c>
      <c r="P1461" s="1">
        <f t="shared" si="204"/>
        <v>98.204081632653057</v>
      </c>
    </row>
    <row r="1462" spans="1:16">
      <c r="A1462" s="2">
        <v>40938</v>
      </c>
      <c r="B1462" s="1">
        <v>193.68</v>
      </c>
      <c r="C1462" s="1">
        <v>195</v>
      </c>
      <c r="D1462" s="1">
        <v>190.13</v>
      </c>
      <c r="E1462" s="1">
        <v>192.15</v>
      </c>
      <c r="F1462" s="1">
        <v>5424100</v>
      </c>
      <c r="G1462" s="1">
        <v>192.15</v>
      </c>
      <c r="H1462" s="1">
        <f t="shared" si="198"/>
        <v>4.8700000000000045</v>
      </c>
      <c r="I1462" s="9">
        <f t="shared" si="205"/>
        <v>2.5614053542313178E-2</v>
      </c>
      <c r="J1462" s="1">
        <f t="shared" si="206"/>
        <v>-3.2199999999999989</v>
      </c>
      <c r="K1462" s="9">
        <f t="shared" si="199"/>
        <v>-1.6481547832318158E-2</v>
      </c>
      <c r="L1462" s="1">
        <f t="shared" si="200"/>
        <v>1</v>
      </c>
      <c r="M1462" s="1">
        <f t="shared" si="201"/>
        <v>195</v>
      </c>
      <c r="N1462" s="1">
        <f t="shared" si="202"/>
        <v>190.13</v>
      </c>
      <c r="O1462" s="1">
        <f t="shared" si="203"/>
        <v>190.19</v>
      </c>
      <c r="P1462" s="1">
        <f t="shared" si="204"/>
        <v>97.035714285714292</v>
      </c>
    </row>
    <row r="1463" spans="1:16">
      <c r="A1463" s="2">
        <v>40935</v>
      </c>
      <c r="B1463" s="1">
        <v>193.09</v>
      </c>
      <c r="C1463" s="1">
        <v>196.5</v>
      </c>
      <c r="D1463" s="1">
        <v>192.33</v>
      </c>
      <c r="E1463" s="1">
        <v>195.37</v>
      </c>
      <c r="F1463" s="1">
        <v>4659000</v>
      </c>
      <c r="G1463" s="1">
        <v>195.37</v>
      </c>
      <c r="H1463" s="1">
        <f t="shared" si="198"/>
        <v>4.1699999999999875</v>
      </c>
      <c r="I1463" s="9">
        <f t="shared" si="205"/>
        <v>2.1681484947745994E-2</v>
      </c>
      <c r="J1463" s="1">
        <f t="shared" si="206"/>
        <v>2.0500000000000114</v>
      </c>
      <c r="K1463" s="9">
        <f t="shared" si="199"/>
        <v>1.0604179598593066E-2</v>
      </c>
      <c r="L1463" s="1">
        <f t="shared" si="200"/>
        <v>1</v>
      </c>
      <c r="M1463" s="1">
        <f t="shared" si="201"/>
        <v>196.5</v>
      </c>
      <c r="N1463" s="1">
        <f t="shared" si="202"/>
        <v>192.33</v>
      </c>
      <c r="O1463" s="1">
        <f t="shared" si="203"/>
        <v>193.41</v>
      </c>
      <c r="P1463" s="1">
        <f t="shared" si="204"/>
        <v>98.678571428571431</v>
      </c>
    </row>
    <row r="1464" spans="1:16">
      <c r="A1464" s="2">
        <v>40934</v>
      </c>
      <c r="B1464" s="1">
        <v>189.3</v>
      </c>
      <c r="C1464" s="1">
        <v>194.85</v>
      </c>
      <c r="D1464" s="1">
        <v>188.73</v>
      </c>
      <c r="E1464" s="1">
        <v>193.32</v>
      </c>
      <c r="F1464" s="1">
        <v>5873600</v>
      </c>
      <c r="G1464" s="1">
        <v>193.32</v>
      </c>
      <c r="H1464" s="1">
        <f t="shared" si="198"/>
        <v>6.1200000000000045</v>
      </c>
      <c r="I1464" s="9">
        <f t="shared" si="205"/>
        <v>3.2427277062470221E-2</v>
      </c>
      <c r="J1464" s="1">
        <f t="shared" si="206"/>
        <v>5.5199999999999818</v>
      </c>
      <c r="K1464" s="9">
        <f t="shared" si="199"/>
        <v>2.9392971246006292E-2</v>
      </c>
      <c r="L1464" s="1">
        <f t="shared" si="200"/>
        <v>1</v>
      </c>
      <c r="M1464" s="1">
        <f t="shared" si="201"/>
        <v>194.85</v>
      </c>
      <c r="N1464" s="1">
        <f t="shared" si="202"/>
        <v>188.73</v>
      </c>
      <c r="O1464" s="1">
        <f t="shared" si="203"/>
        <v>191.35999999999999</v>
      </c>
      <c r="P1464" s="1">
        <f t="shared" si="204"/>
        <v>97.632653061224488</v>
      </c>
    </row>
    <row r="1465" spans="1:16">
      <c r="A1465" s="2">
        <v>40933</v>
      </c>
      <c r="B1465" s="1">
        <v>186.99</v>
      </c>
      <c r="C1465" s="1">
        <v>188.17</v>
      </c>
      <c r="D1465" s="1">
        <v>184.61</v>
      </c>
      <c r="E1465" s="1">
        <v>187.8</v>
      </c>
      <c r="F1465" s="1">
        <v>4306400</v>
      </c>
      <c r="G1465" s="1">
        <v>187.8</v>
      </c>
      <c r="H1465" s="1">
        <f t="shared" si="198"/>
        <v>3.5599999999999739</v>
      </c>
      <c r="I1465" s="9">
        <f t="shared" si="205"/>
        <v>1.928389578029345E-2</v>
      </c>
      <c r="J1465" s="1">
        <f t="shared" si="206"/>
        <v>0.80000000000001137</v>
      </c>
      <c r="K1465" s="9">
        <f t="shared" si="199"/>
        <v>4.2780748663102212E-3</v>
      </c>
      <c r="L1465" s="1">
        <f t="shared" si="200"/>
        <v>1</v>
      </c>
      <c r="M1465" s="1">
        <f t="shared" si="201"/>
        <v>188.17</v>
      </c>
      <c r="N1465" s="1">
        <f t="shared" si="202"/>
        <v>184.61</v>
      </c>
      <c r="O1465" s="1">
        <f t="shared" si="203"/>
        <v>185.84</v>
      </c>
      <c r="P1465" s="1">
        <f t="shared" si="204"/>
        <v>94.816326530612244</v>
      </c>
    </row>
    <row r="1466" spans="1:16">
      <c r="A1466" s="2">
        <v>40932</v>
      </c>
      <c r="B1466" s="1">
        <v>185</v>
      </c>
      <c r="C1466" s="1">
        <v>188.41</v>
      </c>
      <c r="D1466" s="1">
        <v>183.82</v>
      </c>
      <c r="E1466" s="1">
        <v>187</v>
      </c>
      <c r="F1466" s="1">
        <v>4673800</v>
      </c>
      <c r="G1466" s="1">
        <v>187</v>
      </c>
      <c r="H1466" s="1">
        <f t="shared" si="198"/>
        <v>4.5900000000000034</v>
      </c>
      <c r="I1466" s="9">
        <f t="shared" si="205"/>
        <v>2.4970079425524989E-2</v>
      </c>
      <c r="J1466" s="1">
        <f t="shared" si="206"/>
        <v>0.90999999999999659</v>
      </c>
      <c r="K1466" s="9">
        <f t="shared" si="199"/>
        <v>4.8901069375033406E-3</v>
      </c>
      <c r="L1466" s="1">
        <f t="shared" si="200"/>
        <v>1</v>
      </c>
      <c r="M1466" s="1">
        <f t="shared" si="201"/>
        <v>188.41</v>
      </c>
      <c r="N1466" s="1">
        <f t="shared" si="202"/>
        <v>183.82</v>
      </c>
      <c r="O1466" s="1">
        <f t="shared" si="203"/>
        <v>185.04</v>
      </c>
      <c r="P1466" s="1">
        <f t="shared" si="204"/>
        <v>94.408163265306115</v>
      </c>
    </row>
    <row r="1467" spans="1:16">
      <c r="A1467" s="2">
        <v>40931</v>
      </c>
      <c r="B1467" s="1">
        <v>190.79</v>
      </c>
      <c r="C1467" s="1">
        <v>191.73</v>
      </c>
      <c r="D1467" s="1">
        <v>185.23</v>
      </c>
      <c r="E1467" s="1">
        <v>186.09</v>
      </c>
      <c r="F1467" s="1">
        <v>4585300</v>
      </c>
      <c r="G1467" s="1">
        <v>186.09</v>
      </c>
      <c r="H1467" s="1">
        <f t="shared" si="198"/>
        <v>6.5</v>
      </c>
      <c r="I1467" s="9">
        <f t="shared" si="205"/>
        <v>3.5091507855099069E-2</v>
      </c>
      <c r="J1467" s="1">
        <f t="shared" si="206"/>
        <v>-4.8400000000000034</v>
      </c>
      <c r="K1467" s="9">
        <f t="shared" si="199"/>
        <v>-2.5349604567118857E-2</v>
      </c>
      <c r="L1467" s="1">
        <f t="shared" si="200"/>
        <v>1</v>
      </c>
      <c r="M1467" s="1">
        <f t="shared" si="201"/>
        <v>191.73</v>
      </c>
      <c r="N1467" s="1">
        <f t="shared" si="202"/>
        <v>185.23</v>
      </c>
      <c r="O1467" s="1">
        <f t="shared" si="203"/>
        <v>184.13</v>
      </c>
      <c r="P1467" s="1">
        <f t="shared" si="204"/>
        <v>93.943877551020407</v>
      </c>
    </row>
    <row r="1468" spans="1:16">
      <c r="A1468" s="2">
        <v>40928</v>
      </c>
      <c r="B1468" s="1">
        <v>190.71</v>
      </c>
      <c r="C1468" s="1">
        <v>192.9</v>
      </c>
      <c r="D1468" s="1">
        <v>189.04</v>
      </c>
      <c r="E1468" s="1">
        <v>190.93</v>
      </c>
      <c r="F1468" s="1">
        <v>5610300</v>
      </c>
      <c r="G1468" s="1">
        <v>190.93</v>
      </c>
      <c r="H1468" s="1">
        <f t="shared" si="198"/>
        <v>3.8600000000000136</v>
      </c>
      <c r="I1468" s="9">
        <f t="shared" si="205"/>
        <v>2.0418958950486742E-2</v>
      </c>
      <c r="J1468" s="1">
        <f t="shared" si="206"/>
        <v>-3.5199999999999818</v>
      </c>
      <c r="K1468" s="9">
        <f t="shared" si="199"/>
        <v>-1.8102339933144675E-2</v>
      </c>
      <c r="L1468" s="1">
        <f t="shared" si="200"/>
        <v>1</v>
      </c>
      <c r="M1468" s="1">
        <f t="shared" si="201"/>
        <v>192.9</v>
      </c>
      <c r="N1468" s="1">
        <f t="shared" si="202"/>
        <v>189.04</v>
      </c>
      <c r="O1468" s="1">
        <f t="shared" si="203"/>
        <v>188.97</v>
      </c>
      <c r="P1468" s="1">
        <f t="shared" si="204"/>
        <v>96.413265306122454</v>
      </c>
    </row>
    <row r="1469" spans="1:16">
      <c r="A1469" s="2">
        <v>40927</v>
      </c>
      <c r="B1469" s="1">
        <v>190.88</v>
      </c>
      <c r="C1469" s="1">
        <v>195.94</v>
      </c>
      <c r="D1469" s="1">
        <v>190.36</v>
      </c>
      <c r="E1469" s="1">
        <v>194.45</v>
      </c>
      <c r="F1469" s="1">
        <v>7096000</v>
      </c>
      <c r="G1469" s="1">
        <v>194.45</v>
      </c>
      <c r="H1469" s="1">
        <f t="shared" si="198"/>
        <v>5.5799999999999841</v>
      </c>
      <c r="I1469" s="9">
        <f t="shared" si="205"/>
        <v>2.9312880857322882E-2</v>
      </c>
      <c r="J1469" s="1">
        <f t="shared" si="206"/>
        <v>5.0099999999999909</v>
      </c>
      <c r="K1469" s="9">
        <f t="shared" si="199"/>
        <v>2.6446368243243194E-2</v>
      </c>
      <c r="L1469" s="1">
        <f t="shared" si="200"/>
        <v>1</v>
      </c>
      <c r="M1469" s="1">
        <f t="shared" si="201"/>
        <v>195.94</v>
      </c>
      <c r="N1469" s="1">
        <f t="shared" si="202"/>
        <v>190.36</v>
      </c>
      <c r="O1469" s="1">
        <f t="shared" si="203"/>
        <v>192.48999999999998</v>
      </c>
      <c r="P1469" s="1">
        <f t="shared" si="204"/>
        <v>98.209183673469383</v>
      </c>
    </row>
    <row r="1470" spans="1:16">
      <c r="A1470" s="2">
        <v>40926</v>
      </c>
      <c r="B1470" s="1">
        <v>181.94</v>
      </c>
      <c r="C1470" s="1">
        <v>190.25</v>
      </c>
      <c r="D1470" s="1">
        <v>181.12</v>
      </c>
      <c r="E1470" s="1">
        <v>189.44</v>
      </c>
      <c r="F1470" s="1">
        <v>7473500</v>
      </c>
      <c r="G1470" s="1">
        <v>189.44</v>
      </c>
      <c r="H1470" s="1">
        <f t="shared" si="198"/>
        <v>9.1299999999999955</v>
      </c>
      <c r="I1470" s="9">
        <f t="shared" si="205"/>
        <v>5.0408568904593616E-2</v>
      </c>
      <c r="J1470" s="1">
        <f t="shared" si="206"/>
        <v>7.7800000000000011</v>
      </c>
      <c r="K1470" s="9">
        <f t="shared" si="199"/>
        <v>4.2827259715952887E-2</v>
      </c>
      <c r="L1470" s="1">
        <f t="shared" si="200"/>
        <v>1</v>
      </c>
      <c r="M1470" s="1">
        <f t="shared" si="201"/>
        <v>190.25</v>
      </c>
      <c r="N1470" s="1">
        <f t="shared" si="202"/>
        <v>181.12</v>
      </c>
      <c r="O1470" s="1">
        <f t="shared" si="203"/>
        <v>187.48</v>
      </c>
      <c r="P1470" s="1">
        <f t="shared" si="204"/>
        <v>95.65306122448979</v>
      </c>
    </row>
    <row r="1471" spans="1:16">
      <c r="A1471" s="2">
        <v>40925</v>
      </c>
      <c r="B1471" s="1">
        <v>180.15</v>
      </c>
      <c r="C1471" s="1">
        <v>183.3</v>
      </c>
      <c r="D1471" s="1">
        <v>178.51</v>
      </c>
      <c r="E1471" s="1">
        <v>181.66</v>
      </c>
      <c r="F1471" s="1">
        <v>5644500</v>
      </c>
      <c r="G1471" s="1">
        <v>181.66</v>
      </c>
      <c r="H1471" s="1">
        <f t="shared" si="198"/>
        <v>4.7900000000000205</v>
      </c>
      <c r="I1471" s="9">
        <f t="shared" si="205"/>
        <v>2.6833230631337295E-2</v>
      </c>
      <c r="J1471" s="1">
        <f t="shared" si="206"/>
        <v>3.2400000000000091</v>
      </c>
      <c r="K1471" s="9">
        <f t="shared" si="199"/>
        <v>1.8159399170496634E-2</v>
      </c>
      <c r="L1471" s="1">
        <f t="shared" si="200"/>
        <v>1</v>
      </c>
      <c r="M1471" s="1">
        <f t="shared" si="201"/>
        <v>183.3</v>
      </c>
      <c r="N1471" s="1">
        <f t="shared" si="202"/>
        <v>178.51</v>
      </c>
      <c r="O1471" s="1">
        <f t="shared" si="203"/>
        <v>179.7</v>
      </c>
      <c r="P1471" s="1">
        <f t="shared" si="204"/>
        <v>91.683673469387756</v>
      </c>
    </row>
    <row r="1472" spans="1:16">
      <c r="A1472" s="2">
        <v>40921</v>
      </c>
      <c r="B1472" s="1">
        <v>175.81</v>
      </c>
      <c r="C1472" s="1">
        <v>178.8</v>
      </c>
      <c r="D1472" s="1">
        <v>173.5</v>
      </c>
      <c r="E1472" s="1">
        <v>178.42</v>
      </c>
      <c r="F1472" s="1">
        <v>4753500</v>
      </c>
      <c r="G1472" s="1">
        <v>178.42</v>
      </c>
      <c r="H1472" s="1">
        <f t="shared" si="198"/>
        <v>5.3000000000000114</v>
      </c>
      <c r="I1472" s="9">
        <f t="shared" si="205"/>
        <v>3.0547550432276721E-2</v>
      </c>
      <c r="J1472" s="1">
        <f t="shared" si="206"/>
        <v>2.4899999999999807</v>
      </c>
      <c r="K1472" s="9">
        <f t="shared" si="199"/>
        <v>1.4153356448587395E-2</v>
      </c>
      <c r="L1472" s="1">
        <f t="shared" si="200"/>
        <v>1</v>
      </c>
      <c r="M1472" s="1">
        <f t="shared" si="201"/>
        <v>178.8</v>
      </c>
      <c r="N1472" s="1">
        <f t="shared" si="202"/>
        <v>173.5</v>
      </c>
      <c r="O1472" s="1">
        <f t="shared" si="203"/>
        <v>176.45999999999998</v>
      </c>
      <c r="P1472" s="1">
        <f t="shared" si="204"/>
        <v>90.030612244897952</v>
      </c>
    </row>
    <row r="1473" spans="1:16">
      <c r="A1473" s="2">
        <v>40920</v>
      </c>
      <c r="B1473" s="1">
        <v>179.42</v>
      </c>
      <c r="C1473" s="1">
        <v>179.49</v>
      </c>
      <c r="D1473" s="1">
        <v>175.75</v>
      </c>
      <c r="E1473" s="1">
        <v>175.93</v>
      </c>
      <c r="F1473" s="1">
        <v>5385800</v>
      </c>
      <c r="G1473" s="1">
        <v>175.93</v>
      </c>
      <c r="H1473" s="1">
        <f t="shared" si="198"/>
        <v>3.7400000000000091</v>
      </c>
      <c r="I1473" s="9">
        <f t="shared" si="205"/>
        <v>2.128022759601712E-2</v>
      </c>
      <c r="J1473" s="1">
        <f t="shared" si="206"/>
        <v>-2.9699999999999989</v>
      </c>
      <c r="K1473" s="9">
        <f t="shared" si="199"/>
        <v>-1.6601453325880373E-2</v>
      </c>
      <c r="L1473" s="1">
        <f t="shared" si="200"/>
        <v>1</v>
      </c>
      <c r="M1473" s="1">
        <f t="shared" si="201"/>
        <v>179.49</v>
      </c>
      <c r="N1473" s="1">
        <f t="shared" si="202"/>
        <v>175.75</v>
      </c>
      <c r="O1473" s="1">
        <f t="shared" si="203"/>
        <v>173.97</v>
      </c>
      <c r="P1473" s="1">
        <f t="shared" si="204"/>
        <v>88.760204081632651</v>
      </c>
    </row>
    <row r="1474" spans="1:16">
      <c r="A1474" s="2">
        <v>40919</v>
      </c>
      <c r="B1474" s="1">
        <v>179.64</v>
      </c>
      <c r="C1474" s="1">
        <v>180.77</v>
      </c>
      <c r="D1474" s="1">
        <v>178.19</v>
      </c>
      <c r="E1474" s="1">
        <v>178.9</v>
      </c>
      <c r="F1474" s="1">
        <v>3102700</v>
      </c>
      <c r="G1474" s="1">
        <v>178.9</v>
      </c>
      <c r="H1474" s="1">
        <f t="shared" si="198"/>
        <v>2.5800000000000125</v>
      </c>
      <c r="I1474" s="9">
        <f t="shared" si="205"/>
        <v>1.4478926988046538E-2</v>
      </c>
      <c r="J1474" s="1">
        <f t="shared" si="206"/>
        <v>-0.43999999999999773</v>
      </c>
      <c r="K1474" s="9">
        <f t="shared" si="199"/>
        <v>-2.4534403925504499E-3</v>
      </c>
      <c r="L1474" s="1">
        <f t="shared" si="200"/>
        <v>1</v>
      </c>
      <c r="M1474" s="1">
        <f t="shared" si="201"/>
        <v>180.77</v>
      </c>
      <c r="N1474" s="1">
        <f t="shared" si="202"/>
        <v>178.19</v>
      </c>
      <c r="O1474" s="1">
        <f t="shared" si="203"/>
        <v>176.94</v>
      </c>
      <c r="P1474" s="1">
        <f t="shared" si="204"/>
        <v>90.275510204081627</v>
      </c>
    </row>
    <row r="1475" spans="1:16">
      <c r="A1475" s="2">
        <v>40918</v>
      </c>
      <c r="B1475" s="1">
        <v>181.1</v>
      </c>
      <c r="C1475" s="1">
        <v>182.4</v>
      </c>
      <c r="D1475" s="1">
        <v>177.1</v>
      </c>
      <c r="E1475" s="1">
        <v>179.34</v>
      </c>
      <c r="F1475" s="1">
        <v>3985800</v>
      </c>
      <c r="G1475" s="1">
        <v>179.34</v>
      </c>
      <c r="H1475" s="1">
        <f t="shared" ref="H1475:H1538" si="207">C1475-D1475</f>
        <v>5.3000000000000114</v>
      </c>
      <c r="I1475" s="9">
        <f t="shared" si="205"/>
        <v>2.9926595143986514E-2</v>
      </c>
      <c r="J1475" s="1">
        <f t="shared" si="206"/>
        <v>0.78000000000000114</v>
      </c>
      <c r="K1475" s="9">
        <f t="shared" ref="K1475:K1538" si="208">(G1475-G1476)/G1476</f>
        <v>4.3682795698924796E-3</v>
      </c>
      <c r="L1475" s="1">
        <f t="shared" ref="L1475:L1538" si="209">G1475/E1475</f>
        <v>1</v>
      </c>
      <c r="M1475" s="1">
        <f t="shared" ref="M1475:M1538" si="210">L1475*C1475</f>
        <v>182.4</v>
      </c>
      <c r="N1475" s="1">
        <f t="shared" ref="N1475:N1538" si="211">L1475*D1475</f>
        <v>177.1</v>
      </c>
      <c r="O1475" s="1">
        <f t="shared" ref="O1475:O1538" si="212">G1475-$G$5163</f>
        <v>177.38</v>
      </c>
      <c r="P1475" s="1">
        <f t="shared" ref="P1475:P1538" si="213">(G1475-$G$5163)/$G$5163</f>
        <v>90.5</v>
      </c>
    </row>
    <row r="1476" spans="1:16">
      <c r="A1476" s="2">
        <v>40917</v>
      </c>
      <c r="B1476" s="1">
        <v>182.76</v>
      </c>
      <c r="C1476" s="1">
        <v>184.37</v>
      </c>
      <c r="D1476" s="1">
        <v>177</v>
      </c>
      <c r="E1476" s="1">
        <v>178.56</v>
      </c>
      <c r="F1476" s="1">
        <v>5056900</v>
      </c>
      <c r="G1476" s="1">
        <v>178.56</v>
      </c>
      <c r="H1476" s="1">
        <f t="shared" si="207"/>
        <v>7.3700000000000045</v>
      </c>
      <c r="I1476" s="9">
        <f t="shared" ref="I1476:I1539" si="214">(C1476-D1476)/D1476</f>
        <v>4.1638418079096073E-2</v>
      </c>
      <c r="J1476" s="1">
        <f t="shared" ref="J1476:J1539" si="215">G1476-G1477</f>
        <v>-4.0500000000000114</v>
      </c>
      <c r="K1476" s="9">
        <f t="shared" si="208"/>
        <v>-2.2178413011335694E-2</v>
      </c>
      <c r="L1476" s="1">
        <f t="shared" si="209"/>
        <v>1</v>
      </c>
      <c r="M1476" s="1">
        <f t="shared" si="210"/>
        <v>184.37</v>
      </c>
      <c r="N1476" s="1">
        <f t="shared" si="211"/>
        <v>177</v>
      </c>
      <c r="O1476" s="1">
        <f t="shared" si="212"/>
        <v>176.6</v>
      </c>
      <c r="P1476" s="1">
        <f t="shared" si="213"/>
        <v>90.102040816326536</v>
      </c>
    </row>
    <row r="1477" spans="1:16">
      <c r="A1477" s="2">
        <v>40914</v>
      </c>
      <c r="B1477" s="1">
        <v>178.07</v>
      </c>
      <c r="C1477" s="1">
        <v>184.65</v>
      </c>
      <c r="D1477" s="1">
        <v>177.5</v>
      </c>
      <c r="E1477" s="1">
        <v>182.61</v>
      </c>
      <c r="F1477" s="1">
        <v>7008400</v>
      </c>
      <c r="G1477" s="1">
        <v>182.61</v>
      </c>
      <c r="H1477" s="1">
        <f t="shared" si="207"/>
        <v>7.1500000000000057</v>
      </c>
      <c r="I1477" s="9">
        <f t="shared" si="214"/>
        <v>4.0281690140845101E-2</v>
      </c>
      <c r="J1477" s="1">
        <f t="shared" si="215"/>
        <v>5</v>
      </c>
      <c r="K1477" s="9">
        <f t="shared" si="208"/>
        <v>2.8151568042339956E-2</v>
      </c>
      <c r="L1477" s="1">
        <f t="shared" si="209"/>
        <v>1</v>
      </c>
      <c r="M1477" s="1">
        <f t="shared" si="210"/>
        <v>184.65</v>
      </c>
      <c r="N1477" s="1">
        <f t="shared" si="211"/>
        <v>177.5</v>
      </c>
      <c r="O1477" s="1">
        <f t="shared" si="212"/>
        <v>180.65</v>
      </c>
      <c r="P1477" s="1">
        <f t="shared" si="213"/>
        <v>92.16836734693878</v>
      </c>
    </row>
    <row r="1478" spans="1:16">
      <c r="A1478" s="2">
        <v>40913</v>
      </c>
      <c r="B1478" s="1">
        <v>175.94</v>
      </c>
      <c r="C1478" s="1">
        <v>178.25</v>
      </c>
      <c r="D1478" s="1">
        <v>174.05</v>
      </c>
      <c r="E1478" s="1">
        <v>177.61</v>
      </c>
      <c r="F1478" s="1">
        <v>3809100</v>
      </c>
      <c r="G1478" s="1">
        <v>177.61</v>
      </c>
      <c r="H1478" s="1">
        <f t="shared" si="207"/>
        <v>4.1999999999999886</v>
      </c>
      <c r="I1478" s="9">
        <f t="shared" si="214"/>
        <v>2.4130996839988442E-2</v>
      </c>
      <c r="J1478" s="1">
        <f t="shared" si="215"/>
        <v>0.10000000000002274</v>
      </c>
      <c r="K1478" s="9">
        <f t="shared" si="208"/>
        <v>5.6334854374414257E-4</v>
      </c>
      <c r="L1478" s="1">
        <f t="shared" si="209"/>
        <v>1</v>
      </c>
      <c r="M1478" s="1">
        <f t="shared" si="210"/>
        <v>178.25</v>
      </c>
      <c r="N1478" s="1">
        <f t="shared" si="211"/>
        <v>174.05</v>
      </c>
      <c r="O1478" s="1">
        <f t="shared" si="212"/>
        <v>175.65</v>
      </c>
      <c r="P1478" s="1">
        <f t="shared" si="213"/>
        <v>89.617346938775512</v>
      </c>
    </row>
    <row r="1479" spans="1:16">
      <c r="A1479" s="2">
        <v>40912</v>
      </c>
      <c r="B1479" s="1">
        <v>179.21</v>
      </c>
      <c r="C1479" s="1">
        <v>180.5</v>
      </c>
      <c r="D1479" s="1">
        <v>176.07</v>
      </c>
      <c r="E1479" s="1">
        <v>177.51</v>
      </c>
      <c r="F1479" s="1">
        <v>4205200</v>
      </c>
      <c r="G1479" s="1">
        <v>177.51</v>
      </c>
      <c r="H1479" s="1">
        <f t="shared" si="207"/>
        <v>4.4300000000000068</v>
      </c>
      <c r="I1479" s="9">
        <f t="shared" si="214"/>
        <v>2.5160447549270215E-2</v>
      </c>
      <c r="J1479" s="1">
        <f t="shared" si="215"/>
        <v>-1.5200000000000102</v>
      </c>
      <c r="K1479" s="9">
        <f t="shared" si="208"/>
        <v>-8.4901971736581032E-3</v>
      </c>
      <c r="L1479" s="1">
        <f t="shared" si="209"/>
        <v>1</v>
      </c>
      <c r="M1479" s="1">
        <f t="shared" si="210"/>
        <v>180.5</v>
      </c>
      <c r="N1479" s="1">
        <f t="shared" si="211"/>
        <v>176.07</v>
      </c>
      <c r="O1479" s="1">
        <f t="shared" si="212"/>
        <v>175.54999999999998</v>
      </c>
      <c r="P1479" s="1">
        <f t="shared" si="213"/>
        <v>89.566326530612244</v>
      </c>
    </row>
    <row r="1480" spans="1:16">
      <c r="A1480" s="2">
        <v>40911</v>
      </c>
      <c r="B1480" s="1">
        <v>175.89</v>
      </c>
      <c r="C1480" s="1">
        <v>179.48</v>
      </c>
      <c r="D1480" s="1">
        <v>175.55</v>
      </c>
      <c r="E1480" s="1">
        <v>179.03</v>
      </c>
      <c r="F1480" s="1">
        <v>5110800</v>
      </c>
      <c r="G1480" s="1">
        <v>179.03</v>
      </c>
      <c r="H1480" s="1">
        <f t="shared" si="207"/>
        <v>3.9299999999999784</v>
      </c>
      <c r="I1480" s="9">
        <f t="shared" si="214"/>
        <v>2.238678439191101E-2</v>
      </c>
      <c r="J1480" s="1">
        <f t="shared" si="215"/>
        <v>5.9300000000000068</v>
      </c>
      <c r="K1480" s="9">
        <f t="shared" si="208"/>
        <v>3.4257654534950936E-2</v>
      </c>
      <c r="L1480" s="1">
        <f t="shared" si="209"/>
        <v>1</v>
      </c>
      <c r="M1480" s="1">
        <f t="shared" si="210"/>
        <v>179.48</v>
      </c>
      <c r="N1480" s="1">
        <f t="shared" si="211"/>
        <v>175.55</v>
      </c>
      <c r="O1480" s="1">
        <f t="shared" si="212"/>
        <v>177.07</v>
      </c>
      <c r="P1480" s="1">
        <f t="shared" si="213"/>
        <v>90.341836734693871</v>
      </c>
    </row>
    <row r="1481" spans="1:16">
      <c r="A1481" s="2">
        <v>40907</v>
      </c>
      <c r="B1481" s="1">
        <v>173.36</v>
      </c>
      <c r="C1481" s="1">
        <v>175.17</v>
      </c>
      <c r="D1481" s="1">
        <v>172.49</v>
      </c>
      <c r="E1481" s="1">
        <v>173.1</v>
      </c>
      <c r="F1481" s="1">
        <v>4279800</v>
      </c>
      <c r="G1481" s="1">
        <v>173.1</v>
      </c>
      <c r="H1481" s="1">
        <f t="shared" si="207"/>
        <v>2.6799999999999784</v>
      </c>
      <c r="I1481" s="9">
        <f t="shared" si="214"/>
        <v>1.5537132587396245E-2</v>
      </c>
      <c r="J1481" s="1">
        <f t="shared" si="215"/>
        <v>-0.76000000000001933</v>
      </c>
      <c r="K1481" s="9">
        <f t="shared" si="208"/>
        <v>-4.3713332566433869E-3</v>
      </c>
      <c r="L1481" s="1">
        <f t="shared" si="209"/>
        <v>1</v>
      </c>
      <c r="M1481" s="1">
        <f t="shared" si="210"/>
        <v>175.17</v>
      </c>
      <c r="N1481" s="1">
        <f t="shared" si="211"/>
        <v>172.49</v>
      </c>
      <c r="O1481" s="1">
        <f t="shared" si="212"/>
        <v>171.14</v>
      </c>
      <c r="P1481" s="1">
        <f t="shared" si="213"/>
        <v>87.316326530612244</v>
      </c>
    </row>
    <row r="1482" spans="1:16">
      <c r="A1482" s="2">
        <v>40906</v>
      </c>
      <c r="B1482" s="1">
        <v>169.62</v>
      </c>
      <c r="C1482" s="1">
        <v>174.55</v>
      </c>
      <c r="D1482" s="1">
        <v>166.97</v>
      </c>
      <c r="E1482" s="1">
        <v>173.86</v>
      </c>
      <c r="F1482" s="1">
        <v>8209300</v>
      </c>
      <c r="G1482" s="1">
        <v>173.86</v>
      </c>
      <c r="H1482" s="1">
        <f t="shared" si="207"/>
        <v>7.5800000000000125</v>
      </c>
      <c r="I1482" s="9">
        <f t="shared" si="214"/>
        <v>4.5397376774270901E-2</v>
      </c>
      <c r="J1482" s="1">
        <f t="shared" si="215"/>
        <v>-2.9999999999972715E-2</v>
      </c>
      <c r="K1482" s="9">
        <f t="shared" si="208"/>
        <v>-1.7252285927869755E-4</v>
      </c>
      <c r="L1482" s="1">
        <f t="shared" si="209"/>
        <v>1</v>
      </c>
      <c r="M1482" s="1">
        <f t="shared" si="210"/>
        <v>174.55</v>
      </c>
      <c r="N1482" s="1">
        <f t="shared" si="211"/>
        <v>166.97</v>
      </c>
      <c r="O1482" s="1">
        <f t="shared" si="212"/>
        <v>171.9</v>
      </c>
      <c r="P1482" s="1">
        <f t="shared" si="213"/>
        <v>87.704081632653072</v>
      </c>
    </row>
    <row r="1483" spans="1:16">
      <c r="A1483" s="2">
        <v>40905</v>
      </c>
      <c r="B1483" s="1">
        <v>176.39</v>
      </c>
      <c r="C1483" s="1">
        <v>176.65</v>
      </c>
      <c r="D1483" s="1">
        <v>172.28</v>
      </c>
      <c r="E1483" s="1">
        <v>173.89</v>
      </c>
      <c r="F1483" s="1">
        <v>3659500</v>
      </c>
      <c r="G1483" s="1">
        <v>173.89</v>
      </c>
      <c r="H1483" s="1">
        <f t="shared" si="207"/>
        <v>4.3700000000000045</v>
      </c>
      <c r="I1483" s="9">
        <f t="shared" si="214"/>
        <v>2.5365683770606016E-2</v>
      </c>
      <c r="J1483" s="1">
        <f t="shared" si="215"/>
        <v>-2.3800000000000239</v>
      </c>
      <c r="K1483" s="9">
        <f t="shared" si="208"/>
        <v>-1.3502013955863298E-2</v>
      </c>
      <c r="L1483" s="1">
        <f t="shared" si="209"/>
        <v>1</v>
      </c>
      <c r="M1483" s="1">
        <f t="shared" si="210"/>
        <v>176.65</v>
      </c>
      <c r="N1483" s="1">
        <f t="shared" si="211"/>
        <v>172.28</v>
      </c>
      <c r="O1483" s="1">
        <f t="shared" si="212"/>
        <v>171.92999999999998</v>
      </c>
      <c r="P1483" s="1">
        <f t="shared" si="213"/>
        <v>87.719387755102034</v>
      </c>
    </row>
    <row r="1484" spans="1:16">
      <c r="A1484" s="2">
        <v>40904</v>
      </c>
      <c r="B1484" s="1">
        <v>177.73</v>
      </c>
      <c r="C1484" s="1">
        <v>178.59</v>
      </c>
      <c r="D1484" s="1">
        <v>176.16</v>
      </c>
      <c r="E1484" s="1">
        <v>176.27</v>
      </c>
      <c r="F1484" s="1">
        <v>2950900</v>
      </c>
      <c r="G1484" s="1">
        <v>176.27</v>
      </c>
      <c r="H1484" s="1">
        <f t="shared" si="207"/>
        <v>2.4300000000000068</v>
      </c>
      <c r="I1484" s="9">
        <f t="shared" si="214"/>
        <v>1.3794277929155352E-2</v>
      </c>
      <c r="J1484" s="1">
        <f t="shared" si="215"/>
        <v>-1.0099999999999909</v>
      </c>
      <c r="K1484" s="9">
        <f t="shared" si="208"/>
        <v>-5.6972021660649302E-3</v>
      </c>
      <c r="L1484" s="1">
        <f t="shared" si="209"/>
        <v>1</v>
      </c>
      <c r="M1484" s="1">
        <f t="shared" si="210"/>
        <v>178.59</v>
      </c>
      <c r="N1484" s="1">
        <f t="shared" si="211"/>
        <v>176.16</v>
      </c>
      <c r="O1484" s="1">
        <f t="shared" si="212"/>
        <v>174.31</v>
      </c>
      <c r="P1484" s="1">
        <f t="shared" si="213"/>
        <v>88.933673469387756</v>
      </c>
    </row>
    <row r="1485" spans="1:16">
      <c r="A1485" s="2">
        <v>40900</v>
      </c>
      <c r="B1485" s="1">
        <v>179.22</v>
      </c>
      <c r="C1485" s="1">
        <v>179.68</v>
      </c>
      <c r="D1485" s="1">
        <v>175.6</v>
      </c>
      <c r="E1485" s="1">
        <v>177.28</v>
      </c>
      <c r="F1485" s="1">
        <v>3496500</v>
      </c>
      <c r="G1485" s="1">
        <v>177.28</v>
      </c>
      <c r="H1485" s="1">
        <f t="shared" si="207"/>
        <v>4.0800000000000125</v>
      </c>
      <c r="I1485" s="9">
        <f t="shared" si="214"/>
        <v>2.3234624145785948E-2</v>
      </c>
      <c r="J1485" s="1">
        <f t="shared" si="215"/>
        <v>-1.75</v>
      </c>
      <c r="K1485" s="9">
        <f t="shared" si="208"/>
        <v>-9.7748980617773564E-3</v>
      </c>
      <c r="L1485" s="1">
        <f t="shared" si="209"/>
        <v>1</v>
      </c>
      <c r="M1485" s="1">
        <f t="shared" si="210"/>
        <v>179.68</v>
      </c>
      <c r="N1485" s="1">
        <f t="shared" si="211"/>
        <v>175.6</v>
      </c>
      <c r="O1485" s="1">
        <f t="shared" si="212"/>
        <v>175.32</v>
      </c>
      <c r="P1485" s="1">
        <f t="shared" si="213"/>
        <v>89.448979591836732</v>
      </c>
    </row>
    <row r="1486" spans="1:16">
      <c r="A1486" s="2">
        <v>40899</v>
      </c>
      <c r="B1486" s="1">
        <v>175.09</v>
      </c>
      <c r="C1486" s="1">
        <v>179.67</v>
      </c>
      <c r="D1486" s="1">
        <v>174.21</v>
      </c>
      <c r="E1486" s="1">
        <v>179.03</v>
      </c>
      <c r="F1486" s="1">
        <v>4694900</v>
      </c>
      <c r="G1486" s="1">
        <v>179.03</v>
      </c>
      <c r="H1486" s="1">
        <f t="shared" si="207"/>
        <v>5.4599999999999795</v>
      </c>
      <c r="I1486" s="9">
        <f t="shared" si="214"/>
        <v>3.1341484415360651E-2</v>
      </c>
      <c r="J1486" s="1">
        <f t="shared" si="215"/>
        <v>4.6800000000000068</v>
      </c>
      <c r="K1486" s="9">
        <f t="shared" si="208"/>
        <v>2.6842558072842023E-2</v>
      </c>
      <c r="L1486" s="1">
        <f t="shared" si="209"/>
        <v>1</v>
      </c>
      <c r="M1486" s="1">
        <f t="shared" si="210"/>
        <v>179.67</v>
      </c>
      <c r="N1486" s="1">
        <f t="shared" si="211"/>
        <v>174.21</v>
      </c>
      <c r="O1486" s="1">
        <f t="shared" si="212"/>
        <v>177.07</v>
      </c>
      <c r="P1486" s="1">
        <f t="shared" si="213"/>
        <v>90.341836734693871</v>
      </c>
    </row>
    <row r="1487" spans="1:16">
      <c r="A1487" s="2">
        <v>40898</v>
      </c>
      <c r="B1487" s="1">
        <v>181.92</v>
      </c>
      <c r="C1487" s="1">
        <v>183.5</v>
      </c>
      <c r="D1487" s="1">
        <v>172.49</v>
      </c>
      <c r="E1487" s="1">
        <v>174.35</v>
      </c>
      <c r="F1487" s="1">
        <v>8066700</v>
      </c>
      <c r="G1487" s="1">
        <v>174.35</v>
      </c>
      <c r="H1487" s="1">
        <f t="shared" si="207"/>
        <v>11.009999999999991</v>
      </c>
      <c r="I1487" s="9">
        <f t="shared" si="214"/>
        <v>6.3829787234042493E-2</v>
      </c>
      <c r="J1487" s="1">
        <f t="shared" si="215"/>
        <v>-8.1700000000000159</v>
      </c>
      <c r="K1487" s="9">
        <f t="shared" si="208"/>
        <v>-4.4762217839141E-2</v>
      </c>
      <c r="L1487" s="1">
        <f t="shared" si="209"/>
        <v>1</v>
      </c>
      <c r="M1487" s="1">
        <f t="shared" si="210"/>
        <v>183.5</v>
      </c>
      <c r="N1487" s="1">
        <f t="shared" si="211"/>
        <v>172.49</v>
      </c>
      <c r="O1487" s="1">
        <f t="shared" si="212"/>
        <v>172.39</v>
      </c>
      <c r="P1487" s="1">
        <f t="shared" si="213"/>
        <v>87.954081632653057</v>
      </c>
    </row>
    <row r="1488" spans="1:16">
      <c r="A1488" s="2">
        <v>40897</v>
      </c>
      <c r="B1488" s="1">
        <v>182.69</v>
      </c>
      <c r="C1488" s="1">
        <v>183.17</v>
      </c>
      <c r="D1488" s="1">
        <v>180.54</v>
      </c>
      <c r="E1488" s="1">
        <v>182.52</v>
      </c>
      <c r="F1488" s="1">
        <v>4600100</v>
      </c>
      <c r="G1488" s="1">
        <v>182.52</v>
      </c>
      <c r="H1488" s="1">
        <f t="shared" si="207"/>
        <v>2.6299999999999955</v>
      </c>
      <c r="I1488" s="9">
        <f t="shared" si="214"/>
        <v>1.4567408884457714E-2</v>
      </c>
      <c r="J1488" s="1">
        <f t="shared" si="215"/>
        <v>3.1899999999999977</v>
      </c>
      <c r="K1488" s="9">
        <f t="shared" si="208"/>
        <v>1.7788434729270046E-2</v>
      </c>
      <c r="L1488" s="1">
        <f t="shared" si="209"/>
        <v>1</v>
      </c>
      <c r="M1488" s="1">
        <f t="shared" si="210"/>
        <v>183.17</v>
      </c>
      <c r="N1488" s="1">
        <f t="shared" si="211"/>
        <v>180.54</v>
      </c>
      <c r="O1488" s="1">
        <f t="shared" si="212"/>
        <v>180.56</v>
      </c>
      <c r="P1488" s="1">
        <f t="shared" si="213"/>
        <v>92.122448979591837</v>
      </c>
    </row>
    <row r="1489" spans="1:16">
      <c r="A1489" s="2">
        <v>40896</v>
      </c>
      <c r="B1489" s="1">
        <v>182</v>
      </c>
      <c r="C1489" s="1">
        <v>183.17</v>
      </c>
      <c r="D1489" s="1">
        <v>179</v>
      </c>
      <c r="E1489" s="1">
        <v>179.33</v>
      </c>
      <c r="F1489" s="1">
        <v>4533600</v>
      </c>
      <c r="G1489" s="1">
        <v>179.33</v>
      </c>
      <c r="H1489" s="1">
        <f t="shared" si="207"/>
        <v>4.1699999999999875</v>
      </c>
      <c r="I1489" s="9">
        <f t="shared" si="214"/>
        <v>2.329608938547479E-2</v>
      </c>
      <c r="J1489" s="1">
        <f t="shared" si="215"/>
        <v>-1.9299999999999784</v>
      </c>
      <c r="K1489" s="9">
        <f t="shared" si="208"/>
        <v>-1.0647688403398315E-2</v>
      </c>
      <c r="L1489" s="1">
        <f t="shared" si="209"/>
        <v>1</v>
      </c>
      <c r="M1489" s="1">
        <f t="shared" si="210"/>
        <v>183.17</v>
      </c>
      <c r="N1489" s="1">
        <f t="shared" si="211"/>
        <v>179</v>
      </c>
      <c r="O1489" s="1">
        <f t="shared" si="212"/>
        <v>177.37</v>
      </c>
      <c r="P1489" s="1">
        <f t="shared" si="213"/>
        <v>90.494897959183675</v>
      </c>
    </row>
    <row r="1490" spans="1:16">
      <c r="A1490" s="2">
        <v>40893</v>
      </c>
      <c r="B1490" s="1">
        <v>182.42</v>
      </c>
      <c r="C1490" s="1">
        <v>184.41</v>
      </c>
      <c r="D1490" s="1">
        <v>180.31</v>
      </c>
      <c r="E1490" s="1">
        <v>181.26</v>
      </c>
      <c r="F1490" s="1">
        <v>6664100</v>
      </c>
      <c r="G1490" s="1">
        <v>181.26</v>
      </c>
      <c r="H1490" s="1">
        <f t="shared" si="207"/>
        <v>4.0999999999999943</v>
      </c>
      <c r="I1490" s="9">
        <f t="shared" si="214"/>
        <v>2.2738616826576422E-2</v>
      </c>
      <c r="J1490" s="1">
        <f t="shared" si="215"/>
        <v>0</v>
      </c>
      <c r="K1490" s="9">
        <f t="shared" si="208"/>
        <v>0</v>
      </c>
      <c r="L1490" s="1">
        <f t="shared" si="209"/>
        <v>1</v>
      </c>
      <c r="M1490" s="1">
        <f t="shared" si="210"/>
        <v>184.41</v>
      </c>
      <c r="N1490" s="1">
        <f t="shared" si="211"/>
        <v>180.31</v>
      </c>
      <c r="O1490" s="1">
        <f t="shared" si="212"/>
        <v>179.29999999999998</v>
      </c>
      <c r="P1490" s="1">
        <f t="shared" si="213"/>
        <v>91.479591836734684</v>
      </c>
    </row>
    <row r="1491" spans="1:16">
      <c r="A1491" s="2">
        <v>40892</v>
      </c>
      <c r="B1491" s="1">
        <v>182.05</v>
      </c>
      <c r="C1491" s="1">
        <v>184.8</v>
      </c>
      <c r="D1491" s="1">
        <v>179.53</v>
      </c>
      <c r="E1491" s="1">
        <v>181.26</v>
      </c>
      <c r="F1491" s="1">
        <v>7259900</v>
      </c>
      <c r="G1491" s="1">
        <v>181.26</v>
      </c>
      <c r="H1491" s="1">
        <f t="shared" si="207"/>
        <v>5.2700000000000102</v>
      </c>
      <c r="I1491" s="9">
        <f t="shared" si="214"/>
        <v>2.9354425444215508E-2</v>
      </c>
      <c r="J1491" s="1">
        <f t="shared" si="215"/>
        <v>1.0499999999999829</v>
      </c>
      <c r="K1491" s="9">
        <f t="shared" si="208"/>
        <v>5.8265357083401746E-3</v>
      </c>
      <c r="L1491" s="1">
        <f t="shared" si="209"/>
        <v>1</v>
      </c>
      <c r="M1491" s="1">
        <f t="shared" si="210"/>
        <v>184.8</v>
      </c>
      <c r="N1491" s="1">
        <f t="shared" si="211"/>
        <v>179.53</v>
      </c>
      <c r="O1491" s="1">
        <f t="shared" si="212"/>
        <v>179.29999999999998</v>
      </c>
      <c r="P1491" s="1">
        <f t="shared" si="213"/>
        <v>91.479591836734684</v>
      </c>
    </row>
    <row r="1492" spans="1:16">
      <c r="A1492" s="2">
        <v>40891</v>
      </c>
      <c r="B1492" s="1">
        <v>179</v>
      </c>
      <c r="C1492" s="1">
        <v>180.75</v>
      </c>
      <c r="D1492" s="1">
        <v>170.25</v>
      </c>
      <c r="E1492" s="1">
        <v>180.21</v>
      </c>
      <c r="F1492" s="1">
        <v>11614200</v>
      </c>
      <c r="G1492" s="1">
        <v>180.21</v>
      </c>
      <c r="H1492" s="1">
        <f t="shared" si="207"/>
        <v>10.5</v>
      </c>
      <c r="I1492" s="9">
        <f t="shared" si="214"/>
        <v>6.1674008810572688E-2</v>
      </c>
      <c r="J1492" s="1">
        <f t="shared" si="215"/>
        <v>-0.29999999999998295</v>
      </c>
      <c r="K1492" s="9">
        <f t="shared" si="208"/>
        <v>-1.6619577862721344E-3</v>
      </c>
      <c r="L1492" s="1">
        <f t="shared" si="209"/>
        <v>1</v>
      </c>
      <c r="M1492" s="1">
        <f t="shared" si="210"/>
        <v>180.75</v>
      </c>
      <c r="N1492" s="1">
        <f t="shared" si="211"/>
        <v>170.25</v>
      </c>
      <c r="O1492" s="1">
        <f t="shared" si="212"/>
        <v>178.25</v>
      </c>
      <c r="P1492" s="1">
        <f t="shared" si="213"/>
        <v>90.943877551020407</v>
      </c>
    </row>
    <row r="1493" spans="1:16">
      <c r="A1493" s="2">
        <v>40890</v>
      </c>
      <c r="B1493" s="1">
        <v>188.56</v>
      </c>
      <c r="C1493" s="1">
        <v>189.68</v>
      </c>
      <c r="D1493" s="1">
        <v>178.5</v>
      </c>
      <c r="E1493" s="1">
        <v>180.51</v>
      </c>
      <c r="F1493" s="1">
        <v>9297300</v>
      </c>
      <c r="G1493" s="1">
        <v>180.51</v>
      </c>
      <c r="H1493" s="1">
        <f t="shared" si="207"/>
        <v>11.180000000000007</v>
      </c>
      <c r="I1493" s="9">
        <f t="shared" si="214"/>
        <v>6.2633053221288551E-2</v>
      </c>
      <c r="J1493" s="1">
        <f t="shared" si="215"/>
        <v>-9.0100000000000193</v>
      </c>
      <c r="K1493" s="9">
        <f t="shared" si="208"/>
        <v>-4.7541156606163038E-2</v>
      </c>
      <c r="L1493" s="1">
        <f t="shared" si="209"/>
        <v>1</v>
      </c>
      <c r="M1493" s="1">
        <f t="shared" si="210"/>
        <v>189.68</v>
      </c>
      <c r="N1493" s="1">
        <f t="shared" si="211"/>
        <v>178.5</v>
      </c>
      <c r="O1493" s="1">
        <f t="shared" si="212"/>
        <v>178.54999999999998</v>
      </c>
      <c r="P1493" s="1">
        <f t="shared" si="213"/>
        <v>91.096938775510196</v>
      </c>
    </row>
    <row r="1494" spans="1:16">
      <c r="A1494" s="2">
        <v>40889</v>
      </c>
      <c r="B1494" s="1">
        <v>190.03</v>
      </c>
      <c r="C1494" s="1">
        <v>191.15</v>
      </c>
      <c r="D1494" s="1">
        <v>187.63</v>
      </c>
      <c r="E1494" s="1">
        <v>189.52</v>
      </c>
      <c r="F1494" s="1">
        <v>4343200</v>
      </c>
      <c r="G1494" s="1">
        <v>189.52</v>
      </c>
      <c r="H1494" s="1">
        <f t="shared" si="207"/>
        <v>3.5200000000000102</v>
      </c>
      <c r="I1494" s="9">
        <f t="shared" si="214"/>
        <v>1.876032617385285E-2</v>
      </c>
      <c r="J1494" s="1">
        <f t="shared" si="215"/>
        <v>-3.5099999999999909</v>
      </c>
      <c r="K1494" s="9">
        <f t="shared" si="208"/>
        <v>-1.8183702015230747E-2</v>
      </c>
      <c r="L1494" s="1">
        <f t="shared" si="209"/>
        <v>1</v>
      </c>
      <c r="M1494" s="1">
        <f t="shared" si="210"/>
        <v>191.15</v>
      </c>
      <c r="N1494" s="1">
        <f t="shared" si="211"/>
        <v>187.63</v>
      </c>
      <c r="O1494" s="1">
        <f t="shared" si="212"/>
        <v>187.56</v>
      </c>
      <c r="P1494" s="1">
        <f t="shared" si="213"/>
        <v>95.693877551020407</v>
      </c>
    </row>
    <row r="1495" spans="1:16">
      <c r="A1495" s="2">
        <v>40886</v>
      </c>
      <c r="B1495" s="1">
        <v>191.21</v>
      </c>
      <c r="C1495" s="1">
        <v>193.95</v>
      </c>
      <c r="D1495" s="1">
        <v>188.4</v>
      </c>
      <c r="E1495" s="1">
        <v>193.03</v>
      </c>
      <c r="F1495" s="1">
        <v>5158800</v>
      </c>
      <c r="G1495" s="1">
        <v>193.03</v>
      </c>
      <c r="H1495" s="1">
        <f t="shared" si="207"/>
        <v>5.5499999999999829</v>
      </c>
      <c r="I1495" s="9">
        <f t="shared" si="214"/>
        <v>2.945859872611456E-2</v>
      </c>
      <c r="J1495" s="1">
        <f t="shared" si="215"/>
        <v>2.5500000000000114</v>
      </c>
      <c r="K1495" s="9">
        <f t="shared" si="208"/>
        <v>1.3387232255354953E-2</v>
      </c>
      <c r="L1495" s="1">
        <f t="shared" si="209"/>
        <v>1</v>
      </c>
      <c r="M1495" s="1">
        <f t="shared" si="210"/>
        <v>193.95</v>
      </c>
      <c r="N1495" s="1">
        <f t="shared" si="211"/>
        <v>188.4</v>
      </c>
      <c r="O1495" s="1">
        <f t="shared" si="212"/>
        <v>191.07</v>
      </c>
      <c r="P1495" s="1">
        <f t="shared" si="213"/>
        <v>97.484693877551024</v>
      </c>
    </row>
    <row r="1496" spans="1:16">
      <c r="A1496" s="2">
        <v>40885</v>
      </c>
      <c r="B1496" s="1">
        <v>193.57</v>
      </c>
      <c r="C1496" s="1">
        <v>195.89</v>
      </c>
      <c r="D1496" s="1">
        <v>190.08</v>
      </c>
      <c r="E1496" s="1">
        <v>190.48</v>
      </c>
      <c r="F1496" s="1">
        <v>4361100</v>
      </c>
      <c r="G1496" s="1">
        <v>190.48</v>
      </c>
      <c r="H1496" s="1">
        <f t="shared" si="207"/>
        <v>5.8099999999999739</v>
      </c>
      <c r="I1496" s="9">
        <f t="shared" si="214"/>
        <v>3.05660774410773E-2</v>
      </c>
      <c r="J1496" s="1">
        <f t="shared" si="215"/>
        <v>-4.8400000000000034</v>
      </c>
      <c r="K1496" s="9">
        <f t="shared" si="208"/>
        <v>-2.4779848453819392E-2</v>
      </c>
      <c r="L1496" s="1">
        <f t="shared" si="209"/>
        <v>1</v>
      </c>
      <c r="M1496" s="1">
        <f t="shared" si="210"/>
        <v>195.89</v>
      </c>
      <c r="N1496" s="1">
        <f t="shared" si="211"/>
        <v>190.08</v>
      </c>
      <c r="O1496" s="1">
        <f t="shared" si="212"/>
        <v>188.51999999999998</v>
      </c>
      <c r="P1496" s="1">
        <f t="shared" si="213"/>
        <v>96.183673469387742</v>
      </c>
    </row>
    <row r="1497" spans="1:16">
      <c r="A1497" s="2">
        <v>40884</v>
      </c>
      <c r="B1497" s="1">
        <v>191.03</v>
      </c>
      <c r="C1497" s="1">
        <v>196.71</v>
      </c>
      <c r="D1497" s="1">
        <v>189.12</v>
      </c>
      <c r="E1497" s="1">
        <v>195.32</v>
      </c>
      <c r="F1497" s="1">
        <v>6427300</v>
      </c>
      <c r="G1497" s="1">
        <v>195.32</v>
      </c>
      <c r="H1497" s="1">
        <f t="shared" si="207"/>
        <v>7.5900000000000034</v>
      </c>
      <c r="I1497" s="9">
        <f t="shared" si="214"/>
        <v>4.0133248730964487E-2</v>
      </c>
      <c r="J1497" s="1">
        <f t="shared" si="215"/>
        <v>3.3299999999999841</v>
      </c>
      <c r="K1497" s="9">
        <f t="shared" si="208"/>
        <v>1.7344653367362801E-2</v>
      </c>
      <c r="L1497" s="1">
        <f t="shared" si="209"/>
        <v>1</v>
      </c>
      <c r="M1497" s="1">
        <f t="shared" si="210"/>
        <v>196.71</v>
      </c>
      <c r="N1497" s="1">
        <f t="shared" si="211"/>
        <v>189.12</v>
      </c>
      <c r="O1497" s="1">
        <f t="shared" si="212"/>
        <v>193.35999999999999</v>
      </c>
      <c r="P1497" s="1">
        <f t="shared" si="213"/>
        <v>98.65306122448979</v>
      </c>
    </row>
    <row r="1498" spans="1:16">
      <c r="A1498" s="2">
        <v>40883</v>
      </c>
      <c r="B1498" s="1">
        <v>195.98</v>
      </c>
      <c r="C1498" s="1">
        <v>198.32</v>
      </c>
      <c r="D1498" s="1">
        <v>190.11</v>
      </c>
      <c r="E1498" s="1">
        <v>191.99</v>
      </c>
      <c r="F1498" s="1">
        <v>5202000</v>
      </c>
      <c r="G1498" s="1">
        <v>191.99</v>
      </c>
      <c r="H1498" s="1">
        <f t="shared" si="207"/>
        <v>8.2099999999999795</v>
      </c>
      <c r="I1498" s="9">
        <f t="shared" si="214"/>
        <v>4.3185524170217135E-2</v>
      </c>
      <c r="J1498" s="1">
        <f t="shared" si="215"/>
        <v>-4.25</v>
      </c>
      <c r="K1498" s="9">
        <f t="shared" si="208"/>
        <v>-2.1657154504688136E-2</v>
      </c>
      <c r="L1498" s="1">
        <f t="shared" si="209"/>
        <v>1</v>
      </c>
      <c r="M1498" s="1">
        <f t="shared" si="210"/>
        <v>198.32</v>
      </c>
      <c r="N1498" s="1">
        <f t="shared" si="211"/>
        <v>190.11</v>
      </c>
      <c r="O1498" s="1">
        <f t="shared" si="212"/>
        <v>190.03</v>
      </c>
      <c r="P1498" s="1">
        <f t="shared" si="213"/>
        <v>96.954081632653057</v>
      </c>
    </row>
    <row r="1499" spans="1:16">
      <c r="A1499" s="2">
        <v>40882</v>
      </c>
      <c r="B1499" s="1">
        <v>198.86</v>
      </c>
      <c r="C1499" s="1">
        <v>199</v>
      </c>
      <c r="D1499" s="1">
        <v>193.67</v>
      </c>
      <c r="E1499" s="1">
        <v>196.24</v>
      </c>
      <c r="F1499" s="1">
        <v>5922100</v>
      </c>
      <c r="G1499" s="1">
        <v>196.24</v>
      </c>
      <c r="H1499" s="1">
        <f t="shared" si="207"/>
        <v>5.3300000000000125</v>
      </c>
      <c r="I1499" s="9">
        <f t="shared" si="214"/>
        <v>2.7521040945939036E-2</v>
      </c>
      <c r="J1499" s="1">
        <f t="shared" si="215"/>
        <v>0.21000000000000796</v>
      </c>
      <c r="K1499" s="9">
        <f t="shared" si="208"/>
        <v>1.0712646023568228E-3</v>
      </c>
      <c r="L1499" s="1">
        <f t="shared" si="209"/>
        <v>1</v>
      </c>
      <c r="M1499" s="1">
        <f t="shared" si="210"/>
        <v>199</v>
      </c>
      <c r="N1499" s="1">
        <f t="shared" si="211"/>
        <v>193.67</v>
      </c>
      <c r="O1499" s="1">
        <f t="shared" si="212"/>
        <v>194.28</v>
      </c>
      <c r="P1499" s="1">
        <f t="shared" si="213"/>
        <v>99.122448979591837</v>
      </c>
    </row>
    <row r="1500" spans="1:16">
      <c r="A1500" s="2">
        <v>40879</v>
      </c>
      <c r="B1500" s="1">
        <v>197.07</v>
      </c>
      <c r="C1500" s="1">
        <v>199.66</v>
      </c>
      <c r="D1500" s="1">
        <v>195.18</v>
      </c>
      <c r="E1500" s="1">
        <v>196.03</v>
      </c>
      <c r="F1500" s="1">
        <v>7526200</v>
      </c>
      <c r="G1500" s="1">
        <v>196.03</v>
      </c>
      <c r="H1500" s="1">
        <f t="shared" si="207"/>
        <v>4.4799999999999898</v>
      </c>
      <c r="I1500" s="9">
        <f t="shared" si="214"/>
        <v>2.2953171431499077E-2</v>
      </c>
      <c r="J1500" s="1">
        <f t="shared" si="215"/>
        <v>-1.0999999999999943</v>
      </c>
      <c r="K1500" s="9">
        <f t="shared" si="208"/>
        <v>-5.5800740628011688E-3</v>
      </c>
      <c r="L1500" s="1">
        <f t="shared" si="209"/>
        <v>1</v>
      </c>
      <c r="M1500" s="1">
        <f t="shared" si="210"/>
        <v>199.66</v>
      </c>
      <c r="N1500" s="1">
        <f t="shared" si="211"/>
        <v>195.18</v>
      </c>
      <c r="O1500" s="1">
        <f t="shared" si="212"/>
        <v>194.07</v>
      </c>
      <c r="P1500" s="1">
        <f t="shared" si="213"/>
        <v>99.015306122448976</v>
      </c>
    </row>
    <row r="1501" spans="1:16">
      <c r="A1501" s="2">
        <v>40878</v>
      </c>
      <c r="B1501" s="1">
        <v>191.85</v>
      </c>
      <c r="C1501" s="1">
        <v>198.07</v>
      </c>
      <c r="D1501" s="1">
        <v>191.59</v>
      </c>
      <c r="E1501" s="1">
        <v>197.13</v>
      </c>
      <c r="F1501" s="1">
        <v>7327700</v>
      </c>
      <c r="G1501" s="1">
        <v>197.13</v>
      </c>
      <c r="H1501" s="1">
        <f t="shared" si="207"/>
        <v>6.4799999999999898</v>
      </c>
      <c r="I1501" s="9">
        <f t="shared" si="214"/>
        <v>3.3822224541990659E-2</v>
      </c>
      <c r="J1501" s="1">
        <f t="shared" si="215"/>
        <v>4.8400000000000034</v>
      </c>
      <c r="K1501" s="9">
        <f t="shared" si="208"/>
        <v>2.5170315669041571E-2</v>
      </c>
      <c r="L1501" s="1">
        <f t="shared" si="209"/>
        <v>1</v>
      </c>
      <c r="M1501" s="1">
        <f t="shared" si="210"/>
        <v>198.07</v>
      </c>
      <c r="N1501" s="1">
        <f t="shared" si="211"/>
        <v>191.59</v>
      </c>
      <c r="O1501" s="1">
        <f t="shared" si="212"/>
        <v>195.17</v>
      </c>
      <c r="P1501" s="1">
        <f t="shared" si="213"/>
        <v>99.576530612244895</v>
      </c>
    </row>
    <row r="1502" spans="1:16">
      <c r="A1502" s="2">
        <v>40877</v>
      </c>
      <c r="B1502" s="1">
        <v>194.76</v>
      </c>
      <c r="C1502" s="1">
        <v>195.3</v>
      </c>
      <c r="D1502" s="1">
        <v>188.75</v>
      </c>
      <c r="E1502" s="1">
        <v>192.29</v>
      </c>
      <c r="F1502" s="1">
        <v>7717000</v>
      </c>
      <c r="G1502" s="1">
        <v>192.29</v>
      </c>
      <c r="H1502" s="1">
        <f t="shared" si="207"/>
        <v>6.5500000000000114</v>
      </c>
      <c r="I1502" s="9">
        <f t="shared" si="214"/>
        <v>3.4701986754966947E-2</v>
      </c>
      <c r="J1502" s="1">
        <f t="shared" si="215"/>
        <v>3.9000000000000057</v>
      </c>
      <c r="K1502" s="9">
        <f t="shared" si="208"/>
        <v>2.0701735760921523E-2</v>
      </c>
      <c r="L1502" s="1">
        <f t="shared" si="209"/>
        <v>1</v>
      </c>
      <c r="M1502" s="1">
        <f t="shared" si="210"/>
        <v>195.3</v>
      </c>
      <c r="N1502" s="1">
        <f t="shared" si="211"/>
        <v>188.75</v>
      </c>
      <c r="O1502" s="1">
        <f t="shared" si="212"/>
        <v>190.32999999999998</v>
      </c>
      <c r="P1502" s="1">
        <f t="shared" si="213"/>
        <v>97.107142857142847</v>
      </c>
    </row>
    <row r="1503" spans="1:16">
      <c r="A1503" s="2">
        <v>40876</v>
      </c>
      <c r="B1503" s="1">
        <v>194.78</v>
      </c>
      <c r="C1503" s="1">
        <v>195.5</v>
      </c>
      <c r="D1503" s="1">
        <v>187.3</v>
      </c>
      <c r="E1503" s="1">
        <v>188.39</v>
      </c>
      <c r="F1503" s="1">
        <v>6575100</v>
      </c>
      <c r="G1503" s="1">
        <v>188.39</v>
      </c>
      <c r="H1503" s="1">
        <f t="shared" si="207"/>
        <v>8.1999999999999886</v>
      </c>
      <c r="I1503" s="9">
        <f t="shared" si="214"/>
        <v>4.3780032034169719E-2</v>
      </c>
      <c r="J1503" s="1">
        <f t="shared" si="215"/>
        <v>-5.7600000000000193</v>
      </c>
      <c r="K1503" s="9">
        <f t="shared" si="208"/>
        <v>-2.9667782642286991E-2</v>
      </c>
      <c r="L1503" s="1">
        <f t="shared" si="209"/>
        <v>1</v>
      </c>
      <c r="M1503" s="1">
        <f t="shared" si="210"/>
        <v>195.5</v>
      </c>
      <c r="N1503" s="1">
        <f t="shared" si="211"/>
        <v>187.3</v>
      </c>
      <c r="O1503" s="1">
        <f t="shared" si="212"/>
        <v>186.42999999999998</v>
      </c>
      <c r="P1503" s="1">
        <f t="shared" si="213"/>
        <v>95.117346938775498</v>
      </c>
    </row>
    <row r="1504" spans="1:16">
      <c r="A1504" s="2">
        <v>40875</v>
      </c>
      <c r="B1504" s="1">
        <v>191.65</v>
      </c>
      <c r="C1504" s="1">
        <v>194.62</v>
      </c>
      <c r="D1504" s="1">
        <v>190.54</v>
      </c>
      <c r="E1504" s="1">
        <v>194.15</v>
      </c>
      <c r="F1504" s="1">
        <v>7207300</v>
      </c>
      <c r="G1504" s="1">
        <v>194.15</v>
      </c>
      <c r="H1504" s="1">
        <f t="shared" si="207"/>
        <v>4.0800000000000125</v>
      </c>
      <c r="I1504" s="9">
        <f t="shared" si="214"/>
        <v>2.1412826703054545E-2</v>
      </c>
      <c r="J1504" s="1">
        <f t="shared" si="215"/>
        <v>11.75</v>
      </c>
      <c r="K1504" s="9">
        <f t="shared" si="208"/>
        <v>6.4418859649122806E-2</v>
      </c>
      <c r="L1504" s="1">
        <f t="shared" si="209"/>
        <v>1</v>
      </c>
      <c r="M1504" s="1">
        <f t="shared" si="210"/>
        <v>194.62</v>
      </c>
      <c r="N1504" s="1">
        <f t="shared" si="211"/>
        <v>190.54</v>
      </c>
      <c r="O1504" s="1">
        <f t="shared" si="212"/>
        <v>192.19</v>
      </c>
      <c r="P1504" s="1">
        <f t="shared" si="213"/>
        <v>98.056122448979593</v>
      </c>
    </row>
    <row r="1505" spans="1:16">
      <c r="A1505" s="2">
        <v>40872</v>
      </c>
      <c r="B1505" s="1">
        <v>190.41</v>
      </c>
      <c r="C1505" s="1">
        <v>190.83</v>
      </c>
      <c r="D1505" s="1">
        <v>181.51</v>
      </c>
      <c r="E1505" s="1">
        <v>182.4</v>
      </c>
      <c r="F1505" s="1">
        <v>4972000</v>
      </c>
      <c r="G1505" s="1">
        <v>182.4</v>
      </c>
      <c r="H1505" s="1">
        <f t="shared" si="207"/>
        <v>9.3200000000000216</v>
      </c>
      <c r="I1505" s="9">
        <f t="shared" si="214"/>
        <v>5.1347033221310241E-2</v>
      </c>
      <c r="J1505" s="1">
        <f t="shared" si="215"/>
        <v>-6.5900000000000034</v>
      </c>
      <c r="K1505" s="9">
        <f t="shared" si="208"/>
        <v>-3.486956981850893E-2</v>
      </c>
      <c r="L1505" s="1">
        <f t="shared" si="209"/>
        <v>1</v>
      </c>
      <c r="M1505" s="1">
        <f t="shared" si="210"/>
        <v>190.83</v>
      </c>
      <c r="N1505" s="1">
        <f t="shared" si="211"/>
        <v>181.51</v>
      </c>
      <c r="O1505" s="1">
        <f t="shared" si="212"/>
        <v>180.44</v>
      </c>
      <c r="P1505" s="1">
        <f t="shared" si="213"/>
        <v>92.061224489795919</v>
      </c>
    </row>
    <row r="1506" spans="1:16">
      <c r="A1506" s="2">
        <v>40870</v>
      </c>
      <c r="B1506" s="1">
        <v>193.06</v>
      </c>
      <c r="C1506" s="1">
        <v>194.6</v>
      </c>
      <c r="D1506" s="1">
        <v>187.89</v>
      </c>
      <c r="E1506" s="1">
        <v>188.99</v>
      </c>
      <c r="F1506" s="1">
        <v>8011300</v>
      </c>
      <c r="G1506" s="1">
        <v>188.99</v>
      </c>
      <c r="H1506" s="1">
        <f t="shared" si="207"/>
        <v>6.710000000000008</v>
      </c>
      <c r="I1506" s="9">
        <f t="shared" si="214"/>
        <v>3.57123849060621E-2</v>
      </c>
      <c r="J1506" s="1">
        <f t="shared" si="215"/>
        <v>-3.3499999999999943</v>
      </c>
      <c r="K1506" s="9">
        <f t="shared" si="208"/>
        <v>-1.7417073931579465E-2</v>
      </c>
      <c r="L1506" s="1">
        <f t="shared" si="209"/>
        <v>1</v>
      </c>
      <c r="M1506" s="1">
        <f t="shared" si="210"/>
        <v>194.6</v>
      </c>
      <c r="N1506" s="1">
        <f t="shared" si="211"/>
        <v>187.89</v>
      </c>
      <c r="O1506" s="1">
        <f t="shared" si="212"/>
        <v>187.03</v>
      </c>
      <c r="P1506" s="1">
        <f t="shared" si="213"/>
        <v>95.423469387755105</v>
      </c>
    </row>
    <row r="1507" spans="1:16">
      <c r="A1507" s="2">
        <v>40869</v>
      </c>
      <c r="B1507" s="1">
        <v>186.95</v>
      </c>
      <c r="C1507" s="1">
        <v>194.04</v>
      </c>
      <c r="D1507" s="1">
        <v>183.58</v>
      </c>
      <c r="E1507" s="1">
        <v>192.34</v>
      </c>
      <c r="F1507" s="1">
        <v>9915600</v>
      </c>
      <c r="G1507" s="1">
        <v>192.34</v>
      </c>
      <c r="H1507" s="1">
        <f t="shared" si="207"/>
        <v>10.45999999999998</v>
      </c>
      <c r="I1507" s="9">
        <f t="shared" si="214"/>
        <v>5.6977884301122009E-2</v>
      </c>
      <c r="J1507" s="1">
        <f t="shared" si="215"/>
        <v>3.0900000000000034</v>
      </c>
      <c r="K1507" s="9">
        <f t="shared" si="208"/>
        <v>1.6327608982826966E-2</v>
      </c>
      <c r="L1507" s="1">
        <f t="shared" si="209"/>
        <v>1</v>
      </c>
      <c r="M1507" s="1">
        <f t="shared" si="210"/>
        <v>194.04</v>
      </c>
      <c r="N1507" s="1">
        <f t="shared" si="211"/>
        <v>183.58</v>
      </c>
      <c r="O1507" s="1">
        <f t="shared" si="212"/>
        <v>190.38</v>
      </c>
      <c r="P1507" s="1">
        <f t="shared" si="213"/>
        <v>97.132653061224488</v>
      </c>
    </row>
    <row r="1508" spans="1:16">
      <c r="A1508" s="2">
        <v>40868</v>
      </c>
      <c r="B1508" s="1">
        <v>193.29</v>
      </c>
      <c r="C1508" s="1">
        <v>193.36</v>
      </c>
      <c r="D1508" s="1">
        <v>185.05</v>
      </c>
      <c r="E1508" s="1">
        <v>189.25</v>
      </c>
      <c r="F1508" s="1">
        <v>11321200</v>
      </c>
      <c r="G1508" s="1">
        <v>189.25</v>
      </c>
      <c r="H1508" s="1">
        <f t="shared" si="207"/>
        <v>8.3100000000000023</v>
      </c>
      <c r="I1508" s="9">
        <f t="shared" si="214"/>
        <v>4.4906781950824114E-2</v>
      </c>
      <c r="J1508" s="1">
        <f t="shared" si="215"/>
        <v>-7.8899999999999864</v>
      </c>
      <c r="K1508" s="9">
        <f t="shared" si="208"/>
        <v>-4.0022319164045791E-2</v>
      </c>
      <c r="L1508" s="1">
        <f t="shared" si="209"/>
        <v>1</v>
      </c>
      <c r="M1508" s="1">
        <f t="shared" si="210"/>
        <v>193.36</v>
      </c>
      <c r="N1508" s="1">
        <f t="shared" si="211"/>
        <v>185.05</v>
      </c>
      <c r="O1508" s="1">
        <f t="shared" si="212"/>
        <v>187.29</v>
      </c>
      <c r="P1508" s="1">
        <f t="shared" si="213"/>
        <v>95.556122448979593</v>
      </c>
    </row>
    <row r="1509" spans="1:16">
      <c r="A1509" s="2">
        <v>40865</v>
      </c>
      <c r="B1509" s="1">
        <v>205.33</v>
      </c>
      <c r="C1509" s="1">
        <v>205.34</v>
      </c>
      <c r="D1509" s="1">
        <v>197.11</v>
      </c>
      <c r="E1509" s="1">
        <v>197.14</v>
      </c>
      <c r="F1509" s="1">
        <v>8437500</v>
      </c>
      <c r="G1509" s="1">
        <v>197.14</v>
      </c>
      <c r="H1509" s="1">
        <f t="shared" si="207"/>
        <v>8.2299999999999898</v>
      </c>
      <c r="I1509" s="9">
        <f t="shared" si="214"/>
        <v>4.1753335700877629E-2</v>
      </c>
      <c r="J1509" s="1">
        <f t="shared" si="215"/>
        <v>-7.3800000000000239</v>
      </c>
      <c r="K1509" s="9">
        <f t="shared" si="208"/>
        <v>-3.6084490514375241E-2</v>
      </c>
      <c r="L1509" s="1">
        <f t="shared" si="209"/>
        <v>1</v>
      </c>
      <c r="M1509" s="1">
        <f t="shared" si="210"/>
        <v>205.34</v>
      </c>
      <c r="N1509" s="1">
        <f t="shared" si="211"/>
        <v>197.11</v>
      </c>
      <c r="O1509" s="1">
        <f t="shared" si="212"/>
        <v>195.17999999999998</v>
      </c>
      <c r="P1509" s="1">
        <f t="shared" si="213"/>
        <v>99.58163265306122</v>
      </c>
    </row>
    <row r="1510" spans="1:16">
      <c r="A1510" s="2">
        <v>40864</v>
      </c>
      <c r="B1510" s="1">
        <v>212.51</v>
      </c>
      <c r="C1510" s="1">
        <v>212.9</v>
      </c>
      <c r="D1510" s="1">
        <v>202.1</v>
      </c>
      <c r="E1510" s="1">
        <v>204.52</v>
      </c>
      <c r="F1510" s="1">
        <v>7983100</v>
      </c>
      <c r="G1510" s="1">
        <v>204.52</v>
      </c>
      <c r="H1510" s="1">
        <f t="shared" si="207"/>
        <v>10.800000000000011</v>
      </c>
      <c r="I1510" s="9">
        <f t="shared" si="214"/>
        <v>5.3438891637803125E-2</v>
      </c>
      <c r="J1510" s="1">
        <f t="shared" si="215"/>
        <v>-7.4699999999999989</v>
      </c>
      <c r="K1510" s="9">
        <f t="shared" si="208"/>
        <v>-3.5237511203358642E-2</v>
      </c>
      <c r="L1510" s="1">
        <f t="shared" si="209"/>
        <v>1</v>
      </c>
      <c r="M1510" s="1">
        <f t="shared" si="210"/>
        <v>212.9</v>
      </c>
      <c r="N1510" s="1">
        <f t="shared" si="211"/>
        <v>202.1</v>
      </c>
      <c r="O1510" s="1">
        <f t="shared" si="212"/>
        <v>202.56</v>
      </c>
      <c r="P1510" s="1">
        <f t="shared" si="213"/>
        <v>103.34693877551021</v>
      </c>
    </row>
    <row r="1511" spans="1:16">
      <c r="A1511" s="2">
        <v>40863</v>
      </c>
      <c r="B1511" s="1">
        <v>216.27</v>
      </c>
      <c r="C1511" s="1">
        <v>216.97</v>
      </c>
      <c r="D1511" s="1">
        <v>211.23</v>
      </c>
      <c r="E1511" s="1">
        <v>211.99</v>
      </c>
      <c r="F1511" s="1">
        <v>5509400</v>
      </c>
      <c r="G1511" s="1">
        <v>211.99</v>
      </c>
      <c r="H1511" s="1">
        <f t="shared" si="207"/>
        <v>5.7400000000000091</v>
      </c>
      <c r="I1511" s="9">
        <f t="shared" si="214"/>
        <v>2.7174170335653124E-2</v>
      </c>
      <c r="J1511" s="1">
        <f t="shared" si="215"/>
        <v>-5.8400000000000034</v>
      </c>
      <c r="K1511" s="9">
        <f t="shared" si="208"/>
        <v>-2.6809897626589557E-2</v>
      </c>
      <c r="L1511" s="1">
        <f t="shared" si="209"/>
        <v>1</v>
      </c>
      <c r="M1511" s="1">
        <f t="shared" si="210"/>
        <v>216.97</v>
      </c>
      <c r="N1511" s="1">
        <f t="shared" si="211"/>
        <v>211.23</v>
      </c>
      <c r="O1511" s="1">
        <f t="shared" si="212"/>
        <v>210.03</v>
      </c>
      <c r="P1511" s="1">
        <f t="shared" si="213"/>
        <v>107.15816326530613</v>
      </c>
    </row>
    <row r="1512" spans="1:16">
      <c r="A1512" s="2">
        <v>40862</v>
      </c>
      <c r="B1512" s="1">
        <v>218</v>
      </c>
      <c r="C1512" s="1">
        <v>220.33</v>
      </c>
      <c r="D1512" s="1">
        <v>214.26</v>
      </c>
      <c r="E1512" s="1">
        <v>217.83</v>
      </c>
      <c r="F1512" s="1">
        <v>5739000</v>
      </c>
      <c r="G1512" s="1">
        <v>217.83</v>
      </c>
      <c r="H1512" s="1">
        <f t="shared" si="207"/>
        <v>6.0700000000000216</v>
      </c>
      <c r="I1512" s="9">
        <f t="shared" si="214"/>
        <v>2.8330066274619724E-2</v>
      </c>
      <c r="J1512" s="1">
        <f t="shared" si="215"/>
        <v>-1.0999999999999943</v>
      </c>
      <c r="K1512" s="9">
        <f t="shared" si="208"/>
        <v>-5.0244370346685897E-3</v>
      </c>
      <c r="L1512" s="1">
        <f t="shared" si="209"/>
        <v>1</v>
      </c>
      <c r="M1512" s="1">
        <f t="shared" si="210"/>
        <v>220.33</v>
      </c>
      <c r="N1512" s="1">
        <f t="shared" si="211"/>
        <v>214.26</v>
      </c>
      <c r="O1512" s="1">
        <f t="shared" si="212"/>
        <v>215.87</v>
      </c>
      <c r="P1512" s="1">
        <f t="shared" si="213"/>
        <v>110.13775510204083</v>
      </c>
    </row>
    <row r="1513" spans="1:16">
      <c r="A1513" s="2">
        <v>40861</v>
      </c>
      <c r="B1513" s="1">
        <v>215.65</v>
      </c>
      <c r="C1513" s="1">
        <v>222.35</v>
      </c>
      <c r="D1513" s="1">
        <v>214.25</v>
      </c>
      <c r="E1513" s="1">
        <v>218.93</v>
      </c>
      <c r="F1513" s="1">
        <v>6522200</v>
      </c>
      <c r="G1513" s="1">
        <v>218.93</v>
      </c>
      <c r="H1513" s="1">
        <f t="shared" si="207"/>
        <v>8.0999999999999943</v>
      </c>
      <c r="I1513" s="9">
        <f t="shared" si="214"/>
        <v>3.7806301050175004E-2</v>
      </c>
      <c r="J1513" s="1">
        <f t="shared" si="215"/>
        <v>1.5400000000000205</v>
      </c>
      <c r="K1513" s="9">
        <f t="shared" si="208"/>
        <v>7.0840425042551199E-3</v>
      </c>
      <c r="L1513" s="1">
        <f t="shared" si="209"/>
        <v>1</v>
      </c>
      <c r="M1513" s="1">
        <f t="shared" si="210"/>
        <v>222.35</v>
      </c>
      <c r="N1513" s="1">
        <f t="shared" si="211"/>
        <v>214.25</v>
      </c>
      <c r="O1513" s="1">
        <f t="shared" si="212"/>
        <v>216.97</v>
      </c>
      <c r="P1513" s="1">
        <f t="shared" si="213"/>
        <v>110.69897959183673</v>
      </c>
    </row>
    <row r="1514" spans="1:16">
      <c r="A1514" s="2">
        <v>40858</v>
      </c>
      <c r="B1514" s="1">
        <v>212.52</v>
      </c>
      <c r="C1514" s="1">
        <v>217.88</v>
      </c>
      <c r="D1514" s="1">
        <v>210.31</v>
      </c>
      <c r="E1514" s="1">
        <v>217.39</v>
      </c>
      <c r="F1514" s="1">
        <v>5163100</v>
      </c>
      <c r="G1514" s="1">
        <v>217.39</v>
      </c>
      <c r="H1514" s="1">
        <f t="shared" si="207"/>
        <v>7.5699999999999932</v>
      </c>
      <c r="I1514" s="9">
        <f t="shared" si="214"/>
        <v>3.5994484332651767E-2</v>
      </c>
      <c r="J1514" s="1">
        <f t="shared" si="215"/>
        <v>6.5999999999999943</v>
      </c>
      <c r="K1514" s="9">
        <f t="shared" si="208"/>
        <v>3.1310783243986881E-2</v>
      </c>
      <c r="L1514" s="1">
        <f t="shared" si="209"/>
        <v>1</v>
      </c>
      <c r="M1514" s="1">
        <f t="shared" si="210"/>
        <v>217.88</v>
      </c>
      <c r="N1514" s="1">
        <f t="shared" si="211"/>
        <v>210.31</v>
      </c>
      <c r="O1514" s="1">
        <f t="shared" si="212"/>
        <v>215.42999999999998</v>
      </c>
      <c r="P1514" s="1">
        <f t="shared" si="213"/>
        <v>109.91326530612244</v>
      </c>
    </row>
    <row r="1515" spans="1:16">
      <c r="A1515" s="2">
        <v>40857</v>
      </c>
      <c r="B1515" s="1">
        <v>213.5</v>
      </c>
      <c r="C1515" s="1">
        <v>214.06</v>
      </c>
      <c r="D1515" s="1">
        <v>208.1</v>
      </c>
      <c r="E1515" s="1">
        <v>210.79</v>
      </c>
      <c r="F1515" s="1">
        <v>5044600</v>
      </c>
      <c r="G1515" s="1">
        <v>210.79</v>
      </c>
      <c r="H1515" s="1">
        <f t="shared" si="207"/>
        <v>5.960000000000008</v>
      </c>
      <c r="I1515" s="9">
        <f t="shared" si="214"/>
        <v>2.8640076886112486E-2</v>
      </c>
      <c r="J1515" s="1">
        <f t="shared" si="215"/>
        <v>-0.43000000000000682</v>
      </c>
      <c r="K1515" s="9">
        <f t="shared" si="208"/>
        <v>-2.0357920651453785E-3</v>
      </c>
      <c r="L1515" s="1">
        <f t="shared" si="209"/>
        <v>1</v>
      </c>
      <c r="M1515" s="1">
        <f t="shared" si="210"/>
        <v>214.06</v>
      </c>
      <c r="N1515" s="1">
        <f t="shared" si="211"/>
        <v>208.1</v>
      </c>
      <c r="O1515" s="1">
        <f t="shared" si="212"/>
        <v>208.82999999999998</v>
      </c>
      <c r="P1515" s="1">
        <f t="shared" si="213"/>
        <v>106.54591836734693</v>
      </c>
    </row>
    <row r="1516" spans="1:16">
      <c r="A1516" s="2">
        <v>40856</v>
      </c>
      <c r="B1516" s="1">
        <v>214.95</v>
      </c>
      <c r="C1516" s="1">
        <v>215.7</v>
      </c>
      <c r="D1516" s="1">
        <v>210.6</v>
      </c>
      <c r="E1516" s="1">
        <v>211.22</v>
      </c>
      <c r="F1516" s="1">
        <v>4680600</v>
      </c>
      <c r="G1516" s="1">
        <v>211.22</v>
      </c>
      <c r="H1516" s="1">
        <f t="shared" si="207"/>
        <v>5.0999999999999943</v>
      </c>
      <c r="I1516" s="9">
        <f t="shared" si="214"/>
        <v>2.4216524216524191E-2</v>
      </c>
      <c r="J1516" s="1">
        <f t="shared" si="215"/>
        <v>-6.7700000000000102</v>
      </c>
      <c r="K1516" s="9">
        <f t="shared" si="208"/>
        <v>-3.1056470480297308E-2</v>
      </c>
      <c r="L1516" s="1">
        <f t="shared" si="209"/>
        <v>1</v>
      </c>
      <c r="M1516" s="1">
        <f t="shared" si="210"/>
        <v>215.7</v>
      </c>
      <c r="N1516" s="1">
        <f t="shared" si="211"/>
        <v>210.6</v>
      </c>
      <c r="O1516" s="1">
        <f t="shared" si="212"/>
        <v>209.26</v>
      </c>
      <c r="P1516" s="1">
        <f t="shared" si="213"/>
        <v>106.76530612244898</v>
      </c>
    </row>
    <row r="1517" spans="1:16">
      <c r="A1517" s="2">
        <v>40855</v>
      </c>
      <c r="B1517" s="1">
        <v>219.2</v>
      </c>
      <c r="C1517" s="1">
        <v>219.35</v>
      </c>
      <c r="D1517" s="1">
        <v>215.21</v>
      </c>
      <c r="E1517" s="1">
        <v>217.99</v>
      </c>
      <c r="F1517" s="1">
        <v>3914500</v>
      </c>
      <c r="G1517" s="1">
        <v>217.99</v>
      </c>
      <c r="H1517" s="1">
        <f t="shared" si="207"/>
        <v>4.1399999999999864</v>
      </c>
      <c r="I1517" s="9">
        <f t="shared" si="214"/>
        <v>1.9237024301844645E-2</v>
      </c>
      <c r="J1517" s="1">
        <f t="shared" si="215"/>
        <v>0.99000000000000909</v>
      </c>
      <c r="K1517" s="9">
        <f t="shared" si="208"/>
        <v>4.5622119815668626E-3</v>
      </c>
      <c r="L1517" s="1">
        <f t="shared" si="209"/>
        <v>1</v>
      </c>
      <c r="M1517" s="1">
        <f t="shared" si="210"/>
        <v>219.35</v>
      </c>
      <c r="N1517" s="1">
        <f t="shared" si="211"/>
        <v>215.21</v>
      </c>
      <c r="O1517" s="1">
        <f t="shared" si="212"/>
        <v>216.03</v>
      </c>
      <c r="P1517" s="1">
        <f t="shared" si="213"/>
        <v>110.21938775510205</v>
      </c>
    </row>
    <row r="1518" spans="1:16">
      <c r="A1518" s="2">
        <v>40854</v>
      </c>
      <c r="B1518" s="1">
        <v>216.84</v>
      </c>
      <c r="C1518" s="1">
        <v>220.2</v>
      </c>
      <c r="D1518" s="1">
        <v>214</v>
      </c>
      <c r="E1518" s="1">
        <v>217</v>
      </c>
      <c r="F1518" s="1">
        <v>3860000</v>
      </c>
      <c r="G1518" s="1">
        <v>217</v>
      </c>
      <c r="H1518" s="1">
        <f t="shared" si="207"/>
        <v>6.1999999999999886</v>
      </c>
      <c r="I1518" s="9">
        <f t="shared" si="214"/>
        <v>2.8971962616822378E-2</v>
      </c>
      <c r="J1518" s="1">
        <f t="shared" si="215"/>
        <v>0.52000000000001023</v>
      </c>
      <c r="K1518" s="9">
        <f t="shared" si="208"/>
        <v>2.4020694752402544E-3</v>
      </c>
      <c r="L1518" s="1">
        <f t="shared" si="209"/>
        <v>1</v>
      </c>
      <c r="M1518" s="1">
        <f t="shared" si="210"/>
        <v>220.2</v>
      </c>
      <c r="N1518" s="1">
        <f t="shared" si="211"/>
        <v>214</v>
      </c>
      <c r="O1518" s="1">
        <f t="shared" si="212"/>
        <v>215.04</v>
      </c>
      <c r="P1518" s="1">
        <f t="shared" si="213"/>
        <v>109.71428571428571</v>
      </c>
    </row>
    <row r="1519" spans="1:16">
      <c r="A1519" s="2">
        <v>40851</v>
      </c>
      <c r="B1519" s="1">
        <v>217.65</v>
      </c>
      <c r="C1519" s="1">
        <v>218.23</v>
      </c>
      <c r="D1519" s="1">
        <v>214.33</v>
      </c>
      <c r="E1519" s="1">
        <v>216.48</v>
      </c>
      <c r="F1519" s="1">
        <v>4065800</v>
      </c>
      <c r="G1519" s="1">
        <v>216.48</v>
      </c>
      <c r="H1519" s="1">
        <f t="shared" si="207"/>
        <v>3.8999999999999773</v>
      </c>
      <c r="I1519" s="9">
        <f t="shared" si="214"/>
        <v>1.8196239443848163E-2</v>
      </c>
      <c r="J1519" s="1">
        <f t="shared" si="215"/>
        <v>-1.8100000000000023</v>
      </c>
      <c r="K1519" s="9">
        <f t="shared" si="208"/>
        <v>-8.291722021164516E-3</v>
      </c>
      <c r="L1519" s="1">
        <f t="shared" si="209"/>
        <v>1</v>
      </c>
      <c r="M1519" s="1">
        <f t="shared" si="210"/>
        <v>218.23</v>
      </c>
      <c r="N1519" s="1">
        <f t="shared" si="211"/>
        <v>214.33</v>
      </c>
      <c r="O1519" s="1">
        <f t="shared" si="212"/>
        <v>214.51999999999998</v>
      </c>
      <c r="P1519" s="1">
        <f t="shared" si="213"/>
        <v>109.44897959183673</v>
      </c>
    </row>
    <row r="1520" spans="1:16">
      <c r="A1520" s="2">
        <v>40850</v>
      </c>
      <c r="B1520" s="1">
        <v>216.3</v>
      </c>
      <c r="C1520" s="1">
        <v>218.5</v>
      </c>
      <c r="D1520" s="1">
        <v>213.02</v>
      </c>
      <c r="E1520" s="1">
        <v>218.29</v>
      </c>
      <c r="F1520" s="1">
        <v>5315000</v>
      </c>
      <c r="G1520" s="1">
        <v>218.29</v>
      </c>
      <c r="H1520" s="1">
        <f t="shared" si="207"/>
        <v>5.4799999999999898</v>
      </c>
      <c r="I1520" s="9">
        <f t="shared" si="214"/>
        <v>2.5725284010890945E-2</v>
      </c>
      <c r="J1520" s="1">
        <f t="shared" si="215"/>
        <v>2.6699999999999875</v>
      </c>
      <c r="K1520" s="9">
        <f t="shared" si="208"/>
        <v>1.2382895835265688E-2</v>
      </c>
      <c r="L1520" s="1">
        <f t="shared" si="209"/>
        <v>1</v>
      </c>
      <c r="M1520" s="1">
        <f t="shared" si="210"/>
        <v>218.5</v>
      </c>
      <c r="N1520" s="1">
        <f t="shared" si="211"/>
        <v>213.02</v>
      </c>
      <c r="O1520" s="1">
        <f t="shared" si="212"/>
        <v>216.32999999999998</v>
      </c>
      <c r="P1520" s="1">
        <f t="shared" si="213"/>
        <v>110.37244897959184</v>
      </c>
    </row>
    <row r="1521" spans="1:16">
      <c r="A1521" s="2">
        <v>40849</v>
      </c>
      <c r="B1521" s="1">
        <v>215.55</v>
      </c>
      <c r="C1521" s="1">
        <v>216.79</v>
      </c>
      <c r="D1521" s="1">
        <v>212.72</v>
      </c>
      <c r="E1521" s="1">
        <v>215.62</v>
      </c>
      <c r="F1521" s="1">
        <v>6122000</v>
      </c>
      <c r="G1521" s="1">
        <v>215.62</v>
      </c>
      <c r="H1521" s="1">
        <f t="shared" si="207"/>
        <v>4.0699999999999932</v>
      </c>
      <c r="I1521" s="9">
        <f t="shared" si="214"/>
        <v>1.913313275667541E-2</v>
      </c>
      <c r="J1521" s="1">
        <f t="shared" si="215"/>
        <v>3.5200000000000102</v>
      </c>
      <c r="K1521" s="9">
        <f t="shared" si="208"/>
        <v>1.6595945308816643E-2</v>
      </c>
      <c r="L1521" s="1">
        <f t="shared" si="209"/>
        <v>1</v>
      </c>
      <c r="M1521" s="1">
        <f t="shared" si="210"/>
        <v>216.79</v>
      </c>
      <c r="N1521" s="1">
        <f t="shared" si="211"/>
        <v>212.72</v>
      </c>
      <c r="O1521" s="1">
        <f t="shared" si="212"/>
        <v>213.66</v>
      </c>
      <c r="P1521" s="1">
        <f t="shared" si="213"/>
        <v>109.01020408163265</v>
      </c>
    </row>
    <row r="1522" spans="1:16">
      <c r="A1522" s="2">
        <v>40848</v>
      </c>
      <c r="B1522" s="1">
        <v>208.11</v>
      </c>
      <c r="C1522" s="1">
        <v>216.21</v>
      </c>
      <c r="D1522" s="1">
        <v>207.43</v>
      </c>
      <c r="E1522" s="1">
        <v>212.1</v>
      </c>
      <c r="F1522" s="1">
        <v>8511800</v>
      </c>
      <c r="G1522" s="1">
        <v>212.1</v>
      </c>
      <c r="H1522" s="1">
        <f t="shared" si="207"/>
        <v>8.7800000000000011</v>
      </c>
      <c r="I1522" s="9">
        <f t="shared" si="214"/>
        <v>4.2327532179530447E-2</v>
      </c>
      <c r="J1522" s="1">
        <f t="shared" si="215"/>
        <v>-1.4099999999999966</v>
      </c>
      <c r="K1522" s="9">
        <f t="shared" si="208"/>
        <v>-6.6039061402276087E-3</v>
      </c>
      <c r="L1522" s="1">
        <f t="shared" si="209"/>
        <v>1</v>
      </c>
      <c r="M1522" s="1">
        <f t="shared" si="210"/>
        <v>216.21</v>
      </c>
      <c r="N1522" s="1">
        <f t="shared" si="211"/>
        <v>207.43</v>
      </c>
      <c r="O1522" s="1">
        <f t="shared" si="212"/>
        <v>210.14</v>
      </c>
      <c r="P1522" s="1">
        <f t="shared" si="213"/>
        <v>107.21428571428571</v>
      </c>
    </row>
    <row r="1523" spans="1:16">
      <c r="A1523" s="2">
        <v>40847</v>
      </c>
      <c r="B1523" s="1">
        <v>215.79</v>
      </c>
      <c r="C1523" s="1">
        <v>218.89</v>
      </c>
      <c r="D1523" s="1">
        <v>213.04</v>
      </c>
      <c r="E1523" s="1">
        <v>213.51</v>
      </c>
      <c r="F1523" s="1">
        <v>7343300</v>
      </c>
      <c r="G1523" s="1">
        <v>213.51</v>
      </c>
      <c r="H1523" s="1">
        <f t="shared" si="207"/>
        <v>5.8499999999999943</v>
      </c>
      <c r="I1523" s="9">
        <f t="shared" si="214"/>
        <v>2.7459631993991714E-2</v>
      </c>
      <c r="J1523" s="1">
        <f t="shared" si="215"/>
        <v>-3.8100000000000023</v>
      </c>
      <c r="K1523" s="9">
        <f t="shared" si="208"/>
        <v>-1.7531750414135846E-2</v>
      </c>
      <c r="L1523" s="1">
        <f t="shared" si="209"/>
        <v>1</v>
      </c>
      <c r="M1523" s="1">
        <f t="shared" si="210"/>
        <v>218.89</v>
      </c>
      <c r="N1523" s="1">
        <f t="shared" si="211"/>
        <v>213.04</v>
      </c>
      <c r="O1523" s="1">
        <f t="shared" si="212"/>
        <v>211.54999999999998</v>
      </c>
      <c r="P1523" s="1">
        <f t="shared" si="213"/>
        <v>107.93367346938774</v>
      </c>
    </row>
    <row r="1524" spans="1:16">
      <c r="A1524" s="2">
        <v>40844</v>
      </c>
      <c r="B1524" s="1">
        <v>206.53</v>
      </c>
      <c r="C1524" s="1">
        <v>218.4</v>
      </c>
      <c r="D1524" s="1">
        <v>205.75</v>
      </c>
      <c r="E1524" s="1">
        <v>217.32</v>
      </c>
      <c r="F1524" s="1">
        <v>9880400</v>
      </c>
      <c r="G1524" s="1">
        <v>217.32</v>
      </c>
      <c r="H1524" s="1">
        <f t="shared" si="207"/>
        <v>12.650000000000006</v>
      </c>
      <c r="I1524" s="9">
        <f t="shared" si="214"/>
        <v>6.1482381530984231E-2</v>
      </c>
      <c r="J1524" s="1">
        <f t="shared" si="215"/>
        <v>10.539999999999992</v>
      </c>
      <c r="K1524" s="9">
        <f t="shared" si="208"/>
        <v>5.0972047586807193E-2</v>
      </c>
      <c r="L1524" s="1">
        <f t="shared" si="209"/>
        <v>1</v>
      </c>
      <c r="M1524" s="1">
        <f t="shared" si="210"/>
        <v>218.4</v>
      </c>
      <c r="N1524" s="1">
        <f t="shared" si="211"/>
        <v>205.75</v>
      </c>
      <c r="O1524" s="1">
        <f t="shared" si="212"/>
        <v>215.35999999999999</v>
      </c>
      <c r="P1524" s="1">
        <f t="shared" si="213"/>
        <v>109.87755102040816</v>
      </c>
    </row>
    <row r="1525" spans="1:16">
      <c r="A1525" s="2">
        <v>40843</v>
      </c>
      <c r="B1525" s="1">
        <v>204.26</v>
      </c>
      <c r="C1525" s="1">
        <v>208.6</v>
      </c>
      <c r="D1525" s="1">
        <v>201.1</v>
      </c>
      <c r="E1525" s="1">
        <v>206.78</v>
      </c>
      <c r="F1525" s="1">
        <v>10774300</v>
      </c>
      <c r="G1525" s="1">
        <v>206.78</v>
      </c>
      <c r="H1525" s="1">
        <f t="shared" si="207"/>
        <v>7.5</v>
      </c>
      <c r="I1525" s="9">
        <f t="shared" si="214"/>
        <v>3.7294878170064646E-2</v>
      </c>
      <c r="J1525" s="1">
        <f t="shared" si="215"/>
        <v>8.3799999999999955</v>
      </c>
      <c r="K1525" s="9">
        <f t="shared" si="208"/>
        <v>4.2237903225806429E-2</v>
      </c>
      <c r="L1525" s="1">
        <f t="shared" si="209"/>
        <v>1</v>
      </c>
      <c r="M1525" s="1">
        <f t="shared" si="210"/>
        <v>208.6</v>
      </c>
      <c r="N1525" s="1">
        <f t="shared" si="211"/>
        <v>201.1</v>
      </c>
      <c r="O1525" s="1">
        <f t="shared" si="212"/>
        <v>204.82</v>
      </c>
      <c r="P1525" s="1">
        <f t="shared" si="213"/>
        <v>104.5</v>
      </c>
    </row>
    <row r="1526" spans="1:16">
      <c r="A1526" s="2">
        <v>40842</v>
      </c>
      <c r="B1526" s="1">
        <v>203.69</v>
      </c>
      <c r="C1526" s="1">
        <v>207.58</v>
      </c>
      <c r="D1526" s="1">
        <v>196.51</v>
      </c>
      <c r="E1526" s="1">
        <v>198.4</v>
      </c>
      <c r="F1526" s="1">
        <v>24134200</v>
      </c>
      <c r="G1526" s="1">
        <v>198.4</v>
      </c>
      <c r="H1526" s="1">
        <f t="shared" si="207"/>
        <v>11.070000000000022</v>
      </c>
      <c r="I1526" s="9">
        <f t="shared" si="214"/>
        <v>5.6333011042695141E-2</v>
      </c>
      <c r="J1526" s="1">
        <f t="shared" si="215"/>
        <v>-28.75</v>
      </c>
      <c r="K1526" s="9">
        <f t="shared" si="208"/>
        <v>-0.12656834690732996</v>
      </c>
      <c r="L1526" s="1">
        <f t="shared" si="209"/>
        <v>1</v>
      </c>
      <c r="M1526" s="1">
        <f t="shared" si="210"/>
        <v>207.58</v>
      </c>
      <c r="N1526" s="1">
        <f t="shared" si="211"/>
        <v>196.51</v>
      </c>
      <c r="O1526" s="1">
        <f t="shared" si="212"/>
        <v>196.44</v>
      </c>
      <c r="P1526" s="1">
        <f t="shared" si="213"/>
        <v>100.22448979591837</v>
      </c>
    </row>
    <row r="1527" spans="1:16">
      <c r="A1527" s="2">
        <v>40841</v>
      </c>
      <c r="B1527" s="1">
        <v>238.59</v>
      </c>
      <c r="C1527" s="1">
        <v>239.01</v>
      </c>
      <c r="D1527" s="1">
        <v>225.89</v>
      </c>
      <c r="E1527" s="1">
        <v>227.15</v>
      </c>
      <c r="F1527" s="1">
        <v>14012600</v>
      </c>
      <c r="G1527" s="1">
        <v>227.15</v>
      </c>
      <c r="H1527" s="1">
        <f t="shared" si="207"/>
        <v>13.120000000000005</v>
      </c>
      <c r="I1527" s="9">
        <f t="shared" si="214"/>
        <v>5.8081367037053459E-2</v>
      </c>
      <c r="J1527" s="1">
        <f t="shared" si="215"/>
        <v>-10.460000000000008</v>
      </c>
      <c r="K1527" s="9">
        <f t="shared" si="208"/>
        <v>-4.4021716257733289E-2</v>
      </c>
      <c r="L1527" s="1">
        <f t="shared" si="209"/>
        <v>1</v>
      </c>
      <c r="M1527" s="1">
        <f t="shared" si="210"/>
        <v>239.01</v>
      </c>
      <c r="N1527" s="1">
        <f t="shared" si="211"/>
        <v>225.89</v>
      </c>
      <c r="O1527" s="1">
        <f t="shared" si="212"/>
        <v>225.19</v>
      </c>
      <c r="P1527" s="1">
        <f t="shared" si="213"/>
        <v>114.89285714285714</v>
      </c>
    </row>
    <row r="1528" spans="1:16">
      <c r="A1528" s="2">
        <v>40840</v>
      </c>
      <c r="B1528" s="1">
        <v>236.02</v>
      </c>
      <c r="C1528" s="1">
        <v>240.47</v>
      </c>
      <c r="D1528" s="1">
        <v>234</v>
      </c>
      <c r="E1528" s="1">
        <v>237.61</v>
      </c>
      <c r="F1528" s="1">
        <v>4975800</v>
      </c>
      <c r="G1528" s="1">
        <v>237.61</v>
      </c>
      <c r="H1528" s="1">
        <f t="shared" si="207"/>
        <v>6.4699999999999989</v>
      </c>
      <c r="I1528" s="9">
        <f t="shared" si="214"/>
        <v>2.7649572649572646E-2</v>
      </c>
      <c r="J1528" s="1">
        <f t="shared" si="215"/>
        <v>2.8300000000000125</v>
      </c>
      <c r="K1528" s="9">
        <f t="shared" si="208"/>
        <v>1.2053837635233038E-2</v>
      </c>
      <c r="L1528" s="1">
        <f t="shared" si="209"/>
        <v>1</v>
      </c>
      <c r="M1528" s="1">
        <f t="shared" si="210"/>
        <v>240.47</v>
      </c>
      <c r="N1528" s="1">
        <f t="shared" si="211"/>
        <v>234</v>
      </c>
      <c r="O1528" s="1">
        <f t="shared" si="212"/>
        <v>235.65</v>
      </c>
      <c r="P1528" s="1">
        <f t="shared" si="213"/>
        <v>120.2295918367347</v>
      </c>
    </row>
    <row r="1529" spans="1:16">
      <c r="A1529" s="2">
        <v>40837</v>
      </c>
      <c r="B1529" s="1">
        <v>236.91</v>
      </c>
      <c r="C1529" s="1">
        <v>237</v>
      </c>
      <c r="D1529" s="1">
        <v>230.6</v>
      </c>
      <c r="E1529" s="1">
        <v>234.78</v>
      </c>
      <c r="F1529" s="1">
        <v>4572500</v>
      </c>
      <c r="G1529" s="1">
        <v>234.78</v>
      </c>
      <c r="H1529" s="1">
        <f t="shared" si="207"/>
        <v>6.4000000000000057</v>
      </c>
      <c r="I1529" s="9">
        <f t="shared" si="214"/>
        <v>2.775368603642674E-2</v>
      </c>
      <c r="J1529" s="1">
        <f t="shared" si="215"/>
        <v>1.1699999999999875</v>
      </c>
      <c r="K1529" s="9">
        <f t="shared" si="208"/>
        <v>5.0083472454089612E-3</v>
      </c>
      <c r="L1529" s="1">
        <f t="shared" si="209"/>
        <v>1</v>
      </c>
      <c r="M1529" s="1">
        <f t="shared" si="210"/>
        <v>237</v>
      </c>
      <c r="N1529" s="1">
        <f t="shared" si="211"/>
        <v>230.6</v>
      </c>
      <c r="O1529" s="1">
        <f t="shared" si="212"/>
        <v>232.82</v>
      </c>
      <c r="P1529" s="1">
        <f t="shared" si="213"/>
        <v>118.78571428571428</v>
      </c>
    </row>
    <row r="1530" spans="1:16">
      <c r="A1530" s="2">
        <v>40836</v>
      </c>
      <c r="B1530" s="1">
        <v>232.13</v>
      </c>
      <c r="C1530" s="1">
        <v>234.74</v>
      </c>
      <c r="D1530" s="1">
        <v>229.8</v>
      </c>
      <c r="E1530" s="1">
        <v>233.61</v>
      </c>
      <c r="F1530" s="1">
        <v>4524900</v>
      </c>
      <c r="G1530" s="1">
        <v>233.61</v>
      </c>
      <c r="H1530" s="1">
        <f t="shared" si="207"/>
        <v>4.9399999999999977</v>
      </c>
      <c r="I1530" s="9">
        <f t="shared" si="214"/>
        <v>2.1496953872932975E-2</v>
      </c>
      <c r="J1530" s="1">
        <f t="shared" si="215"/>
        <v>2.0800000000000125</v>
      </c>
      <c r="K1530" s="9">
        <f t="shared" si="208"/>
        <v>8.9837170129141476E-3</v>
      </c>
      <c r="L1530" s="1">
        <f t="shared" si="209"/>
        <v>1</v>
      </c>
      <c r="M1530" s="1">
        <f t="shared" si="210"/>
        <v>234.74</v>
      </c>
      <c r="N1530" s="1">
        <f t="shared" si="211"/>
        <v>229.8</v>
      </c>
      <c r="O1530" s="1">
        <f t="shared" si="212"/>
        <v>231.65</v>
      </c>
      <c r="P1530" s="1">
        <f t="shared" si="213"/>
        <v>118.18877551020408</v>
      </c>
    </row>
    <row r="1531" spans="1:16">
      <c r="A1531" s="2">
        <v>40835</v>
      </c>
      <c r="B1531" s="1">
        <v>240.67</v>
      </c>
      <c r="C1531" s="1">
        <v>243.33</v>
      </c>
      <c r="D1531" s="1">
        <v>229.25</v>
      </c>
      <c r="E1531" s="1">
        <v>231.53</v>
      </c>
      <c r="F1531" s="1">
        <v>6715100</v>
      </c>
      <c r="G1531" s="1">
        <v>231.53</v>
      </c>
      <c r="H1531" s="1">
        <f t="shared" si="207"/>
        <v>14.080000000000013</v>
      </c>
      <c r="I1531" s="9">
        <f t="shared" si="214"/>
        <v>6.1417666303162539E-2</v>
      </c>
      <c r="J1531" s="1">
        <f t="shared" si="215"/>
        <v>-12.349999999999994</v>
      </c>
      <c r="K1531" s="9">
        <f t="shared" si="208"/>
        <v>-5.0639658848614051E-2</v>
      </c>
      <c r="L1531" s="1">
        <f t="shared" si="209"/>
        <v>1</v>
      </c>
      <c r="M1531" s="1">
        <f t="shared" si="210"/>
        <v>243.33</v>
      </c>
      <c r="N1531" s="1">
        <f t="shared" si="211"/>
        <v>229.25</v>
      </c>
      <c r="O1531" s="1">
        <f t="shared" si="212"/>
        <v>229.57</v>
      </c>
      <c r="P1531" s="1">
        <f t="shared" si="213"/>
        <v>117.12755102040816</v>
      </c>
    </row>
    <row r="1532" spans="1:16">
      <c r="A1532" s="2">
        <v>40834</v>
      </c>
      <c r="B1532" s="1">
        <v>242.31</v>
      </c>
      <c r="C1532" s="1">
        <v>244.61</v>
      </c>
      <c r="D1532" s="1">
        <v>236.62</v>
      </c>
      <c r="E1532" s="1">
        <v>243.88</v>
      </c>
      <c r="F1532" s="1">
        <v>4609700</v>
      </c>
      <c r="G1532" s="1">
        <v>243.88</v>
      </c>
      <c r="H1532" s="1">
        <f t="shared" si="207"/>
        <v>7.9900000000000091</v>
      </c>
      <c r="I1532" s="9">
        <f t="shared" si="214"/>
        <v>3.3767221705688487E-2</v>
      </c>
      <c r="J1532" s="1">
        <f t="shared" si="215"/>
        <v>1.5499999999999829</v>
      </c>
      <c r="K1532" s="9">
        <f t="shared" si="208"/>
        <v>6.3962365369536704E-3</v>
      </c>
      <c r="L1532" s="1">
        <f t="shared" si="209"/>
        <v>1</v>
      </c>
      <c r="M1532" s="1">
        <f t="shared" si="210"/>
        <v>244.61</v>
      </c>
      <c r="N1532" s="1">
        <f t="shared" si="211"/>
        <v>236.62</v>
      </c>
      <c r="O1532" s="1">
        <f t="shared" si="212"/>
        <v>241.92</v>
      </c>
      <c r="P1532" s="1">
        <f t="shared" si="213"/>
        <v>123.42857142857143</v>
      </c>
    </row>
    <row r="1533" spans="1:16">
      <c r="A1533" s="2">
        <v>40833</v>
      </c>
      <c r="B1533" s="1">
        <v>244.29</v>
      </c>
      <c r="C1533" s="1">
        <v>246.71</v>
      </c>
      <c r="D1533" s="1">
        <v>240.67</v>
      </c>
      <c r="E1533" s="1">
        <v>242.33</v>
      </c>
      <c r="F1533" s="1">
        <v>4779000</v>
      </c>
      <c r="G1533" s="1">
        <v>242.33</v>
      </c>
      <c r="H1533" s="1">
        <f t="shared" si="207"/>
        <v>6.0400000000000205</v>
      </c>
      <c r="I1533" s="9">
        <f t="shared" si="214"/>
        <v>2.5096605310175844E-2</v>
      </c>
      <c r="J1533" s="1">
        <f t="shared" si="215"/>
        <v>-4.3799999999999955</v>
      </c>
      <c r="K1533" s="9">
        <f t="shared" si="208"/>
        <v>-1.7753637874427446E-2</v>
      </c>
      <c r="L1533" s="1">
        <f t="shared" si="209"/>
        <v>1</v>
      </c>
      <c r="M1533" s="1">
        <f t="shared" si="210"/>
        <v>246.71</v>
      </c>
      <c r="N1533" s="1">
        <f t="shared" si="211"/>
        <v>240.67</v>
      </c>
      <c r="O1533" s="1">
        <f t="shared" si="212"/>
        <v>240.37</v>
      </c>
      <c r="P1533" s="1">
        <f t="shared" si="213"/>
        <v>122.63775510204083</v>
      </c>
    </row>
    <row r="1534" spans="1:16">
      <c r="A1534" s="2">
        <v>40830</v>
      </c>
      <c r="B1534" s="1">
        <v>240.87</v>
      </c>
      <c r="C1534" s="1">
        <v>246.71</v>
      </c>
      <c r="D1534" s="1">
        <v>240.18</v>
      </c>
      <c r="E1534" s="1">
        <v>246.71</v>
      </c>
      <c r="F1534" s="1">
        <v>5923700</v>
      </c>
      <c r="G1534" s="1">
        <v>246.71</v>
      </c>
      <c r="H1534" s="1">
        <f t="shared" si="207"/>
        <v>6.5300000000000011</v>
      </c>
      <c r="I1534" s="9">
        <f t="shared" si="214"/>
        <v>2.7187942376550926E-2</v>
      </c>
      <c r="J1534" s="1">
        <f t="shared" si="215"/>
        <v>10.560000000000002</v>
      </c>
      <c r="K1534" s="9">
        <f t="shared" si="208"/>
        <v>4.4717340673300875E-2</v>
      </c>
      <c r="L1534" s="1">
        <f t="shared" si="209"/>
        <v>1</v>
      </c>
      <c r="M1534" s="1">
        <f t="shared" si="210"/>
        <v>246.71</v>
      </c>
      <c r="N1534" s="1">
        <f t="shared" si="211"/>
        <v>240.18</v>
      </c>
      <c r="O1534" s="1">
        <f t="shared" si="212"/>
        <v>244.75</v>
      </c>
      <c r="P1534" s="1">
        <f t="shared" si="213"/>
        <v>124.87244897959184</v>
      </c>
    </row>
    <row r="1535" spans="1:16">
      <c r="A1535" s="2">
        <v>40829</v>
      </c>
      <c r="B1535" s="1">
        <v>237</v>
      </c>
      <c r="C1535" s="1">
        <v>239.68</v>
      </c>
      <c r="D1535" s="1">
        <v>235.23</v>
      </c>
      <c r="E1535" s="1">
        <v>236.15</v>
      </c>
      <c r="F1535" s="1">
        <v>4833500</v>
      </c>
      <c r="G1535" s="1">
        <v>236.15</v>
      </c>
      <c r="H1535" s="1">
        <f t="shared" si="207"/>
        <v>4.4500000000000171</v>
      </c>
      <c r="I1535" s="9">
        <f t="shared" si="214"/>
        <v>1.8917655061004197E-2</v>
      </c>
      <c r="J1535" s="1">
        <f t="shared" si="215"/>
        <v>-0.65999999999999659</v>
      </c>
      <c r="K1535" s="9">
        <f t="shared" si="208"/>
        <v>-2.7870444660276026E-3</v>
      </c>
      <c r="L1535" s="1">
        <f t="shared" si="209"/>
        <v>1</v>
      </c>
      <c r="M1535" s="1">
        <f t="shared" si="210"/>
        <v>239.68</v>
      </c>
      <c r="N1535" s="1">
        <f t="shared" si="211"/>
        <v>235.23</v>
      </c>
      <c r="O1535" s="1">
        <f t="shared" si="212"/>
        <v>234.19</v>
      </c>
      <c r="P1535" s="1">
        <f t="shared" si="213"/>
        <v>119.48469387755102</v>
      </c>
    </row>
    <row r="1536" spans="1:16">
      <c r="A1536" s="2">
        <v>40828</v>
      </c>
      <c r="B1536" s="1">
        <v>236.64</v>
      </c>
      <c r="C1536" s="1">
        <v>241.84</v>
      </c>
      <c r="D1536" s="1">
        <v>234.33</v>
      </c>
      <c r="E1536" s="1">
        <v>236.81</v>
      </c>
      <c r="F1536" s="1">
        <v>6510800</v>
      </c>
      <c r="G1536" s="1">
        <v>236.81</v>
      </c>
      <c r="H1536" s="1">
        <f t="shared" si="207"/>
        <v>7.5099999999999909</v>
      </c>
      <c r="I1536" s="9">
        <f t="shared" si="214"/>
        <v>3.2048820040114327E-2</v>
      </c>
      <c r="J1536" s="1">
        <f t="shared" si="215"/>
        <v>1.3300000000000125</v>
      </c>
      <c r="K1536" s="9">
        <f t="shared" si="208"/>
        <v>5.6480380499406005E-3</v>
      </c>
      <c r="L1536" s="1">
        <f t="shared" si="209"/>
        <v>1</v>
      </c>
      <c r="M1536" s="1">
        <f t="shared" si="210"/>
        <v>241.84</v>
      </c>
      <c r="N1536" s="1">
        <f t="shared" si="211"/>
        <v>234.33</v>
      </c>
      <c r="O1536" s="1">
        <f t="shared" si="212"/>
        <v>234.85</v>
      </c>
      <c r="P1536" s="1">
        <f t="shared" si="213"/>
        <v>119.82142857142857</v>
      </c>
    </row>
    <row r="1537" spans="1:16">
      <c r="A1537" s="2">
        <v>40827</v>
      </c>
      <c r="B1537" s="1">
        <v>230.6</v>
      </c>
      <c r="C1537" s="1">
        <v>236.75</v>
      </c>
      <c r="D1537" s="1">
        <v>229</v>
      </c>
      <c r="E1537" s="1">
        <v>235.48</v>
      </c>
      <c r="F1537" s="1">
        <v>5003700</v>
      </c>
      <c r="G1537" s="1">
        <v>235.48</v>
      </c>
      <c r="H1537" s="1">
        <f t="shared" si="207"/>
        <v>7.75</v>
      </c>
      <c r="I1537" s="9">
        <f t="shared" si="214"/>
        <v>3.384279475982533E-2</v>
      </c>
      <c r="J1537" s="1">
        <f t="shared" si="215"/>
        <v>4.1599999999999966</v>
      </c>
      <c r="K1537" s="9">
        <f t="shared" si="208"/>
        <v>1.7983745460833464E-2</v>
      </c>
      <c r="L1537" s="1">
        <f t="shared" si="209"/>
        <v>1</v>
      </c>
      <c r="M1537" s="1">
        <f t="shared" si="210"/>
        <v>236.75</v>
      </c>
      <c r="N1537" s="1">
        <f t="shared" si="211"/>
        <v>229</v>
      </c>
      <c r="O1537" s="1">
        <f t="shared" si="212"/>
        <v>233.51999999999998</v>
      </c>
      <c r="P1537" s="1">
        <f t="shared" si="213"/>
        <v>119.14285714285714</v>
      </c>
    </row>
    <row r="1538" spans="1:16">
      <c r="A1538" s="2">
        <v>40826</v>
      </c>
      <c r="B1538" s="1">
        <v>226.23</v>
      </c>
      <c r="C1538" s="1">
        <v>232.8</v>
      </c>
      <c r="D1538" s="1">
        <v>224.1</v>
      </c>
      <c r="E1538" s="1">
        <v>231.32</v>
      </c>
      <c r="F1538" s="1">
        <v>5143100</v>
      </c>
      <c r="G1538" s="1">
        <v>231.32</v>
      </c>
      <c r="H1538" s="1">
        <f t="shared" si="207"/>
        <v>8.7000000000000171</v>
      </c>
      <c r="I1538" s="9">
        <f t="shared" si="214"/>
        <v>3.8821954484605167E-2</v>
      </c>
      <c r="J1538" s="1">
        <f t="shared" si="215"/>
        <v>6.5799999999999841</v>
      </c>
      <c r="K1538" s="9">
        <f t="shared" si="208"/>
        <v>2.9278277120227746E-2</v>
      </c>
      <c r="L1538" s="1">
        <f t="shared" si="209"/>
        <v>1</v>
      </c>
      <c r="M1538" s="1">
        <f t="shared" si="210"/>
        <v>232.8</v>
      </c>
      <c r="N1538" s="1">
        <f t="shared" si="211"/>
        <v>224.1</v>
      </c>
      <c r="O1538" s="1">
        <f t="shared" si="212"/>
        <v>229.35999999999999</v>
      </c>
      <c r="P1538" s="1">
        <f t="shared" si="213"/>
        <v>117.0204081632653</v>
      </c>
    </row>
    <row r="1539" spans="1:16">
      <c r="A1539" s="2">
        <v>40823</v>
      </c>
      <c r="B1539" s="1">
        <v>222.48</v>
      </c>
      <c r="C1539" s="1">
        <v>227.9</v>
      </c>
      <c r="D1539" s="1">
        <v>218.41</v>
      </c>
      <c r="E1539" s="1">
        <v>224.74</v>
      </c>
      <c r="F1539" s="1">
        <v>6784300</v>
      </c>
      <c r="G1539" s="1">
        <v>224.74</v>
      </c>
      <c r="H1539" s="1">
        <f t="shared" ref="H1539:H1602" si="216">C1539-D1539</f>
        <v>9.4900000000000091</v>
      </c>
      <c r="I1539" s="9">
        <f t="shared" si="214"/>
        <v>4.3450391465592278E-2</v>
      </c>
      <c r="J1539" s="1">
        <f t="shared" si="215"/>
        <v>3.2300000000000182</v>
      </c>
      <c r="K1539" s="9">
        <f t="shared" ref="K1539:K1602" si="217">(G1539-G1540)/G1540</f>
        <v>1.4581734458940988E-2</v>
      </c>
      <c r="L1539" s="1">
        <f t="shared" ref="L1539:L1602" si="218">G1539/E1539</f>
        <v>1</v>
      </c>
      <c r="M1539" s="1">
        <f t="shared" ref="M1539:M1602" si="219">L1539*C1539</f>
        <v>227.9</v>
      </c>
      <c r="N1539" s="1">
        <f t="shared" ref="N1539:N1602" si="220">L1539*D1539</f>
        <v>218.41</v>
      </c>
      <c r="O1539" s="1">
        <f t="shared" ref="O1539:O1602" si="221">G1539-$G$5163</f>
        <v>222.78</v>
      </c>
      <c r="P1539" s="1">
        <f t="shared" ref="P1539:P1602" si="222">(G1539-$G$5163)/$G$5163</f>
        <v>113.66326530612245</v>
      </c>
    </row>
    <row r="1540" spans="1:16">
      <c r="A1540" s="2">
        <v>40822</v>
      </c>
      <c r="B1540" s="1">
        <v>220.28</v>
      </c>
      <c r="C1540" s="1">
        <v>223.62</v>
      </c>
      <c r="D1540" s="1">
        <v>217.55</v>
      </c>
      <c r="E1540" s="1">
        <v>221.51</v>
      </c>
      <c r="F1540" s="1">
        <v>6849300</v>
      </c>
      <c r="G1540" s="1">
        <v>221.51</v>
      </c>
      <c r="H1540" s="1">
        <f t="shared" si="216"/>
        <v>6.0699999999999932</v>
      </c>
      <c r="I1540" s="9">
        <f t="shared" ref="I1540:I1603" si="223">(C1540-D1540)/D1540</f>
        <v>2.7901631808779557E-2</v>
      </c>
      <c r="J1540" s="1">
        <f t="shared" ref="J1540:J1603" si="224">G1540-G1541</f>
        <v>2.0099999999999909</v>
      </c>
      <c r="K1540" s="9">
        <f t="shared" si="217"/>
        <v>9.1571753986332168E-3</v>
      </c>
      <c r="L1540" s="1">
        <f t="shared" si="218"/>
        <v>1</v>
      </c>
      <c r="M1540" s="1">
        <f t="shared" si="219"/>
        <v>223.62</v>
      </c>
      <c r="N1540" s="1">
        <f t="shared" si="220"/>
        <v>217.55</v>
      </c>
      <c r="O1540" s="1">
        <f t="shared" si="221"/>
        <v>219.54999999999998</v>
      </c>
      <c r="P1540" s="1">
        <f t="shared" si="222"/>
        <v>112.01530612244898</v>
      </c>
    </row>
    <row r="1541" spans="1:16">
      <c r="A1541" s="2">
        <v>40821</v>
      </c>
      <c r="B1541" s="1">
        <v>212.53</v>
      </c>
      <c r="C1541" s="1">
        <v>220.17</v>
      </c>
      <c r="D1541" s="1">
        <v>208.48</v>
      </c>
      <c r="E1541" s="1">
        <v>219.5</v>
      </c>
      <c r="F1541" s="1">
        <v>6508200</v>
      </c>
      <c r="G1541" s="1">
        <v>219.5</v>
      </c>
      <c r="H1541" s="1">
        <f t="shared" si="216"/>
        <v>11.689999999999998</v>
      </c>
      <c r="I1541" s="9">
        <f t="shared" si="223"/>
        <v>5.6072524942440513E-2</v>
      </c>
      <c r="J1541" s="1">
        <f t="shared" si="224"/>
        <v>7</v>
      </c>
      <c r="K1541" s="9">
        <f t="shared" si="217"/>
        <v>3.2941176470588238E-2</v>
      </c>
      <c r="L1541" s="1">
        <f t="shared" si="218"/>
        <v>1</v>
      </c>
      <c r="M1541" s="1">
        <f t="shared" si="219"/>
        <v>220.17</v>
      </c>
      <c r="N1541" s="1">
        <f t="shared" si="220"/>
        <v>208.48</v>
      </c>
      <c r="O1541" s="1">
        <f t="shared" si="221"/>
        <v>217.54</v>
      </c>
      <c r="P1541" s="1">
        <f t="shared" si="222"/>
        <v>110.98979591836735</v>
      </c>
    </row>
    <row r="1542" spans="1:16">
      <c r="A1542" s="2">
        <v>40820</v>
      </c>
      <c r="B1542" s="1">
        <v>209.62</v>
      </c>
      <c r="C1542" s="1">
        <v>215</v>
      </c>
      <c r="D1542" s="1">
        <v>200.43</v>
      </c>
      <c r="E1542" s="1">
        <v>212.5</v>
      </c>
      <c r="F1542" s="1">
        <v>8711600</v>
      </c>
      <c r="G1542" s="1">
        <v>212.5</v>
      </c>
      <c r="H1542" s="1">
        <f t="shared" si="216"/>
        <v>14.569999999999993</v>
      </c>
      <c r="I1542" s="9">
        <f t="shared" si="223"/>
        <v>7.2693708526667622E-2</v>
      </c>
      <c r="J1542" s="1">
        <f t="shared" si="224"/>
        <v>0.52000000000001023</v>
      </c>
      <c r="K1542" s="9">
        <f t="shared" si="217"/>
        <v>2.4530616095858582E-3</v>
      </c>
      <c r="L1542" s="1">
        <f t="shared" si="218"/>
        <v>1</v>
      </c>
      <c r="M1542" s="1">
        <f t="shared" si="219"/>
        <v>215</v>
      </c>
      <c r="N1542" s="1">
        <f t="shared" si="220"/>
        <v>200.43</v>
      </c>
      <c r="O1542" s="1">
        <f t="shared" si="221"/>
        <v>210.54</v>
      </c>
      <c r="P1542" s="1">
        <f t="shared" si="222"/>
        <v>107.41836734693878</v>
      </c>
    </row>
    <row r="1543" spans="1:16">
      <c r="A1543" s="2">
        <v>40819</v>
      </c>
      <c r="B1543" s="1">
        <v>217.01</v>
      </c>
      <c r="C1543" s="1">
        <v>221.6</v>
      </c>
      <c r="D1543" s="1">
        <v>211.39</v>
      </c>
      <c r="E1543" s="1">
        <v>211.98</v>
      </c>
      <c r="F1543" s="1">
        <v>6624400</v>
      </c>
      <c r="G1543" s="1">
        <v>211.98</v>
      </c>
      <c r="H1543" s="1">
        <f t="shared" si="216"/>
        <v>10.210000000000008</v>
      </c>
      <c r="I1543" s="9">
        <f t="shared" si="223"/>
        <v>4.8299351908794211E-2</v>
      </c>
      <c r="J1543" s="1">
        <f t="shared" si="224"/>
        <v>-4.25</v>
      </c>
      <c r="K1543" s="9">
        <f t="shared" si="217"/>
        <v>-1.9654996993941638E-2</v>
      </c>
      <c r="L1543" s="1">
        <f t="shared" si="218"/>
        <v>1</v>
      </c>
      <c r="M1543" s="1">
        <f t="shared" si="219"/>
        <v>221.6</v>
      </c>
      <c r="N1543" s="1">
        <f t="shared" si="220"/>
        <v>211.39</v>
      </c>
      <c r="O1543" s="1">
        <f t="shared" si="221"/>
        <v>210.01999999999998</v>
      </c>
      <c r="P1543" s="1">
        <f t="shared" si="222"/>
        <v>107.15306122448979</v>
      </c>
    </row>
    <row r="1544" spans="1:16">
      <c r="A1544" s="2">
        <v>40816</v>
      </c>
      <c r="B1544" s="1">
        <v>218.19</v>
      </c>
      <c r="C1544" s="1">
        <v>223</v>
      </c>
      <c r="D1544" s="1">
        <v>215.21</v>
      </c>
      <c r="E1544" s="1">
        <v>216.23</v>
      </c>
      <c r="F1544" s="1">
        <v>6550300</v>
      </c>
      <c r="G1544" s="1">
        <v>216.23</v>
      </c>
      <c r="H1544" s="1">
        <f t="shared" si="216"/>
        <v>7.789999999999992</v>
      </c>
      <c r="I1544" s="9">
        <f t="shared" si="223"/>
        <v>3.6197202732215009E-2</v>
      </c>
      <c r="J1544" s="1">
        <f t="shared" si="224"/>
        <v>-6.210000000000008</v>
      </c>
      <c r="K1544" s="9">
        <f t="shared" si="217"/>
        <v>-2.7917640712102176E-2</v>
      </c>
      <c r="L1544" s="1">
        <f t="shared" si="218"/>
        <v>1</v>
      </c>
      <c r="M1544" s="1">
        <f t="shared" si="219"/>
        <v>223</v>
      </c>
      <c r="N1544" s="1">
        <f t="shared" si="220"/>
        <v>215.21</v>
      </c>
      <c r="O1544" s="1">
        <f t="shared" si="221"/>
        <v>214.26999999999998</v>
      </c>
      <c r="P1544" s="1">
        <f t="shared" si="222"/>
        <v>109.32142857142857</v>
      </c>
    </row>
    <row r="1545" spans="1:16">
      <c r="A1545" s="2">
        <v>40815</v>
      </c>
      <c r="B1545" s="1">
        <v>234.17</v>
      </c>
      <c r="C1545" s="1">
        <v>234.3</v>
      </c>
      <c r="D1545" s="1">
        <v>216.29</v>
      </c>
      <c r="E1545" s="1">
        <v>222.44</v>
      </c>
      <c r="F1545" s="1">
        <v>9378500</v>
      </c>
      <c r="G1545" s="1">
        <v>222.44</v>
      </c>
      <c r="H1545" s="1">
        <f t="shared" si="216"/>
        <v>18.010000000000019</v>
      </c>
      <c r="I1545" s="9">
        <f t="shared" si="223"/>
        <v>8.3267834851357067E-2</v>
      </c>
      <c r="J1545" s="1">
        <f t="shared" si="224"/>
        <v>-7.2700000000000102</v>
      </c>
      <c r="K1545" s="9">
        <f t="shared" si="217"/>
        <v>-3.1648600409211657E-2</v>
      </c>
      <c r="L1545" s="1">
        <f t="shared" si="218"/>
        <v>1</v>
      </c>
      <c r="M1545" s="1">
        <f t="shared" si="219"/>
        <v>234.3</v>
      </c>
      <c r="N1545" s="1">
        <f t="shared" si="220"/>
        <v>216.29</v>
      </c>
      <c r="O1545" s="1">
        <f t="shared" si="221"/>
        <v>220.48</v>
      </c>
      <c r="P1545" s="1">
        <f t="shared" si="222"/>
        <v>112.48979591836735</v>
      </c>
    </row>
    <row r="1546" spans="1:16">
      <c r="A1546" s="2">
        <v>40814</v>
      </c>
      <c r="B1546" s="1">
        <v>226.35</v>
      </c>
      <c r="C1546" s="1">
        <v>235.81</v>
      </c>
      <c r="D1546" s="1">
        <v>225.6</v>
      </c>
      <c r="E1546" s="1">
        <v>229.71</v>
      </c>
      <c r="F1546" s="1">
        <v>14436900</v>
      </c>
      <c r="G1546" s="1">
        <v>229.71</v>
      </c>
      <c r="H1546" s="1">
        <f t="shared" si="216"/>
        <v>10.210000000000008</v>
      </c>
      <c r="I1546" s="9">
        <f t="shared" si="223"/>
        <v>4.5257092198581594E-2</v>
      </c>
      <c r="J1546" s="1">
        <f t="shared" si="224"/>
        <v>5.5</v>
      </c>
      <c r="K1546" s="9">
        <f t="shared" si="217"/>
        <v>2.4530574015431961E-2</v>
      </c>
      <c r="L1546" s="1">
        <f t="shared" si="218"/>
        <v>1</v>
      </c>
      <c r="M1546" s="1">
        <f t="shared" si="219"/>
        <v>235.81</v>
      </c>
      <c r="N1546" s="1">
        <f t="shared" si="220"/>
        <v>225.6</v>
      </c>
      <c r="O1546" s="1">
        <f t="shared" si="221"/>
        <v>227.75</v>
      </c>
      <c r="P1546" s="1">
        <f t="shared" si="222"/>
        <v>116.19897959183673</v>
      </c>
    </row>
    <row r="1547" spans="1:16">
      <c r="A1547" s="2">
        <v>40813</v>
      </c>
      <c r="B1547" s="1">
        <v>234.22</v>
      </c>
      <c r="C1547" s="1">
        <v>234.75</v>
      </c>
      <c r="D1547" s="1">
        <v>222.4</v>
      </c>
      <c r="E1547" s="1">
        <v>224.21</v>
      </c>
      <c r="F1547" s="1">
        <v>7837500</v>
      </c>
      <c r="G1547" s="1">
        <v>224.21</v>
      </c>
      <c r="H1547" s="1">
        <f t="shared" si="216"/>
        <v>12.349999999999994</v>
      </c>
      <c r="I1547" s="9">
        <f t="shared" si="223"/>
        <v>5.5530575539568319E-2</v>
      </c>
      <c r="J1547" s="1">
        <f t="shared" si="224"/>
        <v>-5.6399999999999864</v>
      </c>
      <c r="K1547" s="9">
        <f t="shared" si="217"/>
        <v>-2.4537742005655803E-2</v>
      </c>
      <c r="L1547" s="1">
        <f t="shared" si="218"/>
        <v>1</v>
      </c>
      <c r="M1547" s="1">
        <f t="shared" si="219"/>
        <v>234.75</v>
      </c>
      <c r="N1547" s="1">
        <f t="shared" si="220"/>
        <v>222.4</v>
      </c>
      <c r="O1547" s="1">
        <f t="shared" si="221"/>
        <v>222.25</v>
      </c>
      <c r="P1547" s="1">
        <f t="shared" si="222"/>
        <v>113.39285714285714</v>
      </c>
    </row>
    <row r="1548" spans="1:16">
      <c r="A1548" s="2">
        <v>40812</v>
      </c>
      <c r="B1548" s="1">
        <v>227.48</v>
      </c>
      <c r="C1548" s="1">
        <v>230.24</v>
      </c>
      <c r="D1548" s="1">
        <v>221.4</v>
      </c>
      <c r="E1548" s="1">
        <v>229.85</v>
      </c>
      <c r="F1548" s="1">
        <v>5794100</v>
      </c>
      <c r="G1548" s="1">
        <v>229.85</v>
      </c>
      <c r="H1548" s="1">
        <f t="shared" si="216"/>
        <v>8.8400000000000034</v>
      </c>
      <c r="I1548" s="9">
        <f t="shared" si="223"/>
        <v>3.9927732610659454E-2</v>
      </c>
      <c r="J1548" s="1">
        <f t="shared" si="224"/>
        <v>6.2399999999999807</v>
      </c>
      <c r="K1548" s="9">
        <f t="shared" si="217"/>
        <v>2.7905728724117795E-2</v>
      </c>
      <c r="L1548" s="1">
        <f t="shared" si="218"/>
        <v>1</v>
      </c>
      <c r="M1548" s="1">
        <f t="shared" si="219"/>
        <v>230.24</v>
      </c>
      <c r="N1548" s="1">
        <f t="shared" si="220"/>
        <v>221.4</v>
      </c>
      <c r="O1548" s="1">
        <f t="shared" si="221"/>
        <v>227.89</v>
      </c>
      <c r="P1548" s="1">
        <f t="shared" si="222"/>
        <v>116.2704081632653</v>
      </c>
    </row>
    <row r="1549" spans="1:16">
      <c r="A1549" s="2">
        <v>40809</v>
      </c>
      <c r="B1549" s="1">
        <v>220.51</v>
      </c>
      <c r="C1549" s="1">
        <v>224.49</v>
      </c>
      <c r="D1549" s="1">
        <v>219.06</v>
      </c>
      <c r="E1549" s="1">
        <v>223.61</v>
      </c>
      <c r="F1549" s="1">
        <v>6468100</v>
      </c>
      <c r="G1549" s="1">
        <v>223.61</v>
      </c>
      <c r="H1549" s="1">
        <f t="shared" si="216"/>
        <v>5.4300000000000068</v>
      </c>
      <c r="I1549" s="9">
        <f t="shared" si="223"/>
        <v>2.4787729389208465E-2</v>
      </c>
      <c r="J1549" s="1">
        <f t="shared" si="224"/>
        <v>0.38000000000002387</v>
      </c>
      <c r="K1549" s="9">
        <f t="shared" si="217"/>
        <v>1.7022801594768799E-3</v>
      </c>
      <c r="L1549" s="1">
        <f t="shared" si="218"/>
        <v>1</v>
      </c>
      <c r="M1549" s="1">
        <f t="shared" si="219"/>
        <v>224.49</v>
      </c>
      <c r="N1549" s="1">
        <f t="shared" si="220"/>
        <v>219.06</v>
      </c>
      <c r="O1549" s="1">
        <f t="shared" si="221"/>
        <v>221.65</v>
      </c>
      <c r="P1549" s="1">
        <f t="shared" si="222"/>
        <v>113.08673469387756</v>
      </c>
    </row>
    <row r="1550" spans="1:16">
      <c r="A1550" s="2">
        <v>40808</v>
      </c>
      <c r="B1550" s="1">
        <v>224.72</v>
      </c>
      <c r="C1550" s="1">
        <v>228.79</v>
      </c>
      <c r="D1550" s="1">
        <v>219</v>
      </c>
      <c r="E1550" s="1">
        <v>223.23</v>
      </c>
      <c r="F1550" s="1">
        <v>8254600</v>
      </c>
      <c r="G1550" s="1">
        <v>223.23</v>
      </c>
      <c r="H1550" s="1">
        <f t="shared" si="216"/>
        <v>9.789999999999992</v>
      </c>
      <c r="I1550" s="9">
        <f t="shared" si="223"/>
        <v>4.4703196347031925E-2</v>
      </c>
      <c r="J1550" s="1">
        <f t="shared" si="224"/>
        <v>-8.6400000000000148</v>
      </c>
      <c r="K1550" s="9">
        <f t="shared" si="217"/>
        <v>-3.7262259024453417E-2</v>
      </c>
      <c r="L1550" s="1">
        <f t="shared" si="218"/>
        <v>1</v>
      </c>
      <c r="M1550" s="1">
        <f t="shared" si="219"/>
        <v>228.79</v>
      </c>
      <c r="N1550" s="1">
        <f t="shared" si="220"/>
        <v>219</v>
      </c>
      <c r="O1550" s="1">
        <f t="shared" si="221"/>
        <v>221.26999999999998</v>
      </c>
      <c r="P1550" s="1">
        <f t="shared" si="222"/>
        <v>112.89285714285714</v>
      </c>
    </row>
    <row r="1551" spans="1:16">
      <c r="A1551" s="2">
        <v>40807</v>
      </c>
      <c r="B1551" s="1">
        <v>234.51</v>
      </c>
      <c r="C1551" s="1">
        <v>240.52</v>
      </c>
      <c r="D1551" s="1">
        <v>231.81</v>
      </c>
      <c r="E1551" s="1">
        <v>231.87</v>
      </c>
      <c r="F1551" s="1">
        <v>5881500</v>
      </c>
      <c r="G1551" s="1">
        <v>231.87</v>
      </c>
      <c r="H1551" s="1">
        <f t="shared" si="216"/>
        <v>8.710000000000008</v>
      </c>
      <c r="I1551" s="9">
        <f t="shared" si="223"/>
        <v>3.7573875156378105E-2</v>
      </c>
      <c r="J1551" s="1">
        <f t="shared" si="224"/>
        <v>-1.3799999999999955</v>
      </c>
      <c r="K1551" s="9">
        <f t="shared" si="217"/>
        <v>-5.9163987138263468E-3</v>
      </c>
      <c r="L1551" s="1">
        <f t="shared" si="218"/>
        <v>1</v>
      </c>
      <c r="M1551" s="1">
        <f t="shared" si="219"/>
        <v>240.52</v>
      </c>
      <c r="N1551" s="1">
        <f t="shared" si="220"/>
        <v>231.81</v>
      </c>
      <c r="O1551" s="1">
        <f t="shared" si="221"/>
        <v>229.91</v>
      </c>
      <c r="P1551" s="1">
        <f t="shared" si="222"/>
        <v>117.30102040816327</v>
      </c>
    </row>
    <row r="1552" spans="1:16">
      <c r="A1552" s="2">
        <v>40806</v>
      </c>
      <c r="B1552" s="1">
        <v>240.8</v>
      </c>
      <c r="C1552" s="1">
        <v>241.05</v>
      </c>
      <c r="D1552" s="1">
        <v>231.03</v>
      </c>
      <c r="E1552" s="1">
        <v>233.25</v>
      </c>
      <c r="F1552" s="1">
        <v>7385500</v>
      </c>
      <c r="G1552" s="1">
        <v>233.25</v>
      </c>
      <c r="H1552" s="1">
        <f t="shared" si="216"/>
        <v>10.02000000000001</v>
      </c>
      <c r="I1552" s="9">
        <f t="shared" si="223"/>
        <v>4.3370990780418173E-2</v>
      </c>
      <c r="J1552" s="1">
        <f t="shared" si="224"/>
        <v>-8.4399999999999977</v>
      </c>
      <c r="K1552" s="9">
        <f t="shared" si="217"/>
        <v>-3.4920766270842805E-2</v>
      </c>
      <c r="L1552" s="1">
        <f t="shared" si="218"/>
        <v>1</v>
      </c>
      <c r="M1552" s="1">
        <f t="shared" si="219"/>
        <v>241.05</v>
      </c>
      <c r="N1552" s="1">
        <f t="shared" si="220"/>
        <v>231.03</v>
      </c>
      <c r="O1552" s="1">
        <f t="shared" si="221"/>
        <v>231.29</v>
      </c>
      <c r="P1552" s="1">
        <f t="shared" si="222"/>
        <v>118.00510204081633</v>
      </c>
    </row>
    <row r="1553" spans="1:16">
      <c r="A1553" s="2">
        <v>40805</v>
      </c>
      <c r="B1553" s="1">
        <v>237.11</v>
      </c>
      <c r="C1553" s="1">
        <v>244</v>
      </c>
      <c r="D1553" s="1">
        <v>232.88</v>
      </c>
      <c r="E1553" s="1">
        <v>241.69</v>
      </c>
      <c r="F1553" s="1">
        <v>8223300</v>
      </c>
      <c r="G1553" s="1">
        <v>241.69</v>
      </c>
      <c r="H1553" s="1">
        <f t="shared" si="216"/>
        <v>11.120000000000005</v>
      </c>
      <c r="I1553" s="9">
        <f t="shared" si="223"/>
        <v>4.7749914118859517E-2</v>
      </c>
      <c r="J1553" s="1">
        <f t="shared" si="224"/>
        <v>2.3899999999999864</v>
      </c>
      <c r="K1553" s="9">
        <f t="shared" si="217"/>
        <v>9.987463435018747E-3</v>
      </c>
      <c r="L1553" s="1">
        <f t="shared" si="218"/>
        <v>1</v>
      </c>
      <c r="M1553" s="1">
        <f t="shared" si="219"/>
        <v>244</v>
      </c>
      <c r="N1553" s="1">
        <f t="shared" si="220"/>
        <v>232.88</v>
      </c>
      <c r="O1553" s="1">
        <f t="shared" si="221"/>
        <v>239.73</v>
      </c>
      <c r="P1553" s="1">
        <f t="shared" si="222"/>
        <v>122.31122448979592</v>
      </c>
    </row>
    <row r="1554" spans="1:16">
      <c r="A1554" s="2">
        <v>40802</v>
      </c>
      <c r="B1554" s="1">
        <v>227.57</v>
      </c>
      <c r="C1554" s="1">
        <v>240.44</v>
      </c>
      <c r="D1554" s="1">
        <v>226.74</v>
      </c>
      <c r="E1554" s="1">
        <v>239.3</v>
      </c>
      <c r="F1554" s="1">
        <v>11753000</v>
      </c>
      <c r="G1554" s="1">
        <v>239.3</v>
      </c>
      <c r="H1554" s="1">
        <f t="shared" si="216"/>
        <v>13.699999999999989</v>
      </c>
      <c r="I1554" s="9">
        <f t="shared" si="223"/>
        <v>6.0421628296727474E-2</v>
      </c>
      <c r="J1554" s="1">
        <f t="shared" si="224"/>
        <v>12.52000000000001</v>
      </c>
      <c r="K1554" s="9">
        <f t="shared" si="217"/>
        <v>5.5207690272510851E-2</v>
      </c>
      <c r="L1554" s="1">
        <f t="shared" si="218"/>
        <v>1</v>
      </c>
      <c r="M1554" s="1">
        <f t="shared" si="219"/>
        <v>240.44</v>
      </c>
      <c r="N1554" s="1">
        <f t="shared" si="220"/>
        <v>226.74</v>
      </c>
      <c r="O1554" s="1">
        <f t="shared" si="221"/>
        <v>237.34</v>
      </c>
      <c r="P1554" s="1">
        <f t="shared" si="222"/>
        <v>121.09183673469389</v>
      </c>
    </row>
    <row r="1555" spans="1:16">
      <c r="A1555" s="2">
        <v>40801</v>
      </c>
      <c r="B1555" s="1">
        <v>223.99</v>
      </c>
      <c r="C1555" s="1">
        <v>227.2</v>
      </c>
      <c r="D1555" s="1">
        <v>221.25</v>
      </c>
      <c r="E1555" s="1">
        <v>226.78</v>
      </c>
      <c r="F1555" s="1">
        <v>5608800</v>
      </c>
      <c r="G1555" s="1">
        <v>226.78</v>
      </c>
      <c r="H1555" s="1">
        <f t="shared" si="216"/>
        <v>5.9499999999999886</v>
      </c>
      <c r="I1555" s="9">
        <f t="shared" si="223"/>
        <v>2.6892655367231587E-2</v>
      </c>
      <c r="J1555" s="1">
        <f t="shared" si="224"/>
        <v>4.210000000000008</v>
      </c>
      <c r="K1555" s="9">
        <f t="shared" si="217"/>
        <v>1.8915397403064242E-2</v>
      </c>
      <c r="L1555" s="1">
        <f t="shared" si="218"/>
        <v>1</v>
      </c>
      <c r="M1555" s="1">
        <f t="shared" si="219"/>
        <v>227.2</v>
      </c>
      <c r="N1555" s="1">
        <f t="shared" si="220"/>
        <v>221.25</v>
      </c>
      <c r="O1555" s="1">
        <f t="shared" si="221"/>
        <v>224.82</v>
      </c>
      <c r="P1555" s="1">
        <f t="shared" si="222"/>
        <v>114.70408163265306</v>
      </c>
    </row>
    <row r="1556" spans="1:16">
      <c r="A1556" s="2">
        <v>40800</v>
      </c>
      <c r="B1556" s="1">
        <v>220.22</v>
      </c>
      <c r="C1556" s="1">
        <v>224.99</v>
      </c>
      <c r="D1556" s="1">
        <v>216.72</v>
      </c>
      <c r="E1556" s="1">
        <v>222.57</v>
      </c>
      <c r="F1556" s="1">
        <v>5881700</v>
      </c>
      <c r="G1556" s="1">
        <v>222.57</v>
      </c>
      <c r="H1556" s="1">
        <f t="shared" si="216"/>
        <v>8.2700000000000102</v>
      </c>
      <c r="I1556" s="9">
        <f t="shared" si="223"/>
        <v>3.8159837578442275E-2</v>
      </c>
      <c r="J1556" s="1">
        <f t="shared" si="224"/>
        <v>3.039999999999992</v>
      </c>
      <c r="K1556" s="9">
        <f t="shared" si="217"/>
        <v>1.3847765681228042E-2</v>
      </c>
      <c r="L1556" s="1">
        <f t="shared" si="218"/>
        <v>1</v>
      </c>
      <c r="M1556" s="1">
        <f t="shared" si="219"/>
        <v>224.99</v>
      </c>
      <c r="N1556" s="1">
        <f t="shared" si="220"/>
        <v>216.72</v>
      </c>
      <c r="O1556" s="1">
        <f t="shared" si="221"/>
        <v>220.60999999999999</v>
      </c>
      <c r="P1556" s="1">
        <f t="shared" si="222"/>
        <v>112.55612244897959</v>
      </c>
    </row>
    <row r="1557" spans="1:16">
      <c r="A1557" s="2">
        <v>40799</v>
      </c>
      <c r="B1557" s="1">
        <v>217.79</v>
      </c>
      <c r="C1557" s="1">
        <v>219.95</v>
      </c>
      <c r="D1557" s="1">
        <v>215.01</v>
      </c>
      <c r="E1557" s="1">
        <v>219.53</v>
      </c>
      <c r="F1557" s="1">
        <v>4835900</v>
      </c>
      <c r="G1557" s="1">
        <v>219.53</v>
      </c>
      <c r="H1557" s="1">
        <f t="shared" si="216"/>
        <v>4.9399999999999977</v>
      </c>
      <c r="I1557" s="9">
        <f t="shared" si="223"/>
        <v>2.2975675549974411E-2</v>
      </c>
      <c r="J1557" s="1">
        <f t="shared" si="224"/>
        <v>2.9699999999999989</v>
      </c>
      <c r="K1557" s="9">
        <f t="shared" si="217"/>
        <v>1.3714444033985957E-2</v>
      </c>
      <c r="L1557" s="1">
        <f t="shared" si="218"/>
        <v>1</v>
      </c>
      <c r="M1557" s="1">
        <f t="shared" si="219"/>
        <v>219.95</v>
      </c>
      <c r="N1557" s="1">
        <f t="shared" si="220"/>
        <v>215.01</v>
      </c>
      <c r="O1557" s="1">
        <f t="shared" si="221"/>
        <v>217.57</v>
      </c>
      <c r="P1557" s="1">
        <f t="shared" si="222"/>
        <v>111.00510204081633</v>
      </c>
    </row>
    <row r="1558" spans="1:16">
      <c r="A1558" s="2">
        <v>40798</v>
      </c>
      <c r="B1558" s="1">
        <v>208.75</v>
      </c>
      <c r="C1558" s="1">
        <v>216.66</v>
      </c>
      <c r="D1558" s="1">
        <v>208.65</v>
      </c>
      <c r="E1558" s="1">
        <v>216.56</v>
      </c>
      <c r="F1558" s="1">
        <v>5342100</v>
      </c>
      <c r="G1558" s="1">
        <v>216.56</v>
      </c>
      <c r="H1558" s="1">
        <f t="shared" si="216"/>
        <v>8.0099999999999909</v>
      </c>
      <c r="I1558" s="9">
        <f t="shared" si="223"/>
        <v>3.8389647735442081E-2</v>
      </c>
      <c r="J1558" s="1">
        <f t="shared" si="224"/>
        <v>5.1700000000000159</v>
      </c>
      <c r="K1558" s="9">
        <f t="shared" si="217"/>
        <v>2.4457164482709761E-2</v>
      </c>
      <c r="L1558" s="1">
        <f t="shared" si="218"/>
        <v>1</v>
      </c>
      <c r="M1558" s="1">
        <f t="shared" si="219"/>
        <v>216.66</v>
      </c>
      <c r="N1558" s="1">
        <f t="shared" si="220"/>
        <v>208.65</v>
      </c>
      <c r="O1558" s="1">
        <f t="shared" si="221"/>
        <v>214.6</v>
      </c>
      <c r="P1558" s="1">
        <f t="shared" si="222"/>
        <v>109.48979591836735</v>
      </c>
    </row>
    <row r="1559" spans="1:16">
      <c r="A1559" s="2">
        <v>40795</v>
      </c>
      <c r="B1559" s="1">
        <v>215.05</v>
      </c>
      <c r="C1559" s="1">
        <v>216.96</v>
      </c>
      <c r="D1559" s="1">
        <v>209.75</v>
      </c>
      <c r="E1559" s="1">
        <v>211.39</v>
      </c>
      <c r="F1559" s="1">
        <v>4574300</v>
      </c>
      <c r="G1559" s="1">
        <v>211.39</v>
      </c>
      <c r="H1559" s="1">
        <f t="shared" si="216"/>
        <v>7.210000000000008</v>
      </c>
      <c r="I1559" s="9">
        <f t="shared" si="223"/>
        <v>3.437425506555427E-2</v>
      </c>
      <c r="J1559" s="1">
        <f t="shared" si="224"/>
        <v>-5.8700000000000045</v>
      </c>
      <c r="K1559" s="9">
        <f t="shared" si="217"/>
        <v>-2.7018319064715111E-2</v>
      </c>
      <c r="L1559" s="1">
        <f t="shared" si="218"/>
        <v>1</v>
      </c>
      <c r="M1559" s="1">
        <f t="shared" si="219"/>
        <v>216.96</v>
      </c>
      <c r="N1559" s="1">
        <f t="shared" si="220"/>
        <v>209.75</v>
      </c>
      <c r="O1559" s="1">
        <f t="shared" si="221"/>
        <v>209.42999999999998</v>
      </c>
      <c r="P1559" s="1">
        <f t="shared" si="222"/>
        <v>106.85204081632652</v>
      </c>
    </row>
    <row r="1560" spans="1:16">
      <c r="A1560" s="2">
        <v>40794</v>
      </c>
      <c r="B1560" s="1">
        <v>218.3</v>
      </c>
      <c r="C1560" s="1">
        <v>220.64</v>
      </c>
      <c r="D1560" s="1">
        <v>216.34</v>
      </c>
      <c r="E1560" s="1">
        <v>217.26</v>
      </c>
      <c r="F1560" s="1">
        <v>4397900</v>
      </c>
      <c r="G1560" s="1">
        <v>217.26</v>
      </c>
      <c r="H1560" s="1">
        <f t="shared" si="216"/>
        <v>4.2999999999999829</v>
      </c>
      <c r="I1560" s="9">
        <f t="shared" si="223"/>
        <v>1.9876120920772778E-2</v>
      </c>
      <c r="J1560" s="1">
        <f t="shared" si="224"/>
        <v>-2.6400000000000148</v>
      </c>
      <c r="K1560" s="9">
        <f t="shared" si="217"/>
        <v>-1.200545702592094E-2</v>
      </c>
      <c r="L1560" s="1">
        <f t="shared" si="218"/>
        <v>1</v>
      </c>
      <c r="M1560" s="1">
        <f t="shared" si="219"/>
        <v>220.64</v>
      </c>
      <c r="N1560" s="1">
        <f t="shared" si="220"/>
        <v>216.34</v>
      </c>
      <c r="O1560" s="1">
        <f t="shared" si="221"/>
        <v>215.29999999999998</v>
      </c>
      <c r="P1560" s="1">
        <f t="shared" si="222"/>
        <v>109.8469387755102</v>
      </c>
    </row>
    <row r="1561" spans="1:16">
      <c r="A1561" s="2">
        <v>40793</v>
      </c>
      <c r="B1561" s="1">
        <v>218.8</v>
      </c>
      <c r="C1561" s="1">
        <v>220.19</v>
      </c>
      <c r="D1561" s="1">
        <v>214.22</v>
      </c>
      <c r="E1561" s="1">
        <v>219.9</v>
      </c>
      <c r="F1561" s="1">
        <v>5295800</v>
      </c>
      <c r="G1561" s="1">
        <v>219.9</v>
      </c>
      <c r="H1561" s="1">
        <f t="shared" si="216"/>
        <v>5.9699999999999989</v>
      </c>
      <c r="I1561" s="9">
        <f t="shared" si="223"/>
        <v>2.7868546354215287E-2</v>
      </c>
      <c r="J1561" s="1">
        <f t="shared" si="224"/>
        <v>3.7199999999999989</v>
      </c>
      <c r="K1561" s="9">
        <f t="shared" si="217"/>
        <v>1.7207882320288644E-2</v>
      </c>
      <c r="L1561" s="1">
        <f t="shared" si="218"/>
        <v>1</v>
      </c>
      <c r="M1561" s="1">
        <f t="shared" si="219"/>
        <v>220.19</v>
      </c>
      <c r="N1561" s="1">
        <f t="shared" si="220"/>
        <v>214.22</v>
      </c>
      <c r="O1561" s="1">
        <f t="shared" si="221"/>
        <v>217.94</v>
      </c>
      <c r="P1561" s="1">
        <f t="shared" si="222"/>
        <v>111.19387755102041</v>
      </c>
    </row>
    <row r="1562" spans="1:16">
      <c r="A1562" s="2">
        <v>40792</v>
      </c>
      <c r="B1562" s="1">
        <v>204.77</v>
      </c>
      <c r="C1562" s="1">
        <v>216.6</v>
      </c>
      <c r="D1562" s="1">
        <v>204.47</v>
      </c>
      <c r="E1562" s="1">
        <v>216.18</v>
      </c>
      <c r="F1562" s="1">
        <v>6216200</v>
      </c>
      <c r="G1562" s="1">
        <v>216.18</v>
      </c>
      <c r="H1562" s="1">
        <f t="shared" si="216"/>
        <v>12.129999999999995</v>
      </c>
      <c r="I1562" s="9">
        <f t="shared" si="223"/>
        <v>5.9324106225852179E-2</v>
      </c>
      <c r="J1562" s="1">
        <f t="shared" si="224"/>
        <v>6.1800000000000068</v>
      </c>
      <c r="K1562" s="9">
        <f t="shared" si="217"/>
        <v>2.942857142857146E-2</v>
      </c>
      <c r="L1562" s="1">
        <f t="shared" si="218"/>
        <v>1</v>
      </c>
      <c r="M1562" s="1">
        <f t="shared" si="219"/>
        <v>216.6</v>
      </c>
      <c r="N1562" s="1">
        <f t="shared" si="220"/>
        <v>204.47</v>
      </c>
      <c r="O1562" s="1">
        <f t="shared" si="221"/>
        <v>214.22</v>
      </c>
      <c r="P1562" s="1">
        <f t="shared" si="222"/>
        <v>109.29591836734694</v>
      </c>
    </row>
    <row r="1563" spans="1:16">
      <c r="A1563" s="2">
        <v>40788</v>
      </c>
      <c r="B1563" s="1">
        <v>208.94</v>
      </c>
      <c r="C1563" s="1">
        <v>210.69</v>
      </c>
      <c r="D1563" s="1">
        <v>207</v>
      </c>
      <c r="E1563" s="1">
        <v>210</v>
      </c>
      <c r="F1563" s="1">
        <v>4232000</v>
      </c>
      <c r="G1563" s="1">
        <v>210</v>
      </c>
      <c r="H1563" s="1">
        <f t="shared" si="216"/>
        <v>3.6899999999999977</v>
      </c>
      <c r="I1563" s="9">
        <f t="shared" si="223"/>
        <v>1.7826086956521728E-2</v>
      </c>
      <c r="J1563" s="1">
        <f t="shared" si="224"/>
        <v>-2.539999999999992</v>
      </c>
      <c r="K1563" s="9">
        <f t="shared" si="217"/>
        <v>-1.1950691634515819E-2</v>
      </c>
      <c r="L1563" s="1">
        <f t="shared" si="218"/>
        <v>1</v>
      </c>
      <c r="M1563" s="1">
        <f t="shared" si="219"/>
        <v>210.69</v>
      </c>
      <c r="N1563" s="1">
        <f t="shared" si="220"/>
        <v>207</v>
      </c>
      <c r="O1563" s="1">
        <f t="shared" si="221"/>
        <v>208.04</v>
      </c>
      <c r="P1563" s="1">
        <f t="shared" si="222"/>
        <v>106.14285714285714</v>
      </c>
    </row>
    <row r="1564" spans="1:16">
      <c r="A1564" s="2">
        <v>40787</v>
      </c>
      <c r="B1564" s="1">
        <v>215.28</v>
      </c>
      <c r="C1564" s="1">
        <v>217.64</v>
      </c>
      <c r="D1564" s="1">
        <v>211.62</v>
      </c>
      <c r="E1564" s="1">
        <v>212.54</v>
      </c>
      <c r="F1564" s="1">
        <v>5275300</v>
      </c>
      <c r="G1564" s="1">
        <v>212.54</v>
      </c>
      <c r="H1564" s="1">
        <f t="shared" si="216"/>
        <v>6.0199999999999818</v>
      </c>
      <c r="I1564" s="9">
        <f t="shared" si="223"/>
        <v>2.8447216709195641E-2</v>
      </c>
      <c r="J1564" s="1">
        <f t="shared" si="224"/>
        <v>-2.6899999999999977</v>
      </c>
      <c r="K1564" s="9">
        <f t="shared" si="217"/>
        <v>-1.2498257677833005E-2</v>
      </c>
      <c r="L1564" s="1">
        <f t="shared" si="218"/>
        <v>1</v>
      </c>
      <c r="M1564" s="1">
        <f t="shared" si="219"/>
        <v>217.64</v>
      </c>
      <c r="N1564" s="1">
        <f t="shared" si="220"/>
        <v>211.62</v>
      </c>
      <c r="O1564" s="1">
        <f t="shared" si="221"/>
        <v>210.57999999999998</v>
      </c>
      <c r="P1564" s="1">
        <f t="shared" si="222"/>
        <v>107.43877551020408</v>
      </c>
    </row>
    <row r="1565" spans="1:16">
      <c r="A1565" s="2">
        <v>40786</v>
      </c>
      <c r="B1565" s="1">
        <v>212.27</v>
      </c>
      <c r="C1565" s="1">
        <v>216.17</v>
      </c>
      <c r="D1565" s="1">
        <v>211.35</v>
      </c>
      <c r="E1565" s="1">
        <v>215.23</v>
      </c>
      <c r="F1565" s="1">
        <v>7405000</v>
      </c>
      <c r="G1565" s="1">
        <v>215.23</v>
      </c>
      <c r="H1565" s="1">
        <f t="shared" si="216"/>
        <v>4.8199999999999932</v>
      </c>
      <c r="I1565" s="9">
        <f t="shared" si="223"/>
        <v>2.280577241542462E-2</v>
      </c>
      <c r="J1565" s="1">
        <f t="shared" si="224"/>
        <v>4.3100000000000023</v>
      </c>
      <c r="K1565" s="9">
        <f t="shared" si="217"/>
        <v>2.0434287881661305E-2</v>
      </c>
      <c r="L1565" s="1">
        <f t="shared" si="218"/>
        <v>1</v>
      </c>
      <c r="M1565" s="1">
        <f t="shared" si="219"/>
        <v>216.17</v>
      </c>
      <c r="N1565" s="1">
        <f t="shared" si="220"/>
        <v>211.35</v>
      </c>
      <c r="O1565" s="1">
        <f t="shared" si="221"/>
        <v>213.26999999999998</v>
      </c>
      <c r="P1565" s="1">
        <f t="shared" si="222"/>
        <v>108.8112244897959</v>
      </c>
    </row>
    <row r="1566" spans="1:16">
      <c r="A1566" s="2">
        <v>40785</v>
      </c>
      <c r="B1566" s="1">
        <v>205.78</v>
      </c>
      <c r="C1566" s="1">
        <v>212.49</v>
      </c>
      <c r="D1566" s="1">
        <v>204.32</v>
      </c>
      <c r="E1566" s="1">
        <v>210.92</v>
      </c>
      <c r="F1566" s="1">
        <v>5915700</v>
      </c>
      <c r="G1566" s="1">
        <v>210.92</v>
      </c>
      <c r="H1566" s="1">
        <f t="shared" si="216"/>
        <v>8.1700000000000159</v>
      </c>
      <c r="I1566" s="9">
        <f t="shared" si="223"/>
        <v>3.9986296006264764E-2</v>
      </c>
      <c r="J1566" s="1">
        <f t="shared" si="224"/>
        <v>4.3899999999999864</v>
      </c>
      <c r="K1566" s="9">
        <f t="shared" si="217"/>
        <v>2.1255991865588467E-2</v>
      </c>
      <c r="L1566" s="1">
        <f t="shared" si="218"/>
        <v>1</v>
      </c>
      <c r="M1566" s="1">
        <f t="shared" si="219"/>
        <v>212.49</v>
      </c>
      <c r="N1566" s="1">
        <f t="shared" si="220"/>
        <v>204.32</v>
      </c>
      <c r="O1566" s="1">
        <f t="shared" si="221"/>
        <v>208.95999999999998</v>
      </c>
      <c r="P1566" s="1">
        <f t="shared" si="222"/>
        <v>106.61224489795917</v>
      </c>
    </row>
    <row r="1567" spans="1:16">
      <c r="A1567" s="2">
        <v>40784</v>
      </c>
      <c r="B1567" s="1">
        <v>202.82</v>
      </c>
      <c r="C1567" s="1">
        <v>206.67</v>
      </c>
      <c r="D1567" s="1">
        <v>202.55</v>
      </c>
      <c r="E1567" s="1">
        <v>206.53</v>
      </c>
      <c r="F1567" s="1">
        <v>4511000</v>
      </c>
      <c r="G1567" s="1">
        <v>206.53</v>
      </c>
      <c r="H1567" s="1">
        <f t="shared" si="216"/>
        <v>4.1199999999999761</v>
      </c>
      <c r="I1567" s="9">
        <f t="shared" si="223"/>
        <v>2.0340656627992969E-2</v>
      </c>
      <c r="J1567" s="1">
        <f t="shared" si="224"/>
        <v>7.2599999999999909</v>
      </c>
      <c r="K1567" s="9">
        <f t="shared" si="217"/>
        <v>3.6432980378381045E-2</v>
      </c>
      <c r="L1567" s="1">
        <f t="shared" si="218"/>
        <v>1</v>
      </c>
      <c r="M1567" s="1">
        <f t="shared" si="219"/>
        <v>206.67</v>
      </c>
      <c r="N1567" s="1">
        <f t="shared" si="220"/>
        <v>202.55</v>
      </c>
      <c r="O1567" s="1">
        <f t="shared" si="221"/>
        <v>204.57</v>
      </c>
      <c r="P1567" s="1">
        <f t="shared" si="222"/>
        <v>104.37244897959184</v>
      </c>
    </row>
    <row r="1568" spans="1:16">
      <c r="A1568" s="2">
        <v>40781</v>
      </c>
      <c r="B1568" s="1">
        <v>191.24</v>
      </c>
      <c r="C1568" s="1">
        <v>199.72</v>
      </c>
      <c r="D1568" s="1">
        <v>189.6</v>
      </c>
      <c r="E1568" s="1">
        <v>199.27</v>
      </c>
      <c r="F1568" s="1">
        <v>5310700</v>
      </c>
      <c r="G1568" s="1">
        <v>199.27</v>
      </c>
      <c r="H1568" s="1">
        <f t="shared" si="216"/>
        <v>10.120000000000005</v>
      </c>
      <c r="I1568" s="9">
        <f t="shared" si="223"/>
        <v>5.3375527426160363E-2</v>
      </c>
      <c r="J1568" s="1">
        <f t="shared" si="224"/>
        <v>7.2400000000000091</v>
      </c>
      <c r="K1568" s="9">
        <f t="shared" si="217"/>
        <v>3.7702442326719827E-2</v>
      </c>
      <c r="L1568" s="1">
        <f t="shared" si="218"/>
        <v>1</v>
      </c>
      <c r="M1568" s="1">
        <f t="shared" si="219"/>
        <v>199.72</v>
      </c>
      <c r="N1568" s="1">
        <f t="shared" si="220"/>
        <v>189.6</v>
      </c>
      <c r="O1568" s="1">
        <f t="shared" si="221"/>
        <v>197.31</v>
      </c>
      <c r="P1568" s="1">
        <f t="shared" si="222"/>
        <v>100.66836734693878</v>
      </c>
    </row>
    <row r="1569" spans="1:16">
      <c r="A1569" s="2">
        <v>40780</v>
      </c>
      <c r="B1569" s="1">
        <v>194.41</v>
      </c>
      <c r="C1569" s="1">
        <v>196.99</v>
      </c>
      <c r="D1569" s="1">
        <v>191.07</v>
      </c>
      <c r="E1569" s="1">
        <v>192.03</v>
      </c>
      <c r="F1569" s="1">
        <v>3760800</v>
      </c>
      <c r="G1569" s="1">
        <v>192.03</v>
      </c>
      <c r="H1569" s="1">
        <f t="shared" si="216"/>
        <v>5.9200000000000159</v>
      </c>
      <c r="I1569" s="9">
        <f t="shared" si="223"/>
        <v>3.0983409221751274E-2</v>
      </c>
      <c r="J1569" s="1">
        <f t="shared" si="224"/>
        <v>-1.6999999999999886</v>
      </c>
      <c r="K1569" s="9">
        <f t="shared" si="217"/>
        <v>-8.775099365095693E-3</v>
      </c>
      <c r="L1569" s="1">
        <f t="shared" si="218"/>
        <v>1</v>
      </c>
      <c r="M1569" s="1">
        <f t="shared" si="219"/>
        <v>196.99</v>
      </c>
      <c r="N1569" s="1">
        <f t="shared" si="220"/>
        <v>191.07</v>
      </c>
      <c r="O1569" s="1">
        <f t="shared" si="221"/>
        <v>190.07</v>
      </c>
      <c r="P1569" s="1">
        <f t="shared" si="222"/>
        <v>96.974489795918359</v>
      </c>
    </row>
    <row r="1570" spans="1:16">
      <c r="A1570" s="2">
        <v>40779</v>
      </c>
      <c r="B1570" s="1">
        <v>193.89</v>
      </c>
      <c r="C1570" s="1">
        <v>196.31</v>
      </c>
      <c r="D1570" s="1">
        <v>190.17</v>
      </c>
      <c r="E1570" s="1">
        <v>193.73</v>
      </c>
      <c r="F1570" s="1">
        <v>6248700</v>
      </c>
      <c r="G1570" s="1">
        <v>193.73</v>
      </c>
      <c r="H1570" s="1">
        <f t="shared" si="216"/>
        <v>6.1400000000000148</v>
      </c>
      <c r="I1570" s="9">
        <f t="shared" si="223"/>
        <v>3.22869011936689E-2</v>
      </c>
      <c r="J1570" s="1">
        <f t="shared" si="224"/>
        <v>0.1799999999999784</v>
      </c>
      <c r="K1570" s="9">
        <f t="shared" si="217"/>
        <v>9.2999225006447112E-4</v>
      </c>
      <c r="L1570" s="1">
        <f t="shared" si="218"/>
        <v>1</v>
      </c>
      <c r="M1570" s="1">
        <f t="shared" si="219"/>
        <v>196.31</v>
      </c>
      <c r="N1570" s="1">
        <f t="shared" si="220"/>
        <v>190.17</v>
      </c>
      <c r="O1570" s="1">
        <f t="shared" si="221"/>
        <v>191.76999999999998</v>
      </c>
      <c r="P1570" s="1">
        <f t="shared" si="222"/>
        <v>97.841836734693871</v>
      </c>
    </row>
    <row r="1571" spans="1:16">
      <c r="A1571" s="2">
        <v>40778</v>
      </c>
      <c r="B1571" s="1">
        <v>178.92</v>
      </c>
      <c r="C1571" s="1">
        <v>194.84</v>
      </c>
      <c r="D1571" s="1">
        <v>178.52</v>
      </c>
      <c r="E1571" s="1">
        <v>193.55</v>
      </c>
      <c r="F1571" s="1">
        <v>7351600</v>
      </c>
      <c r="G1571" s="1">
        <v>193.55</v>
      </c>
      <c r="H1571" s="1">
        <f t="shared" si="216"/>
        <v>16.319999999999993</v>
      </c>
      <c r="I1571" s="9">
        <f t="shared" si="223"/>
        <v>9.141832847860179E-2</v>
      </c>
      <c r="J1571" s="1">
        <f t="shared" si="224"/>
        <v>16.010000000000019</v>
      </c>
      <c r="K1571" s="9">
        <f t="shared" si="217"/>
        <v>9.0176861552326348E-2</v>
      </c>
      <c r="L1571" s="1">
        <f t="shared" si="218"/>
        <v>1</v>
      </c>
      <c r="M1571" s="1">
        <f t="shared" si="219"/>
        <v>194.84</v>
      </c>
      <c r="N1571" s="1">
        <f t="shared" si="220"/>
        <v>178.52</v>
      </c>
      <c r="O1571" s="1">
        <f t="shared" si="221"/>
        <v>191.59</v>
      </c>
      <c r="P1571" s="1">
        <f t="shared" si="222"/>
        <v>97.75</v>
      </c>
    </row>
    <row r="1572" spans="1:16">
      <c r="A1572" s="2">
        <v>40777</v>
      </c>
      <c r="B1572" s="1">
        <v>182.83</v>
      </c>
      <c r="C1572" s="1">
        <v>184.2</v>
      </c>
      <c r="D1572" s="1">
        <v>177.1</v>
      </c>
      <c r="E1572" s="1">
        <v>177.54</v>
      </c>
      <c r="F1572" s="1">
        <v>5313700</v>
      </c>
      <c r="G1572" s="1">
        <v>177.54</v>
      </c>
      <c r="H1572" s="1">
        <f t="shared" si="216"/>
        <v>7.0999999999999943</v>
      </c>
      <c r="I1572" s="9">
        <f t="shared" si="223"/>
        <v>4.0090344438170493E-2</v>
      </c>
      <c r="J1572" s="1">
        <f t="shared" si="224"/>
        <v>-1.3900000000000148</v>
      </c>
      <c r="K1572" s="9">
        <f t="shared" si="217"/>
        <v>-7.768401050690296E-3</v>
      </c>
      <c r="L1572" s="1">
        <f t="shared" si="218"/>
        <v>1</v>
      </c>
      <c r="M1572" s="1">
        <f t="shared" si="219"/>
        <v>184.2</v>
      </c>
      <c r="N1572" s="1">
        <f t="shared" si="220"/>
        <v>177.1</v>
      </c>
      <c r="O1572" s="1">
        <f t="shared" si="221"/>
        <v>175.57999999999998</v>
      </c>
      <c r="P1572" s="1">
        <f t="shared" si="222"/>
        <v>89.58163265306122</v>
      </c>
    </row>
    <row r="1573" spans="1:16">
      <c r="A1573" s="2">
        <v>40774</v>
      </c>
      <c r="B1573" s="1">
        <v>180.29</v>
      </c>
      <c r="C1573" s="1">
        <v>190</v>
      </c>
      <c r="D1573" s="1">
        <v>177.55</v>
      </c>
      <c r="E1573" s="1">
        <v>178.93</v>
      </c>
      <c r="F1573" s="1">
        <v>7244200</v>
      </c>
      <c r="G1573" s="1">
        <v>178.93</v>
      </c>
      <c r="H1573" s="1">
        <f t="shared" si="216"/>
        <v>12.449999999999989</v>
      </c>
      <c r="I1573" s="9">
        <f t="shared" si="223"/>
        <v>7.0121092649957695E-2</v>
      </c>
      <c r="J1573" s="1">
        <f t="shared" si="224"/>
        <v>-3.5900000000000034</v>
      </c>
      <c r="K1573" s="9">
        <f t="shared" si="217"/>
        <v>-1.9669077361385071E-2</v>
      </c>
      <c r="L1573" s="1">
        <f t="shared" si="218"/>
        <v>1</v>
      </c>
      <c r="M1573" s="1">
        <f t="shared" si="219"/>
        <v>190</v>
      </c>
      <c r="N1573" s="1">
        <f t="shared" si="220"/>
        <v>177.55</v>
      </c>
      <c r="O1573" s="1">
        <f t="shared" si="221"/>
        <v>176.97</v>
      </c>
      <c r="P1573" s="1">
        <f t="shared" si="222"/>
        <v>90.290816326530617</v>
      </c>
    </row>
    <row r="1574" spans="1:16">
      <c r="A1574" s="2">
        <v>40773</v>
      </c>
      <c r="B1574" s="1">
        <v>191.21</v>
      </c>
      <c r="C1574" s="1">
        <v>191.34</v>
      </c>
      <c r="D1574" s="1">
        <v>179.72</v>
      </c>
      <c r="E1574" s="1">
        <v>182.52</v>
      </c>
      <c r="F1574" s="1">
        <v>8275200</v>
      </c>
      <c r="G1574" s="1">
        <v>182.52</v>
      </c>
      <c r="H1574" s="1">
        <f t="shared" si="216"/>
        <v>11.620000000000005</v>
      </c>
      <c r="I1574" s="9">
        <f t="shared" si="223"/>
        <v>6.4656131760516378E-2</v>
      </c>
      <c r="J1574" s="1">
        <f t="shared" si="224"/>
        <v>-13.409999999999997</v>
      </c>
      <c r="K1574" s="9">
        <f t="shared" si="217"/>
        <v>-6.84428112080845E-2</v>
      </c>
      <c r="L1574" s="1">
        <f t="shared" si="218"/>
        <v>1</v>
      </c>
      <c r="M1574" s="1">
        <f t="shared" si="219"/>
        <v>191.34</v>
      </c>
      <c r="N1574" s="1">
        <f t="shared" si="220"/>
        <v>179.72</v>
      </c>
      <c r="O1574" s="1">
        <f t="shared" si="221"/>
        <v>180.56</v>
      </c>
      <c r="P1574" s="1">
        <f t="shared" si="222"/>
        <v>92.122448979591837</v>
      </c>
    </row>
    <row r="1575" spans="1:16">
      <c r="A1575" s="2">
        <v>40772</v>
      </c>
      <c r="B1575" s="1">
        <v>198.53</v>
      </c>
      <c r="C1575" s="1">
        <v>199.6</v>
      </c>
      <c r="D1575" s="1">
        <v>193.74</v>
      </c>
      <c r="E1575" s="1">
        <v>195.93</v>
      </c>
      <c r="F1575" s="1">
        <v>3991100</v>
      </c>
      <c r="G1575" s="1">
        <v>195.93</v>
      </c>
      <c r="H1575" s="1">
        <f t="shared" si="216"/>
        <v>5.8599999999999852</v>
      </c>
      <c r="I1575" s="9">
        <f t="shared" si="223"/>
        <v>3.0246722411479226E-2</v>
      </c>
      <c r="J1575" s="1">
        <f t="shared" si="224"/>
        <v>-1.75</v>
      </c>
      <c r="K1575" s="9">
        <f t="shared" si="217"/>
        <v>-8.8526912181303118E-3</v>
      </c>
      <c r="L1575" s="1">
        <f t="shared" si="218"/>
        <v>1</v>
      </c>
      <c r="M1575" s="1">
        <f t="shared" si="219"/>
        <v>199.6</v>
      </c>
      <c r="N1575" s="1">
        <f t="shared" si="220"/>
        <v>193.74</v>
      </c>
      <c r="O1575" s="1">
        <f t="shared" si="221"/>
        <v>193.97</v>
      </c>
      <c r="P1575" s="1">
        <f t="shared" si="222"/>
        <v>98.964285714285722</v>
      </c>
    </row>
    <row r="1576" spans="1:16">
      <c r="A1576" s="2">
        <v>40771</v>
      </c>
      <c r="B1576" s="1">
        <v>201.14</v>
      </c>
      <c r="C1576" s="1">
        <v>201.39</v>
      </c>
      <c r="D1576" s="1">
        <v>194.75</v>
      </c>
      <c r="E1576" s="1">
        <v>197.68</v>
      </c>
      <c r="F1576" s="1">
        <v>5205900</v>
      </c>
      <c r="G1576" s="1">
        <v>197.68</v>
      </c>
      <c r="H1576" s="1">
        <f t="shared" si="216"/>
        <v>6.6399999999999864</v>
      </c>
      <c r="I1576" s="9">
        <f t="shared" si="223"/>
        <v>3.4094993581514695E-2</v>
      </c>
      <c r="J1576" s="1">
        <f t="shared" si="224"/>
        <v>-5.2699999999999818</v>
      </c>
      <c r="K1576" s="9">
        <f t="shared" si="217"/>
        <v>-2.5966986942596609E-2</v>
      </c>
      <c r="L1576" s="1">
        <f t="shared" si="218"/>
        <v>1</v>
      </c>
      <c r="M1576" s="1">
        <f t="shared" si="219"/>
        <v>201.39</v>
      </c>
      <c r="N1576" s="1">
        <f t="shared" si="220"/>
        <v>194.75</v>
      </c>
      <c r="O1576" s="1">
        <f t="shared" si="221"/>
        <v>195.72</v>
      </c>
      <c r="P1576" s="1">
        <f t="shared" si="222"/>
        <v>99.857142857142861</v>
      </c>
    </row>
    <row r="1577" spans="1:16">
      <c r="A1577" s="2">
        <v>40770</v>
      </c>
      <c r="B1577" s="1">
        <v>202.06</v>
      </c>
      <c r="C1577" s="1">
        <v>205.28</v>
      </c>
      <c r="D1577" s="1">
        <v>198.32</v>
      </c>
      <c r="E1577" s="1">
        <v>202.95</v>
      </c>
      <c r="F1577" s="1">
        <v>4785900</v>
      </c>
      <c r="G1577" s="1">
        <v>202.95</v>
      </c>
      <c r="H1577" s="1">
        <f t="shared" si="216"/>
        <v>6.960000000000008</v>
      </c>
      <c r="I1577" s="9">
        <f t="shared" si="223"/>
        <v>3.5094796288826183E-2</v>
      </c>
      <c r="J1577" s="1">
        <f t="shared" si="224"/>
        <v>0.64999999999997726</v>
      </c>
      <c r="K1577" s="9">
        <f t="shared" si="217"/>
        <v>3.2130499258525816E-3</v>
      </c>
      <c r="L1577" s="1">
        <f t="shared" si="218"/>
        <v>1</v>
      </c>
      <c r="M1577" s="1">
        <f t="shared" si="219"/>
        <v>205.28</v>
      </c>
      <c r="N1577" s="1">
        <f t="shared" si="220"/>
        <v>198.32</v>
      </c>
      <c r="O1577" s="1">
        <f t="shared" si="221"/>
        <v>200.98999999999998</v>
      </c>
      <c r="P1577" s="1">
        <f t="shared" si="222"/>
        <v>102.54591836734693</v>
      </c>
    </row>
    <row r="1578" spans="1:16">
      <c r="A1578" s="2">
        <v>40767</v>
      </c>
      <c r="B1578" s="1">
        <v>200.28</v>
      </c>
      <c r="C1578" s="1">
        <v>204.56</v>
      </c>
      <c r="D1578" s="1">
        <v>197.21</v>
      </c>
      <c r="E1578" s="1">
        <v>202.3</v>
      </c>
      <c r="F1578" s="1">
        <v>5620400</v>
      </c>
      <c r="G1578" s="1">
        <v>202.3</v>
      </c>
      <c r="H1578" s="1">
        <f t="shared" si="216"/>
        <v>7.3499999999999943</v>
      </c>
      <c r="I1578" s="9">
        <f t="shared" si="223"/>
        <v>3.7269915318695779E-2</v>
      </c>
      <c r="J1578" s="1">
        <f t="shared" si="224"/>
        <v>3.9399999999999977</v>
      </c>
      <c r="K1578" s="9">
        <f t="shared" si="217"/>
        <v>1.9862875579753969E-2</v>
      </c>
      <c r="L1578" s="1">
        <f t="shared" si="218"/>
        <v>1</v>
      </c>
      <c r="M1578" s="1">
        <f t="shared" si="219"/>
        <v>204.56</v>
      </c>
      <c r="N1578" s="1">
        <f t="shared" si="220"/>
        <v>197.21</v>
      </c>
      <c r="O1578" s="1">
        <f t="shared" si="221"/>
        <v>200.34</v>
      </c>
      <c r="P1578" s="1">
        <f t="shared" si="222"/>
        <v>102.21428571428572</v>
      </c>
    </row>
    <row r="1579" spans="1:16">
      <c r="A1579" s="2">
        <v>40766</v>
      </c>
      <c r="B1579" s="1">
        <v>197.01</v>
      </c>
      <c r="C1579" s="1">
        <v>200.85</v>
      </c>
      <c r="D1579" s="1">
        <v>191.36</v>
      </c>
      <c r="E1579" s="1">
        <v>198.36</v>
      </c>
      <c r="F1579" s="1">
        <v>7401900</v>
      </c>
      <c r="G1579" s="1">
        <v>198.36</v>
      </c>
      <c r="H1579" s="1">
        <f t="shared" si="216"/>
        <v>9.4899999999999807</v>
      </c>
      <c r="I1579" s="9">
        <f t="shared" si="223"/>
        <v>4.959239130434772E-2</v>
      </c>
      <c r="J1579" s="1">
        <f t="shared" si="224"/>
        <v>4.2300000000000182</v>
      </c>
      <c r="K1579" s="9">
        <f t="shared" si="217"/>
        <v>2.178952248493287E-2</v>
      </c>
      <c r="L1579" s="1">
        <f t="shared" si="218"/>
        <v>1</v>
      </c>
      <c r="M1579" s="1">
        <f t="shared" si="219"/>
        <v>200.85</v>
      </c>
      <c r="N1579" s="1">
        <f t="shared" si="220"/>
        <v>191.36</v>
      </c>
      <c r="O1579" s="1">
        <f t="shared" si="221"/>
        <v>196.4</v>
      </c>
      <c r="P1579" s="1">
        <f t="shared" si="222"/>
        <v>100.20408163265307</v>
      </c>
    </row>
    <row r="1580" spans="1:16">
      <c r="A1580" s="2">
        <v>40765</v>
      </c>
      <c r="B1580" s="1">
        <v>200.76</v>
      </c>
      <c r="C1580" s="1">
        <v>202.4</v>
      </c>
      <c r="D1580" s="1">
        <v>193.6</v>
      </c>
      <c r="E1580" s="1">
        <v>194.13</v>
      </c>
      <c r="F1580" s="1">
        <v>8757600</v>
      </c>
      <c r="G1580" s="1">
        <v>194.13</v>
      </c>
      <c r="H1580" s="1">
        <f t="shared" si="216"/>
        <v>8.8000000000000114</v>
      </c>
      <c r="I1580" s="9">
        <f t="shared" si="223"/>
        <v>4.5454545454545511E-2</v>
      </c>
      <c r="J1580" s="1">
        <f t="shared" si="224"/>
        <v>-10.960000000000008</v>
      </c>
      <c r="K1580" s="9">
        <f t="shared" si="217"/>
        <v>-5.3439953191281912E-2</v>
      </c>
      <c r="L1580" s="1">
        <f t="shared" si="218"/>
        <v>1</v>
      </c>
      <c r="M1580" s="1">
        <f t="shared" si="219"/>
        <v>202.4</v>
      </c>
      <c r="N1580" s="1">
        <f t="shared" si="220"/>
        <v>193.6</v>
      </c>
      <c r="O1580" s="1">
        <f t="shared" si="221"/>
        <v>192.17</v>
      </c>
      <c r="P1580" s="1">
        <f t="shared" si="222"/>
        <v>98.045918367346928</v>
      </c>
    </row>
    <row r="1581" spans="1:16">
      <c r="A1581" s="2">
        <v>40764</v>
      </c>
      <c r="B1581" s="1">
        <v>196.7</v>
      </c>
      <c r="C1581" s="1">
        <v>205.09</v>
      </c>
      <c r="D1581" s="1">
        <v>190.46</v>
      </c>
      <c r="E1581" s="1">
        <v>205.09</v>
      </c>
      <c r="F1581" s="1">
        <v>10491200</v>
      </c>
      <c r="G1581" s="1">
        <v>205.09</v>
      </c>
      <c r="H1581" s="1">
        <f t="shared" si="216"/>
        <v>14.629999999999995</v>
      </c>
      <c r="I1581" s="9">
        <f t="shared" si="223"/>
        <v>7.6814029192481328E-2</v>
      </c>
      <c r="J1581" s="1">
        <f t="shared" si="224"/>
        <v>11.390000000000015</v>
      </c>
      <c r="K1581" s="9">
        <f t="shared" si="217"/>
        <v>5.8802271553949487E-2</v>
      </c>
      <c r="L1581" s="1">
        <f t="shared" si="218"/>
        <v>1</v>
      </c>
      <c r="M1581" s="1">
        <f t="shared" si="219"/>
        <v>205.09</v>
      </c>
      <c r="N1581" s="1">
        <f t="shared" si="220"/>
        <v>190.46</v>
      </c>
      <c r="O1581" s="1">
        <f t="shared" si="221"/>
        <v>203.13</v>
      </c>
      <c r="P1581" s="1">
        <f t="shared" si="222"/>
        <v>103.63775510204081</v>
      </c>
    </row>
    <row r="1582" spans="1:16">
      <c r="A1582" s="2">
        <v>40763</v>
      </c>
      <c r="B1582" s="1">
        <v>196.4</v>
      </c>
      <c r="C1582" s="1">
        <v>200.39</v>
      </c>
      <c r="D1582" s="1">
        <v>190.05</v>
      </c>
      <c r="E1582" s="1">
        <v>193.7</v>
      </c>
      <c r="F1582" s="1">
        <v>10427500</v>
      </c>
      <c r="G1582" s="1">
        <v>193.7</v>
      </c>
      <c r="H1582" s="1">
        <f t="shared" si="216"/>
        <v>10.339999999999975</v>
      </c>
      <c r="I1582" s="9">
        <f t="shared" si="223"/>
        <v>5.4406735069718361E-2</v>
      </c>
      <c r="J1582" s="1">
        <f t="shared" si="224"/>
        <v>-9</v>
      </c>
      <c r="K1582" s="9">
        <f t="shared" si="217"/>
        <v>-4.4400592007893439E-2</v>
      </c>
      <c r="L1582" s="1">
        <f t="shared" si="218"/>
        <v>1</v>
      </c>
      <c r="M1582" s="1">
        <f t="shared" si="219"/>
        <v>200.39</v>
      </c>
      <c r="N1582" s="1">
        <f t="shared" si="220"/>
        <v>190.05</v>
      </c>
      <c r="O1582" s="1">
        <f t="shared" si="221"/>
        <v>191.73999999999998</v>
      </c>
      <c r="P1582" s="1">
        <f t="shared" si="222"/>
        <v>97.826530612244895</v>
      </c>
    </row>
    <row r="1583" spans="1:16">
      <c r="A1583" s="2">
        <v>40760</v>
      </c>
      <c r="B1583" s="1">
        <v>204.67</v>
      </c>
      <c r="C1583" s="1">
        <v>207.32</v>
      </c>
      <c r="D1583" s="1">
        <v>194.84</v>
      </c>
      <c r="E1583" s="1">
        <v>202.7</v>
      </c>
      <c r="F1583" s="1">
        <v>10024000</v>
      </c>
      <c r="G1583" s="1">
        <v>202.7</v>
      </c>
      <c r="H1583" s="1">
        <f t="shared" si="216"/>
        <v>12.47999999999999</v>
      </c>
      <c r="I1583" s="9">
        <f t="shared" si="223"/>
        <v>6.4052555943338071E-2</v>
      </c>
      <c r="J1583" s="1">
        <f t="shared" si="224"/>
        <v>1.2199999999999989</v>
      </c>
      <c r="K1583" s="9">
        <f t="shared" si="217"/>
        <v>6.0551915822910406E-3</v>
      </c>
      <c r="L1583" s="1">
        <f t="shared" si="218"/>
        <v>1</v>
      </c>
      <c r="M1583" s="1">
        <f t="shared" si="219"/>
        <v>207.32</v>
      </c>
      <c r="N1583" s="1">
        <f t="shared" si="220"/>
        <v>194.84</v>
      </c>
      <c r="O1583" s="1">
        <f t="shared" si="221"/>
        <v>200.73999999999998</v>
      </c>
      <c r="P1583" s="1">
        <f t="shared" si="222"/>
        <v>102.41836734693877</v>
      </c>
    </row>
    <row r="1584" spans="1:16">
      <c r="A1584" s="2">
        <v>40759</v>
      </c>
      <c r="B1584" s="1">
        <v>206.73</v>
      </c>
      <c r="C1584" s="1">
        <v>208</v>
      </c>
      <c r="D1584" s="1">
        <v>201.45</v>
      </c>
      <c r="E1584" s="1">
        <v>201.48</v>
      </c>
      <c r="F1584" s="1">
        <v>6579500</v>
      </c>
      <c r="G1584" s="1">
        <v>201.48</v>
      </c>
      <c r="H1584" s="1">
        <f t="shared" si="216"/>
        <v>6.5500000000000114</v>
      </c>
      <c r="I1584" s="9">
        <f t="shared" si="223"/>
        <v>3.251427153139743E-2</v>
      </c>
      <c r="J1584" s="1">
        <f t="shared" si="224"/>
        <v>-8.4800000000000182</v>
      </c>
      <c r="K1584" s="9">
        <f t="shared" si="217"/>
        <v>-4.0388645456277468E-2</v>
      </c>
      <c r="L1584" s="1">
        <f t="shared" si="218"/>
        <v>1</v>
      </c>
      <c r="M1584" s="1">
        <f t="shared" si="219"/>
        <v>208</v>
      </c>
      <c r="N1584" s="1">
        <f t="shared" si="220"/>
        <v>201.45</v>
      </c>
      <c r="O1584" s="1">
        <f t="shared" si="221"/>
        <v>199.51999999999998</v>
      </c>
      <c r="P1584" s="1">
        <f t="shared" si="222"/>
        <v>101.79591836734693</v>
      </c>
    </row>
    <row r="1585" spans="1:16">
      <c r="A1585" s="2">
        <v>40758</v>
      </c>
      <c r="B1585" s="1">
        <v>212.97</v>
      </c>
      <c r="C1585" s="1">
        <v>214.83</v>
      </c>
      <c r="D1585" s="1">
        <v>205.54</v>
      </c>
      <c r="E1585" s="1">
        <v>209.96</v>
      </c>
      <c r="F1585" s="1">
        <v>8197100</v>
      </c>
      <c r="G1585" s="1">
        <v>209.96</v>
      </c>
      <c r="H1585" s="1">
        <f t="shared" si="216"/>
        <v>9.2900000000000205</v>
      </c>
      <c r="I1585" s="9">
        <f t="shared" si="223"/>
        <v>4.5198014984917878E-2</v>
      </c>
      <c r="J1585" s="1">
        <f t="shared" si="224"/>
        <v>-1.7399999999999807</v>
      </c>
      <c r="K1585" s="9">
        <f t="shared" si="217"/>
        <v>-8.2191780821916898E-3</v>
      </c>
      <c r="L1585" s="1">
        <f t="shared" si="218"/>
        <v>1</v>
      </c>
      <c r="M1585" s="1">
        <f t="shared" si="219"/>
        <v>214.83</v>
      </c>
      <c r="N1585" s="1">
        <f t="shared" si="220"/>
        <v>205.54</v>
      </c>
      <c r="O1585" s="1">
        <f t="shared" si="221"/>
        <v>208</v>
      </c>
      <c r="P1585" s="1">
        <f t="shared" si="222"/>
        <v>106.12244897959184</v>
      </c>
    </row>
    <row r="1586" spans="1:16">
      <c r="A1586" s="2">
        <v>40757</v>
      </c>
      <c r="B1586" s="1">
        <v>220.32</v>
      </c>
      <c r="C1586" s="1">
        <v>222.43</v>
      </c>
      <c r="D1586" s="1">
        <v>211.3</v>
      </c>
      <c r="E1586" s="1">
        <v>211.7</v>
      </c>
      <c r="F1586" s="1">
        <v>6586700</v>
      </c>
      <c r="G1586" s="1">
        <v>211.7</v>
      </c>
      <c r="H1586" s="1">
        <f t="shared" si="216"/>
        <v>11.129999999999995</v>
      </c>
      <c r="I1586" s="9">
        <f t="shared" si="223"/>
        <v>5.2673923331755773E-2</v>
      </c>
      <c r="J1586" s="1">
        <f t="shared" si="224"/>
        <v>-9.6200000000000045</v>
      </c>
      <c r="K1586" s="9">
        <f t="shared" si="217"/>
        <v>-4.3466473883968938E-2</v>
      </c>
      <c r="L1586" s="1">
        <f t="shared" si="218"/>
        <v>1</v>
      </c>
      <c r="M1586" s="1">
        <f t="shared" si="219"/>
        <v>222.43</v>
      </c>
      <c r="N1586" s="1">
        <f t="shared" si="220"/>
        <v>211.3</v>
      </c>
      <c r="O1586" s="1">
        <f t="shared" si="221"/>
        <v>209.73999999999998</v>
      </c>
      <c r="P1586" s="1">
        <f t="shared" si="222"/>
        <v>107.01020408163265</v>
      </c>
    </row>
    <row r="1587" spans="1:16">
      <c r="A1587" s="2">
        <v>40756</v>
      </c>
      <c r="B1587" s="1">
        <v>225</v>
      </c>
      <c r="C1587" s="1">
        <v>227.45</v>
      </c>
      <c r="D1587" s="1">
        <v>217.66</v>
      </c>
      <c r="E1587" s="1">
        <v>221.32</v>
      </c>
      <c r="F1587" s="1">
        <v>5789300</v>
      </c>
      <c r="G1587" s="1">
        <v>221.32</v>
      </c>
      <c r="H1587" s="1">
        <f t="shared" si="216"/>
        <v>9.789999999999992</v>
      </c>
      <c r="I1587" s="9">
        <f t="shared" si="223"/>
        <v>4.4978406689331951E-2</v>
      </c>
      <c r="J1587" s="1">
        <f t="shared" si="224"/>
        <v>-1.2000000000000171</v>
      </c>
      <c r="K1587" s="9">
        <f t="shared" si="217"/>
        <v>-5.3927736832645023E-3</v>
      </c>
      <c r="L1587" s="1">
        <f t="shared" si="218"/>
        <v>1</v>
      </c>
      <c r="M1587" s="1">
        <f t="shared" si="219"/>
        <v>227.45</v>
      </c>
      <c r="N1587" s="1">
        <f t="shared" si="220"/>
        <v>217.66</v>
      </c>
      <c r="O1587" s="1">
        <f t="shared" si="221"/>
        <v>219.35999999999999</v>
      </c>
      <c r="P1587" s="1">
        <f t="shared" si="222"/>
        <v>111.91836734693877</v>
      </c>
    </row>
    <row r="1588" spans="1:16">
      <c r="A1588" s="2">
        <v>40753</v>
      </c>
      <c r="B1588" s="1">
        <v>221.29</v>
      </c>
      <c r="C1588" s="1">
        <v>225.75</v>
      </c>
      <c r="D1588" s="1">
        <v>219.51</v>
      </c>
      <c r="E1588" s="1">
        <v>222.52</v>
      </c>
      <c r="F1588" s="1">
        <v>5167700</v>
      </c>
      <c r="G1588" s="1">
        <v>222.52</v>
      </c>
      <c r="H1588" s="1">
        <f t="shared" si="216"/>
        <v>6.2400000000000091</v>
      </c>
      <c r="I1588" s="9">
        <f t="shared" si="223"/>
        <v>2.842695093617607E-2</v>
      </c>
      <c r="J1588" s="1">
        <f t="shared" si="224"/>
        <v>-1.3799999999999955</v>
      </c>
      <c r="K1588" s="9">
        <f t="shared" si="217"/>
        <v>-6.1634658329611227E-3</v>
      </c>
      <c r="L1588" s="1">
        <f t="shared" si="218"/>
        <v>1</v>
      </c>
      <c r="M1588" s="1">
        <f t="shared" si="219"/>
        <v>225.75</v>
      </c>
      <c r="N1588" s="1">
        <f t="shared" si="220"/>
        <v>219.51</v>
      </c>
      <c r="O1588" s="1">
        <f t="shared" si="221"/>
        <v>220.56</v>
      </c>
      <c r="P1588" s="1">
        <f t="shared" si="222"/>
        <v>112.53061224489797</v>
      </c>
    </row>
    <row r="1589" spans="1:16">
      <c r="A1589" s="2">
        <v>40752</v>
      </c>
      <c r="B1589" s="1">
        <v>223.27</v>
      </c>
      <c r="C1589" s="1">
        <v>225.95</v>
      </c>
      <c r="D1589" s="1">
        <v>220.23</v>
      </c>
      <c r="E1589" s="1">
        <v>223.9</v>
      </c>
      <c r="F1589" s="1">
        <v>5354900</v>
      </c>
      <c r="G1589" s="1">
        <v>223.9</v>
      </c>
      <c r="H1589" s="1">
        <f t="shared" si="216"/>
        <v>5.7199999999999989</v>
      </c>
      <c r="I1589" s="9">
        <f t="shared" si="223"/>
        <v>2.5972846569495524E-2</v>
      </c>
      <c r="J1589" s="1">
        <f t="shared" si="224"/>
        <v>1.3799999999999955</v>
      </c>
      <c r="K1589" s="9">
        <f t="shared" si="217"/>
        <v>6.2016897357540686E-3</v>
      </c>
      <c r="L1589" s="1">
        <f t="shared" si="218"/>
        <v>1</v>
      </c>
      <c r="M1589" s="1">
        <f t="shared" si="219"/>
        <v>225.95</v>
      </c>
      <c r="N1589" s="1">
        <f t="shared" si="220"/>
        <v>220.23</v>
      </c>
      <c r="O1589" s="1">
        <f t="shared" si="221"/>
        <v>221.94</v>
      </c>
      <c r="P1589" s="1">
        <f t="shared" si="222"/>
        <v>113.23469387755102</v>
      </c>
    </row>
    <row r="1590" spans="1:16">
      <c r="A1590" s="2">
        <v>40751</v>
      </c>
      <c r="B1590" s="1">
        <v>224.39</v>
      </c>
      <c r="C1590" s="1">
        <v>227.2</v>
      </c>
      <c r="D1590" s="1">
        <v>219.62</v>
      </c>
      <c r="E1590" s="1">
        <v>222.52</v>
      </c>
      <c r="F1590" s="1">
        <v>12955600</v>
      </c>
      <c r="G1590" s="1">
        <v>222.52</v>
      </c>
      <c r="H1590" s="1">
        <f t="shared" si="216"/>
        <v>7.5799999999999841</v>
      </c>
      <c r="I1590" s="9">
        <f t="shared" si="223"/>
        <v>3.4514160823240068E-2</v>
      </c>
      <c r="J1590" s="1">
        <f t="shared" si="224"/>
        <v>8.3400000000000034</v>
      </c>
      <c r="K1590" s="9">
        <f t="shared" si="217"/>
        <v>3.8939210010271751E-2</v>
      </c>
      <c r="L1590" s="1">
        <f t="shared" si="218"/>
        <v>1</v>
      </c>
      <c r="M1590" s="1">
        <f t="shared" si="219"/>
        <v>227.2</v>
      </c>
      <c r="N1590" s="1">
        <f t="shared" si="220"/>
        <v>219.62</v>
      </c>
      <c r="O1590" s="1">
        <f t="shared" si="221"/>
        <v>220.56</v>
      </c>
      <c r="P1590" s="1">
        <f t="shared" si="222"/>
        <v>112.53061224489797</v>
      </c>
    </row>
    <row r="1591" spans="1:16">
      <c r="A1591" s="2">
        <v>40750</v>
      </c>
      <c r="B1591" s="1">
        <v>214.99</v>
      </c>
      <c r="C1591" s="1">
        <v>215.6</v>
      </c>
      <c r="D1591" s="1">
        <v>210.35</v>
      </c>
      <c r="E1591" s="1">
        <v>214.18</v>
      </c>
      <c r="F1591" s="1">
        <v>9863600</v>
      </c>
      <c r="G1591" s="1">
        <v>214.18</v>
      </c>
      <c r="H1591" s="1">
        <f t="shared" si="216"/>
        <v>5.25</v>
      </c>
      <c r="I1591" s="9">
        <f t="shared" si="223"/>
        <v>2.4958402662229619E-2</v>
      </c>
      <c r="J1591" s="1">
        <f t="shared" si="224"/>
        <v>0.68999999999999773</v>
      </c>
      <c r="K1591" s="9">
        <f t="shared" si="217"/>
        <v>3.2320014988992353E-3</v>
      </c>
      <c r="L1591" s="1">
        <f t="shared" si="218"/>
        <v>1</v>
      </c>
      <c r="M1591" s="1">
        <f t="shared" si="219"/>
        <v>215.6</v>
      </c>
      <c r="N1591" s="1">
        <f t="shared" si="220"/>
        <v>210.35</v>
      </c>
      <c r="O1591" s="1">
        <f t="shared" si="221"/>
        <v>212.22</v>
      </c>
      <c r="P1591" s="1">
        <f t="shared" si="222"/>
        <v>108.27551020408164</v>
      </c>
    </row>
    <row r="1592" spans="1:16">
      <c r="A1592" s="2">
        <v>40749</v>
      </c>
      <c r="B1592" s="1">
        <v>215.49</v>
      </c>
      <c r="C1592" s="1">
        <v>216.08</v>
      </c>
      <c r="D1592" s="1">
        <v>213</v>
      </c>
      <c r="E1592" s="1">
        <v>213.49</v>
      </c>
      <c r="F1592" s="1">
        <v>3342800</v>
      </c>
      <c r="G1592" s="1">
        <v>213.49</v>
      </c>
      <c r="H1592" s="1">
        <f t="shared" si="216"/>
        <v>3.0800000000000125</v>
      </c>
      <c r="I1592" s="9">
        <f t="shared" si="223"/>
        <v>1.4460093896713674E-2</v>
      </c>
      <c r="J1592" s="1">
        <f t="shared" si="224"/>
        <v>-3.0300000000000011</v>
      </c>
      <c r="K1592" s="9">
        <f t="shared" si="217"/>
        <v>-1.3994088305930174E-2</v>
      </c>
      <c r="L1592" s="1">
        <f t="shared" si="218"/>
        <v>1</v>
      </c>
      <c r="M1592" s="1">
        <f t="shared" si="219"/>
        <v>216.08</v>
      </c>
      <c r="N1592" s="1">
        <f t="shared" si="220"/>
        <v>213</v>
      </c>
      <c r="O1592" s="1">
        <f t="shared" si="221"/>
        <v>211.53</v>
      </c>
      <c r="P1592" s="1">
        <f t="shared" si="222"/>
        <v>107.92346938775511</v>
      </c>
    </row>
    <row r="1593" spans="1:16">
      <c r="A1593" s="2">
        <v>40746</v>
      </c>
      <c r="B1593" s="1">
        <v>213.86</v>
      </c>
      <c r="C1593" s="1">
        <v>217.95</v>
      </c>
      <c r="D1593" s="1">
        <v>211.11</v>
      </c>
      <c r="E1593" s="1">
        <v>216.52</v>
      </c>
      <c r="F1593" s="1">
        <v>3591700</v>
      </c>
      <c r="G1593" s="1">
        <v>216.52</v>
      </c>
      <c r="H1593" s="1">
        <f t="shared" si="216"/>
        <v>6.839999999999975</v>
      </c>
      <c r="I1593" s="9">
        <f t="shared" si="223"/>
        <v>3.2400170527213182E-2</v>
      </c>
      <c r="J1593" s="1">
        <f t="shared" si="224"/>
        <v>3.3100000000000023</v>
      </c>
      <c r="K1593" s="9">
        <f t="shared" si="217"/>
        <v>1.5524600159467203E-2</v>
      </c>
      <c r="L1593" s="1">
        <f t="shared" si="218"/>
        <v>1</v>
      </c>
      <c r="M1593" s="1">
        <f t="shared" si="219"/>
        <v>217.95</v>
      </c>
      <c r="N1593" s="1">
        <f t="shared" si="220"/>
        <v>211.11</v>
      </c>
      <c r="O1593" s="1">
        <f t="shared" si="221"/>
        <v>214.56</v>
      </c>
      <c r="P1593" s="1">
        <f t="shared" si="222"/>
        <v>109.46938775510205</v>
      </c>
    </row>
    <row r="1594" spans="1:16">
      <c r="A1594" s="2">
        <v>40745</v>
      </c>
      <c r="B1594" s="1">
        <v>216.74</v>
      </c>
      <c r="C1594" s="1">
        <v>217.09</v>
      </c>
      <c r="D1594" s="1">
        <v>211.07</v>
      </c>
      <c r="E1594" s="1">
        <v>213.21</v>
      </c>
      <c r="F1594" s="1">
        <v>4545300</v>
      </c>
      <c r="G1594" s="1">
        <v>213.21</v>
      </c>
      <c r="H1594" s="1">
        <f t="shared" si="216"/>
        <v>6.0200000000000102</v>
      </c>
      <c r="I1594" s="9">
        <f t="shared" si="223"/>
        <v>2.8521343630075378E-2</v>
      </c>
      <c r="J1594" s="1">
        <f t="shared" si="224"/>
        <v>-2.3400000000000034</v>
      </c>
      <c r="K1594" s="9">
        <f t="shared" si="217"/>
        <v>-1.0855949895615882E-2</v>
      </c>
      <c r="L1594" s="1">
        <f t="shared" si="218"/>
        <v>1</v>
      </c>
      <c r="M1594" s="1">
        <f t="shared" si="219"/>
        <v>217.09</v>
      </c>
      <c r="N1594" s="1">
        <f t="shared" si="220"/>
        <v>211.07</v>
      </c>
      <c r="O1594" s="1">
        <f t="shared" si="221"/>
        <v>211.25</v>
      </c>
      <c r="P1594" s="1">
        <f t="shared" si="222"/>
        <v>107.78061224489797</v>
      </c>
    </row>
    <row r="1595" spans="1:16">
      <c r="A1595" s="2">
        <v>40744</v>
      </c>
      <c r="B1595" s="1">
        <v>220.05</v>
      </c>
      <c r="C1595" s="1">
        <v>220.2</v>
      </c>
      <c r="D1595" s="1">
        <v>214.41</v>
      </c>
      <c r="E1595" s="1">
        <v>215.55</v>
      </c>
      <c r="F1595" s="1">
        <v>3372900</v>
      </c>
      <c r="G1595" s="1">
        <v>215.55</v>
      </c>
      <c r="H1595" s="1">
        <f t="shared" si="216"/>
        <v>5.789999999999992</v>
      </c>
      <c r="I1595" s="9">
        <f t="shared" si="223"/>
        <v>2.7004337484259094E-2</v>
      </c>
      <c r="J1595" s="1">
        <f t="shared" si="224"/>
        <v>-2.5099999999999909</v>
      </c>
      <c r="K1595" s="9">
        <f t="shared" si="217"/>
        <v>-1.1510593414656475E-2</v>
      </c>
      <c r="L1595" s="1">
        <f t="shared" si="218"/>
        <v>1</v>
      </c>
      <c r="M1595" s="1">
        <f t="shared" si="219"/>
        <v>220.2</v>
      </c>
      <c r="N1595" s="1">
        <f t="shared" si="220"/>
        <v>214.41</v>
      </c>
      <c r="O1595" s="1">
        <f t="shared" si="221"/>
        <v>213.59</v>
      </c>
      <c r="P1595" s="1">
        <f t="shared" si="222"/>
        <v>108.97448979591837</v>
      </c>
    </row>
    <row r="1596" spans="1:16">
      <c r="A1596" s="2">
        <v>40743</v>
      </c>
      <c r="B1596" s="1">
        <v>213.77</v>
      </c>
      <c r="C1596" s="1">
        <v>218.4</v>
      </c>
      <c r="D1596" s="1">
        <v>213.77</v>
      </c>
      <c r="E1596" s="1">
        <v>218.06</v>
      </c>
      <c r="F1596" s="1">
        <v>4437200</v>
      </c>
      <c r="G1596" s="1">
        <v>218.06</v>
      </c>
      <c r="H1596" s="1">
        <f t="shared" si="216"/>
        <v>4.6299999999999955</v>
      </c>
      <c r="I1596" s="9">
        <f t="shared" si="223"/>
        <v>2.165879215979789E-2</v>
      </c>
      <c r="J1596" s="1">
        <f t="shared" si="224"/>
        <v>6.5300000000000011</v>
      </c>
      <c r="K1596" s="9">
        <f t="shared" si="217"/>
        <v>3.0870325722119799E-2</v>
      </c>
      <c r="L1596" s="1">
        <f t="shared" si="218"/>
        <v>1</v>
      </c>
      <c r="M1596" s="1">
        <f t="shared" si="219"/>
        <v>218.4</v>
      </c>
      <c r="N1596" s="1">
        <f t="shared" si="220"/>
        <v>213.77</v>
      </c>
      <c r="O1596" s="1">
        <f t="shared" si="221"/>
        <v>216.1</v>
      </c>
      <c r="P1596" s="1">
        <f t="shared" si="222"/>
        <v>110.25510204081633</v>
      </c>
    </row>
    <row r="1597" spans="1:16">
      <c r="A1597" s="2">
        <v>40742</v>
      </c>
      <c r="B1597" s="1">
        <v>212.53</v>
      </c>
      <c r="C1597" s="1">
        <v>213.39</v>
      </c>
      <c r="D1597" s="1">
        <v>208.29</v>
      </c>
      <c r="E1597" s="1">
        <v>211.53</v>
      </c>
      <c r="F1597" s="1">
        <v>2898100</v>
      </c>
      <c r="G1597" s="1">
        <v>211.53</v>
      </c>
      <c r="H1597" s="1">
        <f t="shared" si="216"/>
        <v>5.0999999999999943</v>
      </c>
      <c r="I1597" s="9">
        <f t="shared" si="223"/>
        <v>2.4485092899323033E-2</v>
      </c>
      <c r="J1597" s="1">
        <f t="shared" si="224"/>
        <v>-1.3400000000000034</v>
      </c>
      <c r="K1597" s="9">
        <f t="shared" si="217"/>
        <v>-6.2949217832480074E-3</v>
      </c>
      <c r="L1597" s="1">
        <f t="shared" si="218"/>
        <v>1</v>
      </c>
      <c r="M1597" s="1">
        <f t="shared" si="219"/>
        <v>213.39</v>
      </c>
      <c r="N1597" s="1">
        <f t="shared" si="220"/>
        <v>208.29</v>
      </c>
      <c r="O1597" s="1">
        <f t="shared" si="221"/>
        <v>209.57</v>
      </c>
      <c r="P1597" s="1">
        <f t="shared" si="222"/>
        <v>106.92346938775511</v>
      </c>
    </row>
    <row r="1598" spans="1:16">
      <c r="A1598" s="2">
        <v>40739</v>
      </c>
      <c r="B1598" s="1">
        <v>213.08</v>
      </c>
      <c r="C1598" s="1">
        <v>214.53</v>
      </c>
      <c r="D1598" s="1">
        <v>209.29</v>
      </c>
      <c r="E1598" s="1">
        <v>212.87</v>
      </c>
      <c r="F1598" s="1">
        <v>4072600</v>
      </c>
      <c r="G1598" s="1">
        <v>212.87</v>
      </c>
      <c r="H1598" s="1">
        <f t="shared" si="216"/>
        <v>5.2400000000000091</v>
      </c>
      <c r="I1598" s="9">
        <f t="shared" si="223"/>
        <v>2.5037029958430931E-2</v>
      </c>
      <c r="J1598" s="1">
        <f t="shared" si="224"/>
        <v>2.4900000000000091</v>
      </c>
      <c r="K1598" s="9">
        <f t="shared" si="217"/>
        <v>1.1835725829451513E-2</v>
      </c>
      <c r="L1598" s="1">
        <f t="shared" si="218"/>
        <v>1</v>
      </c>
      <c r="M1598" s="1">
        <f t="shared" si="219"/>
        <v>214.53</v>
      </c>
      <c r="N1598" s="1">
        <f t="shared" si="220"/>
        <v>209.29</v>
      </c>
      <c r="O1598" s="1">
        <f t="shared" si="221"/>
        <v>210.91</v>
      </c>
      <c r="P1598" s="1">
        <f t="shared" si="222"/>
        <v>107.60714285714286</v>
      </c>
    </row>
    <row r="1599" spans="1:16">
      <c r="A1599" s="2">
        <v>40738</v>
      </c>
      <c r="B1599" s="1">
        <v>213.58</v>
      </c>
      <c r="C1599" s="1">
        <v>215.91</v>
      </c>
      <c r="D1599" s="1">
        <v>209.38</v>
      </c>
      <c r="E1599" s="1">
        <v>210.38</v>
      </c>
      <c r="F1599" s="1">
        <v>3902500</v>
      </c>
      <c r="G1599" s="1">
        <v>210.38</v>
      </c>
      <c r="H1599" s="1">
        <f t="shared" si="216"/>
        <v>6.5300000000000011</v>
      </c>
      <c r="I1599" s="9">
        <f t="shared" si="223"/>
        <v>3.1187314929792726E-2</v>
      </c>
      <c r="J1599" s="1">
        <f t="shared" si="224"/>
        <v>-3.1200000000000045</v>
      </c>
      <c r="K1599" s="9">
        <f t="shared" si="217"/>
        <v>-1.4613583138173323E-2</v>
      </c>
      <c r="L1599" s="1">
        <f t="shared" si="218"/>
        <v>1</v>
      </c>
      <c r="M1599" s="1">
        <f t="shared" si="219"/>
        <v>215.91</v>
      </c>
      <c r="N1599" s="1">
        <f t="shared" si="220"/>
        <v>209.38</v>
      </c>
      <c r="O1599" s="1">
        <f t="shared" si="221"/>
        <v>208.42</v>
      </c>
      <c r="P1599" s="1">
        <f t="shared" si="222"/>
        <v>106.33673469387755</v>
      </c>
    </row>
    <row r="1600" spans="1:16">
      <c r="A1600" s="2">
        <v>40737</v>
      </c>
      <c r="B1600" s="1">
        <v>214.7</v>
      </c>
      <c r="C1600" s="1">
        <v>216.83</v>
      </c>
      <c r="D1600" s="1">
        <v>212.14</v>
      </c>
      <c r="E1600" s="1">
        <v>213.5</v>
      </c>
      <c r="F1600" s="1">
        <v>4229900</v>
      </c>
      <c r="G1600" s="1">
        <v>213.5</v>
      </c>
      <c r="H1600" s="1">
        <f t="shared" si="216"/>
        <v>4.6900000000000261</v>
      </c>
      <c r="I1600" s="9">
        <f t="shared" si="223"/>
        <v>2.2108041859149743E-2</v>
      </c>
      <c r="J1600" s="1">
        <f t="shared" si="224"/>
        <v>2.2700000000000102</v>
      </c>
      <c r="K1600" s="9">
        <f t="shared" si="217"/>
        <v>1.0746579557828009E-2</v>
      </c>
      <c r="L1600" s="1">
        <f t="shared" si="218"/>
        <v>1</v>
      </c>
      <c r="M1600" s="1">
        <f t="shared" si="219"/>
        <v>216.83</v>
      </c>
      <c r="N1600" s="1">
        <f t="shared" si="220"/>
        <v>212.14</v>
      </c>
      <c r="O1600" s="1">
        <f t="shared" si="221"/>
        <v>211.54</v>
      </c>
      <c r="P1600" s="1">
        <f t="shared" si="222"/>
        <v>107.92857142857143</v>
      </c>
    </row>
    <row r="1601" spans="1:16">
      <c r="A1601" s="2">
        <v>40736</v>
      </c>
      <c r="B1601" s="1">
        <v>214.64</v>
      </c>
      <c r="C1601" s="1">
        <v>215.65</v>
      </c>
      <c r="D1601" s="1">
        <v>211.12</v>
      </c>
      <c r="E1601" s="1">
        <v>211.23</v>
      </c>
      <c r="F1601" s="1">
        <v>3985700</v>
      </c>
      <c r="G1601" s="1">
        <v>211.23</v>
      </c>
      <c r="H1601" s="1">
        <f t="shared" si="216"/>
        <v>4.5300000000000011</v>
      </c>
      <c r="I1601" s="9">
        <f t="shared" si="223"/>
        <v>2.1456991284577495E-2</v>
      </c>
      <c r="J1601" s="1">
        <f t="shared" si="224"/>
        <v>-1.3200000000000216</v>
      </c>
      <c r="K1601" s="9">
        <f t="shared" si="217"/>
        <v>-6.210303458009981E-3</v>
      </c>
      <c r="L1601" s="1">
        <f t="shared" si="218"/>
        <v>1</v>
      </c>
      <c r="M1601" s="1">
        <f t="shared" si="219"/>
        <v>215.65</v>
      </c>
      <c r="N1601" s="1">
        <f t="shared" si="220"/>
        <v>211.12</v>
      </c>
      <c r="O1601" s="1">
        <f t="shared" si="221"/>
        <v>209.26999999999998</v>
      </c>
      <c r="P1601" s="1">
        <f t="shared" si="222"/>
        <v>106.7704081632653</v>
      </c>
    </row>
    <row r="1602" spans="1:16">
      <c r="A1602" s="2">
        <v>40735</v>
      </c>
      <c r="B1602" s="1">
        <v>216.74</v>
      </c>
      <c r="C1602" s="1">
        <v>217.5</v>
      </c>
      <c r="D1602" s="1">
        <v>211</v>
      </c>
      <c r="E1602" s="1">
        <v>212.55</v>
      </c>
      <c r="F1602" s="1">
        <v>4033700</v>
      </c>
      <c r="G1602" s="1">
        <v>212.55</v>
      </c>
      <c r="H1602" s="1">
        <f t="shared" si="216"/>
        <v>6.5</v>
      </c>
      <c r="I1602" s="9">
        <f t="shared" si="223"/>
        <v>3.0805687203791468E-2</v>
      </c>
      <c r="J1602" s="1">
        <f t="shared" si="224"/>
        <v>-5.7299999999999898</v>
      </c>
      <c r="K1602" s="9">
        <f t="shared" si="217"/>
        <v>-2.6250687190764108E-2</v>
      </c>
      <c r="L1602" s="1">
        <f t="shared" si="218"/>
        <v>1</v>
      </c>
      <c r="M1602" s="1">
        <f t="shared" si="219"/>
        <v>217.5</v>
      </c>
      <c r="N1602" s="1">
        <f t="shared" si="220"/>
        <v>211</v>
      </c>
      <c r="O1602" s="1">
        <f t="shared" si="221"/>
        <v>210.59</v>
      </c>
      <c r="P1602" s="1">
        <f t="shared" si="222"/>
        <v>107.44387755102041</v>
      </c>
    </row>
    <row r="1603" spans="1:16">
      <c r="A1603" s="2">
        <v>40732</v>
      </c>
      <c r="B1603" s="1">
        <v>214.3</v>
      </c>
      <c r="C1603" s="1">
        <v>218.32</v>
      </c>
      <c r="D1603" s="1">
        <v>213.25</v>
      </c>
      <c r="E1603" s="1">
        <v>218.28</v>
      </c>
      <c r="F1603" s="1">
        <v>3707900</v>
      </c>
      <c r="G1603" s="1">
        <v>218.28</v>
      </c>
      <c r="H1603" s="1">
        <f t="shared" ref="H1603:H1666" si="225">C1603-D1603</f>
        <v>5.0699999999999932</v>
      </c>
      <c r="I1603" s="9">
        <f t="shared" si="223"/>
        <v>2.3774912075029277E-2</v>
      </c>
      <c r="J1603" s="1">
        <f t="shared" si="224"/>
        <v>1.539999999999992</v>
      </c>
      <c r="K1603" s="9">
        <f t="shared" ref="K1603:K1666" si="226">(G1603-G1604)/G1604</f>
        <v>7.1052874411737191E-3</v>
      </c>
      <c r="L1603" s="1">
        <f t="shared" ref="L1603:L1666" si="227">G1603/E1603</f>
        <v>1</v>
      </c>
      <c r="M1603" s="1">
        <f t="shared" ref="M1603:M1666" si="228">L1603*C1603</f>
        <v>218.32</v>
      </c>
      <c r="N1603" s="1">
        <f t="shared" ref="N1603:N1666" si="229">L1603*D1603</f>
        <v>213.25</v>
      </c>
      <c r="O1603" s="1">
        <f t="shared" ref="O1603:O1666" si="230">G1603-$G$5163</f>
        <v>216.32</v>
      </c>
      <c r="P1603" s="1">
        <f t="shared" ref="P1603:P1666" si="231">(G1603-$G$5163)/$G$5163</f>
        <v>110.36734693877551</v>
      </c>
    </row>
    <row r="1604" spans="1:16">
      <c r="A1604" s="2">
        <v>40731</v>
      </c>
      <c r="B1604" s="1">
        <v>215.09</v>
      </c>
      <c r="C1604" s="1">
        <v>217.8</v>
      </c>
      <c r="D1604" s="1">
        <v>215.09</v>
      </c>
      <c r="E1604" s="1">
        <v>216.74</v>
      </c>
      <c r="F1604" s="1">
        <v>3144900</v>
      </c>
      <c r="G1604" s="1">
        <v>216.74</v>
      </c>
      <c r="H1604" s="1">
        <f t="shared" si="225"/>
        <v>2.710000000000008</v>
      </c>
      <c r="I1604" s="9">
        <f t="shared" ref="I1604:I1667" si="232">(C1604-D1604)/D1604</f>
        <v>1.2599377004974698E-2</v>
      </c>
      <c r="J1604" s="1">
        <f t="shared" ref="J1604:J1667" si="233">G1604-G1605</f>
        <v>2.5500000000000114</v>
      </c>
      <c r="K1604" s="9">
        <f t="shared" si="226"/>
        <v>1.190531770857655E-2</v>
      </c>
      <c r="L1604" s="1">
        <f t="shared" si="227"/>
        <v>1</v>
      </c>
      <c r="M1604" s="1">
        <f t="shared" si="228"/>
        <v>217.8</v>
      </c>
      <c r="N1604" s="1">
        <f t="shared" si="229"/>
        <v>215.09</v>
      </c>
      <c r="O1604" s="1">
        <f t="shared" si="230"/>
        <v>214.78</v>
      </c>
      <c r="P1604" s="1">
        <f t="shared" si="231"/>
        <v>109.58163265306122</v>
      </c>
    </row>
    <row r="1605" spans="1:16">
      <c r="A1605" s="2">
        <v>40730</v>
      </c>
      <c r="B1605" s="1">
        <v>212.12</v>
      </c>
      <c r="C1605" s="1">
        <v>214.4</v>
      </c>
      <c r="D1605" s="1">
        <v>211.01</v>
      </c>
      <c r="E1605" s="1">
        <v>214.19</v>
      </c>
      <c r="F1605" s="1">
        <v>2607600</v>
      </c>
      <c r="G1605" s="1">
        <v>214.19</v>
      </c>
      <c r="H1605" s="1">
        <f t="shared" si="225"/>
        <v>3.3900000000000148</v>
      </c>
      <c r="I1605" s="9">
        <f t="shared" si="232"/>
        <v>1.6065589308563645E-2</v>
      </c>
      <c r="J1605" s="1">
        <f t="shared" si="233"/>
        <v>1</v>
      </c>
      <c r="K1605" s="9">
        <f t="shared" si="226"/>
        <v>4.6906515314977248E-3</v>
      </c>
      <c r="L1605" s="1">
        <f t="shared" si="227"/>
        <v>1</v>
      </c>
      <c r="M1605" s="1">
        <f t="shared" si="228"/>
        <v>214.4</v>
      </c>
      <c r="N1605" s="1">
        <f t="shared" si="229"/>
        <v>211.01</v>
      </c>
      <c r="O1605" s="1">
        <f t="shared" si="230"/>
        <v>212.23</v>
      </c>
      <c r="P1605" s="1">
        <f t="shared" si="231"/>
        <v>108.28061224489795</v>
      </c>
    </row>
    <row r="1606" spans="1:16">
      <c r="A1606" s="2">
        <v>40729</v>
      </c>
      <c r="B1606" s="1">
        <v>208.76</v>
      </c>
      <c r="C1606" s="1">
        <v>214.45</v>
      </c>
      <c r="D1606" s="1">
        <v>208.73</v>
      </c>
      <c r="E1606" s="1">
        <v>213.19</v>
      </c>
      <c r="F1606" s="1">
        <v>3585200</v>
      </c>
      <c r="G1606" s="1">
        <v>213.19</v>
      </c>
      <c r="H1606" s="1">
        <f t="shared" si="225"/>
        <v>5.7199999999999989</v>
      </c>
      <c r="I1606" s="9">
        <f t="shared" si="232"/>
        <v>2.7403823120778034E-2</v>
      </c>
      <c r="J1606" s="1">
        <f t="shared" si="233"/>
        <v>3.6999999999999886</v>
      </c>
      <c r="K1606" s="9">
        <f t="shared" si="226"/>
        <v>1.7661940904100379E-2</v>
      </c>
      <c r="L1606" s="1">
        <f t="shared" si="227"/>
        <v>1</v>
      </c>
      <c r="M1606" s="1">
        <f t="shared" si="228"/>
        <v>214.45</v>
      </c>
      <c r="N1606" s="1">
        <f t="shared" si="229"/>
        <v>208.73</v>
      </c>
      <c r="O1606" s="1">
        <f t="shared" si="230"/>
        <v>211.23</v>
      </c>
      <c r="P1606" s="1">
        <f t="shared" si="231"/>
        <v>107.7704081632653</v>
      </c>
    </row>
    <row r="1607" spans="1:16">
      <c r="A1607" s="2">
        <v>40725</v>
      </c>
      <c r="B1607" s="1">
        <v>205.55</v>
      </c>
      <c r="C1607" s="1">
        <v>210.27</v>
      </c>
      <c r="D1607" s="1">
        <v>203.61</v>
      </c>
      <c r="E1607" s="1">
        <v>209.49</v>
      </c>
      <c r="F1607" s="1">
        <v>4008700</v>
      </c>
      <c r="G1607" s="1">
        <v>209.49</v>
      </c>
      <c r="H1607" s="1">
        <f t="shared" si="225"/>
        <v>6.6599999999999966</v>
      </c>
      <c r="I1607" s="9">
        <f t="shared" si="232"/>
        <v>3.2709591866804166E-2</v>
      </c>
      <c r="J1607" s="1">
        <f t="shared" si="233"/>
        <v>5</v>
      </c>
      <c r="K1607" s="9">
        <f t="shared" si="226"/>
        <v>2.4451073402122353E-2</v>
      </c>
      <c r="L1607" s="1">
        <f t="shared" si="227"/>
        <v>1</v>
      </c>
      <c r="M1607" s="1">
        <f t="shared" si="228"/>
        <v>210.27</v>
      </c>
      <c r="N1607" s="1">
        <f t="shared" si="229"/>
        <v>203.61</v>
      </c>
      <c r="O1607" s="1">
        <f t="shared" si="230"/>
        <v>207.53</v>
      </c>
      <c r="P1607" s="1">
        <f t="shared" si="231"/>
        <v>105.88265306122449</v>
      </c>
    </row>
    <row r="1608" spans="1:16">
      <c r="A1608" s="2">
        <v>40724</v>
      </c>
      <c r="B1608" s="1">
        <v>200.78</v>
      </c>
      <c r="C1608" s="1">
        <v>205.2</v>
      </c>
      <c r="D1608" s="1">
        <v>200.5</v>
      </c>
      <c r="E1608" s="1">
        <v>204.49</v>
      </c>
      <c r="F1608" s="1">
        <v>4448100</v>
      </c>
      <c r="G1608" s="1">
        <v>204.49</v>
      </c>
      <c r="H1608" s="1">
        <f t="shared" si="225"/>
        <v>4.6999999999999886</v>
      </c>
      <c r="I1608" s="9">
        <f t="shared" si="232"/>
        <v>2.3441396508728122E-2</v>
      </c>
      <c r="J1608" s="1">
        <f t="shared" si="233"/>
        <v>0.31000000000000227</v>
      </c>
      <c r="K1608" s="9">
        <f t="shared" si="226"/>
        <v>1.5182681947301512E-3</v>
      </c>
      <c r="L1608" s="1">
        <f t="shared" si="227"/>
        <v>1</v>
      </c>
      <c r="M1608" s="1">
        <f t="shared" si="228"/>
        <v>205.2</v>
      </c>
      <c r="N1608" s="1">
        <f t="shared" si="229"/>
        <v>200.5</v>
      </c>
      <c r="O1608" s="1">
        <f t="shared" si="230"/>
        <v>202.53</v>
      </c>
      <c r="P1608" s="1">
        <f t="shared" si="231"/>
        <v>103.33163265306122</v>
      </c>
    </row>
    <row r="1609" spans="1:16">
      <c r="A1609" s="2">
        <v>40723</v>
      </c>
      <c r="B1609" s="1">
        <v>202.67</v>
      </c>
      <c r="C1609" s="1">
        <v>206.25</v>
      </c>
      <c r="D1609" s="1">
        <v>201.03</v>
      </c>
      <c r="E1609" s="1">
        <v>204.18</v>
      </c>
      <c r="F1609" s="1">
        <v>4608900</v>
      </c>
      <c r="G1609" s="1">
        <v>204.18</v>
      </c>
      <c r="H1609" s="1">
        <f t="shared" si="225"/>
        <v>5.2199999999999989</v>
      </c>
      <c r="I1609" s="9">
        <f t="shared" si="232"/>
        <v>2.5966273690493952E-2</v>
      </c>
      <c r="J1609" s="1">
        <f t="shared" si="233"/>
        <v>1.8300000000000125</v>
      </c>
      <c r="K1609" s="9">
        <f t="shared" si="226"/>
        <v>9.0437361008154811E-3</v>
      </c>
      <c r="L1609" s="1">
        <f t="shared" si="227"/>
        <v>1</v>
      </c>
      <c r="M1609" s="1">
        <f t="shared" si="228"/>
        <v>206.25</v>
      </c>
      <c r="N1609" s="1">
        <f t="shared" si="229"/>
        <v>201.03</v>
      </c>
      <c r="O1609" s="1">
        <f t="shared" si="230"/>
        <v>202.22</v>
      </c>
      <c r="P1609" s="1">
        <f t="shared" si="231"/>
        <v>103.17346938775511</v>
      </c>
    </row>
    <row r="1610" spans="1:16">
      <c r="A1610" s="2">
        <v>40722</v>
      </c>
      <c r="B1610" s="1">
        <v>201.92</v>
      </c>
      <c r="C1610" s="1">
        <v>202.88</v>
      </c>
      <c r="D1610" s="1">
        <v>200.6</v>
      </c>
      <c r="E1610" s="1">
        <v>202.35</v>
      </c>
      <c r="F1610" s="1">
        <v>3825300</v>
      </c>
      <c r="G1610" s="1">
        <v>202.35</v>
      </c>
      <c r="H1610" s="1">
        <f t="shared" si="225"/>
        <v>2.2800000000000011</v>
      </c>
      <c r="I1610" s="9">
        <f t="shared" si="232"/>
        <v>1.1365902293120645E-2</v>
      </c>
      <c r="J1610" s="1">
        <f t="shared" si="233"/>
        <v>1.0999999999999943</v>
      </c>
      <c r="K1610" s="9">
        <f t="shared" si="226"/>
        <v>5.4658385093167422E-3</v>
      </c>
      <c r="L1610" s="1">
        <f t="shared" si="227"/>
        <v>1</v>
      </c>
      <c r="M1610" s="1">
        <f t="shared" si="228"/>
        <v>202.88</v>
      </c>
      <c r="N1610" s="1">
        <f t="shared" si="229"/>
        <v>200.6</v>
      </c>
      <c r="O1610" s="1">
        <f t="shared" si="230"/>
        <v>200.39</v>
      </c>
      <c r="P1610" s="1">
        <f t="shared" si="231"/>
        <v>102.23979591836734</v>
      </c>
    </row>
    <row r="1611" spans="1:16">
      <c r="A1611" s="2">
        <v>40721</v>
      </c>
      <c r="B1611" s="1">
        <v>194.5</v>
      </c>
      <c r="C1611" s="1">
        <v>202.58</v>
      </c>
      <c r="D1611" s="1">
        <v>194.03</v>
      </c>
      <c r="E1611" s="1">
        <v>201.25</v>
      </c>
      <c r="F1611" s="1">
        <v>6100700</v>
      </c>
      <c r="G1611" s="1">
        <v>201.25</v>
      </c>
      <c r="H1611" s="1">
        <f t="shared" si="225"/>
        <v>8.5500000000000114</v>
      </c>
      <c r="I1611" s="9">
        <f t="shared" si="232"/>
        <v>4.4065350718961047E-2</v>
      </c>
      <c r="J1611" s="1">
        <f t="shared" si="233"/>
        <v>8.6999999999999886</v>
      </c>
      <c r="K1611" s="9">
        <f t="shared" si="226"/>
        <v>4.518306933264081E-2</v>
      </c>
      <c r="L1611" s="1">
        <f t="shared" si="227"/>
        <v>1</v>
      </c>
      <c r="M1611" s="1">
        <f t="shared" si="228"/>
        <v>202.58</v>
      </c>
      <c r="N1611" s="1">
        <f t="shared" si="229"/>
        <v>194.03</v>
      </c>
      <c r="O1611" s="1">
        <f t="shared" si="230"/>
        <v>199.29</v>
      </c>
      <c r="P1611" s="1">
        <f t="shared" si="231"/>
        <v>101.67857142857143</v>
      </c>
    </row>
    <row r="1612" spans="1:16">
      <c r="A1612" s="2">
        <v>40718</v>
      </c>
      <c r="B1612" s="1">
        <v>193.88</v>
      </c>
      <c r="C1612" s="1">
        <v>194.92</v>
      </c>
      <c r="D1612" s="1">
        <v>191.35</v>
      </c>
      <c r="E1612" s="1">
        <v>192.55</v>
      </c>
      <c r="F1612" s="1">
        <v>3614500</v>
      </c>
      <c r="G1612" s="1">
        <v>192.55</v>
      </c>
      <c r="H1612" s="1">
        <f t="shared" si="225"/>
        <v>3.5699999999999932</v>
      </c>
      <c r="I1612" s="9">
        <f t="shared" si="232"/>
        <v>1.8656911418865916E-2</v>
      </c>
      <c r="J1612" s="1">
        <f t="shared" si="233"/>
        <v>-1.6099999999999852</v>
      </c>
      <c r="K1612" s="9">
        <f t="shared" si="226"/>
        <v>-8.2921302018952679E-3</v>
      </c>
      <c r="L1612" s="1">
        <f t="shared" si="227"/>
        <v>1</v>
      </c>
      <c r="M1612" s="1">
        <f t="shared" si="228"/>
        <v>194.92</v>
      </c>
      <c r="N1612" s="1">
        <f t="shared" si="229"/>
        <v>191.35</v>
      </c>
      <c r="O1612" s="1">
        <f t="shared" si="230"/>
        <v>190.59</v>
      </c>
      <c r="P1612" s="1">
        <f t="shared" si="231"/>
        <v>97.239795918367349</v>
      </c>
    </row>
    <row r="1613" spans="1:16">
      <c r="A1613" s="2">
        <v>40717</v>
      </c>
      <c r="B1613" s="1">
        <v>189.5</v>
      </c>
      <c r="C1613" s="1">
        <v>194.46</v>
      </c>
      <c r="D1613" s="1">
        <v>188.3</v>
      </c>
      <c r="E1613" s="1">
        <v>194.16</v>
      </c>
      <c r="F1613" s="1">
        <v>4609600</v>
      </c>
      <c r="G1613" s="1">
        <v>194.16</v>
      </c>
      <c r="H1613" s="1">
        <f t="shared" si="225"/>
        <v>6.1599999999999966</v>
      </c>
      <c r="I1613" s="9">
        <f t="shared" si="232"/>
        <v>3.2713754646840128E-2</v>
      </c>
      <c r="J1613" s="1">
        <f t="shared" si="233"/>
        <v>2.5300000000000011</v>
      </c>
      <c r="K1613" s="9">
        <f t="shared" si="226"/>
        <v>1.3202525700568811E-2</v>
      </c>
      <c r="L1613" s="1">
        <f t="shared" si="227"/>
        <v>1</v>
      </c>
      <c r="M1613" s="1">
        <f t="shared" si="228"/>
        <v>194.46</v>
      </c>
      <c r="N1613" s="1">
        <f t="shared" si="229"/>
        <v>188.3</v>
      </c>
      <c r="O1613" s="1">
        <f t="shared" si="230"/>
        <v>192.2</v>
      </c>
      <c r="P1613" s="1">
        <f t="shared" si="231"/>
        <v>98.061224489795919</v>
      </c>
    </row>
    <row r="1614" spans="1:16">
      <c r="A1614" s="2">
        <v>40716</v>
      </c>
      <c r="B1614" s="1">
        <v>193.96</v>
      </c>
      <c r="C1614" s="1">
        <v>195.2</v>
      </c>
      <c r="D1614" s="1">
        <v>191.32</v>
      </c>
      <c r="E1614" s="1">
        <v>191.63</v>
      </c>
      <c r="F1614" s="1">
        <v>3129700</v>
      </c>
      <c r="G1614" s="1">
        <v>191.63</v>
      </c>
      <c r="H1614" s="1">
        <f t="shared" si="225"/>
        <v>3.8799999999999955</v>
      </c>
      <c r="I1614" s="9">
        <f t="shared" si="232"/>
        <v>2.0280158896090295E-2</v>
      </c>
      <c r="J1614" s="1">
        <f t="shared" si="233"/>
        <v>-2.5999999999999943</v>
      </c>
      <c r="K1614" s="9">
        <f t="shared" si="226"/>
        <v>-1.3386191628481668E-2</v>
      </c>
      <c r="L1614" s="1">
        <f t="shared" si="227"/>
        <v>1</v>
      </c>
      <c r="M1614" s="1">
        <f t="shared" si="228"/>
        <v>195.2</v>
      </c>
      <c r="N1614" s="1">
        <f t="shared" si="229"/>
        <v>191.32</v>
      </c>
      <c r="O1614" s="1">
        <f t="shared" si="230"/>
        <v>189.67</v>
      </c>
      <c r="P1614" s="1">
        <f t="shared" si="231"/>
        <v>96.770408163265301</v>
      </c>
    </row>
    <row r="1615" spans="1:16">
      <c r="A1615" s="2">
        <v>40715</v>
      </c>
      <c r="B1615" s="1">
        <v>188.3</v>
      </c>
      <c r="C1615" s="1">
        <v>195</v>
      </c>
      <c r="D1615" s="1">
        <v>187.12</v>
      </c>
      <c r="E1615" s="1">
        <v>194.23</v>
      </c>
      <c r="F1615" s="1">
        <v>4182600</v>
      </c>
      <c r="G1615" s="1">
        <v>194.23</v>
      </c>
      <c r="H1615" s="1">
        <f t="shared" si="225"/>
        <v>7.8799999999999955</v>
      </c>
      <c r="I1615" s="9">
        <f t="shared" si="232"/>
        <v>4.2112013681060254E-2</v>
      </c>
      <c r="J1615" s="1">
        <f t="shared" si="233"/>
        <v>6.5099999999999909</v>
      </c>
      <c r="K1615" s="9">
        <f t="shared" si="226"/>
        <v>3.4679309610057482E-2</v>
      </c>
      <c r="L1615" s="1">
        <f t="shared" si="227"/>
        <v>1</v>
      </c>
      <c r="M1615" s="1">
        <f t="shared" si="228"/>
        <v>195</v>
      </c>
      <c r="N1615" s="1">
        <f t="shared" si="229"/>
        <v>187.12</v>
      </c>
      <c r="O1615" s="1">
        <f t="shared" si="230"/>
        <v>192.26999999999998</v>
      </c>
      <c r="P1615" s="1">
        <f t="shared" si="231"/>
        <v>98.096938775510196</v>
      </c>
    </row>
    <row r="1616" spans="1:16">
      <c r="A1616" s="2">
        <v>40714</v>
      </c>
      <c r="B1616" s="1">
        <v>185.96</v>
      </c>
      <c r="C1616" s="1">
        <v>188.85</v>
      </c>
      <c r="D1616" s="1">
        <v>185.57</v>
      </c>
      <c r="E1616" s="1">
        <v>187.72</v>
      </c>
      <c r="F1616" s="1">
        <v>2831700</v>
      </c>
      <c r="G1616" s="1">
        <v>187.72</v>
      </c>
      <c r="H1616" s="1">
        <f t="shared" si="225"/>
        <v>3.2800000000000011</v>
      </c>
      <c r="I1616" s="9">
        <f t="shared" si="232"/>
        <v>1.7675270787303989E-2</v>
      </c>
      <c r="J1616" s="1">
        <f t="shared" si="233"/>
        <v>1.3499999999999943</v>
      </c>
      <c r="K1616" s="9">
        <f t="shared" si="226"/>
        <v>7.2436550947040526E-3</v>
      </c>
      <c r="L1616" s="1">
        <f t="shared" si="227"/>
        <v>1</v>
      </c>
      <c r="M1616" s="1">
        <f t="shared" si="228"/>
        <v>188.85</v>
      </c>
      <c r="N1616" s="1">
        <f t="shared" si="229"/>
        <v>185.57</v>
      </c>
      <c r="O1616" s="1">
        <f t="shared" si="230"/>
        <v>185.76</v>
      </c>
      <c r="P1616" s="1">
        <f t="shared" si="231"/>
        <v>94.775510204081627</v>
      </c>
    </row>
    <row r="1617" spans="1:16">
      <c r="A1617" s="2">
        <v>40711</v>
      </c>
      <c r="B1617" s="1">
        <v>186.51</v>
      </c>
      <c r="C1617" s="1">
        <v>187.39</v>
      </c>
      <c r="D1617" s="1">
        <v>184.64</v>
      </c>
      <c r="E1617" s="1">
        <v>186.37</v>
      </c>
      <c r="F1617" s="1">
        <v>6322200</v>
      </c>
      <c r="G1617" s="1">
        <v>186.37</v>
      </c>
      <c r="H1617" s="1">
        <f t="shared" si="225"/>
        <v>2.75</v>
      </c>
      <c r="I1617" s="9">
        <f t="shared" si="232"/>
        <v>1.4893847487001734E-2</v>
      </c>
      <c r="J1617" s="1">
        <f t="shared" si="233"/>
        <v>2.7199999999999989</v>
      </c>
      <c r="K1617" s="9">
        <f t="shared" si="226"/>
        <v>1.4810781377620466E-2</v>
      </c>
      <c r="L1617" s="1">
        <f t="shared" si="227"/>
        <v>1</v>
      </c>
      <c r="M1617" s="1">
        <f t="shared" si="228"/>
        <v>187.39</v>
      </c>
      <c r="N1617" s="1">
        <f t="shared" si="229"/>
        <v>184.64</v>
      </c>
      <c r="O1617" s="1">
        <f t="shared" si="230"/>
        <v>184.41</v>
      </c>
      <c r="P1617" s="1">
        <f t="shared" si="231"/>
        <v>94.086734693877546</v>
      </c>
    </row>
    <row r="1618" spans="1:16">
      <c r="A1618" s="2">
        <v>40710</v>
      </c>
      <c r="B1618" s="1">
        <v>185.74</v>
      </c>
      <c r="C1618" s="1">
        <v>187</v>
      </c>
      <c r="D1618" s="1">
        <v>181.59</v>
      </c>
      <c r="E1618" s="1">
        <v>183.65</v>
      </c>
      <c r="F1618" s="1">
        <v>6032100</v>
      </c>
      <c r="G1618" s="1">
        <v>183.65</v>
      </c>
      <c r="H1618" s="1">
        <f t="shared" si="225"/>
        <v>5.4099999999999966</v>
      </c>
      <c r="I1618" s="9">
        <f t="shared" si="232"/>
        <v>2.9792389448758172E-2</v>
      </c>
      <c r="J1618" s="1">
        <f t="shared" si="233"/>
        <v>-2.3299999999999841</v>
      </c>
      <c r="K1618" s="9">
        <f t="shared" si="226"/>
        <v>-1.2528228841810863E-2</v>
      </c>
      <c r="L1618" s="1">
        <f t="shared" si="227"/>
        <v>1</v>
      </c>
      <c r="M1618" s="1">
        <f t="shared" si="228"/>
        <v>187</v>
      </c>
      <c r="N1618" s="1">
        <f t="shared" si="229"/>
        <v>181.59</v>
      </c>
      <c r="O1618" s="1">
        <f t="shared" si="230"/>
        <v>181.69</v>
      </c>
      <c r="P1618" s="1">
        <f t="shared" si="231"/>
        <v>92.698979591836732</v>
      </c>
    </row>
    <row r="1619" spans="1:16">
      <c r="A1619" s="2">
        <v>40709</v>
      </c>
      <c r="B1619" s="1">
        <v>188.04</v>
      </c>
      <c r="C1619" s="1">
        <v>192.45</v>
      </c>
      <c r="D1619" s="1">
        <v>185.3</v>
      </c>
      <c r="E1619" s="1">
        <v>185.98</v>
      </c>
      <c r="F1619" s="1">
        <v>6317700</v>
      </c>
      <c r="G1619" s="1">
        <v>185.98</v>
      </c>
      <c r="H1619" s="1">
        <f t="shared" si="225"/>
        <v>7.1499999999999773</v>
      </c>
      <c r="I1619" s="9">
        <f t="shared" si="232"/>
        <v>3.8586076632487733E-2</v>
      </c>
      <c r="J1619" s="1">
        <f t="shared" si="233"/>
        <v>-3.9800000000000182</v>
      </c>
      <c r="K1619" s="9">
        <f t="shared" si="226"/>
        <v>-2.0951779321962613E-2</v>
      </c>
      <c r="L1619" s="1">
        <f t="shared" si="227"/>
        <v>1</v>
      </c>
      <c r="M1619" s="1">
        <f t="shared" si="228"/>
        <v>192.45</v>
      </c>
      <c r="N1619" s="1">
        <f t="shared" si="229"/>
        <v>185.3</v>
      </c>
      <c r="O1619" s="1">
        <f t="shared" si="230"/>
        <v>184.01999999999998</v>
      </c>
      <c r="P1619" s="1">
        <f t="shared" si="231"/>
        <v>93.887755102040813</v>
      </c>
    </row>
    <row r="1620" spans="1:16">
      <c r="A1620" s="2">
        <v>40708</v>
      </c>
      <c r="B1620" s="1">
        <v>188.99</v>
      </c>
      <c r="C1620" s="1">
        <v>190.72</v>
      </c>
      <c r="D1620" s="1">
        <v>187.07</v>
      </c>
      <c r="E1620" s="1">
        <v>189.96</v>
      </c>
      <c r="F1620" s="1">
        <v>3960300</v>
      </c>
      <c r="G1620" s="1">
        <v>189.96</v>
      </c>
      <c r="H1620" s="1">
        <f t="shared" si="225"/>
        <v>3.6500000000000057</v>
      </c>
      <c r="I1620" s="9">
        <f t="shared" si="232"/>
        <v>1.9511412840113356E-2</v>
      </c>
      <c r="J1620" s="1">
        <f t="shared" si="233"/>
        <v>3.6700000000000159</v>
      </c>
      <c r="K1620" s="9">
        <f t="shared" si="226"/>
        <v>1.970046701379578E-2</v>
      </c>
      <c r="L1620" s="1">
        <f t="shared" si="227"/>
        <v>1</v>
      </c>
      <c r="M1620" s="1">
        <f t="shared" si="228"/>
        <v>190.72</v>
      </c>
      <c r="N1620" s="1">
        <f t="shared" si="229"/>
        <v>187.07</v>
      </c>
      <c r="O1620" s="1">
        <f t="shared" si="230"/>
        <v>188</v>
      </c>
      <c r="P1620" s="1">
        <f t="shared" si="231"/>
        <v>95.91836734693878</v>
      </c>
    </row>
    <row r="1621" spans="1:16">
      <c r="A1621" s="2">
        <v>40707</v>
      </c>
      <c r="B1621" s="1">
        <v>186.81</v>
      </c>
      <c r="C1621" s="1">
        <v>189.31</v>
      </c>
      <c r="D1621" s="1">
        <v>184.86</v>
      </c>
      <c r="E1621" s="1">
        <v>186.29</v>
      </c>
      <c r="F1621" s="1">
        <v>3868900</v>
      </c>
      <c r="G1621" s="1">
        <v>186.29</v>
      </c>
      <c r="H1621" s="1">
        <f t="shared" si="225"/>
        <v>4.4499999999999886</v>
      </c>
      <c r="I1621" s="9">
        <f t="shared" si="232"/>
        <v>2.4072270907713883E-2</v>
      </c>
      <c r="J1621" s="1">
        <f t="shared" si="233"/>
        <v>-0.24000000000000909</v>
      </c>
      <c r="K1621" s="9">
        <f t="shared" si="226"/>
        <v>-1.2866563019353942E-3</v>
      </c>
      <c r="L1621" s="1">
        <f t="shared" si="227"/>
        <v>1</v>
      </c>
      <c r="M1621" s="1">
        <f t="shared" si="228"/>
        <v>189.31</v>
      </c>
      <c r="N1621" s="1">
        <f t="shared" si="229"/>
        <v>184.86</v>
      </c>
      <c r="O1621" s="1">
        <f t="shared" si="230"/>
        <v>184.32999999999998</v>
      </c>
      <c r="P1621" s="1">
        <f t="shared" si="231"/>
        <v>94.045918367346928</v>
      </c>
    </row>
    <row r="1622" spans="1:16">
      <c r="A1622" s="2">
        <v>40704</v>
      </c>
      <c r="B1622" s="1">
        <v>189.25</v>
      </c>
      <c r="C1622" s="1">
        <v>190.77</v>
      </c>
      <c r="D1622" s="1">
        <v>186.28</v>
      </c>
      <c r="E1622" s="1">
        <v>186.53</v>
      </c>
      <c r="F1622" s="1">
        <v>3760400</v>
      </c>
      <c r="G1622" s="1">
        <v>186.53</v>
      </c>
      <c r="H1622" s="1">
        <f t="shared" si="225"/>
        <v>4.4900000000000091</v>
      </c>
      <c r="I1622" s="9">
        <f t="shared" si="232"/>
        <v>2.4103500107365304E-2</v>
      </c>
      <c r="J1622" s="1">
        <f t="shared" si="233"/>
        <v>-3.1500000000000057</v>
      </c>
      <c r="K1622" s="9">
        <f t="shared" si="226"/>
        <v>-1.6606916912695096E-2</v>
      </c>
      <c r="L1622" s="1">
        <f t="shared" si="227"/>
        <v>1</v>
      </c>
      <c r="M1622" s="1">
        <f t="shared" si="228"/>
        <v>190.77</v>
      </c>
      <c r="N1622" s="1">
        <f t="shared" si="229"/>
        <v>186.28</v>
      </c>
      <c r="O1622" s="1">
        <f t="shared" si="230"/>
        <v>184.57</v>
      </c>
      <c r="P1622" s="1">
        <f t="shared" si="231"/>
        <v>94.16836734693878</v>
      </c>
    </row>
    <row r="1623" spans="1:16">
      <c r="A1623" s="2">
        <v>40703</v>
      </c>
      <c r="B1623" s="1">
        <v>189.74</v>
      </c>
      <c r="C1623" s="1">
        <v>191.76</v>
      </c>
      <c r="D1623" s="1">
        <v>185.71</v>
      </c>
      <c r="E1623" s="1">
        <v>189.68</v>
      </c>
      <c r="F1623" s="1">
        <v>4187300</v>
      </c>
      <c r="G1623" s="1">
        <v>189.68</v>
      </c>
      <c r="H1623" s="1">
        <f t="shared" si="225"/>
        <v>6.0499999999999829</v>
      </c>
      <c r="I1623" s="9">
        <f t="shared" si="232"/>
        <v>3.2577674869419967E-2</v>
      </c>
      <c r="J1623" s="1">
        <f t="shared" si="233"/>
        <v>1.6299999999999955</v>
      </c>
      <c r="K1623" s="9">
        <f t="shared" si="226"/>
        <v>8.6679074714171508E-3</v>
      </c>
      <c r="L1623" s="1">
        <f t="shared" si="227"/>
        <v>1</v>
      </c>
      <c r="M1623" s="1">
        <f t="shared" si="228"/>
        <v>191.76</v>
      </c>
      <c r="N1623" s="1">
        <f t="shared" si="229"/>
        <v>185.71</v>
      </c>
      <c r="O1623" s="1">
        <f t="shared" si="230"/>
        <v>187.72</v>
      </c>
      <c r="P1623" s="1">
        <f t="shared" si="231"/>
        <v>95.775510204081627</v>
      </c>
    </row>
    <row r="1624" spans="1:16">
      <c r="A1624" s="2">
        <v>40702</v>
      </c>
      <c r="B1624" s="1">
        <v>187.45</v>
      </c>
      <c r="C1624" s="1">
        <v>189.81</v>
      </c>
      <c r="D1624" s="1">
        <v>186.32</v>
      </c>
      <c r="E1624" s="1">
        <v>188.05</v>
      </c>
      <c r="F1624" s="1">
        <v>3716600</v>
      </c>
      <c r="G1624" s="1">
        <v>188.05</v>
      </c>
      <c r="H1624" s="1">
        <f t="shared" si="225"/>
        <v>3.4900000000000091</v>
      </c>
      <c r="I1624" s="9">
        <f t="shared" si="232"/>
        <v>1.8731215113782788E-2</v>
      </c>
      <c r="J1624" s="1">
        <f t="shared" si="233"/>
        <v>0.5</v>
      </c>
      <c r="K1624" s="9">
        <f t="shared" si="226"/>
        <v>2.6659557451346304E-3</v>
      </c>
      <c r="L1624" s="1">
        <f t="shared" si="227"/>
        <v>1</v>
      </c>
      <c r="M1624" s="1">
        <f t="shared" si="228"/>
        <v>189.81</v>
      </c>
      <c r="N1624" s="1">
        <f t="shared" si="229"/>
        <v>186.32</v>
      </c>
      <c r="O1624" s="1">
        <f t="shared" si="230"/>
        <v>186.09</v>
      </c>
      <c r="P1624" s="1">
        <f t="shared" si="231"/>
        <v>94.943877551020407</v>
      </c>
    </row>
    <row r="1625" spans="1:16">
      <c r="A1625" s="2">
        <v>40701</v>
      </c>
      <c r="B1625" s="1">
        <v>185.72</v>
      </c>
      <c r="C1625" s="1">
        <v>190.63</v>
      </c>
      <c r="D1625" s="1">
        <v>185.52</v>
      </c>
      <c r="E1625" s="1">
        <v>187.55</v>
      </c>
      <c r="F1625" s="1">
        <v>4866500</v>
      </c>
      <c r="G1625" s="1">
        <v>187.55</v>
      </c>
      <c r="H1625" s="1">
        <f t="shared" si="225"/>
        <v>5.1099999999999852</v>
      </c>
      <c r="I1625" s="9">
        <f t="shared" si="232"/>
        <v>2.7544200086243989E-2</v>
      </c>
      <c r="J1625" s="1">
        <f t="shared" si="233"/>
        <v>1.8600000000000136</v>
      </c>
      <c r="K1625" s="9">
        <f t="shared" si="226"/>
        <v>1.0016694490818105E-2</v>
      </c>
      <c r="L1625" s="1">
        <f t="shared" si="227"/>
        <v>1</v>
      </c>
      <c r="M1625" s="1">
        <f t="shared" si="228"/>
        <v>190.63</v>
      </c>
      <c r="N1625" s="1">
        <f t="shared" si="229"/>
        <v>185.52</v>
      </c>
      <c r="O1625" s="1">
        <f t="shared" si="230"/>
        <v>185.59</v>
      </c>
      <c r="P1625" s="1">
        <f t="shared" si="231"/>
        <v>94.688775510204081</v>
      </c>
    </row>
    <row r="1626" spans="1:16">
      <c r="A1626" s="2">
        <v>40700</v>
      </c>
      <c r="B1626" s="1">
        <v>188.01</v>
      </c>
      <c r="C1626" s="1">
        <v>189.85</v>
      </c>
      <c r="D1626" s="1">
        <v>185.18</v>
      </c>
      <c r="E1626" s="1">
        <v>185.69</v>
      </c>
      <c r="F1626" s="1">
        <v>3716000</v>
      </c>
      <c r="G1626" s="1">
        <v>185.69</v>
      </c>
      <c r="H1626" s="1">
        <f t="shared" si="225"/>
        <v>4.6699999999999875</v>
      </c>
      <c r="I1626" s="9">
        <f t="shared" si="232"/>
        <v>2.5218706123771396E-2</v>
      </c>
      <c r="J1626" s="1">
        <f t="shared" si="233"/>
        <v>-2.6299999999999955</v>
      </c>
      <c r="K1626" s="9">
        <f t="shared" si="226"/>
        <v>-1.396559048428205E-2</v>
      </c>
      <c r="L1626" s="1">
        <f t="shared" si="227"/>
        <v>1</v>
      </c>
      <c r="M1626" s="1">
        <f t="shared" si="228"/>
        <v>189.85</v>
      </c>
      <c r="N1626" s="1">
        <f t="shared" si="229"/>
        <v>185.18</v>
      </c>
      <c r="O1626" s="1">
        <f t="shared" si="230"/>
        <v>183.73</v>
      </c>
      <c r="P1626" s="1">
        <f t="shared" si="231"/>
        <v>93.739795918367349</v>
      </c>
    </row>
    <row r="1627" spans="1:16">
      <c r="A1627" s="2">
        <v>40697</v>
      </c>
      <c r="B1627" s="1">
        <v>191.23</v>
      </c>
      <c r="C1627" s="1">
        <v>193.21</v>
      </c>
      <c r="D1627" s="1">
        <v>187.62</v>
      </c>
      <c r="E1627" s="1">
        <v>188.32</v>
      </c>
      <c r="F1627" s="1">
        <v>4974500</v>
      </c>
      <c r="G1627" s="1">
        <v>188.32</v>
      </c>
      <c r="H1627" s="1">
        <f t="shared" si="225"/>
        <v>5.5900000000000034</v>
      </c>
      <c r="I1627" s="9">
        <f t="shared" si="232"/>
        <v>2.9794265003730964E-2</v>
      </c>
      <c r="J1627" s="1">
        <f t="shared" si="233"/>
        <v>-5.3300000000000125</v>
      </c>
      <c r="K1627" s="9">
        <f t="shared" si="226"/>
        <v>-2.7523883294603729E-2</v>
      </c>
      <c r="L1627" s="1">
        <f t="shared" si="227"/>
        <v>1</v>
      </c>
      <c r="M1627" s="1">
        <f t="shared" si="228"/>
        <v>193.21</v>
      </c>
      <c r="N1627" s="1">
        <f t="shared" si="229"/>
        <v>187.62</v>
      </c>
      <c r="O1627" s="1">
        <f t="shared" si="230"/>
        <v>186.35999999999999</v>
      </c>
      <c r="P1627" s="1">
        <f t="shared" si="231"/>
        <v>95.08163265306122</v>
      </c>
    </row>
    <row r="1628" spans="1:16">
      <c r="A1628" s="2">
        <v>40696</v>
      </c>
      <c r="B1628" s="1">
        <v>192.28</v>
      </c>
      <c r="C1628" s="1">
        <v>194.44</v>
      </c>
      <c r="D1628" s="1">
        <v>190.56</v>
      </c>
      <c r="E1628" s="1">
        <v>193.65</v>
      </c>
      <c r="F1628" s="1">
        <v>3044900</v>
      </c>
      <c r="G1628" s="1">
        <v>193.65</v>
      </c>
      <c r="H1628" s="1">
        <f t="shared" si="225"/>
        <v>3.8799999999999955</v>
      </c>
      <c r="I1628" s="9">
        <f t="shared" si="232"/>
        <v>2.0361041141897542E-2</v>
      </c>
      <c r="J1628" s="1">
        <f t="shared" si="233"/>
        <v>1.25</v>
      </c>
      <c r="K1628" s="9">
        <f t="shared" si="226"/>
        <v>6.4968814968814964E-3</v>
      </c>
      <c r="L1628" s="1">
        <f t="shared" si="227"/>
        <v>1</v>
      </c>
      <c r="M1628" s="1">
        <f t="shared" si="228"/>
        <v>194.44</v>
      </c>
      <c r="N1628" s="1">
        <f t="shared" si="229"/>
        <v>190.56</v>
      </c>
      <c r="O1628" s="1">
        <f t="shared" si="230"/>
        <v>191.69</v>
      </c>
      <c r="P1628" s="1">
        <f t="shared" si="231"/>
        <v>97.801020408163268</v>
      </c>
    </row>
    <row r="1629" spans="1:16">
      <c r="A1629" s="2">
        <v>40695</v>
      </c>
      <c r="B1629" s="1">
        <v>196.06</v>
      </c>
      <c r="C1629" s="1">
        <v>197.26</v>
      </c>
      <c r="D1629" s="1">
        <v>192.05</v>
      </c>
      <c r="E1629" s="1">
        <v>192.4</v>
      </c>
      <c r="F1629" s="1">
        <v>3445200</v>
      </c>
      <c r="G1629" s="1">
        <v>192.4</v>
      </c>
      <c r="H1629" s="1">
        <f t="shared" si="225"/>
        <v>5.2099999999999795</v>
      </c>
      <c r="I1629" s="9">
        <f t="shared" si="232"/>
        <v>2.7128351991668728E-2</v>
      </c>
      <c r="J1629" s="1">
        <f t="shared" si="233"/>
        <v>-4.289999999999992</v>
      </c>
      <c r="K1629" s="9">
        <f t="shared" si="226"/>
        <v>-2.1810971579643054E-2</v>
      </c>
      <c r="L1629" s="1">
        <f t="shared" si="227"/>
        <v>1</v>
      </c>
      <c r="M1629" s="1">
        <f t="shared" si="228"/>
        <v>197.26</v>
      </c>
      <c r="N1629" s="1">
        <f t="shared" si="229"/>
        <v>192.05</v>
      </c>
      <c r="O1629" s="1">
        <f t="shared" si="230"/>
        <v>190.44</v>
      </c>
      <c r="P1629" s="1">
        <f t="shared" si="231"/>
        <v>97.163265306122454</v>
      </c>
    </row>
    <row r="1630" spans="1:16">
      <c r="A1630" s="2">
        <v>40694</v>
      </c>
      <c r="B1630" s="1">
        <v>195.94</v>
      </c>
      <c r="C1630" s="1">
        <v>198.44</v>
      </c>
      <c r="D1630" s="1">
        <v>195.03</v>
      </c>
      <c r="E1630" s="1">
        <v>196.69</v>
      </c>
      <c r="F1630" s="1">
        <v>3409000</v>
      </c>
      <c r="G1630" s="1">
        <v>196.69</v>
      </c>
      <c r="H1630" s="1">
        <f t="shared" si="225"/>
        <v>3.4099999999999966</v>
      </c>
      <c r="I1630" s="9">
        <f t="shared" si="232"/>
        <v>1.7484489565707823E-2</v>
      </c>
      <c r="J1630" s="1">
        <f t="shared" si="233"/>
        <v>2.5600000000000023</v>
      </c>
      <c r="K1630" s="9">
        <f t="shared" si="226"/>
        <v>1.3187039612630723E-2</v>
      </c>
      <c r="L1630" s="1">
        <f t="shared" si="227"/>
        <v>1</v>
      </c>
      <c r="M1630" s="1">
        <f t="shared" si="228"/>
        <v>198.44</v>
      </c>
      <c r="N1630" s="1">
        <f t="shared" si="229"/>
        <v>195.03</v>
      </c>
      <c r="O1630" s="1">
        <f t="shared" si="230"/>
        <v>194.73</v>
      </c>
      <c r="P1630" s="1">
        <f t="shared" si="231"/>
        <v>99.352040816326522</v>
      </c>
    </row>
    <row r="1631" spans="1:16">
      <c r="A1631" s="2">
        <v>40690</v>
      </c>
      <c r="B1631" s="1">
        <v>194.76</v>
      </c>
      <c r="C1631" s="1">
        <v>196.12</v>
      </c>
      <c r="D1631" s="1">
        <v>193.5</v>
      </c>
      <c r="E1631" s="1">
        <v>194.13</v>
      </c>
      <c r="F1631" s="1">
        <v>2352600</v>
      </c>
      <c r="G1631" s="1">
        <v>194.13</v>
      </c>
      <c r="H1631" s="1">
        <f t="shared" si="225"/>
        <v>2.6200000000000045</v>
      </c>
      <c r="I1631" s="9">
        <f t="shared" si="232"/>
        <v>1.3540051679586588E-2</v>
      </c>
      <c r="J1631" s="1">
        <f t="shared" si="233"/>
        <v>-0.87000000000000455</v>
      </c>
      <c r="K1631" s="9">
        <f t="shared" si="226"/>
        <v>-4.4615384615384846E-3</v>
      </c>
      <c r="L1631" s="1">
        <f t="shared" si="227"/>
        <v>1</v>
      </c>
      <c r="M1631" s="1">
        <f t="shared" si="228"/>
        <v>196.12</v>
      </c>
      <c r="N1631" s="1">
        <f t="shared" si="229"/>
        <v>193.5</v>
      </c>
      <c r="O1631" s="1">
        <f t="shared" si="230"/>
        <v>192.17</v>
      </c>
      <c r="P1631" s="1">
        <f t="shared" si="231"/>
        <v>98.045918367346928</v>
      </c>
    </row>
    <row r="1632" spans="1:16">
      <c r="A1632" s="2">
        <v>40689</v>
      </c>
      <c r="B1632" s="1">
        <v>191.24</v>
      </c>
      <c r="C1632" s="1">
        <v>196.45</v>
      </c>
      <c r="D1632" s="1">
        <v>190.88</v>
      </c>
      <c r="E1632" s="1">
        <v>195</v>
      </c>
      <c r="F1632" s="1">
        <v>4075200</v>
      </c>
      <c r="G1632" s="1">
        <v>195</v>
      </c>
      <c r="H1632" s="1">
        <f t="shared" si="225"/>
        <v>5.5699999999999932</v>
      </c>
      <c r="I1632" s="9">
        <f t="shared" si="232"/>
        <v>2.9180637049455119E-2</v>
      </c>
      <c r="J1632" s="1">
        <f t="shared" si="233"/>
        <v>2.7400000000000091</v>
      </c>
      <c r="K1632" s="9">
        <f t="shared" si="226"/>
        <v>1.4251534380526419E-2</v>
      </c>
      <c r="L1632" s="1">
        <f t="shared" si="227"/>
        <v>1</v>
      </c>
      <c r="M1632" s="1">
        <f t="shared" si="228"/>
        <v>196.45</v>
      </c>
      <c r="N1632" s="1">
        <f t="shared" si="229"/>
        <v>190.88</v>
      </c>
      <c r="O1632" s="1">
        <f t="shared" si="230"/>
        <v>193.04</v>
      </c>
      <c r="P1632" s="1">
        <f t="shared" si="231"/>
        <v>98.489795918367349</v>
      </c>
    </row>
    <row r="1633" spans="1:16">
      <c r="A1633" s="2">
        <v>40688</v>
      </c>
      <c r="B1633" s="1">
        <v>193.57</v>
      </c>
      <c r="C1633" s="1">
        <v>194.35</v>
      </c>
      <c r="D1633" s="1">
        <v>191.14</v>
      </c>
      <c r="E1633" s="1">
        <v>192.26</v>
      </c>
      <c r="F1633" s="1">
        <v>4661300</v>
      </c>
      <c r="G1633" s="1">
        <v>192.26</v>
      </c>
      <c r="H1633" s="1">
        <f t="shared" si="225"/>
        <v>3.210000000000008</v>
      </c>
      <c r="I1633" s="9">
        <f t="shared" si="232"/>
        <v>1.6793973004080823E-2</v>
      </c>
      <c r="J1633" s="1">
        <f t="shared" si="233"/>
        <v>-1.0100000000000193</v>
      </c>
      <c r="K1633" s="9">
        <f t="shared" si="226"/>
        <v>-5.2258498473638912E-3</v>
      </c>
      <c r="L1633" s="1">
        <f t="shared" si="227"/>
        <v>1</v>
      </c>
      <c r="M1633" s="1">
        <f t="shared" si="228"/>
        <v>194.35</v>
      </c>
      <c r="N1633" s="1">
        <f t="shared" si="229"/>
        <v>191.14</v>
      </c>
      <c r="O1633" s="1">
        <f t="shared" si="230"/>
        <v>190.29999999999998</v>
      </c>
      <c r="P1633" s="1">
        <f t="shared" si="231"/>
        <v>97.091836734693871</v>
      </c>
    </row>
    <row r="1634" spans="1:16">
      <c r="A1634" s="2">
        <v>40687</v>
      </c>
      <c r="B1634" s="1">
        <v>197</v>
      </c>
      <c r="C1634" s="1">
        <v>197</v>
      </c>
      <c r="D1634" s="1">
        <v>193</v>
      </c>
      <c r="E1634" s="1">
        <v>193.27</v>
      </c>
      <c r="F1634" s="1">
        <v>2972700</v>
      </c>
      <c r="G1634" s="1">
        <v>193.27</v>
      </c>
      <c r="H1634" s="1">
        <f t="shared" si="225"/>
        <v>4</v>
      </c>
      <c r="I1634" s="9">
        <f t="shared" si="232"/>
        <v>2.072538860103627E-2</v>
      </c>
      <c r="J1634" s="1">
        <f t="shared" si="233"/>
        <v>-2.9499999999999886</v>
      </c>
      <c r="K1634" s="9">
        <f t="shared" si="226"/>
        <v>-1.5034145347059364E-2</v>
      </c>
      <c r="L1634" s="1">
        <f t="shared" si="227"/>
        <v>1</v>
      </c>
      <c r="M1634" s="1">
        <f t="shared" si="228"/>
        <v>197</v>
      </c>
      <c r="N1634" s="1">
        <f t="shared" si="229"/>
        <v>193</v>
      </c>
      <c r="O1634" s="1">
        <f t="shared" si="230"/>
        <v>191.31</v>
      </c>
      <c r="P1634" s="1">
        <f t="shared" si="231"/>
        <v>97.607142857142861</v>
      </c>
    </row>
    <row r="1635" spans="1:16">
      <c r="A1635" s="2">
        <v>40686</v>
      </c>
      <c r="B1635" s="1">
        <v>195.56</v>
      </c>
      <c r="C1635" s="1">
        <v>197.29</v>
      </c>
      <c r="D1635" s="1">
        <v>192.02</v>
      </c>
      <c r="E1635" s="1">
        <v>196.22</v>
      </c>
      <c r="F1635" s="1">
        <v>4200000</v>
      </c>
      <c r="G1635" s="1">
        <v>196.22</v>
      </c>
      <c r="H1635" s="1">
        <f t="shared" si="225"/>
        <v>5.2699999999999818</v>
      </c>
      <c r="I1635" s="9">
        <f t="shared" si="232"/>
        <v>2.7445057806478396E-2</v>
      </c>
      <c r="J1635" s="1">
        <f t="shared" si="233"/>
        <v>-2.4300000000000068</v>
      </c>
      <c r="K1635" s="9">
        <f t="shared" si="226"/>
        <v>-1.2232569846463663E-2</v>
      </c>
      <c r="L1635" s="1">
        <f t="shared" si="227"/>
        <v>1</v>
      </c>
      <c r="M1635" s="1">
        <f t="shared" si="228"/>
        <v>197.29</v>
      </c>
      <c r="N1635" s="1">
        <f t="shared" si="229"/>
        <v>192.02</v>
      </c>
      <c r="O1635" s="1">
        <f t="shared" si="230"/>
        <v>194.26</v>
      </c>
      <c r="P1635" s="1">
        <f t="shared" si="231"/>
        <v>99.112244897959187</v>
      </c>
    </row>
    <row r="1636" spans="1:16">
      <c r="A1636" s="2">
        <v>40683</v>
      </c>
      <c r="B1636" s="1">
        <v>197.95</v>
      </c>
      <c r="C1636" s="1">
        <v>199.8</v>
      </c>
      <c r="D1636" s="1">
        <v>197.24</v>
      </c>
      <c r="E1636" s="1">
        <v>198.65</v>
      </c>
      <c r="F1636" s="1">
        <v>3381000</v>
      </c>
      <c r="G1636" s="1">
        <v>198.65</v>
      </c>
      <c r="H1636" s="1">
        <f t="shared" si="225"/>
        <v>2.5600000000000023</v>
      </c>
      <c r="I1636" s="9">
        <f t="shared" si="232"/>
        <v>1.2979111742040165E-2</v>
      </c>
      <c r="J1636" s="1">
        <f t="shared" si="233"/>
        <v>-0.15000000000000568</v>
      </c>
      <c r="K1636" s="9">
        <f t="shared" si="226"/>
        <v>-7.5452716297789578E-4</v>
      </c>
      <c r="L1636" s="1">
        <f t="shared" si="227"/>
        <v>1</v>
      </c>
      <c r="M1636" s="1">
        <f t="shared" si="228"/>
        <v>199.8</v>
      </c>
      <c r="N1636" s="1">
        <f t="shared" si="229"/>
        <v>197.24</v>
      </c>
      <c r="O1636" s="1">
        <f t="shared" si="230"/>
        <v>196.69</v>
      </c>
      <c r="P1636" s="1">
        <f t="shared" si="231"/>
        <v>100.35204081632654</v>
      </c>
    </row>
    <row r="1637" spans="1:16">
      <c r="A1637" s="2">
        <v>40682</v>
      </c>
      <c r="B1637" s="1">
        <v>198.33</v>
      </c>
      <c r="C1637" s="1">
        <v>199.95</v>
      </c>
      <c r="D1637" s="1">
        <v>197.55</v>
      </c>
      <c r="E1637" s="1">
        <v>198.8</v>
      </c>
      <c r="F1637" s="1">
        <v>3701200</v>
      </c>
      <c r="G1637" s="1">
        <v>198.8</v>
      </c>
      <c r="H1637" s="1">
        <f t="shared" si="225"/>
        <v>2.3999999999999773</v>
      </c>
      <c r="I1637" s="9">
        <f t="shared" si="232"/>
        <v>1.2148823082763742E-2</v>
      </c>
      <c r="J1637" s="1">
        <f t="shared" si="233"/>
        <v>1.710000000000008</v>
      </c>
      <c r="K1637" s="9">
        <f t="shared" si="226"/>
        <v>8.6762392815465418E-3</v>
      </c>
      <c r="L1637" s="1">
        <f t="shared" si="227"/>
        <v>1</v>
      </c>
      <c r="M1637" s="1">
        <f t="shared" si="228"/>
        <v>199.95</v>
      </c>
      <c r="N1637" s="1">
        <f t="shared" si="229"/>
        <v>197.55</v>
      </c>
      <c r="O1637" s="1">
        <f t="shared" si="230"/>
        <v>196.84</v>
      </c>
      <c r="P1637" s="1">
        <f t="shared" si="231"/>
        <v>100.42857142857143</v>
      </c>
    </row>
    <row r="1638" spans="1:16">
      <c r="A1638" s="2">
        <v>40681</v>
      </c>
      <c r="B1638" s="1">
        <v>194.13</v>
      </c>
      <c r="C1638" s="1">
        <v>198.28</v>
      </c>
      <c r="D1638" s="1">
        <v>193.25</v>
      </c>
      <c r="E1638" s="1">
        <v>197.09</v>
      </c>
      <c r="F1638" s="1">
        <v>4955800</v>
      </c>
      <c r="G1638" s="1">
        <v>197.09</v>
      </c>
      <c r="H1638" s="1">
        <f t="shared" si="225"/>
        <v>5.0300000000000011</v>
      </c>
      <c r="I1638" s="9">
        <f t="shared" si="232"/>
        <v>2.6028460543337652E-2</v>
      </c>
      <c r="J1638" s="1">
        <f t="shared" si="233"/>
        <v>2.2800000000000011</v>
      </c>
      <c r="K1638" s="9">
        <f t="shared" si="226"/>
        <v>1.1703711308454398E-2</v>
      </c>
      <c r="L1638" s="1">
        <f t="shared" si="227"/>
        <v>1</v>
      </c>
      <c r="M1638" s="1">
        <f t="shared" si="228"/>
        <v>198.28</v>
      </c>
      <c r="N1638" s="1">
        <f t="shared" si="229"/>
        <v>193.25</v>
      </c>
      <c r="O1638" s="1">
        <f t="shared" si="230"/>
        <v>195.13</v>
      </c>
      <c r="P1638" s="1">
        <f t="shared" si="231"/>
        <v>99.556122448979593</v>
      </c>
    </row>
    <row r="1639" spans="1:16">
      <c r="A1639" s="2">
        <v>40680</v>
      </c>
      <c r="B1639" s="1">
        <v>191.82</v>
      </c>
      <c r="C1639" s="1">
        <v>195.98</v>
      </c>
      <c r="D1639" s="1">
        <v>191.76</v>
      </c>
      <c r="E1639" s="1">
        <v>194.81</v>
      </c>
      <c r="F1639" s="1">
        <v>7073300</v>
      </c>
      <c r="G1639" s="1">
        <v>194.81</v>
      </c>
      <c r="H1639" s="1">
        <f t="shared" si="225"/>
        <v>4.2199999999999989</v>
      </c>
      <c r="I1639" s="9">
        <f t="shared" si="232"/>
        <v>2.2006675010429699E-2</v>
      </c>
      <c r="J1639" s="1">
        <f t="shared" si="233"/>
        <v>2.3000000000000114</v>
      </c>
      <c r="K1639" s="9">
        <f t="shared" si="226"/>
        <v>1.1947431302270071E-2</v>
      </c>
      <c r="L1639" s="1">
        <f t="shared" si="227"/>
        <v>1</v>
      </c>
      <c r="M1639" s="1">
        <f t="shared" si="228"/>
        <v>195.98</v>
      </c>
      <c r="N1639" s="1">
        <f t="shared" si="229"/>
        <v>191.76</v>
      </c>
      <c r="O1639" s="1">
        <f t="shared" si="230"/>
        <v>192.85</v>
      </c>
      <c r="P1639" s="1">
        <f t="shared" si="231"/>
        <v>98.392857142857139</v>
      </c>
    </row>
    <row r="1640" spans="1:16">
      <c r="A1640" s="2">
        <v>40679</v>
      </c>
      <c r="B1640" s="1">
        <v>200.54</v>
      </c>
      <c r="C1640" s="1">
        <v>200.9</v>
      </c>
      <c r="D1640" s="1">
        <v>191.37</v>
      </c>
      <c r="E1640" s="1">
        <v>192.51</v>
      </c>
      <c r="F1640" s="1">
        <v>9386400</v>
      </c>
      <c r="G1640" s="1">
        <v>192.51</v>
      </c>
      <c r="H1640" s="1">
        <f t="shared" si="225"/>
        <v>9.5300000000000011</v>
      </c>
      <c r="I1640" s="9">
        <f t="shared" si="232"/>
        <v>4.9798819041647076E-2</v>
      </c>
      <c r="J1640" s="1">
        <f t="shared" si="233"/>
        <v>-10.050000000000011</v>
      </c>
      <c r="K1640" s="9">
        <f t="shared" si="226"/>
        <v>-4.9614928909952664E-2</v>
      </c>
      <c r="L1640" s="1">
        <f t="shared" si="227"/>
        <v>1</v>
      </c>
      <c r="M1640" s="1">
        <f t="shared" si="228"/>
        <v>200.9</v>
      </c>
      <c r="N1640" s="1">
        <f t="shared" si="229"/>
        <v>191.37</v>
      </c>
      <c r="O1640" s="1">
        <f t="shared" si="230"/>
        <v>190.54999999999998</v>
      </c>
      <c r="P1640" s="1">
        <f t="shared" si="231"/>
        <v>97.219387755102034</v>
      </c>
    </row>
    <row r="1641" spans="1:16">
      <c r="A1641" s="2">
        <v>40676</v>
      </c>
      <c r="B1641" s="1">
        <v>205.7</v>
      </c>
      <c r="C1641" s="1">
        <v>206.39</v>
      </c>
      <c r="D1641" s="1">
        <v>202.36</v>
      </c>
      <c r="E1641" s="1">
        <v>202.56</v>
      </c>
      <c r="F1641" s="1">
        <v>4123700</v>
      </c>
      <c r="G1641" s="1">
        <v>202.56</v>
      </c>
      <c r="H1641" s="1">
        <f t="shared" si="225"/>
        <v>4.0299999999999727</v>
      </c>
      <c r="I1641" s="9">
        <f t="shared" si="232"/>
        <v>1.9915002965012713E-2</v>
      </c>
      <c r="J1641" s="1">
        <f t="shared" si="233"/>
        <v>-3.5099999999999909</v>
      </c>
      <c r="K1641" s="9">
        <f t="shared" si="226"/>
        <v>-1.7033047022856268E-2</v>
      </c>
      <c r="L1641" s="1">
        <f t="shared" si="227"/>
        <v>1</v>
      </c>
      <c r="M1641" s="1">
        <f t="shared" si="228"/>
        <v>206.39</v>
      </c>
      <c r="N1641" s="1">
        <f t="shared" si="229"/>
        <v>202.36</v>
      </c>
      <c r="O1641" s="1">
        <f t="shared" si="230"/>
        <v>200.6</v>
      </c>
      <c r="P1641" s="1">
        <f t="shared" si="231"/>
        <v>102.3469387755102</v>
      </c>
    </row>
    <row r="1642" spans="1:16">
      <c r="A1642" s="2">
        <v>40675</v>
      </c>
      <c r="B1642" s="1">
        <v>204.22</v>
      </c>
      <c r="C1642" s="1">
        <v>206.19</v>
      </c>
      <c r="D1642" s="1">
        <v>200.62</v>
      </c>
      <c r="E1642" s="1">
        <v>206.07</v>
      </c>
      <c r="F1642" s="1">
        <v>4800000</v>
      </c>
      <c r="G1642" s="1">
        <v>206.07</v>
      </c>
      <c r="H1642" s="1">
        <f t="shared" si="225"/>
        <v>5.5699999999999932</v>
      </c>
      <c r="I1642" s="9">
        <f t="shared" si="232"/>
        <v>2.7763931811384673E-2</v>
      </c>
      <c r="J1642" s="1">
        <f t="shared" si="233"/>
        <v>1.6899999999999977</v>
      </c>
      <c r="K1642" s="9">
        <f t="shared" si="226"/>
        <v>8.2689108523338762E-3</v>
      </c>
      <c r="L1642" s="1">
        <f t="shared" si="227"/>
        <v>1</v>
      </c>
      <c r="M1642" s="1">
        <f t="shared" si="228"/>
        <v>206.19</v>
      </c>
      <c r="N1642" s="1">
        <f t="shared" si="229"/>
        <v>200.62</v>
      </c>
      <c r="O1642" s="1">
        <f t="shared" si="230"/>
        <v>204.10999999999999</v>
      </c>
      <c r="P1642" s="1">
        <f t="shared" si="231"/>
        <v>104.13775510204081</v>
      </c>
    </row>
    <row r="1643" spans="1:16">
      <c r="A1643" s="2">
        <v>40674</v>
      </c>
      <c r="B1643" s="1">
        <v>203.12</v>
      </c>
      <c r="C1643" s="1">
        <v>205.5</v>
      </c>
      <c r="D1643" s="1">
        <v>202.25</v>
      </c>
      <c r="E1643" s="1">
        <v>204.38</v>
      </c>
      <c r="F1643" s="1">
        <v>4809000</v>
      </c>
      <c r="G1643" s="1">
        <v>204.38</v>
      </c>
      <c r="H1643" s="1">
        <f t="shared" si="225"/>
        <v>3.25</v>
      </c>
      <c r="I1643" s="9">
        <f t="shared" si="232"/>
        <v>1.6069221260815822E-2</v>
      </c>
      <c r="J1643" s="1">
        <f t="shared" si="233"/>
        <v>0.43999999999999773</v>
      </c>
      <c r="K1643" s="9">
        <f t="shared" si="226"/>
        <v>2.1574973031283601E-3</v>
      </c>
      <c r="L1643" s="1">
        <f t="shared" si="227"/>
        <v>1</v>
      </c>
      <c r="M1643" s="1">
        <f t="shared" si="228"/>
        <v>205.5</v>
      </c>
      <c r="N1643" s="1">
        <f t="shared" si="229"/>
        <v>202.25</v>
      </c>
      <c r="O1643" s="1">
        <f t="shared" si="230"/>
        <v>202.42</v>
      </c>
      <c r="P1643" s="1">
        <f t="shared" si="231"/>
        <v>103.27551020408163</v>
      </c>
    </row>
    <row r="1644" spans="1:16">
      <c r="A1644" s="2">
        <v>40673</v>
      </c>
      <c r="B1644" s="1">
        <v>201.94</v>
      </c>
      <c r="C1644" s="1">
        <v>205.29</v>
      </c>
      <c r="D1644" s="1">
        <v>201.56</v>
      </c>
      <c r="E1644" s="1">
        <v>203.94</v>
      </c>
      <c r="F1644" s="1">
        <v>5885900</v>
      </c>
      <c r="G1644" s="1">
        <v>203.94</v>
      </c>
      <c r="H1644" s="1">
        <f t="shared" si="225"/>
        <v>3.7299999999999898</v>
      </c>
      <c r="I1644" s="9">
        <f t="shared" si="232"/>
        <v>1.8505655884103939E-2</v>
      </c>
      <c r="J1644" s="1">
        <f t="shared" si="233"/>
        <v>3.1399999999999864</v>
      </c>
      <c r="K1644" s="9">
        <f t="shared" si="226"/>
        <v>1.563745019920312E-2</v>
      </c>
      <c r="L1644" s="1">
        <f t="shared" si="227"/>
        <v>1</v>
      </c>
      <c r="M1644" s="1">
        <f t="shared" si="228"/>
        <v>205.29</v>
      </c>
      <c r="N1644" s="1">
        <f t="shared" si="229"/>
        <v>201.56</v>
      </c>
      <c r="O1644" s="1">
        <f t="shared" si="230"/>
        <v>201.98</v>
      </c>
      <c r="P1644" s="1">
        <f t="shared" si="231"/>
        <v>103.05102040816327</v>
      </c>
    </row>
    <row r="1645" spans="1:16">
      <c r="A1645" s="2">
        <v>40672</v>
      </c>
      <c r="B1645" s="1">
        <v>198.34</v>
      </c>
      <c r="C1645" s="1">
        <v>202.36</v>
      </c>
      <c r="D1645" s="1">
        <v>196.78</v>
      </c>
      <c r="E1645" s="1">
        <v>200.8</v>
      </c>
      <c r="F1645" s="1">
        <v>5825400</v>
      </c>
      <c r="G1645" s="1">
        <v>200.8</v>
      </c>
      <c r="H1645" s="1">
        <f t="shared" si="225"/>
        <v>5.5800000000000125</v>
      </c>
      <c r="I1645" s="9">
        <f t="shared" si="232"/>
        <v>2.8356540298810917E-2</v>
      </c>
      <c r="J1645" s="1">
        <f t="shared" si="233"/>
        <v>3.2000000000000171</v>
      </c>
      <c r="K1645" s="9">
        <f t="shared" si="226"/>
        <v>1.6194331983805755E-2</v>
      </c>
      <c r="L1645" s="1">
        <f t="shared" si="227"/>
        <v>1</v>
      </c>
      <c r="M1645" s="1">
        <f t="shared" si="228"/>
        <v>202.36</v>
      </c>
      <c r="N1645" s="1">
        <f t="shared" si="229"/>
        <v>196.78</v>
      </c>
      <c r="O1645" s="1">
        <f t="shared" si="230"/>
        <v>198.84</v>
      </c>
      <c r="P1645" s="1">
        <f t="shared" si="231"/>
        <v>101.44897959183673</v>
      </c>
    </row>
    <row r="1646" spans="1:16">
      <c r="A1646" s="2">
        <v>40669</v>
      </c>
      <c r="B1646" s="1">
        <v>199.1</v>
      </c>
      <c r="C1646" s="1">
        <v>199.56</v>
      </c>
      <c r="D1646" s="1">
        <v>196.56</v>
      </c>
      <c r="E1646" s="1">
        <v>197.6</v>
      </c>
      <c r="F1646" s="1">
        <v>4013900</v>
      </c>
      <c r="G1646" s="1">
        <v>197.6</v>
      </c>
      <c r="H1646" s="1">
        <f t="shared" si="225"/>
        <v>3</v>
      </c>
      <c r="I1646" s="9">
        <f t="shared" si="232"/>
        <v>1.5262515262515262E-2</v>
      </c>
      <c r="J1646" s="1">
        <f t="shared" si="233"/>
        <v>0.48999999999998067</v>
      </c>
      <c r="K1646" s="9">
        <f t="shared" si="226"/>
        <v>2.4859215666378199E-3</v>
      </c>
      <c r="L1646" s="1">
        <f t="shared" si="227"/>
        <v>1</v>
      </c>
      <c r="M1646" s="1">
        <f t="shared" si="228"/>
        <v>199.56</v>
      </c>
      <c r="N1646" s="1">
        <f t="shared" si="229"/>
        <v>196.56</v>
      </c>
      <c r="O1646" s="1">
        <f t="shared" si="230"/>
        <v>195.64</v>
      </c>
      <c r="P1646" s="1">
        <f t="shared" si="231"/>
        <v>99.816326530612244</v>
      </c>
    </row>
    <row r="1647" spans="1:16">
      <c r="A1647" s="2">
        <v>40668</v>
      </c>
      <c r="B1647" s="1">
        <v>198.66</v>
      </c>
      <c r="C1647" s="1">
        <v>201</v>
      </c>
      <c r="D1647" s="1">
        <v>196.12</v>
      </c>
      <c r="E1647" s="1">
        <v>197.11</v>
      </c>
      <c r="F1647" s="1">
        <v>4600000</v>
      </c>
      <c r="G1647" s="1">
        <v>197.11</v>
      </c>
      <c r="H1647" s="1">
        <f t="shared" si="225"/>
        <v>4.8799999999999955</v>
      </c>
      <c r="I1647" s="9">
        <f t="shared" si="232"/>
        <v>2.4882724862329161E-2</v>
      </c>
      <c r="J1647" s="1">
        <f t="shared" si="233"/>
        <v>-2.8599999999999852</v>
      </c>
      <c r="K1647" s="9">
        <f t="shared" si="226"/>
        <v>-1.4302145321798196E-2</v>
      </c>
      <c r="L1647" s="1">
        <f t="shared" si="227"/>
        <v>1</v>
      </c>
      <c r="M1647" s="1">
        <f t="shared" si="228"/>
        <v>201</v>
      </c>
      <c r="N1647" s="1">
        <f t="shared" si="229"/>
        <v>196.12</v>
      </c>
      <c r="O1647" s="1">
        <f t="shared" si="230"/>
        <v>195.15</v>
      </c>
      <c r="P1647" s="1">
        <f t="shared" si="231"/>
        <v>99.566326530612244</v>
      </c>
    </row>
    <row r="1648" spans="1:16">
      <c r="A1648" s="2">
        <v>40667</v>
      </c>
      <c r="B1648" s="1">
        <v>198.25</v>
      </c>
      <c r="C1648" s="1">
        <v>201.86</v>
      </c>
      <c r="D1648" s="1">
        <v>195.37</v>
      </c>
      <c r="E1648" s="1">
        <v>199.97</v>
      </c>
      <c r="F1648" s="1">
        <v>6550000</v>
      </c>
      <c r="G1648" s="1">
        <v>199.97</v>
      </c>
      <c r="H1648" s="1">
        <f t="shared" si="225"/>
        <v>6.4900000000000091</v>
      </c>
      <c r="I1648" s="9">
        <f t="shared" si="232"/>
        <v>3.3219020320417715E-2</v>
      </c>
      <c r="J1648" s="1">
        <f t="shared" si="233"/>
        <v>1.5200000000000102</v>
      </c>
      <c r="K1648" s="9">
        <f t="shared" si="226"/>
        <v>7.6593600403124735E-3</v>
      </c>
      <c r="L1648" s="1">
        <f t="shared" si="227"/>
        <v>1</v>
      </c>
      <c r="M1648" s="1">
        <f t="shared" si="228"/>
        <v>201.86</v>
      </c>
      <c r="N1648" s="1">
        <f t="shared" si="229"/>
        <v>195.37</v>
      </c>
      <c r="O1648" s="1">
        <f t="shared" si="230"/>
        <v>198.01</v>
      </c>
      <c r="P1648" s="1">
        <f t="shared" si="231"/>
        <v>101.02551020408163</v>
      </c>
    </row>
    <row r="1649" spans="1:16">
      <c r="A1649" s="2">
        <v>40666</v>
      </c>
      <c r="B1649" s="1">
        <v>201</v>
      </c>
      <c r="C1649" s="1">
        <v>202.59</v>
      </c>
      <c r="D1649" s="1">
        <v>196.69</v>
      </c>
      <c r="E1649" s="1">
        <v>198.45</v>
      </c>
      <c r="F1649" s="1">
        <v>6100000</v>
      </c>
      <c r="G1649" s="1">
        <v>198.45</v>
      </c>
      <c r="H1649" s="1">
        <f t="shared" si="225"/>
        <v>5.9000000000000057</v>
      </c>
      <c r="I1649" s="9">
        <f t="shared" si="232"/>
        <v>2.9996441100208479E-2</v>
      </c>
      <c r="J1649" s="1">
        <f t="shared" si="233"/>
        <v>-2.7400000000000091</v>
      </c>
      <c r="K1649" s="9">
        <f t="shared" si="226"/>
        <v>-1.3618967145484414E-2</v>
      </c>
      <c r="L1649" s="1">
        <f t="shared" si="227"/>
        <v>1</v>
      </c>
      <c r="M1649" s="1">
        <f t="shared" si="228"/>
        <v>202.59</v>
      </c>
      <c r="N1649" s="1">
        <f t="shared" si="229"/>
        <v>196.69</v>
      </c>
      <c r="O1649" s="1">
        <f t="shared" si="230"/>
        <v>196.48999999999998</v>
      </c>
      <c r="P1649" s="1">
        <f t="shared" si="231"/>
        <v>100.24999999999999</v>
      </c>
    </row>
    <row r="1650" spans="1:16">
      <c r="A1650" s="2">
        <v>40665</v>
      </c>
      <c r="B1650" s="1">
        <v>196.57</v>
      </c>
      <c r="C1650" s="1">
        <v>203.42</v>
      </c>
      <c r="D1650" s="1">
        <v>196.18</v>
      </c>
      <c r="E1650" s="1">
        <v>201.19</v>
      </c>
      <c r="F1650" s="1">
        <v>9398100</v>
      </c>
      <c r="G1650" s="1">
        <v>201.19</v>
      </c>
      <c r="H1650" s="1">
        <f t="shared" si="225"/>
        <v>7.2399999999999807</v>
      </c>
      <c r="I1650" s="9">
        <f t="shared" si="232"/>
        <v>3.6904883270465802E-2</v>
      </c>
      <c r="J1650" s="1">
        <f t="shared" si="233"/>
        <v>5.3799999999999955</v>
      </c>
      <c r="K1650" s="9">
        <f t="shared" si="226"/>
        <v>2.7475614115724405E-2</v>
      </c>
      <c r="L1650" s="1">
        <f t="shared" si="227"/>
        <v>1</v>
      </c>
      <c r="M1650" s="1">
        <f t="shared" si="228"/>
        <v>203.42</v>
      </c>
      <c r="N1650" s="1">
        <f t="shared" si="229"/>
        <v>196.18</v>
      </c>
      <c r="O1650" s="1">
        <f t="shared" si="230"/>
        <v>199.23</v>
      </c>
      <c r="P1650" s="1">
        <f t="shared" si="231"/>
        <v>101.64795918367346</v>
      </c>
    </row>
    <row r="1651" spans="1:16">
      <c r="A1651" s="2">
        <v>40662</v>
      </c>
      <c r="B1651" s="1">
        <v>194.38</v>
      </c>
      <c r="C1651" s="1">
        <v>196.59</v>
      </c>
      <c r="D1651" s="1">
        <v>193.78</v>
      </c>
      <c r="E1651" s="1">
        <v>195.81</v>
      </c>
      <c r="F1651" s="1">
        <v>6640900</v>
      </c>
      <c r="G1651" s="1">
        <v>195.81</v>
      </c>
      <c r="H1651" s="1">
        <f t="shared" si="225"/>
        <v>2.8100000000000023</v>
      </c>
      <c r="I1651" s="9">
        <f t="shared" si="232"/>
        <v>1.4500980493342978E-2</v>
      </c>
      <c r="J1651" s="1">
        <f t="shared" si="233"/>
        <v>0.74000000000000909</v>
      </c>
      <c r="K1651" s="9">
        <f t="shared" si="226"/>
        <v>3.7935100220434156E-3</v>
      </c>
      <c r="L1651" s="1">
        <f t="shared" si="227"/>
        <v>1</v>
      </c>
      <c r="M1651" s="1">
        <f t="shared" si="228"/>
        <v>196.59</v>
      </c>
      <c r="N1651" s="1">
        <f t="shared" si="229"/>
        <v>193.78</v>
      </c>
      <c r="O1651" s="1">
        <f t="shared" si="230"/>
        <v>193.85</v>
      </c>
      <c r="P1651" s="1">
        <f t="shared" si="231"/>
        <v>98.90306122448979</v>
      </c>
    </row>
    <row r="1652" spans="1:16">
      <c r="A1652" s="2">
        <v>40661</v>
      </c>
      <c r="B1652" s="1">
        <v>195.96</v>
      </c>
      <c r="C1652" s="1">
        <v>196.79</v>
      </c>
      <c r="D1652" s="1">
        <v>192.27</v>
      </c>
      <c r="E1652" s="1">
        <v>195.07</v>
      </c>
      <c r="F1652" s="1">
        <v>7300000</v>
      </c>
      <c r="G1652" s="1">
        <v>195.07</v>
      </c>
      <c r="H1652" s="1">
        <f t="shared" si="225"/>
        <v>4.5199999999999818</v>
      </c>
      <c r="I1652" s="9">
        <f t="shared" si="232"/>
        <v>2.3508607687106577E-2</v>
      </c>
      <c r="J1652" s="1">
        <f t="shared" si="233"/>
        <v>-1.5600000000000023</v>
      </c>
      <c r="K1652" s="9">
        <f t="shared" si="226"/>
        <v>-7.9336825509840943E-3</v>
      </c>
      <c r="L1652" s="1">
        <f t="shared" si="227"/>
        <v>1</v>
      </c>
      <c r="M1652" s="1">
        <f t="shared" si="228"/>
        <v>196.79</v>
      </c>
      <c r="N1652" s="1">
        <f t="shared" si="229"/>
        <v>192.27</v>
      </c>
      <c r="O1652" s="1">
        <f t="shared" si="230"/>
        <v>193.10999999999999</v>
      </c>
      <c r="P1652" s="1">
        <f t="shared" si="231"/>
        <v>98.525510204081627</v>
      </c>
    </row>
    <row r="1653" spans="1:16">
      <c r="A1653" s="2">
        <v>40660</v>
      </c>
      <c r="B1653" s="1">
        <v>183.2</v>
      </c>
      <c r="C1653" s="1">
        <v>197.8</v>
      </c>
      <c r="D1653" s="1">
        <v>182.75</v>
      </c>
      <c r="E1653" s="1">
        <v>196.63</v>
      </c>
      <c r="F1653" s="1">
        <v>23623000</v>
      </c>
      <c r="G1653" s="1">
        <v>196.63</v>
      </c>
      <c r="H1653" s="1">
        <f t="shared" si="225"/>
        <v>15.050000000000011</v>
      </c>
      <c r="I1653" s="9">
        <f t="shared" si="232"/>
        <v>8.2352941176470656E-2</v>
      </c>
      <c r="J1653" s="1">
        <f t="shared" si="233"/>
        <v>14.329999999999984</v>
      </c>
      <c r="K1653" s="9">
        <f t="shared" si="226"/>
        <v>7.8606692265496339E-2</v>
      </c>
      <c r="L1653" s="1">
        <f t="shared" si="227"/>
        <v>1</v>
      </c>
      <c r="M1653" s="1">
        <f t="shared" si="228"/>
        <v>197.8</v>
      </c>
      <c r="N1653" s="1">
        <f t="shared" si="229"/>
        <v>182.75</v>
      </c>
      <c r="O1653" s="1">
        <f t="shared" si="230"/>
        <v>194.67</v>
      </c>
      <c r="P1653" s="1">
        <f t="shared" si="231"/>
        <v>99.321428571428569</v>
      </c>
    </row>
    <row r="1654" spans="1:16">
      <c r="A1654" s="2">
        <v>40659</v>
      </c>
      <c r="B1654" s="1">
        <v>186.27</v>
      </c>
      <c r="C1654" s="1">
        <v>186.42</v>
      </c>
      <c r="D1654" s="1">
        <v>180.74</v>
      </c>
      <c r="E1654" s="1">
        <v>182.3</v>
      </c>
      <c r="F1654" s="1">
        <v>11200000</v>
      </c>
      <c r="G1654" s="1">
        <v>182.3</v>
      </c>
      <c r="H1654" s="1">
        <f t="shared" si="225"/>
        <v>5.6799999999999784</v>
      </c>
      <c r="I1654" s="9">
        <f t="shared" si="232"/>
        <v>3.1426358304747028E-2</v>
      </c>
      <c r="J1654" s="1">
        <f t="shared" si="233"/>
        <v>-3.1199999999999761</v>
      </c>
      <c r="K1654" s="9">
        <f t="shared" si="226"/>
        <v>-1.6826663790313754E-2</v>
      </c>
      <c r="L1654" s="1">
        <f t="shared" si="227"/>
        <v>1</v>
      </c>
      <c r="M1654" s="1">
        <f t="shared" si="228"/>
        <v>186.42</v>
      </c>
      <c r="N1654" s="1">
        <f t="shared" si="229"/>
        <v>180.74</v>
      </c>
      <c r="O1654" s="1">
        <f t="shared" si="230"/>
        <v>180.34</v>
      </c>
      <c r="P1654" s="1">
        <f t="shared" si="231"/>
        <v>92.010204081632651</v>
      </c>
    </row>
    <row r="1655" spans="1:16">
      <c r="A1655" s="2">
        <v>40658</v>
      </c>
      <c r="B1655" s="1">
        <v>185.65</v>
      </c>
      <c r="C1655" s="1">
        <v>186.35</v>
      </c>
      <c r="D1655" s="1">
        <v>183.77</v>
      </c>
      <c r="E1655" s="1">
        <v>185.42</v>
      </c>
      <c r="F1655" s="1">
        <v>3438100</v>
      </c>
      <c r="G1655" s="1">
        <v>185.42</v>
      </c>
      <c r="H1655" s="1">
        <f t="shared" si="225"/>
        <v>2.5799999999999841</v>
      </c>
      <c r="I1655" s="9">
        <f t="shared" si="232"/>
        <v>1.4039288240735614E-2</v>
      </c>
      <c r="J1655" s="1">
        <f t="shared" si="233"/>
        <v>-0.46999999999999886</v>
      </c>
      <c r="K1655" s="9">
        <f t="shared" si="226"/>
        <v>-2.5283769971488454E-3</v>
      </c>
      <c r="L1655" s="1">
        <f t="shared" si="227"/>
        <v>1</v>
      </c>
      <c r="M1655" s="1">
        <f t="shared" si="228"/>
        <v>186.35</v>
      </c>
      <c r="N1655" s="1">
        <f t="shared" si="229"/>
        <v>183.77</v>
      </c>
      <c r="O1655" s="1">
        <f t="shared" si="230"/>
        <v>183.45999999999998</v>
      </c>
      <c r="P1655" s="1">
        <f t="shared" si="231"/>
        <v>93.602040816326522</v>
      </c>
    </row>
    <row r="1656" spans="1:16">
      <c r="A1656" s="2">
        <v>40654</v>
      </c>
      <c r="B1656" s="1">
        <v>184.56</v>
      </c>
      <c r="C1656" s="1">
        <v>185.97</v>
      </c>
      <c r="D1656" s="1">
        <v>183.05</v>
      </c>
      <c r="E1656" s="1">
        <v>185.89</v>
      </c>
      <c r="F1656" s="1">
        <v>3348100</v>
      </c>
      <c r="G1656" s="1">
        <v>185.89</v>
      </c>
      <c r="H1656" s="1">
        <f t="shared" si="225"/>
        <v>2.9199999999999875</v>
      </c>
      <c r="I1656" s="9">
        <f t="shared" si="232"/>
        <v>1.5951925703359668E-2</v>
      </c>
      <c r="J1656" s="1">
        <f t="shared" si="233"/>
        <v>2.0199999999999818</v>
      </c>
      <c r="K1656" s="9">
        <f t="shared" si="226"/>
        <v>1.0986022733452883E-2</v>
      </c>
      <c r="L1656" s="1">
        <f t="shared" si="227"/>
        <v>1</v>
      </c>
      <c r="M1656" s="1">
        <f t="shared" si="228"/>
        <v>185.97</v>
      </c>
      <c r="N1656" s="1">
        <f t="shared" si="229"/>
        <v>183.05</v>
      </c>
      <c r="O1656" s="1">
        <f t="shared" si="230"/>
        <v>183.92999999999998</v>
      </c>
      <c r="P1656" s="1">
        <f t="shared" si="231"/>
        <v>93.841836734693871</v>
      </c>
    </row>
    <row r="1657" spans="1:16">
      <c r="A1657" s="2">
        <v>40653</v>
      </c>
      <c r="B1657" s="1">
        <v>181.62</v>
      </c>
      <c r="C1657" s="1">
        <v>185</v>
      </c>
      <c r="D1657" s="1">
        <v>181.59</v>
      </c>
      <c r="E1657" s="1">
        <v>183.87</v>
      </c>
      <c r="F1657" s="1">
        <v>4067500</v>
      </c>
      <c r="G1657" s="1">
        <v>183.87</v>
      </c>
      <c r="H1657" s="1">
        <f t="shared" si="225"/>
        <v>3.4099999999999966</v>
      </c>
      <c r="I1657" s="9">
        <f t="shared" si="232"/>
        <v>1.8778567101712631E-2</v>
      </c>
      <c r="J1657" s="1">
        <f t="shared" si="233"/>
        <v>5.0500000000000114</v>
      </c>
      <c r="K1657" s="9">
        <f t="shared" si="226"/>
        <v>2.82406889609664E-2</v>
      </c>
      <c r="L1657" s="1">
        <f t="shared" si="227"/>
        <v>1</v>
      </c>
      <c r="M1657" s="1">
        <f t="shared" si="228"/>
        <v>185</v>
      </c>
      <c r="N1657" s="1">
        <f t="shared" si="229"/>
        <v>181.59</v>
      </c>
      <c r="O1657" s="1">
        <f t="shared" si="230"/>
        <v>181.91</v>
      </c>
      <c r="P1657" s="1">
        <f t="shared" si="231"/>
        <v>92.811224489795919</v>
      </c>
    </row>
    <row r="1658" spans="1:16">
      <c r="A1658" s="2">
        <v>40652</v>
      </c>
      <c r="B1658" s="1">
        <v>178.35</v>
      </c>
      <c r="C1658" s="1">
        <v>179.47</v>
      </c>
      <c r="D1658" s="1">
        <v>176.6</v>
      </c>
      <c r="E1658" s="1">
        <v>178.82</v>
      </c>
      <c r="F1658" s="1">
        <v>2646000</v>
      </c>
      <c r="G1658" s="1">
        <v>178.82</v>
      </c>
      <c r="H1658" s="1">
        <f t="shared" si="225"/>
        <v>2.8700000000000045</v>
      </c>
      <c r="I1658" s="9">
        <f t="shared" si="232"/>
        <v>1.6251415628539097E-2</v>
      </c>
      <c r="J1658" s="1">
        <f t="shared" si="233"/>
        <v>0.47999999999998977</v>
      </c>
      <c r="K1658" s="9">
        <f t="shared" si="226"/>
        <v>2.6914881686665344E-3</v>
      </c>
      <c r="L1658" s="1">
        <f t="shared" si="227"/>
        <v>1</v>
      </c>
      <c r="M1658" s="1">
        <f t="shared" si="228"/>
        <v>179.47</v>
      </c>
      <c r="N1658" s="1">
        <f t="shared" si="229"/>
        <v>176.6</v>
      </c>
      <c r="O1658" s="1">
        <f t="shared" si="230"/>
        <v>176.85999999999999</v>
      </c>
      <c r="P1658" s="1">
        <f t="shared" si="231"/>
        <v>90.23469387755101</v>
      </c>
    </row>
    <row r="1659" spans="1:16">
      <c r="A1659" s="2">
        <v>40651</v>
      </c>
      <c r="B1659" s="1">
        <v>178.38</v>
      </c>
      <c r="C1659" s="1">
        <v>178.91</v>
      </c>
      <c r="D1659" s="1">
        <v>175.37</v>
      </c>
      <c r="E1659" s="1">
        <v>178.34</v>
      </c>
      <c r="F1659" s="1">
        <v>4616500</v>
      </c>
      <c r="G1659" s="1">
        <v>178.34</v>
      </c>
      <c r="H1659" s="1">
        <f t="shared" si="225"/>
        <v>3.539999999999992</v>
      </c>
      <c r="I1659" s="9">
        <f t="shared" si="232"/>
        <v>2.0185892684039412E-2</v>
      </c>
      <c r="J1659" s="1">
        <f t="shared" si="233"/>
        <v>-1.6699999999999875</v>
      </c>
      <c r="K1659" s="9">
        <f t="shared" si="226"/>
        <v>-9.2772623743124696E-3</v>
      </c>
      <c r="L1659" s="1">
        <f t="shared" si="227"/>
        <v>1</v>
      </c>
      <c r="M1659" s="1">
        <f t="shared" si="228"/>
        <v>178.91</v>
      </c>
      <c r="N1659" s="1">
        <f t="shared" si="229"/>
        <v>175.37</v>
      </c>
      <c r="O1659" s="1">
        <f t="shared" si="230"/>
        <v>176.38</v>
      </c>
      <c r="P1659" s="1">
        <f t="shared" si="231"/>
        <v>89.989795918367349</v>
      </c>
    </row>
    <row r="1660" spans="1:16">
      <c r="A1660" s="2">
        <v>40648</v>
      </c>
      <c r="B1660" s="1">
        <v>181</v>
      </c>
      <c r="C1660" s="1">
        <v>181.78</v>
      </c>
      <c r="D1660" s="1">
        <v>179.02</v>
      </c>
      <c r="E1660" s="1">
        <v>180.01</v>
      </c>
      <c r="F1660" s="1">
        <v>4272400</v>
      </c>
      <c r="G1660" s="1">
        <v>180.01</v>
      </c>
      <c r="H1660" s="1">
        <f t="shared" si="225"/>
        <v>2.7599999999999909</v>
      </c>
      <c r="I1660" s="9">
        <f t="shared" si="232"/>
        <v>1.5417271813205177E-2</v>
      </c>
      <c r="J1660" s="1">
        <f t="shared" si="233"/>
        <v>-1.8100000000000023</v>
      </c>
      <c r="K1660" s="9">
        <f t="shared" si="226"/>
        <v>-9.9549004509955023E-3</v>
      </c>
      <c r="L1660" s="1">
        <f t="shared" si="227"/>
        <v>1</v>
      </c>
      <c r="M1660" s="1">
        <f t="shared" si="228"/>
        <v>181.78</v>
      </c>
      <c r="N1660" s="1">
        <f t="shared" si="229"/>
        <v>179.02</v>
      </c>
      <c r="O1660" s="1">
        <f t="shared" si="230"/>
        <v>178.04999999999998</v>
      </c>
      <c r="P1660" s="1">
        <f t="shared" si="231"/>
        <v>90.841836734693871</v>
      </c>
    </row>
    <row r="1661" spans="1:16">
      <c r="A1661" s="2">
        <v>40647</v>
      </c>
      <c r="B1661" s="1">
        <v>181.39</v>
      </c>
      <c r="C1661" s="1">
        <v>182.08</v>
      </c>
      <c r="D1661" s="1">
        <v>179.36</v>
      </c>
      <c r="E1661" s="1">
        <v>181.82</v>
      </c>
      <c r="F1661" s="1">
        <v>3588200</v>
      </c>
      <c r="G1661" s="1">
        <v>181.82</v>
      </c>
      <c r="H1661" s="1">
        <f t="shared" si="225"/>
        <v>2.7199999999999989</v>
      </c>
      <c r="I1661" s="9">
        <f t="shared" si="232"/>
        <v>1.5165031222123097E-2</v>
      </c>
      <c r="J1661" s="1">
        <f t="shared" si="233"/>
        <v>-0.46999999999999886</v>
      </c>
      <c r="K1661" s="9">
        <f t="shared" si="226"/>
        <v>-2.578309287399193E-3</v>
      </c>
      <c r="L1661" s="1">
        <f t="shared" si="227"/>
        <v>1</v>
      </c>
      <c r="M1661" s="1">
        <f t="shared" si="228"/>
        <v>182.08</v>
      </c>
      <c r="N1661" s="1">
        <f t="shared" si="229"/>
        <v>179.36</v>
      </c>
      <c r="O1661" s="1">
        <f t="shared" si="230"/>
        <v>179.85999999999999</v>
      </c>
      <c r="P1661" s="1">
        <f t="shared" si="231"/>
        <v>91.765306122448976</v>
      </c>
    </row>
    <row r="1662" spans="1:16">
      <c r="A1662" s="2">
        <v>40646</v>
      </c>
      <c r="B1662" s="1">
        <v>180.83</v>
      </c>
      <c r="C1662" s="1">
        <v>182.88</v>
      </c>
      <c r="D1662" s="1">
        <v>179.8</v>
      </c>
      <c r="E1662" s="1">
        <v>182.29</v>
      </c>
      <c r="F1662" s="1">
        <v>4216300</v>
      </c>
      <c r="G1662" s="1">
        <v>182.29</v>
      </c>
      <c r="H1662" s="1">
        <f t="shared" si="225"/>
        <v>3.0799999999999841</v>
      </c>
      <c r="I1662" s="9">
        <f t="shared" si="232"/>
        <v>1.7130144605116707E-2</v>
      </c>
      <c r="J1662" s="1">
        <f t="shared" si="233"/>
        <v>1.8100000000000023</v>
      </c>
      <c r="K1662" s="9">
        <f t="shared" si="226"/>
        <v>1.0028812056737602E-2</v>
      </c>
      <c r="L1662" s="1">
        <f t="shared" si="227"/>
        <v>1</v>
      </c>
      <c r="M1662" s="1">
        <f t="shared" si="228"/>
        <v>182.88</v>
      </c>
      <c r="N1662" s="1">
        <f t="shared" si="229"/>
        <v>179.8</v>
      </c>
      <c r="O1662" s="1">
        <f t="shared" si="230"/>
        <v>180.32999999999998</v>
      </c>
      <c r="P1662" s="1">
        <f t="shared" si="231"/>
        <v>92.005102040816325</v>
      </c>
    </row>
    <row r="1663" spans="1:16">
      <c r="A1663" s="2">
        <v>40645</v>
      </c>
      <c r="B1663" s="1">
        <v>183.06</v>
      </c>
      <c r="C1663" s="1">
        <v>184.59</v>
      </c>
      <c r="D1663" s="1">
        <v>179.42</v>
      </c>
      <c r="E1663" s="1">
        <v>180.48</v>
      </c>
      <c r="F1663" s="1">
        <v>5334500</v>
      </c>
      <c r="G1663" s="1">
        <v>180.48</v>
      </c>
      <c r="H1663" s="1">
        <f t="shared" si="225"/>
        <v>5.1700000000000159</v>
      </c>
      <c r="I1663" s="9">
        <f t="shared" si="232"/>
        <v>2.8815070783636251E-2</v>
      </c>
      <c r="J1663" s="1">
        <f t="shared" si="233"/>
        <v>-3.5600000000000023</v>
      </c>
      <c r="K1663" s="9">
        <f t="shared" si="226"/>
        <v>-1.9343620951966976E-2</v>
      </c>
      <c r="L1663" s="1">
        <f t="shared" si="227"/>
        <v>1</v>
      </c>
      <c r="M1663" s="1">
        <f t="shared" si="228"/>
        <v>184.59</v>
      </c>
      <c r="N1663" s="1">
        <f t="shared" si="229"/>
        <v>179.42</v>
      </c>
      <c r="O1663" s="1">
        <f t="shared" si="230"/>
        <v>178.51999999999998</v>
      </c>
      <c r="P1663" s="1">
        <f t="shared" si="231"/>
        <v>91.08163265306122</v>
      </c>
    </row>
    <row r="1664" spans="1:16">
      <c r="A1664" s="2">
        <v>40644</v>
      </c>
      <c r="B1664" s="1">
        <v>184.86</v>
      </c>
      <c r="C1664" s="1">
        <v>186.49</v>
      </c>
      <c r="D1664" s="1">
        <v>181.85</v>
      </c>
      <c r="E1664" s="1">
        <v>184.04</v>
      </c>
      <c r="F1664" s="1">
        <v>3297100</v>
      </c>
      <c r="G1664" s="1">
        <v>184.04</v>
      </c>
      <c r="H1664" s="1">
        <f t="shared" si="225"/>
        <v>4.6400000000000148</v>
      </c>
      <c r="I1664" s="9">
        <f t="shared" si="232"/>
        <v>2.5515534781413336E-2</v>
      </c>
      <c r="J1664" s="1">
        <f t="shared" si="233"/>
        <v>-0.67000000000001592</v>
      </c>
      <c r="K1664" s="9">
        <f t="shared" si="226"/>
        <v>-3.6273076714851164E-3</v>
      </c>
      <c r="L1664" s="1">
        <f t="shared" si="227"/>
        <v>1</v>
      </c>
      <c r="M1664" s="1">
        <f t="shared" si="228"/>
        <v>186.49</v>
      </c>
      <c r="N1664" s="1">
        <f t="shared" si="229"/>
        <v>181.85</v>
      </c>
      <c r="O1664" s="1">
        <f t="shared" si="230"/>
        <v>182.07999999999998</v>
      </c>
      <c r="P1664" s="1">
        <f t="shared" si="231"/>
        <v>92.897959183673464</v>
      </c>
    </row>
    <row r="1665" spans="1:16">
      <c r="A1665" s="2">
        <v>40641</v>
      </c>
      <c r="B1665" s="1">
        <v>185.26</v>
      </c>
      <c r="C1665" s="1">
        <v>186.22</v>
      </c>
      <c r="D1665" s="1">
        <v>182.78</v>
      </c>
      <c r="E1665" s="1">
        <v>184.71</v>
      </c>
      <c r="F1665" s="1">
        <v>3726400</v>
      </c>
      <c r="G1665" s="1">
        <v>184.71</v>
      </c>
      <c r="H1665" s="1">
        <f t="shared" si="225"/>
        <v>3.4399999999999977</v>
      </c>
      <c r="I1665" s="9">
        <f t="shared" si="232"/>
        <v>1.8820439873071439E-2</v>
      </c>
      <c r="J1665" s="1">
        <f t="shared" si="233"/>
        <v>-0.19999999999998863</v>
      </c>
      <c r="K1665" s="9">
        <f t="shared" si="226"/>
        <v>-1.0816072684007821E-3</v>
      </c>
      <c r="L1665" s="1">
        <f t="shared" si="227"/>
        <v>1</v>
      </c>
      <c r="M1665" s="1">
        <f t="shared" si="228"/>
        <v>186.22</v>
      </c>
      <c r="N1665" s="1">
        <f t="shared" si="229"/>
        <v>182.78</v>
      </c>
      <c r="O1665" s="1">
        <f t="shared" si="230"/>
        <v>182.75</v>
      </c>
      <c r="P1665" s="1">
        <f t="shared" si="231"/>
        <v>93.239795918367349</v>
      </c>
    </row>
    <row r="1666" spans="1:16">
      <c r="A1666" s="2">
        <v>40640</v>
      </c>
      <c r="B1666" s="1">
        <v>182.78</v>
      </c>
      <c r="C1666" s="1">
        <v>185.17</v>
      </c>
      <c r="D1666" s="1">
        <v>181.76</v>
      </c>
      <c r="E1666" s="1">
        <v>184.91</v>
      </c>
      <c r="F1666" s="1">
        <v>4564000</v>
      </c>
      <c r="G1666" s="1">
        <v>184.91</v>
      </c>
      <c r="H1666" s="1">
        <f t="shared" si="225"/>
        <v>3.4099999999999966</v>
      </c>
      <c r="I1666" s="9">
        <f t="shared" si="232"/>
        <v>1.8761003521126744E-2</v>
      </c>
      <c r="J1666" s="1">
        <f t="shared" si="233"/>
        <v>2.1500000000000057</v>
      </c>
      <c r="K1666" s="9">
        <f t="shared" si="226"/>
        <v>1.176406215802148E-2</v>
      </c>
      <c r="L1666" s="1">
        <f t="shared" si="227"/>
        <v>1</v>
      </c>
      <c r="M1666" s="1">
        <f t="shared" si="228"/>
        <v>185.17</v>
      </c>
      <c r="N1666" s="1">
        <f t="shared" si="229"/>
        <v>181.76</v>
      </c>
      <c r="O1666" s="1">
        <f t="shared" si="230"/>
        <v>182.95</v>
      </c>
      <c r="P1666" s="1">
        <f t="shared" si="231"/>
        <v>93.341836734693871</v>
      </c>
    </row>
    <row r="1667" spans="1:16">
      <c r="A1667" s="2">
        <v>40639</v>
      </c>
      <c r="B1667" s="1">
        <v>186.15</v>
      </c>
      <c r="C1667" s="1">
        <v>188.27</v>
      </c>
      <c r="D1667" s="1">
        <v>181.12</v>
      </c>
      <c r="E1667" s="1">
        <v>182.76</v>
      </c>
      <c r="F1667" s="1">
        <v>5430700</v>
      </c>
      <c r="G1667" s="1">
        <v>182.76</v>
      </c>
      <c r="H1667" s="1">
        <f t="shared" ref="H1667:H1730" si="234">C1667-D1667</f>
        <v>7.1500000000000057</v>
      </c>
      <c r="I1667" s="9">
        <f t="shared" si="232"/>
        <v>3.9476590106007098E-2</v>
      </c>
      <c r="J1667" s="1">
        <f t="shared" si="233"/>
        <v>-2.5300000000000011</v>
      </c>
      <c r="K1667" s="9">
        <f t="shared" ref="K1667:K1730" si="235">(G1667-G1668)/G1668</f>
        <v>-1.3654271682227865E-2</v>
      </c>
      <c r="L1667" s="1">
        <f t="shared" ref="L1667:L1730" si="236">G1667/E1667</f>
        <v>1</v>
      </c>
      <c r="M1667" s="1">
        <f t="shared" ref="M1667:M1730" si="237">L1667*C1667</f>
        <v>188.27</v>
      </c>
      <c r="N1667" s="1">
        <f t="shared" ref="N1667:N1730" si="238">L1667*D1667</f>
        <v>181.12</v>
      </c>
      <c r="O1667" s="1">
        <f t="shared" ref="O1667:O1730" si="239">G1667-$G$5163</f>
        <v>180.79999999999998</v>
      </c>
      <c r="P1667" s="1">
        <f t="shared" ref="P1667:P1730" si="240">(G1667-$G$5163)/$G$5163</f>
        <v>92.24489795918366</v>
      </c>
    </row>
    <row r="1668" spans="1:16">
      <c r="A1668" s="2">
        <v>40638</v>
      </c>
      <c r="B1668" s="1">
        <v>182.1</v>
      </c>
      <c r="C1668" s="1">
        <v>186.36</v>
      </c>
      <c r="D1668" s="1">
        <v>181.8</v>
      </c>
      <c r="E1668" s="1">
        <v>185.29</v>
      </c>
      <c r="F1668" s="1">
        <v>5569200</v>
      </c>
      <c r="G1668" s="1">
        <v>185.29</v>
      </c>
      <c r="H1668" s="1">
        <f t="shared" si="234"/>
        <v>4.5600000000000023</v>
      </c>
      <c r="I1668" s="9">
        <f t="shared" ref="I1668:I1731" si="241">(C1668-D1668)/D1668</f>
        <v>2.5082508250825093E-2</v>
      </c>
      <c r="J1668" s="1">
        <f t="shared" ref="J1668:J1731" si="242">G1668-G1669</f>
        <v>2.3499999999999943</v>
      </c>
      <c r="K1668" s="9">
        <f t="shared" si="235"/>
        <v>1.2845741773258961E-2</v>
      </c>
      <c r="L1668" s="1">
        <f t="shared" si="236"/>
        <v>1</v>
      </c>
      <c r="M1668" s="1">
        <f t="shared" si="237"/>
        <v>186.36</v>
      </c>
      <c r="N1668" s="1">
        <f t="shared" si="238"/>
        <v>181.8</v>
      </c>
      <c r="O1668" s="1">
        <f t="shared" si="239"/>
        <v>183.32999999999998</v>
      </c>
      <c r="P1668" s="1">
        <f t="shared" si="240"/>
        <v>93.535714285714278</v>
      </c>
    </row>
    <row r="1669" spans="1:16">
      <c r="A1669" s="2">
        <v>40637</v>
      </c>
      <c r="B1669" s="1">
        <v>180.89</v>
      </c>
      <c r="C1669" s="1">
        <v>183.61</v>
      </c>
      <c r="D1669" s="1">
        <v>180.69</v>
      </c>
      <c r="E1669" s="1">
        <v>182.94</v>
      </c>
      <c r="F1669" s="1">
        <v>4186400</v>
      </c>
      <c r="G1669" s="1">
        <v>182.94</v>
      </c>
      <c r="H1669" s="1">
        <f t="shared" si="234"/>
        <v>2.9200000000000159</v>
      </c>
      <c r="I1669" s="9">
        <f t="shared" si="241"/>
        <v>1.6160274503293021E-2</v>
      </c>
      <c r="J1669" s="1">
        <f t="shared" si="242"/>
        <v>2.8100000000000023</v>
      </c>
      <c r="K1669" s="9">
        <f t="shared" si="235"/>
        <v>1.5599844556709057E-2</v>
      </c>
      <c r="L1669" s="1">
        <f t="shared" si="236"/>
        <v>1</v>
      </c>
      <c r="M1669" s="1">
        <f t="shared" si="237"/>
        <v>183.61</v>
      </c>
      <c r="N1669" s="1">
        <f t="shared" si="238"/>
        <v>180.69</v>
      </c>
      <c r="O1669" s="1">
        <f t="shared" si="239"/>
        <v>180.98</v>
      </c>
      <c r="P1669" s="1">
        <f t="shared" si="240"/>
        <v>92.336734693877546</v>
      </c>
    </row>
    <row r="1670" spans="1:16">
      <c r="A1670" s="2">
        <v>40634</v>
      </c>
      <c r="B1670" s="1">
        <v>181.58</v>
      </c>
      <c r="C1670" s="1">
        <v>183.25</v>
      </c>
      <c r="D1670" s="1">
        <v>178.59</v>
      </c>
      <c r="E1670" s="1">
        <v>180.13</v>
      </c>
      <c r="F1670" s="1">
        <v>5684100</v>
      </c>
      <c r="G1670" s="1">
        <v>180.13</v>
      </c>
      <c r="H1670" s="1">
        <f t="shared" si="234"/>
        <v>4.6599999999999966</v>
      </c>
      <c r="I1670" s="9">
        <f t="shared" si="241"/>
        <v>2.6093286298224966E-2</v>
      </c>
      <c r="J1670" s="1">
        <f t="shared" si="242"/>
        <v>0</v>
      </c>
      <c r="K1670" s="9">
        <f t="shared" si="235"/>
        <v>0</v>
      </c>
      <c r="L1670" s="1">
        <f t="shared" si="236"/>
        <v>1</v>
      </c>
      <c r="M1670" s="1">
        <f t="shared" si="237"/>
        <v>183.25</v>
      </c>
      <c r="N1670" s="1">
        <f t="shared" si="238"/>
        <v>178.59</v>
      </c>
      <c r="O1670" s="1">
        <f t="shared" si="239"/>
        <v>178.17</v>
      </c>
      <c r="P1670" s="1">
        <f t="shared" si="240"/>
        <v>90.90306122448979</v>
      </c>
    </row>
    <row r="1671" spans="1:16">
      <c r="A1671" s="2">
        <v>40633</v>
      </c>
      <c r="B1671" s="1">
        <v>179.31</v>
      </c>
      <c r="C1671" s="1">
        <v>181.57</v>
      </c>
      <c r="D1671" s="1">
        <v>178.5</v>
      </c>
      <c r="E1671" s="1">
        <v>180.13</v>
      </c>
      <c r="F1671" s="1">
        <v>4826500</v>
      </c>
      <c r="G1671" s="1">
        <v>180.13</v>
      </c>
      <c r="H1671" s="1">
        <f t="shared" si="234"/>
        <v>3.0699999999999932</v>
      </c>
      <c r="I1671" s="9">
        <f t="shared" si="241"/>
        <v>1.719887955182069E-2</v>
      </c>
      <c r="J1671" s="1">
        <f t="shared" si="242"/>
        <v>0.71000000000000796</v>
      </c>
      <c r="K1671" s="9">
        <f t="shared" si="235"/>
        <v>3.9571954074239662E-3</v>
      </c>
      <c r="L1671" s="1">
        <f t="shared" si="236"/>
        <v>1</v>
      </c>
      <c r="M1671" s="1">
        <f t="shared" si="237"/>
        <v>181.57</v>
      </c>
      <c r="N1671" s="1">
        <f t="shared" si="238"/>
        <v>178.5</v>
      </c>
      <c r="O1671" s="1">
        <f t="shared" si="239"/>
        <v>178.17</v>
      </c>
      <c r="P1671" s="1">
        <f t="shared" si="240"/>
        <v>90.90306122448979</v>
      </c>
    </row>
    <row r="1672" spans="1:16">
      <c r="A1672" s="2">
        <v>40632</v>
      </c>
      <c r="B1672" s="1">
        <v>177.78</v>
      </c>
      <c r="C1672" s="1">
        <v>181.16</v>
      </c>
      <c r="D1672" s="1">
        <v>177.66</v>
      </c>
      <c r="E1672" s="1">
        <v>179.42</v>
      </c>
      <c r="F1672" s="1">
        <v>6859300</v>
      </c>
      <c r="G1672" s="1">
        <v>179.42</v>
      </c>
      <c r="H1672" s="1">
        <f t="shared" si="234"/>
        <v>3.5</v>
      </c>
      <c r="I1672" s="9">
        <f t="shared" si="241"/>
        <v>1.9700551615445233E-2</v>
      </c>
      <c r="J1672" s="1">
        <f t="shared" si="242"/>
        <v>4.7999999999999829</v>
      </c>
      <c r="K1672" s="9">
        <f t="shared" si="235"/>
        <v>2.7488260222196671E-2</v>
      </c>
      <c r="L1672" s="1">
        <f t="shared" si="236"/>
        <v>1</v>
      </c>
      <c r="M1672" s="1">
        <f t="shared" si="237"/>
        <v>181.16</v>
      </c>
      <c r="N1672" s="1">
        <f t="shared" si="238"/>
        <v>177.66</v>
      </c>
      <c r="O1672" s="1">
        <f t="shared" si="239"/>
        <v>177.45999999999998</v>
      </c>
      <c r="P1672" s="1">
        <f t="shared" si="240"/>
        <v>90.540816326530603</v>
      </c>
    </row>
    <row r="1673" spans="1:16">
      <c r="A1673" s="2">
        <v>40631</v>
      </c>
      <c r="B1673" s="1">
        <v>170.73</v>
      </c>
      <c r="C1673" s="1">
        <v>174.84</v>
      </c>
      <c r="D1673" s="1">
        <v>170.07</v>
      </c>
      <c r="E1673" s="1">
        <v>174.62</v>
      </c>
      <c r="F1673" s="1">
        <v>4884600</v>
      </c>
      <c r="G1673" s="1">
        <v>174.62</v>
      </c>
      <c r="H1673" s="1">
        <f t="shared" si="234"/>
        <v>4.7700000000000102</v>
      </c>
      <c r="I1673" s="9">
        <f t="shared" si="241"/>
        <v>2.8047274651614103E-2</v>
      </c>
      <c r="J1673" s="1">
        <f t="shared" si="242"/>
        <v>5.2700000000000102</v>
      </c>
      <c r="K1673" s="9">
        <f t="shared" si="235"/>
        <v>3.1118984351933925E-2</v>
      </c>
      <c r="L1673" s="1">
        <f t="shared" si="236"/>
        <v>1</v>
      </c>
      <c r="M1673" s="1">
        <f t="shared" si="237"/>
        <v>174.84</v>
      </c>
      <c r="N1673" s="1">
        <f t="shared" si="238"/>
        <v>170.07</v>
      </c>
      <c r="O1673" s="1">
        <f t="shared" si="239"/>
        <v>172.66</v>
      </c>
      <c r="P1673" s="1">
        <f t="shared" si="240"/>
        <v>88.091836734693871</v>
      </c>
    </row>
    <row r="1674" spans="1:16">
      <c r="A1674" s="2">
        <v>40630</v>
      </c>
      <c r="B1674" s="1">
        <v>171.8</v>
      </c>
      <c r="C1674" s="1">
        <v>172.5</v>
      </c>
      <c r="D1674" s="1">
        <v>169.25</v>
      </c>
      <c r="E1674" s="1">
        <v>169.35</v>
      </c>
      <c r="F1674" s="1">
        <v>3400800</v>
      </c>
      <c r="G1674" s="1">
        <v>169.35</v>
      </c>
      <c r="H1674" s="1">
        <f t="shared" si="234"/>
        <v>3.25</v>
      </c>
      <c r="I1674" s="9">
        <f t="shared" si="241"/>
        <v>1.9202363367799114E-2</v>
      </c>
      <c r="J1674" s="1">
        <f t="shared" si="242"/>
        <v>-1.6299999999999955</v>
      </c>
      <c r="K1674" s="9">
        <f t="shared" si="235"/>
        <v>-9.5332787460521446E-3</v>
      </c>
      <c r="L1674" s="1">
        <f t="shared" si="236"/>
        <v>1</v>
      </c>
      <c r="M1674" s="1">
        <f t="shared" si="237"/>
        <v>172.5</v>
      </c>
      <c r="N1674" s="1">
        <f t="shared" si="238"/>
        <v>169.25</v>
      </c>
      <c r="O1674" s="1">
        <f t="shared" si="239"/>
        <v>167.39</v>
      </c>
      <c r="P1674" s="1">
        <f t="shared" si="240"/>
        <v>85.40306122448979</v>
      </c>
    </row>
    <row r="1675" spans="1:16">
      <c r="A1675" s="2">
        <v>40627</v>
      </c>
      <c r="B1675" s="1">
        <v>171.64</v>
      </c>
      <c r="C1675" s="1">
        <v>173.49</v>
      </c>
      <c r="D1675" s="1">
        <v>170.3</v>
      </c>
      <c r="E1675" s="1">
        <v>170.98</v>
      </c>
      <c r="F1675" s="1">
        <v>4293800</v>
      </c>
      <c r="G1675" s="1">
        <v>170.98</v>
      </c>
      <c r="H1675" s="1">
        <f t="shared" si="234"/>
        <v>3.1899999999999977</v>
      </c>
      <c r="I1675" s="9">
        <f t="shared" si="241"/>
        <v>1.8731650029359937E-2</v>
      </c>
      <c r="J1675" s="1">
        <f t="shared" si="242"/>
        <v>-0.12000000000000455</v>
      </c>
      <c r="K1675" s="9">
        <f t="shared" si="235"/>
        <v>-7.0134424313269758E-4</v>
      </c>
      <c r="L1675" s="1">
        <f t="shared" si="236"/>
        <v>1</v>
      </c>
      <c r="M1675" s="1">
        <f t="shared" si="237"/>
        <v>173.49</v>
      </c>
      <c r="N1675" s="1">
        <f t="shared" si="238"/>
        <v>170.3</v>
      </c>
      <c r="O1675" s="1">
        <f t="shared" si="239"/>
        <v>169.01999999999998</v>
      </c>
      <c r="P1675" s="1">
        <f t="shared" si="240"/>
        <v>86.23469387755101</v>
      </c>
    </row>
    <row r="1676" spans="1:16">
      <c r="A1676" s="2">
        <v>40626</v>
      </c>
      <c r="B1676" s="1">
        <v>168.21</v>
      </c>
      <c r="C1676" s="1">
        <v>172</v>
      </c>
      <c r="D1676" s="1">
        <v>167.36</v>
      </c>
      <c r="E1676" s="1">
        <v>171.1</v>
      </c>
      <c r="F1676" s="1">
        <v>6283200</v>
      </c>
      <c r="G1676" s="1">
        <v>171.1</v>
      </c>
      <c r="H1676" s="1">
        <f t="shared" si="234"/>
        <v>4.6399999999999864</v>
      </c>
      <c r="I1676" s="9">
        <f t="shared" si="241"/>
        <v>2.7724665391969324E-2</v>
      </c>
      <c r="J1676" s="1">
        <f t="shared" si="242"/>
        <v>5.7800000000000011</v>
      </c>
      <c r="K1676" s="9">
        <f t="shared" si="235"/>
        <v>3.4962496975562557E-2</v>
      </c>
      <c r="L1676" s="1">
        <f t="shared" si="236"/>
        <v>1</v>
      </c>
      <c r="M1676" s="1">
        <f t="shared" si="237"/>
        <v>172</v>
      </c>
      <c r="N1676" s="1">
        <f t="shared" si="238"/>
        <v>167.36</v>
      </c>
      <c r="O1676" s="1">
        <f t="shared" si="239"/>
        <v>169.14</v>
      </c>
      <c r="P1676" s="1">
        <f t="shared" si="240"/>
        <v>86.295918367346928</v>
      </c>
    </row>
    <row r="1677" spans="1:16">
      <c r="A1677" s="2">
        <v>40625</v>
      </c>
      <c r="B1677" s="1">
        <v>162.30000000000001</v>
      </c>
      <c r="C1677" s="1">
        <v>166.26</v>
      </c>
      <c r="D1677" s="1">
        <v>160.82</v>
      </c>
      <c r="E1677" s="1">
        <v>165.32</v>
      </c>
      <c r="F1677" s="1">
        <v>4721300</v>
      </c>
      <c r="G1677" s="1">
        <v>165.32</v>
      </c>
      <c r="H1677" s="1">
        <f t="shared" si="234"/>
        <v>5.4399999999999977</v>
      </c>
      <c r="I1677" s="9">
        <f t="shared" si="241"/>
        <v>3.3826638477801256E-2</v>
      </c>
      <c r="J1677" s="1">
        <f t="shared" si="242"/>
        <v>2.7199999999999989</v>
      </c>
      <c r="K1677" s="9">
        <f t="shared" si="235"/>
        <v>1.6728167281672809E-2</v>
      </c>
      <c r="L1677" s="1">
        <f t="shared" si="236"/>
        <v>1</v>
      </c>
      <c r="M1677" s="1">
        <f t="shared" si="237"/>
        <v>166.26</v>
      </c>
      <c r="N1677" s="1">
        <f t="shared" si="238"/>
        <v>160.82</v>
      </c>
      <c r="O1677" s="1">
        <f t="shared" si="239"/>
        <v>163.35999999999999</v>
      </c>
      <c r="P1677" s="1">
        <f t="shared" si="240"/>
        <v>83.346938775510196</v>
      </c>
    </row>
    <row r="1678" spans="1:16">
      <c r="A1678" s="2">
        <v>40624</v>
      </c>
      <c r="B1678" s="1">
        <v>164.07</v>
      </c>
      <c r="C1678" s="1">
        <v>164.44</v>
      </c>
      <c r="D1678" s="1">
        <v>162.25</v>
      </c>
      <c r="E1678" s="1">
        <v>162.6</v>
      </c>
      <c r="F1678" s="1">
        <v>3611400</v>
      </c>
      <c r="G1678" s="1">
        <v>162.6</v>
      </c>
      <c r="H1678" s="1">
        <f t="shared" si="234"/>
        <v>2.1899999999999977</v>
      </c>
      <c r="I1678" s="9">
        <f t="shared" si="241"/>
        <v>1.3497688751926026E-2</v>
      </c>
      <c r="J1678" s="1">
        <f t="shared" si="242"/>
        <v>-1.9200000000000159</v>
      </c>
      <c r="K1678" s="9">
        <f t="shared" si="235"/>
        <v>-1.1670313639679162E-2</v>
      </c>
      <c r="L1678" s="1">
        <f t="shared" si="236"/>
        <v>1</v>
      </c>
      <c r="M1678" s="1">
        <f t="shared" si="237"/>
        <v>164.44</v>
      </c>
      <c r="N1678" s="1">
        <f t="shared" si="238"/>
        <v>162.25</v>
      </c>
      <c r="O1678" s="1">
        <f t="shared" si="239"/>
        <v>160.63999999999999</v>
      </c>
      <c r="P1678" s="1">
        <f t="shared" si="240"/>
        <v>81.959183673469383</v>
      </c>
    </row>
    <row r="1679" spans="1:16">
      <c r="A1679" s="2">
        <v>40623</v>
      </c>
      <c r="B1679" s="1">
        <v>163.37</v>
      </c>
      <c r="C1679" s="1">
        <v>165.79</v>
      </c>
      <c r="D1679" s="1">
        <v>161.72</v>
      </c>
      <c r="E1679" s="1">
        <v>164.52</v>
      </c>
      <c r="F1679" s="1">
        <v>4055100</v>
      </c>
      <c r="G1679" s="1">
        <v>164.52</v>
      </c>
      <c r="H1679" s="1">
        <f t="shared" si="234"/>
        <v>4.0699999999999932</v>
      </c>
      <c r="I1679" s="9">
        <f t="shared" si="241"/>
        <v>2.516695523126387E-2</v>
      </c>
      <c r="J1679" s="1">
        <f t="shared" si="242"/>
        <v>2.7000000000000171</v>
      </c>
      <c r="K1679" s="9">
        <f t="shared" si="235"/>
        <v>1.6685205784204779E-2</v>
      </c>
      <c r="L1679" s="1">
        <f t="shared" si="236"/>
        <v>1</v>
      </c>
      <c r="M1679" s="1">
        <f t="shared" si="237"/>
        <v>165.79</v>
      </c>
      <c r="N1679" s="1">
        <f t="shared" si="238"/>
        <v>161.72</v>
      </c>
      <c r="O1679" s="1">
        <f t="shared" si="239"/>
        <v>162.56</v>
      </c>
      <c r="P1679" s="1">
        <f t="shared" si="240"/>
        <v>82.938775510204081</v>
      </c>
    </row>
    <row r="1680" spans="1:16">
      <c r="A1680" s="2">
        <v>40620</v>
      </c>
      <c r="B1680" s="1">
        <v>161.19</v>
      </c>
      <c r="C1680" s="1">
        <v>163.54</v>
      </c>
      <c r="D1680" s="1">
        <v>160.59</v>
      </c>
      <c r="E1680" s="1">
        <v>161.82</v>
      </c>
      <c r="F1680" s="1">
        <v>7442700</v>
      </c>
      <c r="G1680" s="1">
        <v>161.82</v>
      </c>
      <c r="H1680" s="1">
        <f t="shared" si="234"/>
        <v>2.9499999999999886</v>
      </c>
      <c r="I1680" s="9">
        <f t="shared" si="241"/>
        <v>1.836976150445226E-2</v>
      </c>
      <c r="J1680" s="1">
        <f t="shared" si="242"/>
        <v>0.84999999999999432</v>
      </c>
      <c r="K1680" s="9">
        <f t="shared" si="235"/>
        <v>5.2804870472758546E-3</v>
      </c>
      <c r="L1680" s="1">
        <f t="shared" si="236"/>
        <v>1</v>
      </c>
      <c r="M1680" s="1">
        <f t="shared" si="237"/>
        <v>163.54</v>
      </c>
      <c r="N1680" s="1">
        <f t="shared" si="238"/>
        <v>160.59</v>
      </c>
      <c r="O1680" s="1">
        <f t="shared" si="239"/>
        <v>159.85999999999999</v>
      </c>
      <c r="P1680" s="1">
        <f t="shared" si="240"/>
        <v>81.561224489795919</v>
      </c>
    </row>
    <row r="1681" spans="1:16">
      <c r="A1681" s="2">
        <v>40619</v>
      </c>
      <c r="B1681" s="1">
        <v>165.91</v>
      </c>
      <c r="C1681" s="1">
        <v>166.3</v>
      </c>
      <c r="D1681" s="1">
        <v>160.78</v>
      </c>
      <c r="E1681" s="1">
        <v>160.97</v>
      </c>
      <c r="F1681" s="1">
        <v>6471400</v>
      </c>
      <c r="G1681" s="1">
        <v>160.97</v>
      </c>
      <c r="H1681" s="1">
        <f t="shared" si="234"/>
        <v>5.5200000000000102</v>
      </c>
      <c r="I1681" s="9">
        <f t="shared" si="241"/>
        <v>3.4332628436372747E-2</v>
      </c>
      <c r="J1681" s="1">
        <f t="shared" si="242"/>
        <v>-3.7299999999999898</v>
      </c>
      <c r="K1681" s="9">
        <f t="shared" si="235"/>
        <v>-2.2647237401335701E-2</v>
      </c>
      <c r="L1681" s="1">
        <f t="shared" si="236"/>
        <v>1</v>
      </c>
      <c r="M1681" s="1">
        <f t="shared" si="237"/>
        <v>166.3</v>
      </c>
      <c r="N1681" s="1">
        <f t="shared" si="238"/>
        <v>160.78</v>
      </c>
      <c r="O1681" s="1">
        <f t="shared" si="239"/>
        <v>159.01</v>
      </c>
      <c r="P1681" s="1">
        <f t="shared" si="240"/>
        <v>81.127551020408163</v>
      </c>
    </row>
    <row r="1682" spans="1:16">
      <c r="A1682" s="2">
        <v>40618</v>
      </c>
      <c r="B1682" s="1">
        <v>164.7</v>
      </c>
      <c r="C1682" s="1">
        <v>168.14</v>
      </c>
      <c r="D1682" s="1">
        <v>162.87</v>
      </c>
      <c r="E1682" s="1">
        <v>164.7</v>
      </c>
      <c r="F1682" s="1">
        <v>5208100</v>
      </c>
      <c r="G1682" s="1">
        <v>164.7</v>
      </c>
      <c r="H1682" s="1">
        <f t="shared" si="234"/>
        <v>5.2699999999999818</v>
      </c>
      <c r="I1682" s="9">
        <f t="shared" si="241"/>
        <v>3.235709461533727E-2</v>
      </c>
      <c r="J1682" s="1">
        <f t="shared" si="242"/>
        <v>-0.38000000000002387</v>
      </c>
      <c r="K1682" s="9">
        <f t="shared" si="235"/>
        <v>-2.3019142234069773E-3</v>
      </c>
      <c r="L1682" s="1">
        <f t="shared" si="236"/>
        <v>1</v>
      </c>
      <c r="M1682" s="1">
        <f t="shared" si="237"/>
        <v>168.14</v>
      </c>
      <c r="N1682" s="1">
        <f t="shared" si="238"/>
        <v>162.87</v>
      </c>
      <c r="O1682" s="1">
        <f t="shared" si="239"/>
        <v>162.73999999999998</v>
      </c>
      <c r="P1682" s="1">
        <f t="shared" si="240"/>
        <v>83.030612244897952</v>
      </c>
    </row>
    <row r="1683" spans="1:16">
      <c r="A1683" s="2">
        <v>40617</v>
      </c>
      <c r="B1683" s="1">
        <v>161.38999999999999</v>
      </c>
      <c r="C1683" s="1">
        <v>166.88</v>
      </c>
      <c r="D1683" s="1">
        <v>160.76</v>
      </c>
      <c r="E1683" s="1">
        <v>165.08</v>
      </c>
      <c r="F1683" s="1">
        <v>4934500</v>
      </c>
      <c r="G1683" s="1">
        <v>165.08</v>
      </c>
      <c r="H1683" s="1">
        <f t="shared" si="234"/>
        <v>6.1200000000000045</v>
      </c>
      <c r="I1683" s="9">
        <f t="shared" si="241"/>
        <v>3.8069171435680546E-2</v>
      </c>
      <c r="J1683" s="1">
        <f t="shared" si="242"/>
        <v>-1.6499999999999773</v>
      </c>
      <c r="K1683" s="9">
        <f t="shared" si="235"/>
        <v>-9.8962394290168371E-3</v>
      </c>
      <c r="L1683" s="1">
        <f t="shared" si="236"/>
        <v>1</v>
      </c>
      <c r="M1683" s="1">
        <f t="shared" si="237"/>
        <v>166.88</v>
      </c>
      <c r="N1683" s="1">
        <f t="shared" si="238"/>
        <v>160.76</v>
      </c>
      <c r="O1683" s="1">
        <f t="shared" si="239"/>
        <v>163.12</v>
      </c>
      <c r="P1683" s="1">
        <f t="shared" si="240"/>
        <v>83.224489795918373</v>
      </c>
    </row>
    <row r="1684" spans="1:16">
      <c r="A1684" s="2">
        <v>40616</v>
      </c>
      <c r="B1684" s="1">
        <v>166.6</v>
      </c>
      <c r="C1684" s="1">
        <v>168.08</v>
      </c>
      <c r="D1684" s="1">
        <v>164.57</v>
      </c>
      <c r="E1684" s="1">
        <v>166.73</v>
      </c>
      <c r="F1684" s="1">
        <v>4022000</v>
      </c>
      <c r="G1684" s="1">
        <v>166.73</v>
      </c>
      <c r="H1684" s="1">
        <f t="shared" si="234"/>
        <v>3.5100000000000193</v>
      </c>
      <c r="I1684" s="9">
        <f t="shared" si="241"/>
        <v>2.1328310141581208E-2</v>
      </c>
      <c r="J1684" s="1">
        <f t="shared" si="242"/>
        <v>-1.3400000000000034</v>
      </c>
      <c r="K1684" s="9">
        <f t="shared" si="235"/>
        <v>-7.9728684476706342E-3</v>
      </c>
      <c r="L1684" s="1">
        <f t="shared" si="236"/>
        <v>1</v>
      </c>
      <c r="M1684" s="1">
        <f t="shared" si="237"/>
        <v>168.08</v>
      </c>
      <c r="N1684" s="1">
        <f t="shared" si="238"/>
        <v>164.57</v>
      </c>
      <c r="O1684" s="1">
        <f t="shared" si="239"/>
        <v>164.76999999999998</v>
      </c>
      <c r="P1684" s="1">
        <f t="shared" si="240"/>
        <v>84.066326530612244</v>
      </c>
    </row>
    <row r="1685" spans="1:16">
      <c r="A1685" s="2">
        <v>40613</v>
      </c>
      <c r="B1685" s="1">
        <v>165.5</v>
      </c>
      <c r="C1685" s="1">
        <v>169.2</v>
      </c>
      <c r="D1685" s="1">
        <v>164.12</v>
      </c>
      <c r="E1685" s="1">
        <v>168.07</v>
      </c>
      <c r="F1685" s="1">
        <v>4609900</v>
      </c>
      <c r="G1685" s="1">
        <v>168.07</v>
      </c>
      <c r="H1685" s="1">
        <f t="shared" si="234"/>
        <v>5.0799999999999841</v>
      </c>
      <c r="I1685" s="9">
        <f t="shared" si="241"/>
        <v>3.0952961247867315E-2</v>
      </c>
      <c r="J1685" s="1">
        <f t="shared" si="242"/>
        <v>1.9300000000000068</v>
      </c>
      <c r="K1685" s="9">
        <f t="shared" si="235"/>
        <v>1.1616708799807434E-2</v>
      </c>
      <c r="L1685" s="1">
        <f t="shared" si="236"/>
        <v>1</v>
      </c>
      <c r="M1685" s="1">
        <f t="shared" si="237"/>
        <v>169.2</v>
      </c>
      <c r="N1685" s="1">
        <f t="shared" si="238"/>
        <v>164.12</v>
      </c>
      <c r="O1685" s="1">
        <f t="shared" si="239"/>
        <v>166.10999999999999</v>
      </c>
      <c r="P1685" s="1">
        <f t="shared" si="240"/>
        <v>84.75</v>
      </c>
    </row>
    <row r="1686" spans="1:16">
      <c r="A1686" s="2">
        <v>40612</v>
      </c>
      <c r="B1686" s="1">
        <v>167.07</v>
      </c>
      <c r="C1686" s="1">
        <v>168.47</v>
      </c>
      <c r="D1686" s="1">
        <v>164.82</v>
      </c>
      <c r="E1686" s="1">
        <v>166.14</v>
      </c>
      <c r="F1686" s="1">
        <v>5998400</v>
      </c>
      <c r="G1686" s="1">
        <v>166.14</v>
      </c>
      <c r="H1686" s="1">
        <f t="shared" si="234"/>
        <v>3.6500000000000057</v>
      </c>
      <c r="I1686" s="9">
        <f t="shared" si="241"/>
        <v>2.2145370707438453E-2</v>
      </c>
      <c r="J1686" s="1">
        <f t="shared" si="242"/>
        <v>-2.910000000000025</v>
      </c>
      <c r="K1686" s="9">
        <f t="shared" si="235"/>
        <v>-1.7213842058562703E-2</v>
      </c>
      <c r="L1686" s="1">
        <f t="shared" si="236"/>
        <v>1</v>
      </c>
      <c r="M1686" s="1">
        <f t="shared" si="237"/>
        <v>168.47</v>
      </c>
      <c r="N1686" s="1">
        <f t="shared" si="238"/>
        <v>164.82</v>
      </c>
      <c r="O1686" s="1">
        <f t="shared" si="239"/>
        <v>164.17999999999998</v>
      </c>
      <c r="P1686" s="1">
        <f t="shared" si="240"/>
        <v>83.765306122448976</v>
      </c>
    </row>
    <row r="1687" spans="1:16">
      <c r="A1687" s="2">
        <v>40611</v>
      </c>
      <c r="B1687" s="1">
        <v>166.67</v>
      </c>
      <c r="C1687" s="1">
        <v>169.75</v>
      </c>
      <c r="D1687" s="1">
        <v>163.9</v>
      </c>
      <c r="E1687" s="1">
        <v>169.05</v>
      </c>
      <c r="F1687" s="1">
        <v>7108900</v>
      </c>
      <c r="G1687" s="1">
        <v>169.05</v>
      </c>
      <c r="H1687" s="1">
        <f t="shared" si="234"/>
        <v>5.8499999999999943</v>
      </c>
      <c r="I1687" s="9">
        <f t="shared" si="241"/>
        <v>3.569249542403901E-2</v>
      </c>
      <c r="J1687" s="1">
        <f t="shared" si="242"/>
        <v>2.160000000000025</v>
      </c>
      <c r="K1687" s="9">
        <f t="shared" si="235"/>
        <v>1.2942656839834773E-2</v>
      </c>
      <c r="L1687" s="1">
        <f t="shared" si="236"/>
        <v>1</v>
      </c>
      <c r="M1687" s="1">
        <f t="shared" si="237"/>
        <v>169.75</v>
      </c>
      <c r="N1687" s="1">
        <f t="shared" si="238"/>
        <v>163.9</v>
      </c>
      <c r="O1687" s="1">
        <f t="shared" si="239"/>
        <v>167.09</v>
      </c>
      <c r="P1687" s="1">
        <f t="shared" si="240"/>
        <v>85.25</v>
      </c>
    </row>
    <row r="1688" spans="1:16">
      <c r="A1688" s="2">
        <v>40610</v>
      </c>
      <c r="B1688" s="1">
        <v>169.39</v>
      </c>
      <c r="C1688" s="1">
        <v>169.71</v>
      </c>
      <c r="D1688" s="1">
        <v>166.72</v>
      </c>
      <c r="E1688" s="1">
        <v>166.89</v>
      </c>
      <c r="F1688" s="1">
        <v>4219000</v>
      </c>
      <c r="G1688" s="1">
        <v>166.89</v>
      </c>
      <c r="H1688" s="1">
        <f t="shared" si="234"/>
        <v>2.9900000000000091</v>
      </c>
      <c r="I1688" s="9">
        <f t="shared" si="241"/>
        <v>1.7934261036468384E-2</v>
      </c>
      <c r="J1688" s="1">
        <f t="shared" si="242"/>
        <v>-2.1900000000000261</v>
      </c>
      <c r="K1688" s="9">
        <f t="shared" si="235"/>
        <v>-1.2952448545067578E-2</v>
      </c>
      <c r="L1688" s="1">
        <f t="shared" si="236"/>
        <v>1</v>
      </c>
      <c r="M1688" s="1">
        <f t="shared" si="237"/>
        <v>169.71</v>
      </c>
      <c r="N1688" s="1">
        <f t="shared" si="238"/>
        <v>166.72</v>
      </c>
      <c r="O1688" s="1">
        <f t="shared" si="239"/>
        <v>164.92999999999998</v>
      </c>
      <c r="P1688" s="1">
        <f t="shared" si="240"/>
        <v>84.147959183673464</v>
      </c>
    </row>
    <row r="1689" spans="1:16">
      <c r="A1689" s="2">
        <v>40609</v>
      </c>
      <c r="B1689" s="1">
        <v>171.92</v>
      </c>
      <c r="C1689" s="1">
        <v>172.09</v>
      </c>
      <c r="D1689" s="1">
        <v>166.24</v>
      </c>
      <c r="E1689" s="1">
        <v>169.08</v>
      </c>
      <c r="F1689" s="1">
        <v>5932900</v>
      </c>
      <c r="G1689" s="1">
        <v>169.08</v>
      </c>
      <c r="H1689" s="1">
        <f t="shared" si="234"/>
        <v>5.8499999999999943</v>
      </c>
      <c r="I1689" s="9">
        <f t="shared" si="241"/>
        <v>3.5190086621751646E-2</v>
      </c>
      <c r="J1689" s="1">
        <f t="shared" si="242"/>
        <v>-2.589999999999975</v>
      </c>
      <c r="K1689" s="9">
        <f t="shared" si="235"/>
        <v>-1.5087085687656406E-2</v>
      </c>
      <c r="L1689" s="1">
        <f t="shared" si="236"/>
        <v>1</v>
      </c>
      <c r="M1689" s="1">
        <f t="shared" si="237"/>
        <v>172.09</v>
      </c>
      <c r="N1689" s="1">
        <f t="shared" si="238"/>
        <v>166.24</v>
      </c>
      <c r="O1689" s="1">
        <f t="shared" si="239"/>
        <v>167.12</v>
      </c>
      <c r="P1689" s="1">
        <f t="shared" si="240"/>
        <v>85.26530612244899</v>
      </c>
    </row>
    <row r="1690" spans="1:16">
      <c r="A1690" s="2">
        <v>40606</v>
      </c>
      <c r="B1690" s="1">
        <v>172.62</v>
      </c>
      <c r="C1690" s="1">
        <v>172.75</v>
      </c>
      <c r="D1690" s="1">
        <v>169.51</v>
      </c>
      <c r="E1690" s="1">
        <v>171.67</v>
      </c>
      <c r="F1690" s="1">
        <v>4924300</v>
      </c>
      <c r="G1690" s="1">
        <v>171.67</v>
      </c>
      <c r="H1690" s="1">
        <f t="shared" si="234"/>
        <v>3.2400000000000091</v>
      </c>
      <c r="I1690" s="9">
        <f t="shared" si="241"/>
        <v>1.9113916583092496E-2</v>
      </c>
      <c r="J1690" s="1">
        <f t="shared" si="242"/>
        <v>-1.1200000000000045</v>
      </c>
      <c r="K1690" s="9">
        <f t="shared" si="235"/>
        <v>-6.4818565889229966E-3</v>
      </c>
      <c r="L1690" s="1">
        <f t="shared" si="236"/>
        <v>1</v>
      </c>
      <c r="M1690" s="1">
        <f t="shared" si="237"/>
        <v>172.75</v>
      </c>
      <c r="N1690" s="1">
        <f t="shared" si="238"/>
        <v>169.51</v>
      </c>
      <c r="O1690" s="1">
        <f t="shared" si="239"/>
        <v>169.70999999999998</v>
      </c>
      <c r="P1690" s="1">
        <f t="shared" si="240"/>
        <v>86.586734693877546</v>
      </c>
    </row>
    <row r="1691" spans="1:16">
      <c r="A1691" s="2">
        <v>40605</v>
      </c>
      <c r="B1691" s="1">
        <v>173.71</v>
      </c>
      <c r="C1691" s="1">
        <v>174.46</v>
      </c>
      <c r="D1691" s="1">
        <v>172.05</v>
      </c>
      <c r="E1691" s="1">
        <v>172.79</v>
      </c>
      <c r="F1691" s="1">
        <v>4138200</v>
      </c>
      <c r="G1691" s="1">
        <v>172.79</v>
      </c>
      <c r="H1691" s="1">
        <f t="shared" si="234"/>
        <v>2.4099999999999966</v>
      </c>
      <c r="I1691" s="9">
        <f t="shared" si="241"/>
        <v>1.4007555943039793E-2</v>
      </c>
      <c r="J1691" s="1">
        <f t="shared" si="242"/>
        <v>0.76999999999998181</v>
      </c>
      <c r="K1691" s="9">
        <f t="shared" si="235"/>
        <v>4.4762236949190898E-3</v>
      </c>
      <c r="L1691" s="1">
        <f t="shared" si="236"/>
        <v>1</v>
      </c>
      <c r="M1691" s="1">
        <f t="shared" si="237"/>
        <v>174.46</v>
      </c>
      <c r="N1691" s="1">
        <f t="shared" si="238"/>
        <v>172.05</v>
      </c>
      <c r="O1691" s="1">
        <f t="shared" si="239"/>
        <v>170.82999999999998</v>
      </c>
      <c r="P1691" s="1">
        <f t="shared" si="240"/>
        <v>87.158163265306115</v>
      </c>
    </row>
    <row r="1692" spans="1:16">
      <c r="A1692" s="2">
        <v>40604</v>
      </c>
      <c r="B1692" s="1">
        <v>169.09</v>
      </c>
      <c r="C1692" s="1">
        <v>173.3</v>
      </c>
      <c r="D1692" s="1">
        <v>168.35</v>
      </c>
      <c r="E1692" s="1">
        <v>172.02</v>
      </c>
      <c r="F1692" s="1">
        <v>5185700</v>
      </c>
      <c r="G1692" s="1">
        <v>172.02</v>
      </c>
      <c r="H1692" s="1">
        <f t="shared" si="234"/>
        <v>4.9500000000000171</v>
      </c>
      <c r="I1692" s="9">
        <f t="shared" si="241"/>
        <v>2.9403029403029506E-2</v>
      </c>
      <c r="J1692" s="1">
        <f t="shared" si="242"/>
        <v>2.5800000000000125</v>
      </c>
      <c r="K1692" s="9">
        <f t="shared" si="235"/>
        <v>1.522662889518421E-2</v>
      </c>
      <c r="L1692" s="1">
        <f t="shared" si="236"/>
        <v>1</v>
      </c>
      <c r="M1692" s="1">
        <f t="shared" si="237"/>
        <v>173.3</v>
      </c>
      <c r="N1692" s="1">
        <f t="shared" si="238"/>
        <v>168.35</v>
      </c>
      <c r="O1692" s="1">
        <f t="shared" si="239"/>
        <v>170.06</v>
      </c>
      <c r="P1692" s="1">
        <f t="shared" si="240"/>
        <v>86.765306122448976</v>
      </c>
    </row>
    <row r="1693" spans="1:16">
      <c r="A1693" s="2">
        <v>40603</v>
      </c>
      <c r="B1693" s="1">
        <v>173.53</v>
      </c>
      <c r="C1693" s="1">
        <v>173.96</v>
      </c>
      <c r="D1693" s="1">
        <v>168.67</v>
      </c>
      <c r="E1693" s="1">
        <v>169.44</v>
      </c>
      <c r="F1693" s="1">
        <v>5847100</v>
      </c>
      <c r="G1693" s="1">
        <v>169.44</v>
      </c>
      <c r="H1693" s="1">
        <f t="shared" si="234"/>
        <v>5.2900000000000205</v>
      </c>
      <c r="I1693" s="9">
        <f t="shared" si="241"/>
        <v>3.1363016541175202E-2</v>
      </c>
      <c r="J1693" s="1">
        <f t="shared" si="242"/>
        <v>-3.8499999999999943</v>
      </c>
      <c r="K1693" s="9">
        <f t="shared" si="235"/>
        <v>-2.221709273472211E-2</v>
      </c>
      <c r="L1693" s="1">
        <f t="shared" si="236"/>
        <v>1</v>
      </c>
      <c r="M1693" s="1">
        <f t="shared" si="237"/>
        <v>173.96</v>
      </c>
      <c r="N1693" s="1">
        <f t="shared" si="238"/>
        <v>168.67</v>
      </c>
      <c r="O1693" s="1">
        <f t="shared" si="239"/>
        <v>167.48</v>
      </c>
      <c r="P1693" s="1">
        <f t="shared" si="240"/>
        <v>85.448979591836732</v>
      </c>
    </row>
    <row r="1694" spans="1:16">
      <c r="A1694" s="2">
        <v>40602</v>
      </c>
      <c r="B1694" s="1">
        <v>173.91</v>
      </c>
      <c r="C1694" s="1">
        <v>175.89</v>
      </c>
      <c r="D1694" s="1">
        <v>172.15</v>
      </c>
      <c r="E1694" s="1">
        <v>173.29</v>
      </c>
      <c r="F1694" s="1">
        <v>6783200</v>
      </c>
      <c r="G1694" s="1">
        <v>173.29</v>
      </c>
      <c r="H1694" s="1">
        <f t="shared" si="234"/>
        <v>3.7399999999999807</v>
      </c>
      <c r="I1694" s="9">
        <f t="shared" si="241"/>
        <v>2.1725239616613306E-2</v>
      </c>
      <c r="J1694" s="1">
        <f t="shared" si="242"/>
        <v>-3.9500000000000171</v>
      </c>
      <c r="K1694" s="9">
        <f t="shared" si="235"/>
        <v>-2.2286165651094657E-2</v>
      </c>
      <c r="L1694" s="1">
        <f t="shared" si="236"/>
        <v>1</v>
      </c>
      <c r="M1694" s="1">
        <f t="shared" si="237"/>
        <v>175.89</v>
      </c>
      <c r="N1694" s="1">
        <f t="shared" si="238"/>
        <v>172.15</v>
      </c>
      <c r="O1694" s="1">
        <f t="shared" si="239"/>
        <v>171.32999999999998</v>
      </c>
      <c r="P1694" s="1">
        <f t="shared" si="240"/>
        <v>87.41326530612244</v>
      </c>
    </row>
    <row r="1695" spans="1:16">
      <c r="A1695" s="2">
        <v>40599</v>
      </c>
      <c r="B1695" s="1">
        <v>178.95</v>
      </c>
      <c r="C1695" s="1">
        <v>180.75</v>
      </c>
      <c r="D1695" s="1">
        <v>177.1</v>
      </c>
      <c r="E1695" s="1">
        <v>177.24</v>
      </c>
      <c r="F1695" s="1">
        <v>4191400</v>
      </c>
      <c r="G1695" s="1">
        <v>177.24</v>
      </c>
      <c r="H1695" s="1">
        <f t="shared" si="234"/>
        <v>3.6500000000000057</v>
      </c>
      <c r="I1695" s="9">
        <f t="shared" si="241"/>
        <v>2.0609824957651079E-2</v>
      </c>
      <c r="J1695" s="1">
        <f t="shared" si="242"/>
        <v>-0.50999999999999091</v>
      </c>
      <c r="K1695" s="9">
        <f t="shared" si="235"/>
        <v>-2.8691983122362359E-3</v>
      </c>
      <c r="L1695" s="1">
        <f t="shared" si="236"/>
        <v>1</v>
      </c>
      <c r="M1695" s="1">
        <f t="shared" si="237"/>
        <v>180.75</v>
      </c>
      <c r="N1695" s="1">
        <f t="shared" si="238"/>
        <v>177.1</v>
      </c>
      <c r="O1695" s="1">
        <f t="shared" si="239"/>
        <v>175.28</v>
      </c>
      <c r="P1695" s="1">
        <f t="shared" si="240"/>
        <v>89.428571428571431</v>
      </c>
    </row>
    <row r="1696" spans="1:16">
      <c r="A1696" s="2">
        <v>40598</v>
      </c>
      <c r="B1696" s="1">
        <v>176.86</v>
      </c>
      <c r="C1696" s="1">
        <v>179.75</v>
      </c>
      <c r="D1696" s="1">
        <v>174.56</v>
      </c>
      <c r="E1696" s="1">
        <v>177.75</v>
      </c>
      <c r="F1696" s="1">
        <v>4656500</v>
      </c>
      <c r="G1696" s="1">
        <v>177.75</v>
      </c>
      <c r="H1696" s="1">
        <f t="shared" si="234"/>
        <v>5.1899999999999977</v>
      </c>
      <c r="I1696" s="9">
        <f t="shared" si="241"/>
        <v>2.9731897341888164E-2</v>
      </c>
      <c r="J1696" s="1">
        <f t="shared" si="242"/>
        <v>1.0699999999999932</v>
      </c>
      <c r="K1696" s="9">
        <f t="shared" si="235"/>
        <v>6.0561467059089494E-3</v>
      </c>
      <c r="L1696" s="1">
        <f t="shared" si="236"/>
        <v>1</v>
      </c>
      <c r="M1696" s="1">
        <f t="shared" si="237"/>
        <v>179.75</v>
      </c>
      <c r="N1696" s="1">
        <f t="shared" si="238"/>
        <v>174.56</v>
      </c>
      <c r="O1696" s="1">
        <f t="shared" si="239"/>
        <v>175.79</v>
      </c>
      <c r="P1696" s="1">
        <f t="shared" si="240"/>
        <v>89.688775510204081</v>
      </c>
    </row>
    <row r="1697" spans="1:16">
      <c r="A1697" s="2">
        <v>40597</v>
      </c>
      <c r="B1697" s="1">
        <v>180.25</v>
      </c>
      <c r="C1697" s="1">
        <v>181.15</v>
      </c>
      <c r="D1697" s="1">
        <v>174.39</v>
      </c>
      <c r="E1697" s="1">
        <v>176.68</v>
      </c>
      <c r="F1697" s="1">
        <v>5482000</v>
      </c>
      <c r="G1697" s="1">
        <v>176.68</v>
      </c>
      <c r="H1697" s="1">
        <f t="shared" si="234"/>
        <v>6.7600000000000193</v>
      </c>
      <c r="I1697" s="9">
        <f t="shared" si="241"/>
        <v>3.8763690578588333E-2</v>
      </c>
      <c r="J1697" s="1">
        <f t="shared" si="242"/>
        <v>-3.7399999999999807</v>
      </c>
      <c r="K1697" s="9">
        <f t="shared" si="235"/>
        <v>-2.072940915641271E-2</v>
      </c>
      <c r="L1697" s="1">
        <f t="shared" si="236"/>
        <v>1</v>
      </c>
      <c r="M1697" s="1">
        <f t="shared" si="237"/>
        <v>181.15</v>
      </c>
      <c r="N1697" s="1">
        <f t="shared" si="238"/>
        <v>174.39</v>
      </c>
      <c r="O1697" s="1">
        <f t="shared" si="239"/>
        <v>174.72</v>
      </c>
      <c r="P1697" s="1">
        <f t="shared" si="240"/>
        <v>89.142857142857139</v>
      </c>
    </row>
    <row r="1698" spans="1:16">
      <c r="A1698" s="2">
        <v>40596</v>
      </c>
      <c r="B1698" s="1">
        <v>183.68</v>
      </c>
      <c r="C1698" s="1">
        <v>184.72</v>
      </c>
      <c r="D1698" s="1">
        <v>179.32</v>
      </c>
      <c r="E1698" s="1">
        <v>180.42</v>
      </c>
      <c r="F1698" s="1">
        <v>5637100</v>
      </c>
      <c r="G1698" s="1">
        <v>180.42</v>
      </c>
      <c r="H1698" s="1">
        <f t="shared" si="234"/>
        <v>5.4000000000000057</v>
      </c>
      <c r="I1698" s="9">
        <f t="shared" si="241"/>
        <v>3.0113763105063605E-2</v>
      </c>
      <c r="J1698" s="1">
        <f t="shared" si="242"/>
        <v>-6.0800000000000125</v>
      </c>
      <c r="K1698" s="9">
        <f t="shared" si="235"/>
        <v>-3.2600536193029557E-2</v>
      </c>
      <c r="L1698" s="1">
        <f t="shared" si="236"/>
        <v>1</v>
      </c>
      <c r="M1698" s="1">
        <f t="shared" si="237"/>
        <v>184.72</v>
      </c>
      <c r="N1698" s="1">
        <f t="shared" si="238"/>
        <v>179.32</v>
      </c>
      <c r="O1698" s="1">
        <f t="shared" si="239"/>
        <v>178.45999999999998</v>
      </c>
      <c r="P1698" s="1">
        <f t="shared" si="240"/>
        <v>91.051020408163254</v>
      </c>
    </row>
    <row r="1699" spans="1:16">
      <c r="A1699" s="2">
        <v>40592</v>
      </c>
      <c r="B1699" s="1">
        <v>187.54</v>
      </c>
      <c r="C1699" s="1">
        <v>188.5</v>
      </c>
      <c r="D1699" s="1">
        <v>185.13</v>
      </c>
      <c r="E1699" s="1">
        <v>186.5</v>
      </c>
      <c r="F1699" s="1">
        <v>4178600</v>
      </c>
      <c r="G1699" s="1">
        <v>186.5</v>
      </c>
      <c r="H1699" s="1">
        <f t="shared" si="234"/>
        <v>3.3700000000000045</v>
      </c>
      <c r="I1699" s="9">
        <f t="shared" si="241"/>
        <v>1.8203424620536944E-2</v>
      </c>
      <c r="J1699" s="1">
        <f t="shared" si="242"/>
        <v>-1.2599999999999909</v>
      </c>
      <c r="K1699" s="9">
        <f t="shared" si="235"/>
        <v>-6.7106945036215964E-3</v>
      </c>
      <c r="L1699" s="1">
        <f t="shared" si="236"/>
        <v>1</v>
      </c>
      <c r="M1699" s="1">
        <f t="shared" si="237"/>
        <v>188.5</v>
      </c>
      <c r="N1699" s="1">
        <f t="shared" si="238"/>
        <v>185.13</v>
      </c>
      <c r="O1699" s="1">
        <f t="shared" si="239"/>
        <v>184.54</v>
      </c>
      <c r="P1699" s="1">
        <f t="shared" si="240"/>
        <v>94.15306122448979</v>
      </c>
    </row>
    <row r="1700" spans="1:16">
      <c r="A1700" s="2">
        <v>40591</v>
      </c>
      <c r="B1700" s="1">
        <v>185.77</v>
      </c>
      <c r="C1700" s="1">
        <v>189.09</v>
      </c>
      <c r="D1700" s="1">
        <v>185.31</v>
      </c>
      <c r="E1700" s="1">
        <v>187.76</v>
      </c>
      <c r="F1700" s="1">
        <v>3425500</v>
      </c>
      <c r="G1700" s="1">
        <v>187.76</v>
      </c>
      <c r="H1700" s="1">
        <f t="shared" si="234"/>
        <v>3.7800000000000011</v>
      </c>
      <c r="I1700" s="9">
        <f t="shared" si="241"/>
        <v>2.0398251578436138E-2</v>
      </c>
      <c r="J1700" s="1">
        <f t="shared" si="242"/>
        <v>1.1399999999999864</v>
      </c>
      <c r="K1700" s="9">
        <f t="shared" si="235"/>
        <v>6.1086700246489462E-3</v>
      </c>
      <c r="L1700" s="1">
        <f t="shared" si="236"/>
        <v>1</v>
      </c>
      <c r="M1700" s="1">
        <f t="shared" si="237"/>
        <v>189.09</v>
      </c>
      <c r="N1700" s="1">
        <f t="shared" si="238"/>
        <v>185.31</v>
      </c>
      <c r="O1700" s="1">
        <f t="shared" si="239"/>
        <v>185.79999999999998</v>
      </c>
      <c r="P1700" s="1">
        <f t="shared" si="240"/>
        <v>94.795918367346928</v>
      </c>
    </row>
    <row r="1701" spans="1:16">
      <c r="A1701" s="2">
        <v>40590</v>
      </c>
      <c r="B1701" s="1">
        <v>189.77</v>
      </c>
      <c r="C1701" s="1">
        <v>190</v>
      </c>
      <c r="D1701" s="1">
        <v>186.35</v>
      </c>
      <c r="E1701" s="1">
        <v>186.62</v>
      </c>
      <c r="F1701" s="1">
        <v>4628200</v>
      </c>
      <c r="G1701" s="1">
        <v>186.62</v>
      </c>
      <c r="H1701" s="1">
        <f t="shared" si="234"/>
        <v>3.6500000000000057</v>
      </c>
      <c r="I1701" s="9">
        <f t="shared" si="241"/>
        <v>1.9586799034075696E-2</v>
      </c>
      <c r="J1701" s="1">
        <f t="shared" si="242"/>
        <v>-2.4099999999999966</v>
      </c>
      <c r="K1701" s="9">
        <f t="shared" si="235"/>
        <v>-1.2749299053060343E-2</v>
      </c>
      <c r="L1701" s="1">
        <f t="shared" si="236"/>
        <v>1</v>
      </c>
      <c r="M1701" s="1">
        <f t="shared" si="237"/>
        <v>190</v>
      </c>
      <c r="N1701" s="1">
        <f t="shared" si="238"/>
        <v>186.35</v>
      </c>
      <c r="O1701" s="1">
        <f t="shared" si="239"/>
        <v>184.66</v>
      </c>
      <c r="P1701" s="1">
        <f t="shared" si="240"/>
        <v>94.214285714285708</v>
      </c>
    </row>
    <row r="1702" spans="1:16">
      <c r="A1702" s="2">
        <v>40589</v>
      </c>
      <c r="B1702" s="1">
        <v>188.73</v>
      </c>
      <c r="C1702" s="1">
        <v>190.49</v>
      </c>
      <c r="D1702" s="1">
        <v>188.25</v>
      </c>
      <c r="E1702" s="1">
        <v>189.03</v>
      </c>
      <c r="F1702" s="1">
        <v>3890900</v>
      </c>
      <c r="G1702" s="1">
        <v>189.03</v>
      </c>
      <c r="H1702" s="1">
        <f t="shared" si="234"/>
        <v>2.2400000000000091</v>
      </c>
      <c r="I1702" s="9">
        <f t="shared" si="241"/>
        <v>1.189907038512621E-2</v>
      </c>
      <c r="J1702" s="1">
        <f t="shared" si="242"/>
        <v>-1.3899999999999864</v>
      </c>
      <c r="K1702" s="9">
        <f t="shared" si="235"/>
        <v>-7.2996533977522657E-3</v>
      </c>
      <c r="L1702" s="1">
        <f t="shared" si="236"/>
        <v>1</v>
      </c>
      <c r="M1702" s="1">
        <f t="shared" si="237"/>
        <v>190.49</v>
      </c>
      <c r="N1702" s="1">
        <f t="shared" si="238"/>
        <v>188.25</v>
      </c>
      <c r="O1702" s="1">
        <f t="shared" si="239"/>
        <v>187.07</v>
      </c>
      <c r="P1702" s="1">
        <f t="shared" si="240"/>
        <v>95.443877551020407</v>
      </c>
    </row>
    <row r="1703" spans="1:16">
      <c r="A1703" s="2">
        <v>40588</v>
      </c>
      <c r="B1703" s="1">
        <v>189.25</v>
      </c>
      <c r="C1703" s="1">
        <v>191.4</v>
      </c>
      <c r="D1703" s="1">
        <v>188.35</v>
      </c>
      <c r="E1703" s="1">
        <v>190.42</v>
      </c>
      <c r="F1703" s="1">
        <v>4061300</v>
      </c>
      <c r="G1703" s="1">
        <v>190.42</v>
      </c>
      <c r="H1703" s="1">
        <f t="shared" si="234"/>
        <v>3.0500000000000114</v>
      </c>
      <c r="I1703" s="9">
        <f t="shared" si="241"/>
        <v>1.619325723387317E-2</v>
      </c>
      <c r="J1703" s="1">
        <f t="shared" si="242"/>
        <v>1.1699999999999875</v>
      </c>
      <c r="K1703" s="9">
        <f t="shared" si="235"/>
        <v>6.182298546895575E-3</v>
      </c>
      <c r="L1703" s="1">
        <f t="shared" si="236"/>
        <v>1</v>
      </c>
      <c r="M1703" s="1">
        <f t="shared" si="237"/>
        <v>191.4</v>
      </c>
      <c r="N1703" s="1">
        <f t="shared" si="238"/>
        <v>188.35</v>
      </c>
      <c r="O1703" s="1">
        <f t="shared" si="239"/>
        <v>188.45999999999998</v>
      </c>
      <c r="P1703" s="1">
        <f t="shared" si="240"/>
        <v>96.15306122448979</v>
      </c>
    </row>
    <row r="1704" spans="1:16">
      <c r="A1704" s="2">
        <v>40585</v>
      </c>
      <c r="B1704" s="1">
        <v>185.56</v>
      </c>
      <c r="C1704" s="1">
        <v>189.5</v>
      </c>
      <c r="D1704" s="1">
        <v>185.37</v>
      </c>
      <c r="E1704" s="1">
        <v>189.25</v>
      </c>
      <c r="F1704" s="1">
        <v>4487900</v>
      </c>
      <c r="G1704" s="1">
        <v>189.25</v>
      </c>
      <c r="H1704" s="1">
        <f t="shared" si="234"/>
        <v>4.1299999999999955</v>
      </c>
      <c r="I1704" s="9">
        <f t="shared" si="241"/>
        <v>2.2279764794734831E-2</v>
      </c>
      <c r="J1704" s="1">
        <f t="shared" si="242"/>
        <v>3.039999999999992</v>
      </c>
      <c r="K1704" s="9">
        <f t="shared" si="235"/>
        <v>1.6325653831695354E-2</v>
      </c>
      <c r="L1704" s="1">
        <f t="shared" si="236"/>
        <v>1</v>
      </c>
      <c r="M1704" s="1">
        <f t="shared" si="237"/>
        <v>189.5</v>
      </c>
      <c r="N1704" s="1">
        <f t="shared" si="238"/>
        <v>185.37</v>
      </c>
      <c r="O1704" s="1">
        <f t="shared" si="239"/>
        <v>187.29</v>
      </c>
      <c r="P1704" s="1">
        <f t="shared" si="240"/>
        <v>95.556122448979593</v>
      </c>
    </row>
    <row r="1705" spans="1:16">
      <c r="A1705" s="2">
        <v>40584</v>
      </c>
      <c r="B1705" s="1">
        <v>184.39</v>
      </c>
      <c r="C1705" s="1">
        <v>187.24</v>
      </c>
      <c r="D1705" s="1">
        <v>183.6</v>
      </c>
      <c r="E1705" s="1">
        <v>186.21</v>
      </c>
      <c r="F1705" s="1">
        <v>5331400</v>
      </c>
      <c r="G1705" s="1">
        <v>186.21</v>
      </c>
      <c r="H1705" s="1">
        <f t="shared" si="234"/>
        <v>3.6400000000000148</v>
      </c>
      <c r="I1705" s="9">
        <f t="shared" si="241"/>
        <v>1.982570806100226E-2</v>
      </c>
      <c r="J1705" s="1">
        <f t="shared" si="242"/>
        <v>0.90999999999999659</v>
      </c>
      <c r="K1705" s="9">
        <f t="shared" si="235"/>
        <v>4.910955207771163E-3</v>
      </c>
      <c r="L1705" s="1">
        <f t="shared" si="236"/>
        <v>1</v>
      </c>
      <c r="M1705" s="1">
        <f t="shared" si="237"/>
        <v>187.24</v>
      </c>
      <c r="N1705" s="1">
        <f t="shared" si="238"/>
        <v>183.6</v>
      </c>
      <c r="O1705" s="1">
        <f t="shared" si="239"/>
        <v>184.25</v>
      </c>
      <c r="P1705" s="1">
        <f t="shared" si="240"/>
        <v>94.005102040816325</v>
      </c>
    </row>
    <row r="1706" spans="1:16">
      <c r="A1706" s="2">
        <v>40583</v>
      </c>
      <c r="B1706" s="1">
        <v>183.15</v>
      </c>
      <c r="C1706" s="1">
        <v>186.47</v>
      </c>
      <c r="D1706" s="1">
        <v>182.26</v>
      </c>
      <c r="E1706" s="1">
        <v>185.3</v>
      </c>
      <c r="F1706" s="1">
        <v>8312700</v>
      </c>
      <c r="G1706" s="1">
        <v>185.3</v>
      </c>
      <c r="H1706" s="1">
        <f t="shared" si="234"/>
        <v>4.210000000000008</v>
      </c>
      <c r="I1706" s="9">
        <f t="shared" si="241"/>
        <v>2.309886974651601E-2</v>
      </c>
      <c r="J1706" s="1">
        <f t="shared" si="242"/>
        <v>2.2400000000000091</v>
      </c>
      <c r="K1706" s="9">
        <f t="shared" si="235"/>
        <v>1.2236425215776298E-2</v>
      </c>
      <c r="L1706" s="1">
        <f t="shared" si="236"/>
        <v>1</v>
      </c>
      <c r="M1706" s="1">
        <f t="shared" si="237"/>
        <v>186.47</v>
      </c>
      <c r="N1706" s="1">
        <f t="shared" si="238"/>
        <v>182.26</v>
      </c>
      <c r="O1706" s="1">
        <f t="shared" si="239"/>
        <v>183.34</v>
      </c>
      <c r="P1706" s="1">
        <f t="shared" si="240"/>
        <v>93.540816326530617</v>
      </c>
    </row>
    <row r="1707" spans="1:16">
      <c r="A1707" s="2">
        <v>40582</v>
      </c>
      <c r="B1707" s="1">
        <v>176.66</v>
      </c>
      <c r="C1707" s="1">
        <v>183.11</v>
      </c>
      <c r="D1707" s="1">
        <v>176.59</v>
      </c>
      <c r="E1707" s="1">
        <v>183.06</v>
      </c>
      <c r="F1707" s="1">
        <v>7794900</v>
      </c>
      <c r="G1707" s="1">
        <v>183.06</v>
      </c>
      <c r="H1707" s="1">
        <f t="shared" si="234"/>
        <v>6.5200000000000102</v>
      </c>
      <c r="I1707" s="9">
        <f t="shared" si="241"/>
        <v>3.6921682994507106E-2</v>
      </c>
      <c r="J1707" s="1">
        <f t="shared" si="242"/>
        <v>6.6299999999999955</v>
      </c>
      <c r="K1707" s="9">
        <f t="shared" si="235"/>
        <v>3.7578643087910195E-2</v>
      </c>
      <c r="L1707" s="1">
        <f t="shared" si="236"/>
        <v>1</v>
      </c>
      <c r="M1707" s="1">
        <f t="shared" si="237"/>
        <v>183.11</v>
      </c>
      <c r="N1707" s="1">
        <f t="shared" si="238"/>
        <v>176.59</v>
      </c>
      <c r="O1707" s="1">
        <f t="shared" si="239"/>
        <v>181.1</v>
      </c>
      <c r="P1707" s="1">
        <f t="shared" si="240"/>
        <v>92.397959183673464</v>
      </c>
    </row>
    <row r="1708" spans="1:16">
      <c r="A1708" s="2">
        <v>40581</v>
      </c>
      <c r="B1708" s="1">
        <v>176.15</v>
      </c>
      <c r="C1708" s="1">
        <v>177.55</v>
      </c>
      <c r="D1708" s="1">
        <v>174.77</v>
      </c>
      <c r="E1708" s="1">
        <v>176.43</v>
      </c>
      <c r="F1708" s="1">
        <v>5254700</v>
      </c>
      <c r="G1708" s="1">
        <v>176.43</v>
      </c>
      <c r="H1708" s="1">
        <f t="shared" si="234"/>
        <v>2.7800000000000011</v>
      </c>
      <c r="I1708" s="9">
        <f t="shared" si="241"/>
        <v>1.5906620129312817E-2</v>
      </c>
      <c r="J1708" s="1">
        <f t="shared" si="242"/>
        <v>0.5</v>
      </c>
      <c r="K1708" s="9">
        <f t="shared" si="235"/>
        <v>2.8420394475075312E-3</v>
      </c>
      <c r="L1708" s="1">
        <f t="shared" si="236"/>
        <v>1</v>
      </c>
      <c r="M1708" s="1">
        <f t="shared" si="237"/>
        <v>177.55</v>
      </c>
      <c r="N1708" s="1">
        <f t="shared" si="238"/>
        <v>174.77</v>
      </c>
      <c r="O1708" s="1">
        <f t="shared" si="239"/>
        <v>174.47</v>
      </c>
      <c r="P1708" s="1">
        <f t="shared" si="240"/>
        <v>89.015306122448976</v>
      </c>
    </row>
    <row r="1709" spans="1:16">
      <c r="A1709" s="2">
        <v>40578</v>
      </c>
      <c r="B1709" s="1">
        <v>174</v>
      </c>
      <c r="C1709" s="1">
        <v>177.19</v>
      </c>
      <c r="D1709" s="1">
        <v>173.75</v>
      </c>
      <c r="E1709" s="1">
        <v>175.93</v>
      </c>
      <c r="F1709" s="1">
        <v>4347800</v>
      </c>
      <c r="G1709" s="1">
        <v>175.93</v>
      </c>
      <c r="H1709" s="1">
        <f t="shared" si="234"/>
        <v>3.4399999999999977</v>
      </c>
      <c r="I1709" s="9">
        <f t="shared" si="241"/>
        <v>1.9798561151079124E-2</v>
      </c>
      <c r="J1709" s="1">
        <f t="shared" si="242"/>
        <v>2.2199999999999989</v>
      </c>
      <c r="K1709" s="9">
        <f t="shared" si="235"/>
        <v>1.2779920557250583E-2</v>
      </c>
      <c r="L1709" s="1">
        <f t="shared" si="236"/>
        <v>1</v>
      </c>
      <c r="M1709" s="1">
        <f t="shared" si="237"/>
        <v>177.19</v>
      </c>
      <c r="N1709" s="1">
        <f t="shared" si="238"/>
        <v>173.75</v>
      </c>
      <c r="O1709" s="1">
        <f t="shared" si="239"/>
        <v>173.97</v>
      </c>
      <c r="P1709" s="1">
        <f t="shared" si="240"/>
        <v>88.760204081632651</v>
      </c>
    </row>
    <row r="1710" spans="1:16">
      <c r="A1710" s="2">
        <v>40577</v>
      </c>
      <c r="B1710" s="1">
        <v>173.5</v>
      </c>
      <c r="C1710" s="1">
        <v>174.67</v>
      </c>
      <c r="D1710" s="1">
        <v>171.95</v>
      </c>
      <c r="E1710" s="1">
        <v>173.71</v>
      </c>
      <c r="F1710" s="1">
        <v>3678900</v>
      </c>
      <c r="G1710" s="1">
        <v>173.71</v>
      </c>
      <c r="H1710" s="1">
        <f t="shared" si="234"/>
        <v>2.7199999999999989</v>
      </c>
      <c r="I1710" s="9">
        <f t="shared" si="241"/>
        <v>1.5818551904623432E-2</v>
      </c>
      <c r="J1710" s="1">
        <f t="shared" si="242"/>
        <v>0.18000000000000682</v>
      </c>
      <c r="K1710" s="9">
        <f t="shared" si="235"/>
        <v>1.0372846193742109E-3</v>
      </c>
      <c r="L1710" s="1">
        <f t="shared" si="236"/>
        <v>1</v>
      </c>
      <c r="M1710" s="1">
        <f t="shared" si="237"/>
        <v>174.67</v>
      </c>
      <c r="N1710" s="1">
        <f t="shared" si="238"/>
        <v>171.95</v>
      </c>
      <c r="O1710" s="1">
        <f t="shared" si="239"/>
        <v>171.75</v>
      </c>
      <c r="P1710" s="1">
        <f t="shared" si="240"/>
        <v>87.627551020408163</v>
      </c>
    </row>
    <row r="1711" spans="1:16">
      <c r="A1711" s="2">
        <v>40576</v>
      </c>
      <c r="B1711" s="1">
        <v>171.42</v>
      </c>
      <c r="C1711" s="1">
        <v>175.2</v>
      </c>
      <c r="D1711" s="1">
        <v>170.87</v>
      </c>
      <c r="E1711" s="1">
        <v>173.53</v>
      </c>
      <c r="F1711" s="1">
        <v>4547500</v>
      </c>
      <c r="G1711" s="1">
        <v>173.53</v>
      </c>
      <c r="H1711" s="1">
        <f t="shared" si="234"/>
        <v>4.3299999999999841</v>
      </c>
      <c r="I1711" s="9">
        <f t="shared" si="241"/>
        <v>2.5340902440451712E-2</v>
      </c>
      <c r="J1711" s="1">
        <f t="shared" si="242"/>
        <v>1.4199999999999875</v>
      </c>
      <c r="K1711" s="9">
        <f t="shared" si="235"/>
        <v>8.2505374469815079E-3</v>
      </c>
      <c r="L1711" s="1">
        <f t="shared" si="236"/>
        <v>1</v>
      </c>
      <c r="M1711" s="1">
        <f t="shared" si="237"/>
        <v>175.2</v>
      </c>
      <c r="N1711" s="1">
        <f t="shared" si="238"/>
        <v>170.87</v>
      </c>
      <c r="O1711" s="1">
        <f t="shared" si="239"/>
        <v>171.57</v>
      </c>
      <c r="P1711" s="1">
        <f t="shared" si="240"/>
        <v>87.535714285714278</v>
      </c>
    </row>
    <row r="1712" spans="1:16">
      <c r="A1712" s="2">
        <v>40575</v>
      </c>
      <c r="B1712" s="1">
        <v>170.52</v>
      </c>
      <c r="C1712" s="1">
        <v>173.1</v>
      </c>
      <c r="D1712" s="1">
        <v>169.51</v>
      </c>
      <c r="E1712" s="1">
        <v>172.11</v>
      </c>
      <c r="F1712" s="1">
        <v>5085900</v>
      </c>
      <c r="G1712" s="1">
        <v>172.11</v>
      </c>
      <c r="H1712" s="1">
        <f t="shared" si="234"/>
        <v>3.5900000000000034</v>
      </c>
      <c r="I1712" s="9">
        <f t="shared" si="241"/>
        <v>2.1178691522624055E-2</v>
      </c>
      <c r="J1712" s="1">
        <f t="shared" si="242"/>
        <v>2.4700000000000273</v>
      </c>
      <c r="K1712" s="9">
        <f t="shared" si="235"/>
        <v>1.4560245225182901E-2</v>
      </c>
      <c r="L1712" s="1">
        <f t="shared" si="236"/>
        <v>1</v>
      </c>
      <c r="M1712" s="1">
        <f t="shared" si="237"/>
        <v>173.1</v>
      </c>
      <c r="N1712" s="1">
        <f t="shared" si="238"/>
        <v>169.51</v>
      </c>
      <c r="O1712" s="1">
        <f t="shared" si="239"/>
        <v>170.15</v>
      </c>
      <c r="P1712" s="1">
        <f t="shared" si="240"/>
        <v>86.811224489795919</v>
      </c>
    </row>
    <row r="1713" spans="1:16">
      <c r="A1713" s="2">
        <v>40574</v>
      </c>
      <c r="B1713" s="1">
        <v>170.16</v>
      </c>
      <c r="C1713" s="1">
        <v>171.44</v>
      </c>
      <c r="D1713" s="1">
        <v>167.41</v>
      </c>
      <c r="E1713" s="1">
        <v>169.64</v>
      </c>
      <c r="F1713" s="1">
        <v>6718100</v>
      </c>
      <c r="G1713" s="1">
        <v>169.64</v>
      </c>
      <c r="H1713" s="1">
        <f t="shared" si="234"/>
        <v>4.0300000000000011</v>
      </c>
      <c r="I1713" s="9">
        <f t="shared" si="241"/>
        <v>2.4072636043247126E-2</v>
      </c>
      <c r="J1713" s="1">
        <f t="shared" si="242"/>
        <v>-1.5</v>
      </c>
      <c r="K1713" s="9">
        <f t="shared" si="235"/>
        <v>-8.7647540025709951E-3</v>
      </c>
      <c r="L1713" s="1">
        <f t="shared" si="236"/>
        <v>1</v>
      </c>
      <c r="M1713" s="1">
        <f t="shared" si="237"/>
        <v>171.44</v>
      </c>
      <c r="N1713" s="1">
        <f t="shared" si="238"/>
        <v>167.41</v>
      </c>
      <c r="O1713" s="1">
        <f t="shared" si="239"/>
        <v>167.67999999999998</v>
      </c>
      <c r="P1713" s="1">
        <f t="shared" si="240"/>
        <v>85.551020408163254</v>
      </c>
    </row>
    <row r="1714" spans="1:16">
      <c r="A1714" s="2">
        <v>40571</v>
      </c>
      <c r="B1714" s="1">
        <v>171.45</v>
      </c>
      <c r="C1714" s="1">
        <v>173.71</v>
      </c>
      <c r="D1714" s="1">
        <v>166.9</v>
      </c>
      <c r="E1714" s="1">
        <v>171.14</v>
      </c>
      <c r="F1714" s="1">
        <v>19908200</v>
      </c>
      <c r="G1714" s="1">
        <v>171.14</v>
      </c>
      <c r="H1714" s="1">
        <f t="shared" si="234"/>
        <v>6.8100000000000023</v>
      </c>
      <c r="I1714" s="9">
        <f t="shared" si="241"/>
        <v>4.0802875973636923E-2</v>
      </c>
      <c r="J1714" s="1">
        <f t="shared" si="242"/>
        <v>-13.310000000000002</v>
      </c>
      <c r="K1714" s="9">
        <f t="shared" si="235"/>
        <v>-7.2160477094063452E-2</v>
      </c>
      <c r="L1714" s="1">
        <f t="shared" si="236"/>
        <v>1</v>
      </c>
      <c r="M1714" s="1">
        <f t="shared" si="237"/>
        <v>173.71</v>
      </c>
      <c r="N1714" s="1">
        <f t="shared" si="238"/>
        <v>166.9</v>
      </c>
      <c r="O1714" s="1">
        <f t="shared" si="239"/>
        <v>169.17999999999998</v>
      </c>
      <c r="P1714" s="1">
        <f t="shared" si="240"/>
        <v>86.31632653061223</v>
      </c>
    </row>
    <row r="1715" spans="1:16">
      <c r="A1715" s="2">
        <v>40570</v>
      </c>
      <c r="B1715" s="1">
        <v>177.48</v>
      </c>
      <c r="C1715" s="1">
        <v>185</v>
      </c>
      <c r="D1715" s="1">
        <v>177.31</v>
      </c>
      <c r="E1715" s="1">
        <v>184.45</v>
      </c>
      <c r="F1715" s="1">
        <v>14594400</v>
      </c>
      <c r="G1715" s="1">
        <v>184.45</v>
      </c>
      <c r="H1715" s="1">
        <f t="shared" si="234"/>
        <v>7.6899999999999977</v>
      </c>
      <c r="I1715" s="9">
        <f t="shared" si="241"/>
        <v>4.337036828154079E-2</v>
      </c>
      <c r="J1715" s="1">
        <f t="shared" si="242"/>
        <v>9.0600000000000023</v>
      </c>
      <c r="K1715" s="9">
        <f t="shared" si="235"/>
        <v>5.1656308797536937E-2</v>
      </c>
      <c r="L1715" s="1">
        <f t="shared" si="236"/>
        <v>1</v>
      </c>
      <c r="M1715" s="1">
        <f t="shared" si="237"/>
        <v>185</v>
      </c>
      <c r="N1715" s="1">
        <f t="shared" si="238"/>
        <v>177.31</v>
      </c>
      <c r="O1715" s="1">
        <f t="shared" si="239"/>
        <v>182.48999999999998</v>
      </c>
      <c r="P1715" s="1">
        <f t="shared" si="240"/>
        <v>93.107142857142847</v>
      </c>
    </row>
    <row r="1716" spans="1:16">
      <c r="A1716" s="2">
        <v>40569</v>
      </c>
      <c r="B1716" s="1">
        <v>177.51</v>
      </c>
      <c r="C1716" s="1">
        <v>177.89</v>
      </c>
      <c r="D1716" s="1">
        <v>174.63</v>
      </c>
      <c r="E1716" s="1">
        <v>175.39</v>
      </c>
      <c r="F1716" s="1">
        <v>3762200</v>
      </c>
      <c r="G1716" s="1">
        <v>175.39</v>
      </c>
      <c r="H1716" s="1">
        <f t="shared" si="234"/>
        <v>3.2599999999999909</v>
      </c>
      <c r="I1716" s="9">
        <f t="shared" si="241"/>
        <v>1.8668041000973436E-2</v>
      </c>
      <c r="J1716" s="1">
        <f t="shared" si="242"/>
        <v>-1.3100000000000023</v>
      </c>
      <c r="K1716" s="9">
        <f t="shared" si="235"/>
        <v>-7.413695529145458E-3</v>
      </c>
      <c r="L1716" s="1">
        <f t="shared" si="236"/>
        <v>1</v>
      </c>
      <c r="M1716" s="1">
        <f t="shared" si="237"/>
        <v>177.89</v>
      </c>
      <c r="N1716" s="1">
        <f t="shared" si="238"/>
        <v>174.63</v>
      </c>
      <c r="O1716" s="1">
        <f t="shared" si="239"/>
        <v>173.42999999999998</v>
      </c>
      <c r="P1716" s="1">
        <f t="shared" si="240"/>
        <v>88.48469387755101</v>
      </c>
    </row>
    <row r="1717" spans="1:16">
      <c r="A1717" s="2">
        <v>40568</v>
      </c>
      <c r="B1717" s="1">
        <v>175.5</v>
      </c>
      <c r="C1717" s="1">
        <v>176.75</v>
      </c>
      <c r="D1717" s="1">
        <v>174.28</v>
      </c>
      <c r="E1717" s="1">
        <v>176.7</v>
      </c>
      <c r="F1717" s="1">
        <v>4651000</v>
      </c>
      <c r="G1717" s="1">
        <v>176.7</v>
      </c>
      <c r="H1717" s="1">
        <f t="shared" si="234"/>
        <v>2.4699999999999989</v>
      </c>
      <c r="I1717" s="9">
        <f t="shared" si="241"/>
        <v>1.4172595822813857E-2</v>
      </c>
      <c r="J1717" s="1">
        <f t="shared" si="242"/>
        <v>-0.15000000000000568</v>
      </c>
      <c r="K1717" s="9">
        <f t="shared" si="235"/>
        <v>-8.4817642069553686E-4</v>
      </c>
      <c r="L1717" s="1">
        <f t="shared" si="236"/>
        <v>1</v>
      </c>
      <c r="M1717" s="1">
        <f t="shared" si="237"/>
        <v>176.75</v>
      </c>
      <c r="N1717" s="1">
        <f t="shared" si="238"/>
        <v>174.28</v>
      </c>
      <c r="O1717" s="1">
        <f t="shared" si="239"/>
        <v>174.73999999999998</v>
      </c>
      <c r="P1717" s="1">
        <f t="shared" si="240"/>
        <v>89.15306122448979</v>
      </c>
    </row>
    <row r="1718" spans="1:16">
      <c r="A1718" s="2">
        <v>40567</v>
      </c>
      <c r="B1718" s="1">
        <v>177.95</v>
      </c>
      <c r="C1718" s="1">
        <v>178.49</v>
      </c>
      <c r="D1718" s="1">
        <v>174.15</v>
      </c>
      <c r="E1718" s="1">
        <v>176.85</v>
      </c>
      <c r="F1718" s="1">
        <v>5600300</v>
      </c>
      <c r="G1718" s="1">
        <v>176.85</v>
      </c>
      <c r="H1718" s="1">
        <f t="shared" si="234"/>
        <v>4.3400000000000034</v>
      </c>
      <c r="I1718" s="9">
        <f t="shared" si="241"/>
        <v>2.4921045076083854E-2</v>
      </c>
      <c r="J1718" s="1">
        <f t="shared" si="242"/>
        <v>-0.56999999999999318</v>
      </c>
      <c r="K1718" s="9">
        <f t="shared" si="235"/>
        <v>-3.2127155901250887E-3</v>
      </c>
      <c r="L1718" s="1">
        <f t="shared" si="236"/>
        <v>1</v>
      </c>
      <c r="M1718" s="1">
        <f t="shared" si="237"/>
        <v>178.49</v>
      </c>
      <c r="N1718" s="1">
        <f t="shared" si="238"/>
        <v>174.15</v>
      </c>
      <c r="O1718" s="1">
        <f t="shared" si="239"/>
        <v>174.89</v>
      </c>
      <c r="P1718" s="1">
        <f t="shared" si="240"/>
        <v>89.229591836734684</v>
      </c>
    </row>
    <row r="1719" spans="1:16">
      <c r="A1719" s="2">
        <v>40564</v>
      </c>
      <c r="B1719" s="1">
        <v>183</v>
      </c>
      <c r="C1719" s="1">
        <v>183.25</v>
      </c>
      <c r="D1719" s="1">
        <v>176.84</v>
      </c>
      <c r="E1719" s="1">
        <v>177.42</v>
      </c>
      <c r="F1719" s="1">
        <v>6806200</v>
      </c>
      <c r="G1719" s="1">
        <v>177.42</v>
      </c>
      <c r="H1719" s="1">
        <f t="shared" si="234"/>
        <v>6.4099999999999966</v>
      </c>
      <c r="I1719" s="9">
        <f t="shared" si="241"/>
        <v>3.6247455326849108E-2</v>
      </c>
      <c r="J1719" s="1">
        <f t="shared" si="242"/>
        <v>-4.5400000000000205</v>
      </c>
      <c r="K1719" s="9">
        <f t="shared" si="235"/>
        <v>-2.4950538579907783E-2</v>
      </c>
      <c r="L1719" s="1">
        <f t="shared" si="236"/>
        <v>1</v>
      </c>
      <c r="M1719" s="1">
        <f t="shared" si="237"/>
        <v>183.25</v>
      </c>
      <c r="N1719" s="1">
        <f t="shared" si="238"/>
        <v>176.84</v>
      </c>
      <c r="O1719" s="1">
        <f t="shared" si="239"/>
        <v>175.45999999999998</v>
      </c>
      <c r="P1719" s="1">
        <f t="shared" si="240"/>
        <v>89.520408163265301</v>
      </c>
    </row>
    <row r="1720" spans="1:16">
      <c r="A1720" s="2">
        <v>40563</v>
      </c>
      <c r="B1720" s="1">
        <v>185.29</v>
      </c>
      <c r="C1720" s="1">
        <v>186.85</v>
      </c>
      <c r="D1720" s="1">
        <v>181</v>
      </c>
      <c r="E1720" s="1">
        <v>181.96</v>
      </c>
      <c r="F1720" s="1">
        <v>5709900</v>
      </c>
      <c r="G1720" s="1">
        <v>181.96</v>
      </c>
      <c r="H1720" s="1">
        <f t="shared" si="234"/>
        <v>5.8499999999999943</v>
      </c>
      <c r="I1720" s="9">
        <f t="shared" si="241"/>
        <v>3.2320441988950246E-2</v>
      </c>
      <c r="J1720" s="1">
        <f t="shared" si="242"/>
        <v>-4.9099999999999966</v>
      </c>
      <c r="K1720" s="9">
        <f t="shared" si="235"/>
        <v>-2.6274950500347817E-2</v>
      </c>
      <c r="L1720" s="1">
        <f t="shared" si="236"/>
        <v>1</v>
      </c>
      <c r="M1720" s="1">
        <f t="shared" si="237"/>
        <v>186.85</v>
      </c>
      <c r="N1720" s="1">
        <f t="shared" si="238"/>
        <v>181</v>
      </c>
      <c r="O1720" s="1">
        <f t="shared" si="239"/>
        <v>180</v>
      </c>
      <c r="P1720" s="1">
        <f t="shared" si="240"/>
        <v>91.83673469387756</v>
      </c>
    </row>
    <row r="1721" spans="1:16">
      <c r="A1721" s="2">
        <v>40562</v>
      </c>
      <c r="B1721" s="1">
        <v>190.9</v>
      </c>
      <c r="C1721" s="1">
        <v>191</v>
      </c>
      <c r="D1721" s="1">
        <v>186.21</v>
      </c>
      <c r="E1721" s="1">
        <v>186.87</v>
      </c>
      <c r="F1721" s="1">
        <v>3882400</v>
      </c>
      <c r="G1721" s="1">
        <v>186.87</v>
      </c>
      <c r="H1721" s="1">
        <f t="shared" si="234"/>
        <v>4.789999999999992</v>
      </c>
      <c r="I1721" s="9">
        <f t="shared" si="241"/>
        <v>2.5723645346651586E-2</v>
      </c>
      <c r="J1721" s="1">
        <f t="shared" si="242"/>
        <v>-4.3799999999999955</v>
      </c>
      <c r="K1721" s="9">
        <f t="shared" si="235"/>
        <v>-2.2901960784313703E-2</v>
      </c>
      <c r="L1721" s="1">
        <f t="shared" si="236"/>
        <v>1</v>
      </c>
      <c r="M1721" s="1">
        <f t="shared" si="237"/>
        <v>191</v>
      </c>
      <c r="N1721" s="1">
        <f t="shared" si="238"/>
        <v>186.21</v>
      </c>
      <c r="O1721" s="1">
        <f t="shared" si="239"/>
        <v>184.91</v>
      </c>
      <c r="P1721" s="1">
        <f t="shared" si="240"/>
        <v>94.341836734693871</v>
      </c>
    </row>
    <row r="1722" spans="1:16">
      <c r="A1722" s="2">
        <v>40561</v>
      </c>
      <c r="B1722" s="1">
        <v>188.66</v>
      </c>
      <c r="C1722" s="1">
        <v>191.6</v>
      </c>
      <c r="D1722" s="1">
        <v>188.25</v>
      </c>
      <c r="E1722" s="1">
        <v>191.25</v>
      </c>
      <c r="F1722" s="1">
        <v>3896200</v>
      </c>
      <c r="G1722" s="1">
        <v>191.25</v>
      </c>
      <c r="H1722" s="1">
        <f t="shared" si="234"/>
        <v>3.3499999999999943</v>
      </c>
      <c r="I1722" s="9">
        <f t="shared" si="241"/>
        <v>1.7795484727755613E-2</v>
      </c>
      <c r="J1722" s="1">
        <f t="shared" si="242"/>
        <v>2.5</v>
      </c>
      <c r="K1722" s="9">
        <f t="shared" si="235"/>
        <v>1.3245033112582781E-2</v>
      </c>
      <c r="L1722" s="1">
        <f t="shared" si="236"/>
        <v>1</v>
      </c>
      <c r="M1722" s="1">
        <f t="shared" si="237"/>
        <v>191.6</v>
      </c>
      <c r="N1722" s="1">
        <f t="shared" si="238"/>
        <v>188.25</v>
      </c>
      <c r="O1722" s="1">
        <f t="shared" si="239"/>
        <v>189.29</v>
      </c>
      <c r="P1722" s="1">
        <f t="shared" si="240"/>
        <v>96.576530612244895</v>
      </c>
    </row>
    <row r="1723" spans="1:16">
      <c r="A1723" s="2">
        <v>40557</v>
      </c>
      <c r="B1723" s="1">
        <v>185.5</v>
      </c>
      <c r="C1723" s="1">
        <v>188.94</v>
      </c>
      <c r="D1723" s="1">
        <v>184.92</v>
      </c>
      <c r="E1723" s="1">
        <v>188.75</v>
      </c>
      <c r="F1723" s="1">
        <v>3662800</v>
      </c>
      <c r="G1723" s="1">
        <v>188.75</v>
      </c>
      <c r="H1723" s="1">
        <f t="shared" si="234"/>
        <v>4.0200000000000102</v>
      </c>
      <c r="I1723" s="9">
        <f t="shared" si="241"/>
        <v>2.1739130434782667E-2</v>
      </c>
      <c r="J1723" s="1">
        <f t="shared" si="242"/>
        <v>3.2199999999999989</v>
      </c>
      <c r="K1723" s="9">
        <f t="shared" si="235"/>
        <v>1.735568371691909E-2</v>
      </c>
      <c r="L1723" s="1">
        <f t="shared" si="236"/>
        <v>1</v>
      </c>
      <c r="M1723" s="1">
        <f t="shared" si="237"/>
        <v>188.94</v>
      </c>
      <c r="N1723" s="1">
        <f t="shared" si="238"/>
        <v>184.92</v>
      </c>
      <c r="O1723" s="1">
        <f t="shared" si="239"/>
        <v>186.79</v>
      </c>
      <c r="P1723" s="1">
        <f t="shared" si="240"/>
        <v>95.301020408163268</v>
      </c>
    </row>
    <row r="1724" spans="1:16">
      <c r="A1724" s="2">
        <v>40556</v>
      </c>
      <c r="B1724" s="1">
        <v>183.6</v>
      </c>
      <c r="C1724" s="1">
        <v>186.45</v>
      </c>
      <c r="D1724" s="1">
        <v>183.51</v>
      </c>
      <c r="E1724" s="1">
        <v>185.53</v>
      </c>
      <c r="F1724" s="1">
        <v>3367000</v>
      </c>
      <c r="G1724" s="1">
        <v>185.53</v>
      </c>
      <c r="H1724" s="1">
        <f t="shared" si="234"/>
        <v>2.9399999999999977</v>
      </c>
      <c r="I1724" s="9">
        <f t="shared" si="241"/>
        <v>1.602092529017491E-2</v>
      </c>
      <c r="J1724" s="1">
        <f t="shared" si="242"/>
        <v>1.4499999999999886</v>
      </c>
      <c r="K1724" s="9">
        <f t="shared" si="235"/>
        <v>7.877009995654001E-3</v>
      </c>
      <c r="L1724" s="1">
        <f t="shared" si="236"/>
        <v>1</v>
      </c>
      <c r="M1724" s="1">
        <f t="shared" si="237"/>
        <v>186.45</v>
      </c>
      <c r="N1724" s="1">
        <f t="shared" si="238"/>
        <v>183.51</v>
      </c>
      <c r="O1724" s="1">
        <f t="shared" si="239"/>
        <v>183.57</v>
      </c>
      <c r="P1724" s="1">
        <f t="shared" si="240"/>
        <v>93.658163265306115</v>
      </c>
    </row>
    <row r="1725" spans="1:16">
      <c r="A1725" s="2">
        <v>40555</v>
      </c>
      <c r="B1725" s="1">
        <v>185.36</v>
      </c>
      <c r="C1725" s="1">
        <v>185.38</v>
      </c>
      <c r="D1725" s="1">
        <v>183.3</v>
      </c>
      <c r="E1725" s="1">
        <v>184.08</v>
      </c>
      <c r="F1725" s="1">
        <v>2679100</v>
      </c>
      <c r="G1725" s="1">
        <v>184.08</v>
      </c>
      <c r="H1725" s="1">
        <f t="shared" si="234"/>
        <v>2.0799999999999841</v>
      </c>
      <c r="I1725" s="9">
        <f t="shared" si="241"/>
        <v>1.1347517730496366E-2</v>
      </c>
      <c r="J1725" s="1">
        <f t="shared" si="242"/>
        <v>-0.25999999999999091</v>
      </c>
      <c r="K1725" s="9">
        <f t="shared" si="235"/>
        <v>-1.4104372355429689E-3</v>
      </c>
      <c r="L1725" s="1">
        <f t="shared" si="236"/>
        <v>1</v>
      </c>
      <c r="M1725" s="1">
        <f t="shared" si="237"/>
        <v>185.38</v>
      </c>
      <c r="N1725" s="1">
        <f t="shared" si="238"/>
        <v>183.3</v>
      </c>
      <c r="O1725" s="1">
        <f t="shared" si="239"/>
        <v>182.12</v>
      </c>
      <c r="P1725" s="1">
        <f t="shared" si="240"/>
        <v>92.91836734693878</v>
      </c>
    </row>
    <row r="1726" spans="1:16">
      <c r="A1726" s="2">
        <v>40554</v>
      </c>
      <c r="B1726" s="1">
        <v>185.42</v>
      </c>
      <c r="C1726" s="1">
        <v>186</v>
      </c>
      <c r="D1726" s="1">
        <v>183.21</v>
      </c>
      <c r="E1726" s="1">
        <v>184.34</v>
      </c>
      <c r="F1726" s="1">
        <v>2814200</v>
      </c>
      <c r="G1726" s="1">
        <v>184.34</v>
      </c>
      <c r="H1726" s="1">
        <f t="shared" si="234"/>
        <v>2.789999999999992</v>
      </c>
      <c r="I1726" s="9">
        <f t="shared" si="241"/>
        <v>1.5228426395939042E-2</v>
      </c>
      <c r="J1726" s="1">
        <f t="shared" si="242"/>
        <v>-0.34000000000000341</v>
      </c>
      <c r="K1726" s="9">
        <f t="shared" si="235"/>
        <v>-1.8410223088585846E-3</v>
      </c>
      <c r="L1726" s="1">
        <f t="shared" si="236"/>
        <v>1</v>
      </c>
      <c r="M1726" s="1">
        <f t="shared" si="237"/>
        <v>186</v>
      </c>
      <c r="N1726" s="1">
        <f t="shared" si="238"/>
        <v>183.21</v>
      </c>
      <c r="O1726" s="1">
        <f t="shared" si="239"/>
        <v>182.38</v>
      </c>
      <c r="P1726" s="1">
        <f t="shared" si="240"/>
        <v>93.051020408163268</v>
      </c>
    </row>
    <row r="1727" spans="1:16">
      <c r="A1727" s="2">
        <v>40553</v>
      </c>
      <c r="B1727" s="1">
        <v>185.04</v>
      </c>
      <c r="C1727" s="1">
        <v>185.29</v>
      </c>
      <c r="D1727" s="1">
        <v>182.51</v>
      </c>
      <c r="E1727" s="1">
        <v>184.68</v>
      </c>
      <c r="F1727" s="1">
        <v>3375900</v>
      </c>
      <c r="G1727" s="1">
        <v>184.68</v>
      </c>
      <c r="H1727" s="1">
        <f t="shared" si="234"/>
        <v>2.7800000000000011</v>
      </c>
      <c r="I1727" s="9">
        <f t="shared" si="241"/>
        <v>1.523204207988604E-2</v>
      </c>
      <c r="J1727" s="1">
        <f t="shared" si="242"/>
        <v>-0.81000000000000227</v>
      </c>
      <c r="K1727" s="9">
        <f t="shared" si="235"/>
        <v>-4.3668122270742477E-3</v>
      </c>
      <c r="L1727" s="1">
        <f t="shared" si="236"/>
        <v>1</v>
      </c>
      <c r="M1727" s="1">
        <f t="shared" si="237"/>
        <v>185.29</v>
      </c>
      <c r="N1727" s="1">
        <f t="shared" si="238"/>
        <v>182.51</v>
      </c>
      <c r="O1727" s="1">
        <f t="shared" si="239"/>
        <v>182.72</v>
      </c>
      <c r="P1727" s="1">
        <f t="shared" si="240"/>
        <v>93.224489795918373</v>
      </c>
    </row>
    <row r="1728" spans="1:16">
      <c r="A1728" s="2">
        <v>40550</v>
      </c>
      <c r="B1728" s="1">
        <v>187.88</v>
      </c>
      <c r="C1728" s="1">
        <v>188.45</v>
      </c>
      <c r="D1728" s="1">
        <v>183.74</v>
      </c>
      <c r="E1728" s="1">
        <v>185.49</v>
      </c>
      <c r="F1728" s="1">
        <v>5221700</v>
      </c>
      <c r="G1728" s="1">
        <v>185.49</v>
      </c>
      <c r="H1728" s="1">
        <f t="shared" si="234"/>
        <v>4.7099999999999795</v>
      </c>
      <c r="I1728" s="9">
        <f t="shared" si="241"/>
        <v>2.5634048111461735E-2</v>
      </c>
      <c r="J1728" s="1">
        <f t="shared" si="242"/>
        <v>-0.37000000000000455</v>
      </c>
      <c r="K1728" s="9">
        <f t="shared" si="235"/>
        <v>-1.9907457225869177E-3</v>
      </c>
      <c r="L1728" s="1">
        <f t="shared" si="236"/>
        <v>1</v>
      </c>
      <c r="M1728" s="1">
        <f t="shared" si="237"/>
        <v>188.45</v>
      </c>
      <c r="N1728" s="1">
        <f t="shared" si="238"/>
        <v>183.74</v>
      </c>
      <c r="O1728" s="1">
        <f t="shared" si="239"/>
        <v>183.53</v>
      </c>
      <c r="P1728" s="1">
        <f t="shared" si="240"/>
        <v>93.637755102040813</v>
      </c>
    </row>
    <row r="1729" spans="1:16">
      <c r="A1729" s="2">
        <v>40549</v>
      </c>
      <c r="B1729" s="1">
        <v>186.5</v>
      </c>
      <c r="C1729" s="1">
        <v>187.41</v>
      </c>
      <c r="D1729" s="1">
        <v>185.25</v>
      </c>
      <c r="E1729" s="1">
        <v>185.86</v>
      </c>
      <c r="F1729" s="1">
        <v>3179700</v>
      </c>
      <c r="G1729" s="1">
        <v>185.86</v>
      </c>
      <c r="H1729" s="1">
        <f t="shared" si="234"/>
        <v>2.1599999999999966</v>
      </c>
      <c r="I1729" s="9">
        <f t="shared" si="241"/>
        <v>1.1659919028340062E-2</v>
      </c>
      <c r="J1729" s="1">
        <f t="shared" si="242"/>
        <v>-1.5599999999999739</v>
      </c>
      <c r="K1729" s="9">
        <f t="shared" si="235"/>
        <v>-8.3235513819228148E-3</v>
      </c>
      <c r="L1729" s="1">
        <f t="shared" si="236"/>
        <v>1</v>
      </c>
      <c r="M1729" s="1">
        <f t="shared" si="237"/>
        <v>187.41</v>
      </c>
      <c r="N1729" s="1">
        <f t="shared" si="238"/>
        <v>185.25</v>
      </c>
      <c r="O1729" s="1">
        <f t="shared" si="239"/>
        <v>183.9</v>
      </c>
      <c r="P1729" s="1">
        <f t="shared" si="240"/>
        <v>93.826530612244909</v>
      </c>
    </row>
    <row r="1730" spans="1:16">
      <c r="A1730" s="2">
        <v>40548</v>
      </c>
      <c r="B1730" s="1">
        <v>184.1</v>
      </c>
      <c r="C1730" s="1">
        <v>187.45</v>
      </c>
      <c r="D1730" s="1">
        <v>184.07</v>
      </c>
      <c r="E1730" s="1">
        <v>187.42</v>
      </c>
      <c r="F1730" s="1">
        <v>3418800</v>
      </c>
      <c r="G1730" s="1">
        <v>187.42</v>
      </c>
      <c r="H1730" s="1">
        <f t="shared" si="234"/>
        <v>3.3799999999999955</v>
      </c>
      <c r="I1730" s="9">
        <f t="shared" si="241"/>
        <v>1.8362579453468766E-2</v>
      </c>
      <c r="J1730" s="1">
        <f t="shared" si="242"/>
        <v>2.4099999999999966</v>
      </c>
      <c r="K1730" s="9">
        <f t="shared" si="235"/>
        <v>1.3026322901464767E-2</v>
      </c>
      <c r="L1730" s="1">
        <f t="shared" si="236"/>
        <v>1</v>
      </c>
      <c r="M1730" s="1">
        <f t="shared" si="237"/>
        <v>187.45</v>
      </c>
      <c r="N1730" s="1">
        <f t="shared" si="238"/>
        <v>184.07</v>
      </c>
      <c r="O1730" s="1">
        <f t="shared" si="239"/>
        <v>185.45999999999998</v>
      </c>
      <c r="P1730" s="1">
        <f t="shared" si="240"/>
        <v>94.622448979591823</v>
      </c>
    </row>
    <row r="1731" spans="1:16">
      <c r="A1731" s="2">
        <v>40547</v>
      </c>
      <c r="B1731" s="1">
        <v>186.15</v>
      </c>
      <c r="C1731" s="1">
        <v>187.7</v>
      </c>
      <c r="D1731" s="1">
        <v>183.78</v>
      </c>
      <c r="E1731" s="1">
        <v>185.01</v>
      </c>
      <c r="F1731" s="1">
        <v>5031800</v>
      </c>
      <c r="G1731" s="1">
        <v>185.01</v>
      </c>
      <c r="H1731" s="1">
        <f t="shared" ref="H1731:H1794" si="243">C1731-D1731</f>
        <v>3.9199999999999875</v>
      </c>
      <c r="I1731" s="9">
        <f t="shared" si="241"/>
        <v>2.132985090869511E-2</v>
      </c>
      <c r="J1731" s="1">
        <f t="shared" si="242"/>
        <v>0.78999999999999204</v>
      </c>
      <c r="K1731" s="9">
        <f t="shared" ref="K1731:K1794" si="244">(G1731-G1732)/G1732</f>
        <v>4.2883508848115953E-3</v>
      </c>
      <c r="L1731" s="1">
        <f t="shared" ref="L1731:L1794" si="245">G1731/E1731</f>
        <v>1</v>
      </c>
      <c r="M1731" s="1">
        <f t="shared" ref="M1731:M1794" si="246">L1731*C1731</f>
        <v>187.7</v>
      </c>
      <c r="N1731" s="1">
        <f t="shared" ref="N1731:N1794" si="247">L1731*D1731</f>
        <v>183.78</v>
      </c>
      <c r="O1731" s="1">
        <f t="shared" ref="O1731:O1794" si="248">G1731-$G$5163</f>
        <v>183.04999999999998</v>
      </c>
      <c r="P1731" s="1">
        <f t="shared" ref="P1731:P1794" si="249">(G1731-$G$5163)/$G$5163</f>
        <v>93.392857142857139</v>
      </c>
    </row>
    <row r="1732" spans="1:16">
      <c r="A1732" s="2">
        <v>40546</v>
      </c>
      <c r="B1732" s="1">
        <v>181.37</v>
      </c>
      <c r="C1732" s="1">
        <v>186</v>
      </c>
      <c r="D1732" s="1">
        <v>181.21</v>
      </c>
      <c r="E1732" s="1">
        <v>184.22</v>
      </c>
      <c r="F1732" s="1">
        <v>5331400</v>
      </c>
      <c r="G1732" s="1">
        <v>184.22</v>
      </c>
      <c r="H1732" s="1">
        <f t="shared" si="243"/>
        <v>4.789999999999992</v>
      </c>
      <c r="I1732" s="9">
        <f t="shared" ref="I1732:I1795" si="250">(C1732-D1732)/D1732</f>
        <v>2.6433419789194813E-2</v>
      </c>
      <c r="J1732" s="1">
        <f t="shared" ref="J1732:J1795" si="251">G1732-G1733</f>
        <v>4.2199999999999989</v>
      </c>
      <c r="K1732" s="9">
        <f t="shared" si="244"/>
        <v>2.3444444444444438E-2</v>
      </c>
      <c r="L1732" s="1">
        <f t="shared" si="245"/>
        <v>1</v>
      </c>
      <c r="M1732" s="1">
        <f t="shared" si="246"/>
        <v>186</v>
      </c>
      <c r="N1732" s="1">
        <f t="shared" si="247"/>
        <v>181.21</v>
      </c>
      <c r="O1732" s="1">
        <f t="shared" si="248"/>
        <v>182.26</v>
      </c>
      <c r="P1732" s="1">
        <f t="shared" si="249"/>
        <v>92.989795918367349</v>
      </c>
    </row>
    <row r="1733" spans="1:16">
      <c r="A1733" s="2">
        <v>40543</v>
      </c>
      <c r="B1733" s="1">
        <v>181.96</v>
      </c>
      <c r="C1733" s="1">
        <v>182.3</v>
      </c>
      <c r="D1733" s="1">
        <v>179.51</v>
      </c>
      <c r="E1733" s="1">
        <v>180</v>
      </c>
      <c r="F1733" s="1">
        <v>3451900</v>
      </c>
      <c r="G1733" s="1">
        <v>180</v>
      </c>
      <c r="H1733" s="1">
        <f t="shared" si="243"/>
        <v>2.7900000000000205</v>
      </c>
      <c r="I1733" s="9">
        <f t="shared" si="250"/>
        <v>1.5542309620634062E-2</v>
      </c>
      <c r="J1733" s="1">
        <f t="shared" si="251"/>
        <v>-2.75</v>
      </c>
      <c r="K1733" s="9">
        <f t="shared" si="244"/>
        <v>-1.5047879616963064E-2</v>
      </c>
      <c r="L1733" s="1">
        <f t="shared" si="245"/>
        <v>1</v>
      </c>
      <c r="M1733" s="1">
        <f t="shared" si="246"/>
        <v>182.3</v>
      </c>
      <c r="N1733" s="1">
        <f t="shared" si="247"/>
        <v>179.51</v>
      </c>
      <c r="O1733" s="1">
        <f t="shared" si="248"/>
        <v>178.04</v>
      </c>
      <c r="P1733" s="1">
        <f t="shared" si="249"/>
        <v>90.836734693877546</v>
      </c>
    </row>
    <row r="1734" spans="1:16">
      <c r="A1734" s="2">
        <v>40542</v>
      </c>
      <c r="B1734" s="1">
        <v>183.92</v>
      </c>
      <c r="C1734" s="1">
        <v>184.55</v>
      </c>
      <c r="D1734" s="1">
        <v>182.75</v>
      </c>
      <c r="E1734" s="1">
        <v>182.75</v>
      </c>
      <c r="F1734" s="1">
        <v>1961200</v>
      </c>
      <c r="G1734" s="1">
        <v>182.75</v>
      </c>
      <c r="H1734" s="1">
        <f t="shared" si="243"/>
        <v>1.8000000000000114</v>
      </c>
      <c r="I1734" s="9">
        <f t="shared" si="250"/>
        <v>9.8495212038304317E-3</v>
      </c>
      <c r="J1734" s="1">
        <f t="shared" si="251"/>
        <v>-0.62000000000000455</v>
      </c>
      <c r="K1734" s="9">
        <f t="shared" si="244"/>
        <v>-3.3811419534275212E-3</v>
      </c>
      <c r="L1734" s="1">
        <f t="shared" si="245"/>
        <v>1</v>
      </c>
      <c r="M1734" s="1">
        <f t="shared" si="246"/>
        <v>184.55</v>
      </c>
      <c r="N1734" s="1">
        <f t="shared" si="247"/>
        <v>182.75</v>
      </c>
      <c r="O1734" s="1">
        <f t="shared" si="248"/>
        <v>180.79</v>
      </c>
      <c r="P1734" s="1">
        <f t="shared" si="249"/>
        <v>92.239795918367349</v>
      </c>
    </row>
    <row r="1735" spans="1:16">
      <c r="A1735" s="2">
        <v>40541</v>
      </c>
      <c r="B1735" s="1">
        <v>181.8</v>
      </c>
      <c r="C1735" s="1">
        <v>184.35</v>
      </c>
      <c r="D1735" s="1">
        <v>180.41</v>
      </c>
      <c r="E1735" s="1">
        <v>183.37</v>
      </c>
      <c r="F1735" s="1">
        <v>3120100</v>
      </c>
      <c r="G1735" s="1">
        <v>183.37</v>
      </c>
      <c r="H1735" s="1">
        <f t="shared" si="243"/>
        <v>3.9399999999999977</v>
      </c>
      <c r="I1735" s="9">
        <f t="shared" si="250"/>
        <v>2.18391441716091E-2</v>
      </c>
      <c r="J1735" s="1">
        <f t="shared" si="251"/>
        <v>2.2800000000000011</v>
      </c>
      <c r="K1735" s="9">
        <f t="shared" si="244"/>
        <v>1.2590424650726165E-2</v>
      </c>
      <c r="L1735" s="1">
        <f t="shared" si="245"/>
        <v>1</v>
      </c>
      <c r="M1735" s="1">
        <f t="shared" si="246"/>
        <v>184.35</v>
      </c>
      <c r="N1735" s="1">
        <f t="shared" si="247"/>
        <v>180.41</v>
      </c>
      <c r="O1735" s="1">
        <f t="shared" si="248"/>
        <v>181.41</v>
      </c>
      <c r="P1735" s="1">
        <f t="shared" si="249"/>
        <v>92.556122448979593</v>
      </c>
    </row>
    <row r="1736" spans="1:16">
      <c r="A1736" s="2">
        <v>40540</v>
      </c>
      <c r="B1736" s="1">
        <v>182.1</v>
      </c>
      <c r="C1736" s="1">
        <v>182.77</v>
      </c>
      <c r="D1736" s="1">
        <v>181.05</v>
      </c>
      <c r="E1736" s="1">
        <v>181.09</v>
      </c>
      <c r="F1736" s="1">
        <v>1975000</v>
      </c>
      <c r="G1736" s="1">
        <v>181.09</v>
      </c>
      <c r="H1736" s="1">
        <f t="shared" si="243"/>
        <v>1.7199999999999989</v>
      </c>
      <c r="I1736" s="9">
        <f t="shared" si="250"/>
        <v>9.5001380834023683E-3</v>
      </c>
      <c r="J1736" s="1">
        <f t="shared" si="251"/>
        <v>-1.0499999999999829</v>
      </c>
      <c r="K1736" s="9">
        <f t="shared" si="244"/>
        <v>-5.7647963105302681E-3</v>
      </c>
      <c r="L1736" s="1">
        <f t="shared" si="245"/>
        <v>1</v>
      </c>
      <c r="M1736" s="1">
        <f t="shared" si="246"/>
        <v>182.77</v>
      </c>
      <c r="N1736" s="1">
        <f t="shared" si="247"/>
        <v>181.05</v>
      </c>
      <c r="O1736" s="1">
        <f t="shared" si="248"/>
        <v>179.13</v>
      </c>
      <c r="P1736" s="1">
        <f t="shared" si="249"/>
        <v>91.392857142857139</v>
      </c>
    </row>
    <row r="1737" spans="1:16">
      <c r="A1737" s="2">
        <v>40539</v>
      </c>
      <c r="B1737" s="1">
        <v>181.9</v>
      </c>
      <c r="C1737" s="1">
        <v>183.14</v>
      </c>
      <c r="D1737" s="1">
        <v>180.45</v>
      </c>
      <c r="E1737" s="1">
        <v>182.14</v>
      </c>
      <c r="F1737" s="1">
        <v>2249400</v>
      </c>
      <c r="G1737" s="1">
        <v>182.14</v>
      </c>
      <c r="H1737" s="1">
        <f t="shared" si="243"/>
        <v>2.6899999999999977</v>
      </c>
      <c r="I1737" s="9">
        <f t="shared" si="250"/>
        <v>1.4907176503186466E-2</v>
      </c>
      <c r="J1737" s="1">
        <f t="shared" si="251"/>
        <v>-0.45000000000001705</v>
      </c>
      <c r="K1737" s="9">
        <f t="shared" si="244"/>
        <v>-2.4645380360371161E-3</v>
      </c>
      <c r="L1737" s="1">
        <f t="shared" si="245"/>
        <v>1</v>
      </c>
      <c r="M1737" s="1">
        <f t="shared" si="246"/>
        <v>183.14</v>
      </c>
      <c r="N1737" s="1">
        <f t="shared" si="247"/>
        <v>180.45</v>
      </c>
      <c r="O1737" s="1">
        <f t="shared" si="248"/>
        <v>180.17999999999998</v>
      </c>
      <c r="P1737" s="1">
        <f t="shared" si="249"/>
        <v>91.928571428571416</v>
      </c>
    </row>
    <row r="1738" spans="1:16">
      <c r="A1738" s="2">
        <v>40535</v>
      </c>
      <c r="B1738" s="1">
        <v>184.34</v>
      </c>
      <c r="C1738" s="1">
        <v>184.98</v>
      </c>
      <c r="D1738" s="1">
        <v>181.89</v>
      </c>
      <c r="E1738" s="1">
        <v>182.59</v>
      </c>
      <c r="F1738" s="1">
        <v>3358200</v>
      </c>
      <c r="G1738" s="1">
        <v>182.59</v>
      </c>
      <c r="H1738" s="1">
        <f t="shared" si="243"/>
        <v>3.0900000000000034</v>
      </c>
      <c r="I1738" s="9">
        <f t="shared" si="250"/>
        <v>1.698828962559791E-2</v>
      </c>
      <c r="J1738" s="1">
        <f t="shared" si="251"/>
        <v>-2.1699999999999875</v>
      </c>
      <c r="K1738" s="9">
        <f t="shared" si="244"/>
        <v>-1.1744966442952953E-2</v>
      </c>
      <c r="L1738" s="1">
        <f t="shared" si="245"/>
        <v>1</v>
      </c>
      <c r="M1738" s="1">
        <f t="shared" si="246"/>
        <v>184.98</v>
      </c>
      <c r="N1738" s="1">
        <f t="shared" si="247"/>
        <v>181.89</v>
      </c>
      <c r="O1738" s="1">
        <f t="shared" si="248"/>
        <v>180.63</v>
      </c>
      <c r="P1738" s="1">
        <f t="shared" si="249"/>
        <v>92.158163265306115</v>
      </c>
    </row>
    <row r="1739" spans="1:16">
      <c r="A1739" s="2">
        <v>40534</v>
      </c>
      <c r="B1739" s="1">
        <v>185</v>
      </c>
      <c r="C1739" s="1">
        <v>185.45</v>
      </c>
      <c r="D1739" s="1">
        <v>184.11</v>
      </c>
      <c r="E1739" s="1">
        <v>184.76</v>
      </c>
      <c r="F1739" s="1">
        <v>2578100</v>
      </c>
      <c r="G1739" s="1">
        <v>184.76</v>
      </c>
      <c r="H1739" s="1">
        <f t="shared" si="243"/>
        <v>1.339999999999975</v>
      </c>
      <c r="I1739" s="9">
        <f t="shared" si="250"/>
        <v>7.2782575634130408E-3</v>
      </c>
      <c r="J1739" s="1">
        <f t="shared" si="251"/>
        <v>9.9999999999909051E-3</v>
      </c>
      <c r="K1739" s="9">
        <f t="shared" si="244"/>
        <v>5.4127198917406796E-5</v>
      </c>
      <c r="L1739" s="1">
        <f t="shared" si="245"/>
        <v>1</v>
      </c>
      <c r="M1739" s="1">
        <f t="shared" si="246"/>
        <v>185.45</v>
      </c>
      <c r="N1739" s="1">
        <f t="shared" si="247"/>
        <v>184.11</v>
      </c>
      <c r="O1739" s="1">
        <f t="shared" si="248"/>
        <v>182.79999999999998</v>
      </c>
      <c r="P1739" s="1">
        <f t="shared" si="249"/>
        <v>93.265306122448976</v>
      </c>
    </row>
    <row r="1740" spans="1:16">
      <c r="A1740" s="2">
        <v>40533</v>
      </c>
      <c r="B1740" s="1">
        <v>183.88</v>
      </c>
      <c r="C1740" s="1">
        <v>185.65</v>
      </c>
      <c r="D1740" s="1">
        <v>182.6</v>
      </c>
      <c r="E1740" s="1">
        <v>184.75</v>
      </c>
      <c r="F1740" s="1">
        <v>5111000</v>
      </c>
      <c r="G1740" s="1">
        <v>184.75</v>
      </c>
      <c r="H1740" s="1">
        <f t="shared" si="243"/>
        <v>3.0500000000000114</v>
      </c>
      <c r="I1740" s="9">
        <f t="shared" si="250"/>
        <v>1.6703176341730623E-2</v>
      </c>
      <c r="J1740" s="1">
        <f t="shared" si="251"/>
        <v>1.460000000000008</v>
      </c>
      <c r="K1740" s="9">
        <f t="shared" si="244"/>
        <v>7.9655191227017731E-3</v>
      </c>
      <c r="L1740" s="1">
        <f t="shared" si="245"/>
        <v>1</v>
      </c>
      <c r="M1740" s="1">
        <f t="shared" si="246"/>
        <v>185.65</v>
      </c>
      <c r="N1740" s="1">
        <f t="shared" si="247"/>
        <v>182.6</v>
      </c>
      <c r="O1740" s="1">
        <f t="shared" si="248"/>
        <v>182.79</v>
      </c>
      <c r="P1740" s="1">
        <f t="shared" si="249"/>
        <v>93.260204081632651</v>
      </c>
    </row>
    <row r="1741" spans="1:16">
      <c r="A1741" s="2">
        <v>40532</v>
      </c>
      <c r="B1741" s="1">
        <v>179.27</v>
      </c>
      <c r="C1741" s="1">
        <v>183.98</v>
      </c>
      <c r="D1741" s="1">
        <v>178.04</v>
      </c>
      <c r="E1741" s="1">
        <v>183.29</v>
      </c>
      <c r="F1741" s="1">
        <v>8735300</v>
      </c>
      <c r="G1741" s="1">
        <v>183.29</v>
      </c>
      <c r="H1741" s="1">
        <f t="shared" si="243"/>
        <v>5.9399999999999977</v>
      </c>
      <c r="I1741" s="9">
        <f t="shared" si="250"/>
        <v>3.3363289148505941E-2</v>
      </c>
      <c r="J1741" s="1">
        <f t="shared" si="251"/>
        <v>5.7099999999999795</v>
      </c>
      <c r="K1741" s="9">
        <f t="shared" si="244"/>
        <v>3.2154521905619883E-2</v>
      </c>
      <c r="L1741" s="1">
        <f t="shared" si="245"/>
        <v>1</v>
      </c>
      <c r="M1741" s="1">
        <f t="shared" si="246"/>
        <v>183.98</v>
      </c>
      <c r="N1741" s="1">
        <f t="shared" si="247"/>
        <v>178.04</v>
      </c>
      <c r="O1741" s="1">
        <f t="shared" si="248"/>
        <v>181.32999999999998</v>
      </c>
      <c r="P1741" s="1">
        <f t="shared" si="249"/>
        <v>92.515306122448976</v>
      </c>
    </row>
    <row r="1742" spans="1:16">
      <c r="A1742" s="2">
        <v>40529</v>
      </c>
      <c r="B1742" s="1">
        <v>178.41</v>
      </c>
      <c r="C1742" s="1">
        <v>178.75</v>
      </c>
      <c r="D1742" s="1">
        <v>177.02</v>
      </c>
      <c r="E1742" s="1">
        <v>177.58</v>
      </c>
      <c r="F1742" s="1">
        <v>4507300</v>
      </c>
      <c r="G1742" s="1">
        <v>177.58</v>
      </c>
      <c r="H1742" s="1">
        <f t="shared" si="243"/>
        <v>1.7299999999999898</v>
      </c>
      <c r="I1742" s="9">
        <f t="shared" si="250"/>
        <v>9.772907016156308E-3</v>
      </c>
      <c r="J1742" s="1">
        <f t="shared" si="251"/>
        <v>-0.45999999999997954</v>
      </c>
      <c r="K1742" s="9">
        <f t="shared" si="244"/>
        <v>-2.5836890586383933E-3</v>
      </c>
      <c r="L1742" s="1">
        <f t="shared" si="245"/>
        <v>1</v>
      </c>
      <c r="M1742" s="1">
        <f t="shared" si="246"/>
        <v>178.75</v>
      </c>
      <c r="N1742" s="1">
        <f t="shared" si="247"/>
        <v>177.02</v>
      </c>
      <c r="O1742" s="1">
        <f t="shared" si="248"/>
        <v>175.62</v>
      </c>
      <c r="P1742" s="1">
        <f t="shared" si="249"/>
        <v>89.602040816326536</v>
      </c>
    </row>
    <row r="1743" spans="1:16">
      <c r="A1743" s="2">
        <v>40528</v>
      </c>
      <c r="B1743" s="1">
        <v>175.58</v>
      </c>
      <c r="C1743" s="1">
        <v>178.3</v>
      </c>
      <c r="D1743" s="1">
        <v>175.04</v>
      </c>
      <c r="E1743" s="1">
        <v>178.04</v>
      </c>
      <c r="F1743" s="1">
        <v>4121500</v>
      </c>
      <c r="G1743" s="1">
        <v>178.04</v>
      </c>
      <c r="H1743" s="1">
        <f t="shared" si="243"/>
        <v>3.2600000000000193</v>
      </c>
      <c r="I1743" s="9">
        <f t="shared" si="250"/>
        <v>1.8624314442413276E-2</v>
      </c>
      <c r="J1743" s="1">
        <f t="shared" si="251"/>
        <v>2.4699999999999989</v>
      </c>
      <c r="K1743" s="9">
        <f t="shared" si="244"/>
        <v>1.4068462721421648E-2</v>
      </c>
      <c r="L1743" s="1">
        <f t="shared" si="245"/>
        <v>1</v>
      </c>
      <c r="M1743" s="1">
        <f t="shared" si="246"/>
        <v>178.3</v>
      </c>
      <c r="N1743" s="1">
        <f t="shared" si="247"/>
        <v>175.04</v>
      </c>
      <c r="O1743" s="1">
        <f t="shared" si="248"/>
        <v>176.07999999999998</v>
      </c>
      <c r="P1743" s="1">
        <f t="shared" si="249"/>
        <v>89.836734693877546</v>
      </c>
    </row>
    <row r="1744" spans="1:16">
      <c r="A1744" s="2">
        <v>40527</v>
      </c>
      <c r="B1744" s="1">
        <v>173.72</v>
      </c>
      <c r="C1744" s="1">
        <v>179</v>
      </c>
      <c r="D1744" s="1">
        <v>173.59</v>
      </c>
      <c r="E1744" s="1">
        <v>175.57</v>
      </c>
      <c r="F1744" s="1">
        <v>5810500</v>
      </c>
      <c r="G1744" s="1">
        <v>175.57</v>
      </c>
      <c r="H1744" s="1">
        <f t="shared" si="243"/>
        <v>5.4099999999999966</v>
      </c>
      <c r="I1744" s="9">
        <f t="shared" si="250"/>
        <v>3.1165389711388884E-2</v>
      </c>
      <c r="J1744" s="1">
        <f t="shared" si="251"/>
        <v>1.6299999999999955</v>
      </c>
      <c r="K1744" s="9">
        <f t="shared" si="244"/>
        <v>9.3710474876393893E-3</v>
      </c>
      <c r="L1744" s="1">
        <f t="shared" si="245"/>
        <v>1</v>
      </c>
      <c r="M1744" s="1">
        <f t="shared" si="246"/>
        <v>179</v>
      </c>
      <c r="N1744" s="1">
        <f t="shared" si="247"/>
        <v>173.59</v>
      </c>
      <c r="O1744" s="1">
        <f t="shared" si="248"/>
        <v>173.60999999999999</v>
      </c>
      <c r="P1744" s="1">
        <f t="shared" si="249"/>
        <v>88.576530612244895</v>
      </c>
    </row>
    <row r="1745" spans="1:16">
      <c r="A1745" s="2">
        <v>40526</v>
      </c>
      <c r="B1745" s="1">
        <v>174.28</v>
      </c>
      <c r="C1745" s="1">
        <v>175.76</v>
      </c>
      <c r="D1745" s="1">
        <v>173.09</v>
      </c>
      <c r="E1745" s="1">
        <v>173.94</v>
      </c>
      <c r="F1745" s="1">
        <v>3685300</v>
      </c>
      <c r="G1745" s="1">
        <v>173.94</v>
      </c>
      <c r="H1745" s="1">
        <f t="shared" si="243"/>
        <v>2.6699999999999875</v>
      </c>
      <c r="I1745" s="9">
        <f t="shared" si="250"/>
        <v>1.5425501184354887E-2</v>
      </c>
      <c r="J1745" s="1">
        <f t="shared" si="251"/>
        <v>-0.31000000000000227</v>
      </c>
      <c r="K1745" s="9">
        <f t="shared" si="244"/>
        <v>-1.7790530846485066E-3</v>
      </c>
      <c r="L1745" s="1">
        <f t="shared" si="245"/>
        <v>1</v>
      </c>
      <c r="M1745" s="1">
        <f t="shared" si="246"/>
        <v>175.76</v>
      </c>
      <c r="N1745" s="1">
        <f t="shared" si="247"/>
        <v>173.09</v>
      </c>
      <c r="O1745" s="1">
        <f t="shared" si="248"/>
        <v>171.98</v>
      </c>
      <c r="P1745" s="1">
        <f t="shared" si="249"/>
        <v>87.744897959183675</v>
      </c>
    </row>
    <row r="1746" spans="1:16">
      <c r="A1746" s="2">
        <v>40525</v>
      </c>
      <c r="B1746" s="1">
        <v>176.33</v>
      </c>
      <c r="C1746" s="1">
        <v>177.94</v>
      </c>
      <c r="D1746" s="1">
        <v>173.73</v>
      </c>
      <c r="E1746" s="1">
        <v>174.25</v>
      </c>
      <c r="F1746" s="1">
        <v>4202500</v>
      </c>
      <c r="G1746" s="1">
        <v>174.25</v>
      </c>
      <c r="H1746" s="1">
        <f t="shared" si="243"/>
        <v>4.210000000000008</v>
      </c>
      <c r="I1746" s="9">
        <f t="shared" si="250"/>
        <v>2.4233005238013056E-2</v>
      </c>
      <c r="J1746" s="1">
        <f t="shared" si="251"/>
        <v>-1.3700000000000045</v>
      </c>
      <c r="K1746" s="9">
        <f t="shared" si="244"/>
        <v>-7.8009338344152404E-3</v>
      </c>
      <c r="L1746" s="1">
        <f t="shared" si="245"/>
        <v>1</v>
      </c>
      <c r="M1746" s="1">
        <f t="shared" si="246"/>
        <v>177.94</v>
      </c>
      <c r="N1746" s="1">
        <f t="shared" si="247"/>
        <v>173.73</v>
      </c>
      <c r="O1746" s="1">
        <f t="shared" si="248"/>
        <v>172.29</v>
      </c>
      <c r="P1746" s="1">
        <f t="shared" si="249"/>
        <v>87.90306122448979</v>
      </c>
    </row>
    <row r="1747" spans="1:16">
      <c r="A1747" s="2">
        <v>40522</v>
      </c>
      <c r="B1747" s="1">
        <v>174.88</v>
      </c>
      <c r="C1747" s="1">
        <v>175.95</v>
      </c>
      <c r="D1747" s="1">
        <v>173.36</v>
      </c>
      <c r="E1747" s="1">
        <v>175.62</v>
      </c>
      <c r="F1747" s="1">
        <v>3565500</v>
      </c>
      <c r="G1747" s="1">
        <v>175.62</v>
      </c>
      <c r="H1747" s="1">
        <f t="shared" si="243"/>
        <v>2.589999999999975</v>
      </c>
      <c r="I1747" s="9">
        <f t="shared" si="250"/>
        <v>1.4940009229349186E-2</v>
      </c>
      <c r="J1747" s="1">
        <f t="shared" si="251"/>
        <v>0.77000000000001023</v>
      </c>
      <c r="K1747" s="9">
        <f t="shared" si="244"/>
        <v>4.4037746639977709E-3</v>
      </c>
      <c r="L1747" s="1">
        <f t="shared" si="245"/>
        <v>1</v>
      </c>
      <c r="M1747" s="1">
        <f t="shared" si="246"/>
        <v>175.95</v>
      </c>
      <c r="N1747" s="1">
        <f t="shared" si="247"/>
        <v>173.36</v>
      </c>
      <c r="O1747" s="1">
        <f t="shared" si="248"/>
        <v>173.66</v>
      </c>
      <c r="P1747" s="1">
        <f t="shared" si="249"/>
        <v>88.602040816326536</v>
      </c>
    </row>
    <row r="1748" spans="1:16">
      <c r="A1748" s="2">
        <v>40521</v>
      </c>
      <c r="B1748" s="1">
        <v>177.77</v>
      </c>
      <c r="C1748" s="1">
        <v>178.11</v>
      </c>
      <c r="D1748" s="1">
        <v>173.8</v>
      </c>
      <c r="E1748" s="1">
        <v>174.85</v>
      </c>
      <c r="F1748" s="1">
        <v>4555500</v>
      </c>
      <c r="G1748" s="1">
        <v>174.85</v>
      </c>
      <c r="H1748" s="1">
        <f t="shared" si="243"/>
        <v>4.3100000000000023</v>
      </c>
      <c r="I1748" s="9">
        <f t="shared" si="250"/>
        <v>2.4798619102416583E-2</v>
      </c>
      <c r="J1748" s="1">
        <f t="shared" si="251"/>
        <v>-1.4399999999999977</v>
      </c>
      <c r="K1748" s="9">
        <f t="shared" si="244"/>
        <v>-8.1683589539962437E-3</v>
      </c>
      <c r="L1748" s="1">
        <f t="shared" si="245"/>
        <v>1</v>
      </c>
      <c r="M1748" s="1">
        <f t="shared" si="246"/>
        <v>178.11</v>
      </c>
      <c r="N1748" s="1">
        <f t="shared" si="247"/>
        <v>173.8</v>
      </c>
      <c r="O1748" s="1">
        <f t="shared" si="248"/>
        <v>172.89</v>
      </c>
      <c r="P1748" s="1">
        <f t="shared" si="249"/>
        <v>88.209183673469383</v>
      </c>
    </row>
    <row r="1749" spans="1:16">
      <c r="A1749" s="2">
        <v>40520</v>
      </c>
      <c r="B1749" s="1">
        <v>177.49</v>
      </c>
      <c r="C1749" s="1">
        <v>178.16</v>
      </c>
      <c r="D1749" s="1">
        <v>175.2</v>
      </c>
      <c r="E1749" s="1">
        <v>176.29</v>
      </c>
      <c r="F1749" s="1">
        <v>3726900</v>
      </c>
      <c r="G1749" s="1">
        <v>176.29</v>
      </c>
      <c r="H1749" s="1">
        <f t="shared" si="243"/>
        <v>2.960000000000008</v>
      </c>
      <c r="I1749" s="9">
        <f t="shared" si="250"/>
        <v>1.6894977168949818E-2</v>
      </c>
      <c r="J1749" s="1">
        <f t="shared" si="251"/>
        <v>-0.48000000000001819</v>
      </c>
      <c r="K1749" s="9">
        <f t="shared" si="244"/>
        <v>-2.7153928834079207E-3</v>
      </c>
      <c r="L1749" s="1">
        <f t="shared" si="245"/>
        <v>1</v>
      </c>
      <c r="M1749" s="1">
        <f t="shared" si="246"/>
        <v>178.16</v>
      </c>
      <c r="N1749" s="1">
        <f t="shared" si="247"/>
        <v>175.2</v>
      </c>
      <c r="O1749" s="1">
        <f t="shared" si="248"/>
        <v>174.32999999999998</v>
      </c>
      <c r="P1749" s="1">
        <f t="shared" si="249"/>
        <v>88.943877551020407</v>
      </c>
    </row>
    <row r="1750" spans="1:16">
      <c r="A1750" s="2">
        <v>40519</v>
      </c>
      <c r="B1750" s="1">
        <v>180.5</v>
      </c>
      <c r="C1750" s="1">
        <v>181.47</v>
      </c>
      <c r="D1750" s="1">
        <v>176.57</v>
      </c>
      <c r="E1750" s="1">
        <v>176.77</v>
      </c>
      <c r="F1750" s="1">
        <v>5077100</v>
      </c>
      <c r="G1750" s="1">
        <v>176.77</v>
      </c>
      <c r="H1750" s="1">
        <f t="shared" si="243"/>
        <v>4.9000000000000057</v>
      </c>
      <c r="I1750" s="9">
        <f t="shared" si="250"/>
        <v>2.7751033584414147E-2</v>
      </c>
      <c r="J1750" s="1">
        <f t="shared" si="251"/>
        <v>-1.2800000000000011</v>
      </c>
      <c r="K1750" s="9">
        <f t="shared" si="244"/>
        <v>-7.188991856220169E-3</v>
      </c>
      <c r="L1750" s="1">
        <f t="shared" si="245"/>
        <v>1</v>
      </c>
      <c r="M1750" s="1">
        <f t="shared" si="246"/>
        <v>181.47</v>
      </c>
      <c r="N1750" s="1">
        <f t="shared" si="247"/>
        <v>176.57</v>
      </c>
      <c r="O1750" s="1">
        <f t="shared" si="248"/>
        <v>174.81</v>
      </c>
      <c r="P1750" s="1">
        <f t="shared" si="249"/>
        <v>89.188775510204081</v>
      </c>
    </row>
    <row r="1751" spans="1:16">
      <c r="A1751" s="2">
        <v>40518</v>
      </c>
      <c r="B1751" s="1">
        <v>175.52</v>
      </c>
      <c r="C1751" s="1">
        <v>178.43</v>
      </c>
      <c r="D1751" s="1">
        <v>174.6</v>
      </c>
      <c r="E1751" s="1">
        <v>178.05</v>
      </c>
      <c r="F1751" s="1">
        <v>5654200</v>
      </c>
      <c r="G1751" s="1">
        <v>178.05</v>
      </c>
      <c r="H1751" s="1">
        <f t="shared" si="243"/>
        <v>3.8300000000000125</v>
      </c>
      <c r="I1751" s="9">
        <f t="shared" si="250"/>
        <v>2.1935853379152419E-2</v>
      </c>
      <c r="J1751" s="1">
        <f t="shared" si="251"/>
        <v>2.3700000000000045</v>
      </c>
      <c r="K1751" s="9">
        <f t="shared" si="244"/>
        <v>1.3490437158469971E-2</v>
      </c>
      <c r="L1751" s="1">
        <f t="shared" si="245"/>
        <v>1</v>
      </c>
      <c r="M1751" s="1">
        <f t="shared" si="246"/>
        <v>178.43</v>
      </c>
      <c r="N1751" s="1">
        <f t="shared" si="247"/>
        <v>174.6</v>
      </c>
      <c r="O1751" s="1">
        <f t="shared" si="248"/>
        <v>176.09</v>
      </c>
      <c r="P1751" s="1">
        <f t="shared" si="249"/>
        <v>89.841836734693885</v>
      </c>
    </row>
    <row r="1752" spans="1:16">
      <c r="A1752" s="2">
        <v>40515</v>
      </c>
      <c r="B1752" s="1">
        <v>175.5</v>
      </c>
      <c r="C1752" s="1">
        <v>176.4</v>
      </c>
      <c r="D1752" s="1">
        <v>174.05</v>
      </c>
      <c r="E1752" s="1">
        <v>175.68</v>
      </c>
      <c r="F1752" s="1">
        <v>4907500</v>
      </c>
      <c r="G1752" s="1">
        <v>175.68</v>
      </c>
      <c r="H1752" s="1">
        <f t="shared" si="243"/>
        <v>2.3499999999999943</v>
      </c>
      <c r="I1752" s="9">
        <f t="shared" si="250"/>
        <v>1.3501867279517346E-2</v>
      </c>
      <c r="J1752" s="1">
        <f t="shared" si="251"/>
        <v>-0.84999999999999432</v>
      </c>
      <c r="K1752" s="9">
        <f t="shared" si="244"/>
        <v>-4.8150456013141916E-3</v>
      </c>
      <c r="L1752" s="1">
        <f t="shared" si="245"/>
        <v>1</v>
      </c>
      <c r="M1752" s="1">
        <f t="shared" si="246"/>
        <v>176.4</v>
      </c>
      <c r="N1752" s="1">
        <f t="shared" si="247"/>
        <v>174.05</v>
      </c>
      <c r="O1752" s="1">
        <f t="shared" si="248"/>
        <v>173.72</v>
      </c>
      <c r="P1752" s="1">
        <f t="shared" si="249"/>
        <v>88.632653061224488</v>
      </c>
    </row>
    <row r="1753" spans="1:16">
      <c r="A1753" s="2">
        <v>40514</v>
      </c>
      <c r="B1753" s="1">
        <v>176.86</v>
      </c>
      <c r="C1753" s="1">
        <v>177.45</v>
      </c>
      <c r="D1753" s="1">
        <v>173.92</v>
      </c>
      <c r="E1753" s="1">
        <v>176.53</v>
      </c>
      <c r="F1753" s="1">
        <v>5537600</v>
      </c>
      <c r="G1753" s="1">
        <v>176.53</v>
      </c>
      <c r="H1753" s="1">
        <f t="shared" si="243"/>
        <v>3.5300000000000011</v>
      </c>
      <c r="I1753" s="9">
        <f t="shared" si="250"/>
        <v>2.0296688132474709E-2</v>
      </c>
      <c r="J1753" s="1">
        <f t="shared" si="251"/>
        <v>-2.0000000000010232E-2</v>
      </c>
      <c r="K1753" s="9">
        <f t="shared" si="244"/>
        <v>-1.1328235627306842E-4</v>
      </c>
      <c r="L1753" s="1">
        <f t="shared" si="245"/>
        <v>1</v>
      </c>
      <c r="M1753" s="1">
        <f t="shared" si="246"/>
        <v>177.45</v>
      </c>
      <c r="N1753" s="1">
        <f t="shared" si="247"/>
        <v>173.92</v>
      </c>
      <c r="O1753" s="1">
        <f t="shared" si="248"/>
        <v>174.57</v>
      </c>
      <c r="P1753" s="1">
        <f t="shared" si="249"/>
        <v>89.066326530612244</v>
      </c>
    </row>
    <row r="1754" spans="1:16">
      <c r="A1754" s="2">
        <v>40513</v>
      </c>
      <c r="B1754" s="1">
        <v>179.16</v>
      </c>
      <c r="C1754" s="1">
        <v>179.32</v>
      </c>
      <c r="D1754" s="1">
        <v>176</v>
      </c>
      <c r="E1754" s="1">
        <v>176.55</v>
      </c>
      <c r="F1754" s="1">
        <v>5770100</v>
      </c>
      <c r="G1754" s="1">
        <v>176.55</v>
      </c>
      <c r="H1754" s="1">
        <f t="shared" si="243"/>
        <v>3.3199999999999932</v>
      </c>
      <c r="I1754" s="9">
        <f t="shared" si="250"/>
        <v>1.8863636363636326E-2</v>
      </c>
      <c r="J1754" s="1">
        <f t="shared" si="251"/>
        <v>1.1500000000000057</v>
      </c>
      <c r="K1754" s="9">
        <f t="shared" si="244"/>
        <v>6.5564424173318453E-3</v>
      </c>
      <c r="L1754" s="1">
        <f t="shared" si="245"/>
        <v>1</v>
      </c>
      <c r="M1754" s="1">
        <f t="shared" si="246"/>
        <v>179.32</v>
      </c>
      <c r="N1754" s="1">
        <f t="shared" si="247"/>
        <v>176</v>
      </c>
      <c r="O1754" s="1">
        <f t="shared" si="248"/>
        <v>174.59</v>
      </c>
      <c r="P1754" s="1">
        <f t="shared" si="249"/>
        <v>89.076530612244895</v>
      </c>
    </row>
    <row r="1755" spans="1:16">
      <c r="A1755" s="2">
        <v>40512</v>
      </c>
      <c r="B1755" s="1">
        <v>176.95</v>
      </c>
      <c r="C1755" s="1">
        <v>177.7</v>
      </c>
      <c r="D1755" s="1">
        <v>174.9</v>
      </c>
      <c r="E1755" s="1">
        <v>175.4</v>
      </c>
      <c r="F1755" s="1">
        <v>6762200</v>
      </c>
      <c r="G1755" s="1">
        <v>175.4</v>
      </c>
      <c r="H1755" s="1">
        <f t="shared" si="243"/>
        <v>2.7999999999999829</v>
      </c>
      <c r="I1755" s="9">
        <f t="shared" si="250"/>
        <v>1.6009148084619684E-2</v>
      </c>
      <c r="J1755" s="1">
        <f t="shared" si="251"/>
        <v>-4.0900000000000034</v>
      </c>
      <c r="K1755" s="9">
        <f t="shared" si="244"/>
        <v>-2.2786784779096347E-2</v>
      </c>
      <c r="L1755" s="1">
        <f t="shared" si="245"/>
        <v>1</v>
      </c>
      <c r="M1755" s="1">
        <f t="shared" si="246"/>
        <v>177.7</v>
      </c>
      <c r="N1755" s="1">
        <f t="shared" si="247"/>
        <v>174.9</v>
      </c>
      <c r="O1755" s="1">
        <f t="shared" si="248"/>
        <v>173.44</v>
      </c>
      <c r="P1755" s="1">
        <f t="shared" si="249"/>
        <v>88.489795918367349</v>
      </c>
    </row>
    <row r="1756" spans="1:16">
      <c r="A1756" s="2">
        <v>40511</v>
      </c>
      <c r="B1756" s="1">
        <v>179.99</v>
      </c>
      <c r="C1756" s="1">
        <v>181.84</v>
      </c>
      <c r="D1756" s="1">
        <v>177.57</v>
      </c>
      <c r="E1756" s="1">
        <v>179.49</v>
      </c>
      <c r="F1756" s="1">
        <v>9695000</v>
      </c>
      <c r="G1756" s="1">
        <v>179.49</v>
      </c>
      <c r="H1756" s="1">
        <f t="shared" si="243"/>
        <v>4.2700000000000102</v>
      </c>
      <c r="I1756" s="9">
        <f t="shared" si="250"/>
        <v>2.4046854761502565E-2</v>
      </c>
      <c r="J1756" s="1">
        <f t="shared" si="251"/>
        <v>2.2900000000000205</v>
      </c>
      <c r="K1756" s="9">
        <f t="shared" si="244"/>
        <v>1.2923250564334202E-2</v>
      </c>
      <c r="L1756" s="1">
        <f t="shared" si="245"/>
        <v>1</v>
      </c>
      <c r="M1756" s="1">
        <f t="shared" si="246"/>
        <v>181.84</v>
      </c>
      <c r="N1756" s="1">
        <f t="shared" si="247"/>
        <v>177.57</v>
      </c>
      <c r="O1756" s="1">
        <f t="shared" si="248"/>
        <v>177.53</v>
      </c>
      <c r="P1756" s="1">
        <f t="shared" si="249"/>
        <v>90.576530612244895</v>
      </c>
    </row>
    <row r="1757" spans="1:16">
      <c r="A1757" s="2">
        <v>40508</v>
      </c>
      <c r="B1757" s="1">
        <v>177.36</v>
      </c>
      <c r="C1757" s="1">
        <v>178.38</v>
      </c>
      <c r="D1757" s="1">
        <v>176.16</v>
      </c>
      <c r="E1757" s="1">
        <v>177.2</v>
      </c>
      <c r="F1757" s="1">
        <v>4271600</v>
      </c>
      <c r="G1757" s="1">
        <v>177.2</v>
      </c>
      <c r="H1757" s="1">
        <f t="shared" si="243"/>
        <v>2.2199999999999989</v>
      </c>
      <c r="I1757" s="9">
        <f t="shared" si="250"/>
        <v>1.2602179836512255E-2</v>
      </c>
      <c r="J1757" s="1">
        <f t="shared" si="251"/>
        <v>-5.0000000000011369E-2</v>
      </c>
      <c r="K1757" s="9">
        <f t="shared" si="244"/>
        <v>-2.8208744710866778E-4</v>
      </c>
      <c r="L1757" s="1">
        <f t="shared" si="245"/>
        <v>1</v>
      </c>
      <c r="M1757" s="1">
        <f t="shared" si="246"/>
        <v>178.38</v>
      </c>
      <c r="N1757" s="1">
        <f t="shared" si="247"/>
        <v>176.16</v>
      </c>
      <c r="O1757" s="1">
        <f t="shared" si="248"/>
        <v>175.23999999999998</v>
      </c>
      <c r="P1757" s="1">
        <f t="shared" si="249"/>
        <v>89.408163265306115</v>
      </c>
    </row>
    <row r="1758" spans="1:16">
      <c r="A1758" s="2">
        <v>40506</v>
      </c>
      <c r="B1758" s="1">
        <v>171.53</v>
      </c>
      <c r="C1758" s="1">
        <v>177.89</v>
      </c>
      <c r="D1758" s="1">
        <v>171.53</v>
      </c>
      <c r="E1758" s="1">
        <v>177.25</v>
      </c>
      <c r="F1758" s="1">
        <v>10042500</v>
      </c>
      <c r="G1758" s="1">
        <v>177.25</v>
      </c>
      <c r="H1758" s="1">
        <f t="shared" si="243"/>
        <v>6.3599999999999852</v>
      </c>
      <c r="I1758" s="9">
        <f t="shared" si="250"/>
        <v>3.7078062146563194E-2</v>
      </c>
      <c r="J1758" s="1">
        <f t="shared" si="251"/>
        <v>9.0500000000000114</v>
      </c>
      <c r="K1758" s="9">
        <f t="shared" si="244"/>
        <v>5.380499405469686E-2</v>
      </c>
      <c r="L1758" s="1">
        <f t="shared" si="245"/>
        <v>1</v>
      </c>
      <c r="M1758" s="1">
        <f t="shared" si="246"/>
        <v>177.89</v>
      </c>
      <c r="N1758" s="1">
        <f t="shared" si="247"/>
        <v>171.53</v>
      </c>
      <c r="O1758" s="1">
        <f t="shared" si="248"/>
        <v>175.29</v>
      </c>
      <c r="P1758" s="1">
        <f t="shared" si="249"/>
        <v>89.433673469387756</v>
      </c>
    </row>
    <row r="1759" spans="1:16">
      <c r="A1759" s="2">
        <v>40505</v>
      </c>
      <c r="B1759" s="1">
        <v>168.61</v>
      </c>
      <c r="C1759" s="1">
        <v>168.81</v>
      </c>
      <c r="D1759" s="1">
        <v>164.62</v>
      </c>
      <c r="E1759" s="1">
        <v>168.2</v>
      </c>
      <c r="F1759" s="1">
        <v>6465300</v>
      </c>
      <c r="G1759" s="1">
        <v>168.2</v>
      </c>
      <c r="H1759" s="1">
        <f t="shared" si="243"/>
        <v>4.1899999999999977</v>
      </c>
      <c r="I1759" s="9">
        <f t="shared" si="250"/>
        <v>2.5452557404932557E-2</v>
      </c>
      <c r="J1759" s="1">
        <f t="shared" si="251"/>
        <v>-2.1899999999999977</v>
      </c>
      <c r="K1759" s="9">
        <f t="shared" si="244"/>
        <v>-1.285286695228592E-2</v>
      </c>
      <c r="L1759" s="1">
        <f t="shared" si="245"/>
        <v>1</v>
      </c>
      <c r="M1759" s="1">
        <f t="shared" si="246"/>
        <v>168.81</v>
      </c>
      <c r="N1759" s="1">
        <f t="shared" si="247"/>
        <v>164.62</v>
      </c>
      <c r="O1759" s="1">
        <f t="shared" si="248"/>
        <v>166.23999999999998</v>
      </c>
      <c r="P1759" s="1">
        <f t="shared" si="249"/>
        <v>84.81632653061223</v>
      </c>
    </row>
    <row r="1760" spans="1:16">
      <c r="A1760" s="2">
        <v>40504</v>
      </c>
      <c r="B1760" s="1">
        <v>165.1</v>
      </c>
      <c r="C1760" s="1">
        <v>170.6</v>
      </c>
      <c r="D1760" s="1">
        <v>165</v>
      </c>
      <c r="E1760" s="1">
        <v>170.39</v>
      </c>
      <c r="F1760" s="1">
        <v>6142500</v>
      </c>
      <c r="G1760" s="1">
        <v>170.39</v>
      </c>
      <c r="H1760" s="1">
        <f t="shared" si="243"/>
        <v>5.5999999999999943</v>
      </c>
      <c r="I1760" s="9">
        <f t="shared" si="250"/>
        <v>3.3939393939393908E-2</v>
      </c>
      <c r="J1760" s="1">
        <f t="shared" si="251"/>
        <v>5.5699999999999932</v>
      </c>
      <c r="K1760" s="9">
        <f t="shared" si="244"/>
        <v>3.3794442422036122E-2</v>
      </c>
      <c r="L1760" s="1">
        <f t="shared" si="245"/>
        <v>1</v>
      </c>
      <c r="M1760" s="1">
        <f t="shared" si="246"/>
        <v>170.6</v>
      </c>
      <c r="N1760" s="1">
        <f t="shared" si="247"/>
        <v>165</v>
      </c>
      <c r="O1760" s="1">
        <f t="shared" si="248"/>
        <v>168.42999999999998</v>
      </c>
      <c r="P1760" s="1">
        <f t="shared" si="249"/>
        <v>85.933673469387742</v>
      </c>
    </row>
    <row r="1761" spans="1:16">
      <c r="A1761" s="2">
        <v>40501</v>
      </c>
      <c r="B1761" s="1">
        <v>163.95</v>
      </c>
      <c r="C1761" s="1">
        <v>164.99</v>
      </c>
      <c r="D1761" s="1">
        <v>162.84</v>
      </c>
      <c r="E1761" s="1">
        <v>164.82</v>
      </c>
      <c r="F1761" s="1">
        <v>4464800</v>
      </c>
      <c r="G1761" s="1">
        <v>164.82</v>
      </c>
      <c r="H1761" s="1">
        <f t="shared" si="243"/>
        <v>2.1500000000000057</v>
      </c>
      <c r="I1761" s="9">
        <f t="shared" si="250"/>
        <v>1.320314419061659E-2</v>
      </c>
      <c r="J1761" s="1">
        <f t="shared" si="251"/>
        <v>0.65000000000000568</v>
      </c>
      <c r="K1761" s="9">
        <f t="shared" si="244"/>
        <v>3.9593104708534185E-3</v>
      </c>
      <c r="L1761" s="1">
        <f t="shared" si="245"/>
        <v>1</v>
      </c>
      <c r="M1761" s="1">
        <f t="shared" si="246"/>
        <v>164.99</v>
      </c>
      <c r="N1761" s="1">
        <f t="shared" si="247"/>
        <v>162.84</v>
      </c>
      <c r="O1761" s="1">
        <f t="shared" si="248"/>
        <v>162.85999999999999</v>
      </c>
      <c r="P1761" s="1">
        <f t="shared" si="249"/>
        <v>83.091836734693871</v>
      </c>
    </row>
    <row r="1762" spans="1:16">
      <c r="A1762" s="2">
        <v>40500</v>
      </c>
      <c r="B1762" s="1">
        <v>160.74</v>
      </c>
      <c r="C1762" s="1">
        <v>165</v>
      </c>
      <c r="D1762" s="1">
        <v>160.74</v>
      </c>
      <c r="E1762" s="1">
        <v>164.17</v>
      </c>
      <c r="F1762" s="1">
        <v>6225300</v>
      </c>
      <c r="G1762" s="1">
        <v>164.17</v>
      </c>
      <c r="H1762" s="1">
        <f t="shared" si="243"/>
        <v>4.2599999999999909</v>
      </c>
      <c r="I1762" s="9">
        <f t="shared" si="250"/>
        <v>2.6502426278462055E-2</v>
      </c>
      <c r="J1762" s="1">
        <f t="shared" si="251"/>
        <v>5.8199999999999932</v>
      </c>
      <c r="K1762" s="9">
        <f t="shared" si="244"/>
        <v>3.6754025892011329E-2</v>
      </c>
      <c r="L1762" s="1">
        <f t="shared" si="245"/>
        <v>1</v>
      </c>
      <c r="M1762" s="1">
        <f t="shared" si="246"/>
        <v>165</v>
      </c>
      <c r="N1762" s="1">
        <f t="shared" si="247"/>
        <v>160.74</v>
      </c>
      <c r="O1762" s="1">
        <f t="shared" si="248"/>
        <v>162.20999999999998</v>
      </c>
      <c r="P1762" s="1">
        <f t="shared" si="249"/>
        <v>82.760204081632651</v>
      </c>
    </row>
    <row r="1763" spans="1:16">
      <c r="A1763" s="2">
        <v>40499</v>
      </c>
      <c r="B1763" s="1">
        <v>157.84</v>
      </c>
      <c r="C1763" s="1">
        <v>160.85</v>
      </c>
      <c r="D1763" s="1">
        <v>157.55000000000001</v>
      </c>
      <c r="E1763" s="1">
        <v>158.35</v>
      </c>
      <c r="F1763" s="1">
        <v>4524900</v>
      </c>
      <c r="G1763" s="1">
        <v>158.35</v>
      </c>
      <c r="H1763" s="1">
        <f t="shared" si="243"/>
        <v>3.2999999999999829</v>
      </c>
      <c r="I1763" s="9">
        <f t="shared" si="250"/>
        <v>2.0945731513805032E-2</v>
      </c>
      <c r="J1763" s="1">
        <f t="shared" si="251"/>
        <v>0.56999999999999318</v>
      </c>
      <c r="K1763" s="9">
        <f t="shared" si="244"/>
        <v>3.6126251742932764E-3</v>
      </c>
      <c r="L1763" s="1">
        <f t="shared" si="245"/>
        <v>1</v>
      </c>
      <c r="M1763" s="1">
        <f t="shared" si="246"/>
        <v>160.85</v>
      </c>
      <c r="N1763" s="1">
        <f t="shared" si="247"/>
        <v>157.55000000000001</v>
      </c>
      <c r="O1763" s="1">
        <f t="shared" si="248"/>
        <v>156.38999999999999</v>
      </c>
      <c r="P1763" s="1">
        <f t="shared" si="249"/>
        <v>79.790816326530603</v>
      </c>
    </row>
    <row r="1764" spans="1:16">
      <c r="A1764" s="2">
        <v>40498</v>
      </c>
      <c r="B1764" s="1">
        <v>158.74</v>
      </c>
      <c r="C1764" s="1">
        <v>160.91</v>
      </c>
      <c r="D1764" s="1">
        <v>156.77000000000001</v>
      </c>
      <c r="E1764" s="1">
        <v>157.78</v>
      </c>
      <c r="F1764" s="1">
        <v>6571400</v>
      </c>
      <c r="G1764" s="1">
        <v>157.78</v>
      </c>
      <c r="H1764" s="1">
        <f t="shared" si="243"/>
        <v>4.1399999999999864</v>
      </c>
      <c r="I1764" s="9">
        <f t="shared" si="250"/>
        <v>2.6408113797282553E-2</v>
      </c>
      <c r="J1764" s="1">
        <f t="shared" si="251"/>
        <v>-1.1200000000000045</v>
      </c>
      <c r="K1764" s="9">
        <f t="shared" si="244"/>
        <v>-7.0484581497797637E-3</v>
      </c>
      <c r="L1764" s="1">
        <f t="shared" si="245"/>
        <v>1</v>
      </c>
      <c r="M1764" s="1">
        <f t="shared" si="246"/>
        <v>160.91</v>
      </c>
      <c r="N1764" s="1">
        <f t="shared" si="247"/>
        <v>156.77000000000001</v>
      </c>
      <c r="O1764" s="1">
        <f t="shared" si="248"/>
        <v>155.82</v>
      </c>
      <c r="P1764" s="1">
        <f t="shared" si="249"/>
        <v>79.5</v>
      </c>
    </row>
    <row r="1765" spans="1:16">
      <c r="A1765" s="2">
        <v>40497</v>
      </c>
      <c r="B1765" s="1">
        <v>165.16</v>
      </c>
      <c r="C1765" s="1">
        <v>165.35</v>
      </c>
      <c r="D1765" s="1">
        <v>158.56</v>
      </c>
      <c r="E1765" s="1">
        <v>158.9</v>
      </c>
      <c r="F1765" s="1">
        <v>9648600</v>
      </c>
      <c r="G1765" s="1">
        <v>158.9</v>
      </c>
      <c r="H1765" s="1">
        <f t="shared" si="243"/>
        <v>6.789999999999992</v>
      </c>
      <c r="I1765" s="9">
        <f t="shared" si="250"/>
        <v>4.2822906155398535E-2</v>
      </c>
      <c r="J1765" s="1">
        <f t="shared" si="251"/>
        <v>-6.7800000000000011</v>
      </c>
      <c r="K1765" s="9">
        <f t="shared" si="244"/>
        <v>-4.0922259777885085E-2</v>
      </c>
      <c r="L1765" s="1">
        <f t="shared" si="245"/>
        <v>1</v>
      </c>
      <c r="M1765" s="1">
        <f t="shared" si="246"/>
        <v>165.35</v>
      </c>
      <c r="N1765" s="1">
        <f t="shared" si="247"/>
        <v>158.56</v>
      </c>
      <c r="O1765" s="1">
        <f t="shared" si="248"/>
        <v>156.94</v>
      </c>
      <c r="P1765" s="1">
        <f t="shared" si="249"/>
        <v>80.071428571428569</v>
      </c>
    </row>
    <row r="1766" spans="1:16">
      <c r="A1766" s="2">
        <v>40494</v>
      </c>
      <c r="B1766" s="1">
        <v>170.12</v>
      </c>
      <c r="C1766" s="1">
        <v>171.26</v>
      </c>
      <c r="D1766" s="1">
        <v>165.05</v>
      </c>
      <c r="E1766" s="1">
        <v>165.68</v>
      </c>
      <c r="F1766" s="1">
        <v>7160600</v>
      </c>
      <c r="G1766" s="1">
        <v>165.68</v>
      </c>
      <c r="H1766" s="1">
        <f t="shared" si="243"/>
        <v>6.2099999999999795</v>
      </c>
      <c r="I1766" s="9">
        <f t="shared" si="250"/>
        <v>3.7624962132686936E-2</v>
      </c>
      <c r="J1766" s="1">
        <f t="shared" si="251"/>
        <v>-4.6899999999999977</v>
      </c>
      <c r="K1766" s="9">
        <f t="shared" si="244"/>
        <v>-2.7528320713740669E-2</v>
      </c>
      <c r="L1766" s="1">
        <f t="shared" si="245"/>
        <v>1</v>
      </c>
      <c r="M1766" s="1">
        <f t="shared" si="246"/>
        <v>171.26</v>
      </c>
      <c r="N1766" s="1">
        <f t="shared" si="247"/>
        <v>165.05</v>
      </c>
      <c r="O1766" s="1">
        <f t="shared" si="248"/>
        <v>163.72</v>
      </c>
      <c r="P1766" s="1">
        <f t="shared" si="249"/>
        <v>83.530612244897966</v>
      </c>
    </row>
    <row r="1767" spans="1:16">
      <c r="A1767" s="2">
        <v>40493</v>
      </c>
      <c r="B1767" s="1">
        <v>171</v>
      </c>
      <c r="C1767" s="1">
        <v>172.05</v>
      </c>
      <c r="D1767" s="1">
        <v>169.42</v>
      </c>
      <c r="E1767" s="1">
        <v>170.37</v>
      </c>
      <c r="F1767" s="1">
        <v>5691700</v>
      </c>
      <c r="G1767" s="1">
        <v>170.37</v>
      </c>
      <c r="H1767" s="1">
        <f t="shared" si="243"/>
        <v>2.6300000000000239</v>
      </c>
      <c r="I1767" s="9">
        <f t="shared" si="250"/>
        <v>1.5523550938496188E-2</v>
      </c>
      <c r="J1767" s="1">
        <f t="shared" si="251"/>
        <v>-2.960000000000008</v>
      </c>
      <c r="K1767" s="9">
        <f t="shared" si="244"/>
        <v>-1.7077251485605537E-2</v>
      </c>
      <c r="L1767" s="1">
        <f t="shared" si="245"/>
        <v>1</v>
      </c>
      <c r="M1767" s="1">
        <f t="shared" si="246"/>
        <v>172.05</v>
      </c>
      <c r="N1767" s="1">
        <f t="shared" si="247"/>
        <v>169.42</v>
      </c>
      <c r="O1767" s="1">
        <f t="shared" si="248"/>
        <v>168.41</v>
      </c>
      <c r="P1767" s="1">
        <f t="shared" si="249"/>
        <v>85.923469387755105</v>
      </c>
    </row>
    <row r="1768" spans="1:16">
      <c r="A1768" s="2">
        <v>40492</v>
      </c>
      <c r="B1768" s="1">
        <v>170.59</v>
      </c>
      <c r="C1768" s="1">
        <v>173.37</v>
      </c>
      <c r="D1768" s="1">
        <v>169.41</v>
      </c>
      <c r="E1768" s="1">
        <v>173.33</v>
      </c>
      <c r="F1768" s="1">
        <v>5440300</v>
      </c>
      <c r="G1768" s="1">
        <v>173.33</v>
      </c>
      <c r="H1768" s="1">
        <f t="shared" si="243"/>
        <v>3.960000000000008</v>
      </c>
      <c r="I1768" s="9">
        <f t="shared" si="250"/>
        <v>2.3375243492119759E-2</v>
      </c>
      <c r="J1768" s="1">
        <f t="shared" si="251"/>
        <v>3.0600000000000023</v>
      </c>
      <c r="K1768" s="9">
        <f t="shared" si="244"/>
        <v>1.797145709755096E-2</v>
      </c>
      <c r="L1768" s="1">
        <f t="shared" si="245"/>
        <v>1</v>
      </c>
      <c r="M1768" s="1">
        <f t="shared" si="246"/>
        <v>173.37</v>
      </c>
      <c r="N1768" s="1">
        <f t="shared" si="247"/>
        <v>169.41</v>
      </c>
      <c r="O1768" s="1">
        <f t="shared" si="248"/>
        <v>171.37</v>
      </c>
      <c r="P1768" s="1">
        <f t="shared" si="249"/>
        <v>87.433673469387756</v>
      </c>
    </row>
    <row r="1769" spans="1:16">
      <c r="A1769" s="2">
        <v>40491</v>
      </c>
      <c r="B1769" s="1">
        <v>172.67</v>
      </c>
      <c r="C1769" s="1">
        <v>173.14</v>
      </c>
      <c r="D1769" s="1">
        <v>169.06</v>
      </c>
      <c r="E1769" s="1">
        <v>170.27</v>
      </c>
      <c r="F1769" s="1">
        <v>3978600</v>
      </c>
      <c r="G1769" s="1">
        <v>170.27</v>
      </c>
      <c r="H1769" s="1">
        <f t="shared" si="243"/>
        <v>4.0799999999999841</v>
      </c>
      <c r="I1769" s="9">
        <f t="shared" si="250"/>
        <v>2.4133443747781758E-2</v>
      </c>
      <c r="J1769" s="1">
        <f t="shared" si="251"/>
        <v>-1.7199999999999989</v>
      </c>
      <c r="K1769" s="9">
        <f t="shared" si="244"/>
        <v>-1.000058142915285E-2</v>
      </c>
      <c r="L1769" s="1">
        <f t="shared" si="245"/>
        <v>1</v>
      </c>
      <c r="M1769" s="1">
        <f t="shared" si="246"/>
        <v>173.14</v>
      </c>
      <c r="N1769" s="1">
        <f t="shared" si="247"/>
        <v>169.06</v>
      </c>
      <c r="O1769" s="1">
        <f t="shared" si="248"/>
        <v>168.31</v>
      </c>
      <c r="P1769" s="1">
        <f t="shared" si="249"/>
        <v>85.872448979591837</v>
      </c>
    </row>
    <row r="1770" spans="1:16">
      <c r="A1770" s="2">
        <v>40490</v>
      </c>
      <c r="B1770" s="1">
        <v>170.84</v>
      </c>
      <c r="C1770" s="1">
        <v>173.2</v>
      </c>
      <c r="D1770" s="1">
        <v>168.78</v>
      </c>
      <c r="E1770" s="1">
        <v>171.99</v>
      </c>
      <c r="F1770" s="1">
        <v>5706000</v>
      </c>
      <c r="G1770" s="1">
        <v>171.99</v>
      </c>
      <c r="H1770" s="1">
        <f t="shared" si="243"/>
        <v>4.4199999999999875</v>
      </c>
      <c r="I1770" s="9">
        <f t="shared" si="250"/>
        <v>2.6187936959355299E-2</v>
      </c>
      <c r="J1770" s="1">
        <f t="shared" si="251"/>
        <v>1.2199999999999989</v>
      </c>
      <c r="K1770" s="9">
        <f t="shared" si="244"/>
        <v>7.1441119634596166E-3</v>
      </c>
      <c r="L1770" s="1">
        <f t="shared" si="245"/>
        <v>1</v>
      </c>
      <c r="M1770" s="1">
        <f t="shared" si="246"/>
        <v>173.2</v>
      </c>
      <c r="N1770" s="1">
        <f t="shared" si="247"/>
        <v>168.78</v>
      </c>
      <c r="O1770" s="1">
        <f t="shared" si="248"/>
        <v>170.03</v>
      </c>
      <c r="P1770" s="1">
        <f t="shared" si="249"/>
        <v>86.75</v>
      </c>
    </row>
    <row r="1771" spans="1:16">
      <c r="A1771" s="2">
        <v>40487</v>
      </c>
      <c r="B1771" s="1">
        <v>169.35</v>
      </c>
      <c r="C1771" s="1">
        <v>171.65</v>
      </c>
      <c r="D1771" s="1">
        <v>168.59</v>
      </c>
      <c r="E1771" s="1">
        <v>170.77</v>
      </c>
      <c r="F1771" s="1">
        <v>5212200</v>
      </c>
      <c r="G1771" s="1">
        <v>170.77</v>
      </c>
      <c r="H1771" s="1">
        <f t="shared" si="243"/>
        <v>3.0600000000000023</v>
      </c>
      <c r="I1771" s="9">
        <f t="shared" si="250"/>
        <v>1.8150542736817144E-2</v>
      </c>
      <c r="J1771" s="1">
        <f t="shared" si="251"/>
        <v>1.8400000000000034</v>
      </c>
      <c r="K1771" s="9">
        <f t="shared" si="244"/>
        <v>1.0892085479192584E-2</v>
      </c>
      <c r="L1771" s="1">
        <f t="shared" si="245"/>
        <v>1</v>
      </c>
      <c r="M1771" s="1">
        <f t="shared" si="246"/>
        <v>171.65</v>
      </c>
      <c r="N1771" s="1">
        <f t="shared" si="247"/>
        <v>168.59</v>
      </c>
      <c r="O1771" s="1">
        <f t="shared" si="248"/>
        <v>168.81</v>
      </c>
      <c r="P1771" s="1">
        <f t="shared" si="249"/>
        <v>86.127551020408163</v>
      </c>
    </row>
    <row r="1772" spans="1:16">
      <c r="A1772" s="2">
        <v>40486</v>
      </c>
      <c r="B1772" s="1">
        <v>169.86</v>
      </c>
      <c r="C1772" s="1">
        <v>172.53</v>
      </c>
      <c r="D1772" s="1">
        <v>168.4</v>
      </c>
      <c r="E1772" s="1">
        <v>168.93</v>
      </c>
      <c r="F1772" s="1">
        <v>7395900</v>
      </c>
      <c r="G1772" s="1">
        <v>168.93</v>
      </c>
      <c r="H1772" s="1">
        <f t="shared" si="243"/>
        <v>4.1299999999999955</v>
      </c>
      <c r="I1772" s="9">
        <f t="shared" si="250"/>
        <v>2.4524940617577169E-2</v>
      </c>
      <c r="J1772" s="1">
        <f t="shared" si="251"/>
        <v>0.46000000000000796</v>
      </c>
      <c r="K1772" s="9">
        <f t="shared" si="244"/>
        <v>2.7304564610910425E-3</v>
      </c>
      <c r="L1772" s="1">
        <f t="shared" si="245"/>
        <v>1</v>
      </c>
      <c r="M1772" s="1">
        <f t="shared" si="246"/>
        <v>172.53</v>
      </c>
      <c r="N1772" s="1">
        <f t="shared" si="247"/>
        <v>168.4</v>
      </c>
      <c r="O1772" s="1">
        <f t="shared" si="248"/>
        <v>166.97</v>
      </c>
      <c r="P1772" s="1">
        <f t="shared" si="249"/>
        <v>85.188775510204081</v>
      </c>
    </row>
    <row r="1773" spans="1:16">
      <c r="A1773" s="2">
        <v>40485</v>
      </c>
      <c r="B1773" s="1">
        <v>165.4</v>
      </c>
      <c r="C1773" s="1">
        <v>168.61</v>
      </c>
      <c r="D1773" s="1">
        <v>162.29</v>
      </c>
      <c r="E1773" s="1">
        <v>168.47</v>
      </c>
      <c r="F1773" s="1">
        <v>6112100</v>
      </c>
      <c r="G1773" s="1">
        <v>168.47</v>
      </c>
      <c r="H1773" s="1">
        <f t="shared" si="243"/>
        <v>6.3200000000000216</v>
      </c>
      <c r="I1773" s="9">
        <f t="shared" si="250"/>
        <v>3.894263355721253E-2</v>
      </c>
      <c r="J1773" s="1">
        <f t="shared" si="251"/>
        <v>3.8599999999999852</v>
      </c>
      <c r="K1773" s="9">
        <f t="shared" si="244"/>
        <v>2.3449365166150204E-2</v>
      </c>
      <c r="L1773" s="1">
        <f t="shared" si="245"/>
        <v>1</v>
      </c>
      <c r="M1773" s="1">
        <f t="shared" si="246"/>
        <v>168.61</v>
      </c>
      <c r="N1773" s="1">
        <f t="shared" si="247"/>
        <v>162.29</v>
      </c>
      <c r="O1773" s="1">
        <f t="shared" si="248"/>
        <v>166.51</v>
      </c>
      <c r="P1773" s="1">
        <f t="shared" si="249"/>
        <v>84.954081632653057</v>
      </c>
    </row>
    <row r="1774" spans="1:16">
      <c r="A1774" s="2">
        <v>40484</v>
      </c>
      <c r="B1774" s="1">
        <v>163.75</v>
      </c>
      <c r="C1774" s="1">
        <v>165.94</v>
      </c>
      <c r="D1774" s="1">
        <v>163.36000000000001</v>
      </c>
      <c r="E1774" s="1">
        <v>164.61</v>
      </c>
      <c r="F1774" s="1">
        <v>4260000</v>
      </c>
      <c r="G1774" s="1">
        <v>164.61</v>
      </c>
      <c r="H1774" s="1">
        <f t="shared" si="243"/>
        <v>2.5799999999999841</v>
      </c>
      <c r="I1774" s="9">
        <f t="shared" si="250"/>
        <v>1.5793339862879431E-2</v>
      </c>
      <c r="J1774" s="1">
        <f t="shared" si="251"/>
        <v>2.0300000000000011</v>
      </c>
      <c r="K1774" s="9">
        <f t="shared" si="244"/>
        <v>1.2486160659367702E-2</v>
      </c>
      <c r="L1774" s="1">
        <f t="shared" si="245"/>
        <v>1</v>
      </c>
      <c r="M1774" s="1">
        <f t="shared" si="246"/>
        <v>165.94</v>
      </c>
      <c r="N1774" s="1">
        <f t="shared" si="247"/>
        <v>163.36000000000001</v>
      </c>
      <c r="O1774" s="1">
        <f t="shared" si="248"/>
        <v>162.65</v>
      </c>
      <c r="P1774" s="1">
        <f t="shared" si="249"/>
        <v>82.984693877551024</v>
      </c>
    </row>
    <row r="1775" spans="1:16">
      <c r="A1775" s="2">
        <v>40483</v>
      </c>
      <c r="B1775" s="1">
        <v>164.45</v>
      </c>
      <c r="C1775" s="1">
        <v>164.58</v>
      </c>
      <c r="D1775" s="1">
        <v>161.52000000000001</v>
      </c>
      <c r="E1775" s="1">
        <v>162.58000000000001</v>
      </c>
      <c r="F1775" s="1">
        <v>5239900</v>
      </c>
      <c r="G1775" s="1">
        <v>162.58000000000001</v>
      </c>
      <c r="H1775" s="1">
        <f t="shared" si="243"/>
        <v>3.0600000000000023</v>
      </c>
      <c r="I1775" s="9">
        <f t="shared" si="250"/>
        <v>1.8945022288261528E-2</v>
      </c>
      <c r="J1775" s="1">
        <f t="shared" si="251"/>
        <v>-2.6499999999999773</v>
      </c>
      <c r="K1775" s="9">
        <f t="shared" si="244"/>
        <v>-1.6038249712521803E-2</v>
      </c>
      <c r="L1775" s="1">
        <f t="shared" si="245"/>
        <v>1</v>
      </c>
      <c r="M1775" s="1">
        <f t="shared" si="246"/>
        <v>164.58</v>
      </c>
      <c r="N1775" s="1">
        <f t="shared" si="247"/>
        <v>161.52000000000001</v>
      </c>
      <c r="O1775" s="1">
        <f t="shared" si="248"/>
        <v>160.62</v>
      </c>
      <c r="P1775" s="1">
        <f t="shared" si="249"/>
        <v>81.948979591836732</v>
      </c>
    </row>
    <row r="1776" spans="1:16">
      <c r="A1776" s="2">
        <v>40480</v>
      </c>
      <c r="B1776" s="1">
        <v>165.8</v>
      </c>
      <c r="C1776" s="1">
        <v>168.5</v>
      </c>
      <c r="D1776" s="1">
        <v>164.81</v>
      </c>
      <c r="E1776" s="1">
        <v>165.23</v>
      </c>
      <c r="F1776" s="1">
        <v>4998500</v>
      </c>
      <c r="G1776" s="1">
        <v>165.23</v>
      </c>
      <c r="H1776" s="1">
        <f t="shared" si="243"/>
        <v>3.6899999999999977</v>
      </c>
      <c r="I1776" s="9">
        <f t="shared" si="250"/>
        <v>2.2389418117832641E-2</v>
      </c>
      <c r="J1776" s="1">
        <f t="shared" si="251"/>
        <v>-1.6100000000000136</v>
      </c>
      <c r="K1776" s="9">
        <f t="shared" si="244"/>
        <v>-9.649964037401185E-3</v>
      </c>
      <c r="L1776" s="1">
        <f t="shared" si="245"/>
        <v>1</v>
      </c>
      <c r="M1776" s="1">
        <f t="shared" si="246"/>
        <v>168.5</v>
      </c>
      <c r="N1776" s="1">
        <f t="shared" si="247"/>
        <v>164.81</v>
      </c>
      <c r="O1776" s="1">
        <f t="shared" si="248"/>
        <v>163.26999999999998</v>
      </c>
      <c r="P1776" s="1">
        <f t="shared" si="249"/>
        <v>83.301020408163254</v>
      </c>
    </row>
    <row r="1777" spans="1:16">
      <c r="A1777" s="2">
        <v>40479</v>
      </c>
      <c r="B1777" s="1">
        <v>168.31</v>
      </c>
      <c r="C1777" s="1">
        <v>168.49</v>
      </c>
      <c r="D1777" s="1">
        <v>165.05</v>
      </c>
      <c r="E1777" s="1">
        <v>166.84</v>
      </c>
      <c r="F1777" s="1">
        <v>4684400</v>
      </c>
      <c r="G1777" s="1">
        <v>166.84</v>
      </c>
      <c r="H1777" s="1">
        <f t="shared" si="243"/>
        <v>3.4399999999999977</v>
      </c>
      <c r="I1777" s="9">
        <f t="shared" si="250"/>
        <v>2.084216903968493E-2</v>
      </c>
      <c r="J1777" s="1">
        <f t="shared" si="251"/>
        <v>-0.66999999999998749</v>
      </c>
      <c r="K1777" s="9">
        <f t="shared" si="244"/>
        <v>-3.9997612082859979E-3</v>
      </c>
      <c r="L1777" s="1">
        <f t="shared" si="245"/>
        <v>1</v>
      </c>
      <c r="M1777" s="1">
        <f t="shared" si="246"/>
        <v>168.49</v>
      </c>
      <c r="N1777" s="1">
        <f t="shared" si="247"/>
        <v>165.05</v>
      </c>
      <c r="O1777" s="1">
        <f t="shared" si="248"/>
        <v>164.88</v>
      </c>
      <c r="P1777" s="1">
        <f t="shared" si="249"/>
        <v>84.122448979591837</v>
      </c>
    </row>
    <row r="1778" spans="1:16">
      <c r="A1778" s="2">
        <v>40478</v>
      </c>
      <c r="B1778" s="1">
        <v>168.91</v>
      </c>
      <c r="C1778" s="1">
        <v>169.75</v>
      </c>
      <c r="D1778" s="1">
        <v>166.54</v>
      </c>
      <c r="E1778" s="1">
        <v>167.51</v>
      </c>
      <c r="F1778" s="1">
        <v>5721800</v>
      </c>
      <c r="G1778" s="1">
        <v>167.51</v>
      </c>
      <c r="H1778" s="1">
        <f t="shared" si="243"/>
        <v>3.210000000000008</v>
      </c>
      <c r="I1778" s="9">
        <f t="shared" si="250"/>
        <v>1.9274648733037157E-2</v>
      </c>
      <c r="J1778" s="1">
        <f t="shared" si="251"/>
        <v>-2.4399999999999977</v>
      </c>
      <c r="K1778" s="9">
        <f t="shared" si="244"/>
        <v>-1.4357163871726966E-2</v>
      </c>
      <c r="L1778" s="1">
        <f t="shared" si="245"/>
        <v>1</v>
      </c>
      <c r="M1778" s="1">
        <f t="shared" si="246"/>
        <v>169.75</v>
      </c>
      <c r="N1778" s="1">
        <f t="shared" si="247"/>
        <v>166.54</v>
      </c>
      <c r="O1778" s="1">
        <f t="shared" si="248"/>
        <v>165.54999999999998</v>
      </c>
      <c r="P1778" s="1">
        <f t="shared" si="249"/>
        <v>84.464285714285708</v>
      </c>
    </row>
    <row r="1779" spans="1:16">
      <c r="A1779" s="2">
        <v>40477</v>
      </c>
      <c r="B1779" s="1">
        <v>167.57</v>
      </c>
      <c r="C1779" s="1">
        <v>171</v>
      </c>
      <c r="D1779" s="1">
        <v>167.5</v>
      </c>
      <c r="E1779" s="1">
        <v>169.95</v>
      </c>
      <c r="F1779" s="1">
        <v>4689600</v>
      </c>
      <c r="G1779" s="1">
        <v>169.95</v>
      </c>
      <c r="H1779" s="1">
        <f t="shared" si="243"/>
        <v>3.5</v>
      </c>
      <c r="I1779" s="9">
        <f t="shared" si="250"/>
        <v>2.0895522388059702E-2</v>
      </c>
      <c r="J1779" s="1">
        <f t="shared" si="251"/>
        <v>0.94999999999998863</v>
      </c>
      <c r="K1779" s="9">
        <f t="shared" si="244"/>
        <v>5.6213017751478621E-3</v>
      </c>
      <c r="L1779" s="1">
        <f t="shared" si="245"/>
        <v>1</v>
      </c>
      <c r="M1779" s="1">
        <f t="shared" si="246"/>
        <v>171</v>
      </c>
      <c r="N1779" s="1">
        <f t="shared" si="247"/>
        <v>167.5</v>
      </c>
      <c r="O1779" s="1">
        <f t="shared" si="248"/>
        <v>167.98999999999998</v>
      </c>
      <c r="P1779" s="1">
        <f t="shared" si="249"/>
        <v>85.709183673469383</v>
      </c>
    </row>
    <row r="1780" spans="1:16">
      <c r="A1780" s="2">
        <v>40476</v>
      </c>
      <c r="B1780" s="1">
        <v>171.57</v>
      </c>
      <c r="C1780" s="1">
        <v>171.99</v>
      </c>
      <c r="D1780" s="1">
        <v>168.32</v>
      </c>
      <c r="E1780" s="1">
        <v>169</v>
      </c>
      <c r="F1780" s="1">
        <v>6530900</v>
      </c>
      <c r="G1780" s="1">
        <v>169</v>
      </c>
      <c r="H1780" s="1">
        <f t="shared" si="243"/>
        <v>3.6700000000000159</v>
      </c>
      <c r="I1780" s="9">
        <f t="shared" si="250"/>
        <v>2.1803707224334695E-2</v>
      </c>
      <c r="J1780" s="1">
        <f t="shared" si="251"/>
        <v>-0.12999999999999545</v>
      </c>
      <c r="K1780" s="9">
        <f t="shared" si="244"/>
        <v>-7.6863950807068795E-4</v>
      </c>
      <c r="L1780" s="1">
        <f t="shared" si="245"/>
        <v>1</v>
      </c>
      <c r="M1780" s="1">
        <f t="shared" si="246"/>
        <v>171.99</v>
      </c>
      <c r="N1780" s="1">
        <f t="shared" si="247"/>
        <v>168.32</v>
      </c>
      <c r="O1780" s="1">
        <f t="shared" si="248"/>
        <v>167.04</v>
      </c>
      <c r="P1780" s="1">
        <f t="shared" si="249"/>
        <v>85.224489795918359</v>
      </c>
    </row>
    <row r="1781" spans="1:16">
      <c r="A1781" s="2">
        <v>40473</v>
      </c>
      <c r="B1781" s="1">
        <v>162.44999999999999</v>
      </c>
      <c r="C1781" s="1">
        <v>170.17</v>
      </c>
      <c r="D1781" s="1">
        <v>162.27000000000001</v>
      </c>
      <c r="E1781" s="1">
        <v>169.13</v>
      </c>
      <c r="F1781" s="1">
        <v>16318400</v>
      </c>
      <c r="G1781" s="1">
        <v>169.13</v>
      </c>
      <c r="H1781" s="1">
        <f t="shared" si="243"/>
        <v>7.8999999999999773</v>
      </c>
      <c r="I1781" s="9">
        <f t="shared" si="250"/>
        <v>4.8684291612744048E-2</v>
      </c>
      <c r="J1781" s="1">
        <f t="shared" si="251"/>
        <v>4.1599999999999966</v>
      </c>
      <c r="K1781" s="9">
        <f t="shared" si="244"/>
        <v>2.5216706067769878E-2</v>
      </c>
      <c r="L1781" s="1">
        <f t="shared" si="245"/>
        <v>1</v>
      </c>
      <c r="M1781" s="1">
        <f t="shared" si="246"/>
        <v>170.17</v>
      </c>
      <c r="N1781" s="1">
        <f t="shared" si="247"/>
        <v>162.27000000000001</v>
      </c>
      <c r="O1781" s="1">
        <f t="shared" si="248"/>
        <v>167.17</v>
      </c>
      <c r="P1781" s="1">
        <f t="shared" si="249"/>
        <v>85.290816326530603</v>
      </c>
    </row>
    <row r="1782" spans="1:16">
      <c r="A1782" s="2">
        <v>40472</v>
      </c>
      <c r="B1782" s="1">
        <v>162.66999999999999</v>
      </c>
      <c r="C1782" s="1">
        <v>166.13</v>
      </c>
      <c r="D1782" s="1">
        <v>161.29</v>
      </c>
      <c r="E1782" s="1">
        <v>164.97</v>
      </c>
      <c r="F1782" s="1">
        <v>13482500</v>
      </c>
      <c r="G1782" s="1">
        <v>164.97</v>
      </c>
      <c r="H1782" s="1">
        <f t="shared" si="243"/>
        <v>4.8400000000000034</v>
      </c>
      <c r="I1782" s="9">
        <f t="shared" si="250"/>
        <v>3.0008060016120056E-2</v>
      </c>
      <c r="J1782" s="1">
        <f t="shared" si="251"/>
        <v>6.3000000000000114</v>
      </c>
      <c r="K1782" s="9">
        <f t="shared" si="244"/>
        <v>3.9705048213272906E-2</v>
      </c>
      <c r="L1782" s="1">
        <f t="shared" si="245"/>
        <v>1</v>
      </c>
      <c r="M1782" s="1">
        <f t="shared" si="246"/>
        <v>166.13</v>
      </c>
      <c r="N1782" s="1">
        <f t="shared" si="247"/>
        <v>161.29</v>
      </c>
      <c r="O1782" s="1">
        <f t="shared" si="248"/>
        <v>163.01</v>
      </c>
      <c r="P1782" s="1">
        <f t="shared" si="249"/>
        <v>83.168367346938766</v>
      </c>
    </row>
    <row r="1783" spans="1:16">
      <c r="A1783" s="2">
        <v>40471</v>
      </c>
      <c r="B1783" s="1">
        <v>158.78</v>
      </c>
      <c r="C1783" s="1">
        <v>159.87</v>
      </c>
      <c r="D1783" s="1">
        <v>156.57</v>
      </c>
      <c r="E1783" s="1">
        <v>158.66999999999999</v>
      </c>
      <c r="F1783" s="1">
        <v>5790400</v>
      </c>
      <c r="G1783" s="1">
        <v>158.66999999999999</v>
      </c>
      <c r="H1783" s="1">
        <f t="shared" si="243"/>
        <v>3.3000000000000114</v>
      </c>
      <c r="I1783" s="9">
        <f t="shared" si="250"/>
        <v>2.1076834642651924E-2</v>
      </c>
      <c r="J1783" s="1">
        <f t="shared" si="251"/>
        <v>0</v>
      </c>
      <c r="K1783" s="9">
        <f t="shared" si="244"/>
        <v>0</v>
      </c>
      <c r="L1783" s="1">
        <f t="shared" si="245"/>
        <v>1</v>
      </c>
      <c r="M1783" s="1">
        <f t="shared" si="246"/>
        <v>159.87</v>
      </c>
      <c r="N1783" s="1">
        <f t="shared" si="247"/>
        <v>156.57</v>
      </c>
      <c r="O1783" s="1">
        <f t="shared" si="248"/>
        <v>156.70999999999998</v>
      </c>
      <c r="P1783" s="1">
        <f t="shared" si="249"/>
        <v>79.954081632653057</v>
      </c>
    </row>
    <row r="1784" spans="1:16">
      <c r="A1784" s="2">
        <v>40470</v>
      </c>
      <c r="B1784" s="1">
        <v>160.68</v>
      </c>
      <c r="C1784" s="1">
        <v>162.80000000000001</v>
      </c>
      <c r="D1784" s="1">
        <v>157</v>
      </c>
      <c r="E1784" s="1">
        <v>158.66999999999999</v>
      </c>
      <c r="F1784" s="1">
        <v>7525000</v>
      </c>
      <c r="G1784" s="1">
        <v>158.66999999999999</v>
      </c>
      <c r="H1784" s="1">
        <f t="shared" si="243"/>
        <v>5.8000000000000114</v>
      </c>
      <c r="I1784" s="9">
        <f t="shared" si="250"/>
        <v>3.6942675159235744E-2</v>
      </c>
      <c r="J1784" s="1">
        <f t="shared" si="251"/>
        <v>-4.8900000000000148</v>
      </c>
      <c r="K1784" s="9">
        <f t="shared" si="244"/>
        <v>-2.9897285399853354E-2</v>
      </c>
      <c r="L1784" s="1">
        <f t="shared" si="245"/>
        <v>1</v>
      </c>
      <c r="M1784" s="1">
        <f t="shared" si="246"/>
        <v>162.80000000000001</v>
      </c>
      <c r="N1784" s="1">
        <f t="shared" si="247"/>
        <v>157</v>
      </c>
      <c r="O1784" s="1">
        <f t="shared" si="248"/>
        <v>156.70999999999998</v>
      </c>
      <c r="P1784" s="1">
        <f t="shared" si="249"/>
        <v>79.954081632653057</v>
      </c>
    </row>
    <row r="1785" spans="1:16">
      <c r="A1785" s="2">
        <v>40469</v>
      </c>
      <c r="B1785" s="1">
        <v>165</v>
      </c>
      <c r="C1785" s="1">
        <v>165.19</v>
      </c>
      <c r="D1785" s="1">
        <v>161.82</v>
      </c>
      <c r="E1785" s="1">
        <v>163.56</v>
      </c>
      <c r="F1785" s="1">
        <v>6331300</v>
      </c>
      <c r="G1785" s="1">
        <v>163.56</v>
      </c>
      <c r="H1785" s="1">
        <f t="shared" si="243"/>
        <v>3.3700000000000045</v>
      </c>
      <c r="I1785" s="9">
        <f t="shared" si="250"/>
        <v>2.0825608701025861E-2</v>
      </c>
      <c r="J1785" s="1">
        <f t="shared" si="251"/>
        <v>-1.0799999999999841</v>
      </c>
      <c r="K1785" s="9">
        <f t="shared" si="244"/>
        <v>-6.5597667638483004E-3</v>
      </c>
      <c r="L1785" s="1">
        <f t="shared" si="245"/>
        <v>1</v>
      </c>
      <c r="M1785" s="1">
        <f t="shared" si="246"/>
        <v>165.19</v>
      </c>
      <c r="N1785" s="1">
        <f t="shared" si="247"/>
        <v>161.82</v>
      </c>
      <c r="O1785" s="1">
        <f t="shared" si="248"/>
        <v>161.6</v>
      </c>
      <c r="P1785" s="1">
        <f t="shared" si="249"/>
        <v>82.448979591836732</v>
      </c>
    </row>
    <row r="1786" spans="1:16">
      <c r="A1786" s="2">
        <v>40466</v>
      </c>
      <c r="B1786" s="1">
        <v>158.41999999999999</v>
      </c>
      <c r="C1786" s="1">
        <v>164.88</v>
      </c>
      <c r="D1786" s="1">
        <v>156.75</v>
      </c>
      <c r="E1786" s="1">
        <v>164.64</v>
      </c>
      <c r="F1786" s="1">
        <v>10135500</v>
      </c>
      <c r="G1786" s="1">
        <v>164.64</v>
      </c>
      <c r="H1786" s="1">
        <f t="shared" si="243"/>
        <v>8.1299999999999955</v>
      </c>
      <c r="I1786" s="9">
        <f t="shared" si="250"/>
        <v>5.1866028708133942E-2</v>
      </c>
      <c r="J1786" s="1">
        <f t="shared" si="251"/>
        <v>9.1099999999999852</v>
      </c>
      <c r="K1786" s="9">
        <f t="shared" si="244"/>
        <v>5.857390857069366E-2</v>
      </c>
      <c r="L1786" s="1">
        <f t="shared" si="245"/>
        <v>1</v>
      </c>
      <c r="M1786" s="1">
        <f t="shared" si="246"/>
        <v>164.88</v>
      </c>
      <c r="N1786" s="1">
        <f t="shared" si="247"/>
        <v>156.75</v>
      </c>
      <c r="O1786" s="1">
        <f t="shared" si="248"/>
        <v>162.67999999999998</v>
      </c>
      <c r="P1786" s="1">
        <f t="shared" si="249"/>
        <v>82.999999999999986</v>
      </c>
    </row>
    <row r="1787" spans="1:16">
      <c r="A1787" s="2">
        <v>40465</v>
      </c>
      <c r="B1787" s="1">
        <v>155.16</v>
      </c>
      <c r="C1787" s="1">
        <v>156.94999999999999</v>
      </c>
      <c r="D1787" s="1">
        <v>154.22999999999999</v>
      </c>
      <c r="E1787" s="1">
        <v>155.53</v>
      </c>
      <c r="F1787" s="1">
        <v>4024100</v>
      </c>
      <c r="G1787" s="1">
        <v>155.53</v>
      </c>
      <c r="H1787" s="1">
        <f t="shared" si="243"/>
        <v>2.7199999999999989</v>
      </c>
      <c r="I1787" s="9">
        <f t="shared" si="250"/>
        <v>1.7635998184529593E-2</v>
      </c>
      <c r="J1787" s="1">
        <f t="shared" si="251"/>
        <v>0.36000000000001364</v>
      </c>
      <c r="K1787" s="9">
        <f t="shared" si="244"/>
        <v>2.3200360894503683E-3</v>
      </c>
      <c r="L1787" s="1">
        <f t="shared" si="245"/>
        <v>1</v>
      </c>
      <c r="M1787" s="1">
        <f t="shared" si="246"/>
        <v>156.94999999999999</v>
      </c>
      <c r="N1787" s="1">
        <f t="shared" si="247"/>
        <v>154.22999999999999</v>
      </c>
      <c r="O1787" s="1">
        <f t="shared" si="248"/>
        <v>153.57</v>
      </c>
      <c r="P1787" s="1">
        <f t="shared" si="249"/>
        <v>78.352040816326522</v>
      </c>
    </row>
    <row r="1788" spans="1:16">
      <c r="A1788" s="2">
        <v>40464</v>
      </c>
      <c r="B1788" s="1">
        <v>156.69</v>
      </c>
      <c r="C1788" s="1">
        <v>156.79</v>
      </c>
      <c r="D1788" s="1">
        <v>153.85</v>
      </c>
      <c r="E1788" s="1">
        <v>155.16999999999999</v>
      </c>
      <c r="F1788" s="1">
        <v>5632800</v>
      </c>
      <c r="G1788" s="1">
        <v>155.16999999999999</v>
      </c>
      <c r="H1788" s="1">
        <f t="shared" si="243"/>
        <v>2.9399999999999977</v>
      </c>
      <c r="I1788" s="9">
        <f t="shared" si="250"/>
        <v>1.9109522261943436E-2</v>
      </c>
      <c r="J1788" s="1">
        <f t="shared" si="251"/>
        <v>-1.3100000000000023</v>
      </c>
      <c r="K1788" s="9">
        <f t="shared" si="244"/>
        <v>-8.3716768916155572E-3</v>
      </c>
      <c r="L1788" s="1">
        <f t="shared" si="245"/>
        <v>1</v>
      </c>
      <c r="M1788" s="1">
        <f t="shared" si="246"/>
        <v>156.79</v>
      </c>
      <c r="N1788" s="1">
        <f t="shared" si="247"/>
        <v>153.85</v>
      </c>
      <c r="O1788" s="1">
        <f t="shared" si="248"/>
        <v>153.20999999999998</v>
      </c>
      <c r="P1788" s="1">
        <f t="shared" si="249"/>
        <v>78.168367346938766</v>
      </c>
    </row>
    <row r="1789" spans="1:16">
      <c r="A1789" s="2">
        <v>40463</v>
      </c>
      <c r="B1789" s="1">
        <v>152.51</v>
      </c>
      <c r="C1789" s="1">
        <v>156.94999999999999</v>
      </c>
      <c r="D1789" s="1">
        <v>151.4</v>
      </c>
      <c r="E1789" s="1">
        <v>156.47999999999999</v>
      </c>
      <c r="F1789" s="1">
        <v>5280800</v>
      </c>
      <c r="G1789" s="1">
        <v>156.47999999999999</v>
      </c>
      <c r="H1789" s="1">
        <f t="shared" si="243"/>
        <v>5.5499999999999829</v>
      </c>
      <c r="I1789" s="9">
        <f t="shared" si="250"/>
        <v>3.6657859973579808E-2</v>
      </c>
      <c r="J1789" s="1">
        <f t="shared" si="251"/>
        <v>3.4499999999999886</v>
      </c>
      <c r="K1789" s="9">
        <f t="shared" si="244"/>
        <v>2.2544599098215962E-2</v>
      </c>
      <c r="L1789" s="1">
        <f t="shared" si="245"/>
        <v>1</v>
      </c>
      <c r="M1789" s="1">
        <f t="shared" si="246"/>
        <v>156.94999999999999</v>
      </c>
      <c r="N1789" s="1">
        <f t="shared" si="247"/>
        <v>151.4</v>
      </c>
      <c r="O1789" s="1">
        <f t="shared" si="248"/>
        <v>154.51999999999998</v>
      </c>
      <c r="P1789" s="1">
        <f t="shared" si="249"/>
        <v>78.836734693877546</v>
      </c>
    </row>
    <row r="1790" spans="1:16">
      <c r="A1790" s="2">
        <v>40462</v>
      </c>
      <c r="B1790" s="1">
        <v>154.88999999999999</v>
      </c>
      <c r="C1790" s="1">
        <v>156.63</v>
      </c>
      <c r="D1790" s="1">
        <v>152.34</v>
      </c>
      <c r="E1790" s="1">
        <v>153.03</v>
      </c>
      <c r="F1790" s="1">
        <v>4486400</v>
      </c>
      <c r="G1790" s="1">
        <v>153.03</v>
      </c>
      <c r="H1790" s="1">
        <f t="shared" si="243"/>
        <v>4.289999999999992</v>
      </c>
      <c r="I1790" s="9">
        <f t="shared" si="250"/>
        <v>2.8160693186293762E-2</v>
      </c>
      <c r="J1790" s="1">
        <f t="shared" si="251"/>
        <v>-2.5200000000000102</v>
      </c>
      <c r="K1790" s="9">
        <f t="shared" si="244"/>
        <v>-1.6200578592092639E-2</v>
      </c>
      <c r="L1790" s="1">
        <f t="shared" si="245"/>
        <v>1</v>
      </c>
      <c r="M1790" s="1">
        <f t="shared" si="246"/>
        <v>156.63</v>
      </c>
      <c r="N1790" s="1">
        <f t="shared" si="247"/>
        <v>152.34</v>
      </c>
      <c r="O1790" s="1">
        <f t="shared" si="248"/>
        <v>151.07</v>
      </c>
      <c r="P1790" s="1">
        <f t="shared" si="249"/>
        <v>77.076530612244895</v>
      </c>
    </row>
    <row r="1791" spans="1:16">
      <c r="A1791" s="2">
        <v>40459</v>
      </c>
      <c r="B1791" s="1">
        <v>155.18</v>
      </c>
      <c r="C1791" s="1">
        <v>156.28</v>
      </c>
      <c r="D1791" s="1">
        <v>152.78</v>
      </c>
      <c r="E1791" s="1">
        <v>155.55000000000001</v>
      </c>
      <c r="F1791" s="1">
        <v>6918400</v>
      </c>
      <c r="G1791" s="1">
        <v>155.55000000000001</v>
      </c>
      <c r="H1791" s="1">
        <f t="shared" si="243"/>
        <v>3.5</v>
      </c>
      <c r="I1791" s="9">
        <f t="shared" si="250"/>
        <v>2.2908757690797223E-2</v>
      </c>
      <c r="J1791" s="1">
        <f t="shared" si="251"/>
        <v>-0.71999999999999886</v>
      </c>
      <c r="K1791" s="9">
        <f t="shared" si="244"/>
        <v>-4.6074102514878021E-3</v>
      </c>
      <c r="L1791" s="1">
        <f t="shared" si="245"/>
        <v>1</v>
      </c>
      <c r="M1791" s="1">
        <f t="shared" si="246"/>
        <v>156.28</v>
      </c>
      <c r="N1791" s="1">
        <f t="shared" si="247"/>
        <v>152.78</v>
      </c>
      <c r="O1791" s="1">
        <f t="shared" si="248"/>
        <v>153.59</v>
      </c>
      <c r="P1791" s="1">
        <f t="shared" si="249"/>
        <v>78.362244897959187</v>
      </c>
    </row>
    <row r="1792" spans="1:16">
      <c r="A1792" s="2">
        <v>40458</v>
      </c>
      <c r="B1792" s="1">
        <v>156.51</v>
      </c>
      <c r="C1792" s="1">
        <v>157.4</v>
      </c>
      <c r="D1792" s="1">
        <v>153.38999999999999</v>
      </c>
      <c r="E1792" s="1">
        <v>156.27000000000001</v>
      </c>
      <c r="F1792" s="1">
        <v>4622000</v>
      </c>
      <c r="G1792" s="1">
        <v>156.27000000000001</v>
      </c>
      <c r="H1792" s="1">
        <f t="shared" si="243"/>
        <v>4.0100000000000193</v>
      </c>
      <c r="I1792" s="9">
        <f t="shared" si="250"/>
        <v>2.6142512549710017E-2</v>
      </c>
      <c r="J1792" s="1">
        <f t="shared" si="251"/>
        <v>0.87000000000000455</v>
      </c>
      <c r="K1792" s="9">
        <f t="shared" si="244"/>
        <v>5.5984555984556275E-3</v>
      </c>
      <c r="L1792" s="1">
        <f t="shared" si="245"/>
        <v>1</v>
      </c>
      <c r="M1792" s="1">
        <f t="shared" si="246"/>
        <v>157.4</v>
      </c>
      <c r="N1792" s="1">
        <f t="shared" si="247"/>
        <v>153.38999999999999</v>
      </c>
      <c r="O1792" s="1">
        <f t="shared" si="248"/>
        <v>154.31</v>
      </c>
      <c r="P1792" s="1">
        <f t="shared" si="249"/>
        <v>78.729591836734699</v>
      </c>
    </row>
    <row r="1793" spans="1:16">
      <c r="A1793" s="2">
        <v>40457</v>
      </c>
      <c r="B1793" s="1">
        <v>160.6</v>
      </c>
      <c r="C1793" s="1">
        <v>160.68</v>
      </c>
      <c r="D1793" s="1">
        <v>154.6</v>
      </c>
      <c r="E1793" s="1">
        <v>155.4</v>
      </c>
      <c r="F1793" s="1">
        <v>6060800</v>
      </c>
      <c r="G1793" s="1">
        <v>155.4</v>
      </c>
      <c r="H1793" s="1">
        <f t="shared" si="243"/>
        <v>6.0800000000000125</v>
      </c>
      <c r="I1793" s="9">
        <f t="shared" si="250"/>
        <v>3.9327296248383006E-2</v>
      </c>
      <c r="J1793" s="1">
        <f t="shared" si="251"/>
        <v>-5.4699999999999989</v>
      </c>
      <c r="K1793" s="9">
        <f t="shared" si="244"/>
        <v>-3.4002610803754579E-2</v>
      </c>
      <c r="L1793" s="1">
        <f t="shared" si="245"/>
        <v>1</v>
      </c>
      <c r="M1793" s="1">
        <f t="shared" si="246"/>
        <v>160.68</v>
      </c>
      <c r="N1793" s="1">
        <f t="shared" si="247"/>
        <v>154.6</v>
      </c>
      <c r="O1793" s="1">
        <f t="shared" si="248"/>
        <v>153.44</v>
      </c>
      <c r="P1793" s="1">
        <f t="shared" si="249"/>
        <v>78.285714285714292</v>
      </c>
    </row>
    <row r="1794" spans="1:16">
      <c r="A1794" s="2">
        <v>40456</v>
      </c>
      <c r="B1794" s="1">
        <v>157.08000000000001</v>
      </c>
      <c r="C1794" s="1">
        <v>161.21</v>
      </c>
      <c r="D1794" s="1">
        <v>157.01</v>
      </c>
      <c r="E1794" s="1">
        <v>160.87</v>
      </c>
      <c r="F1794" s="1">
        <v>5620000</v>
      </c>
      <c r="G1794" s="1">
        <v>160.87</v>
      </c>
      <c r="H1794" s="1">
        <f t="shared" si="243"/>
        <v>4.2000000000000171</v>
      </c>
      <c r="I1794" s="9">
        <f t="shared" si="250"/>
        <v>2.6749888542131183E-2</v>
      </c>
      <c r="J1794" s="1">
        <f t="shared" si="251"/>
        <v>5.4800000000000182</v>
      </c>
      <c r="K1794" s="9">
        <f t="shared" si="244"/>
        <v>3.5266104639938338E-2</v>
      </c>
      <c r="L1794" s="1">
        <f t="shared" si="245"/>
        <v>1</v>
      </c>
      <c r="M1794" s="1">
        <f t="shared" si="246"/>
        <v>161.21</v>
      </c>
      <c r="N1794" s="1">
        <f t="shared" si="247"/>
        <v>157.01</v>
      </c>
      <c r="O1794" s="1">
        <f t="shared" si="248"/>
        <v>158.91</v>
      </c>
      <c r="P1794" s="1">
        <f t="shared" si="249"/>
        <v>81.076530612244895</v>
      </c>
    </row>
    <row r="1795" spans="1:16">
      <c r="A1795" s="2">
        <v>40455</v>
      </c>
      <c r="B1795" s="1">
        <v>153.94999999999999</v>
      </c>
      <c r="C1795" s="1">
        <v>155.96</v>
      </c>
      <c r="D1795" s="1">
        <v>152.79</v>
      </c>
      <c r="E1795" s="1">
        <v>155.38999999999999</v>
      </c>
      <c r="F1795" s="1">
        <v>5346500</v>
      </c>
      <c r="G1795" s="1">
        <v>155.38999999999999</v>
      </c>
      <c r="H1795" s="1">
        <f t="shared" ref="H1795:H1858" si="252">C1795-D1795</f>
        <v>3.1700000000000159</v>
      </c>
      <c r="I1795" s="9">
        <f t="shared" si="250"/>
        <v>2.0747431114601846E-2</v>
      </c>
      <c r="J1795" s="1">
        <f t="shared" si="251"/>
        <v>1.6799999999999784</v>
      </c>
      <c r="K1795" s="9">
        <f t="shared" ref="K1795:K1858" si="253">(G1795-G1796)/G1796</f>
        <v>1.0929672760392807E-2</v>
      </c>
      <c r="L1795" s="1">
        <f t="shared" ref="L1795:L1858" si="254">G1795/E1795</f>
        <v>1</v>
      </c>
      <c r="M1795" s="1">
        <f t="shared" ref="M1795:M1858" si="255">L1795*C1795</f>
        <v>155.96</v>
      </c>
      <c r="N1795" s="1">
        <f t="shared" ref="N1795:N1858" si="256">L1795*D1795</f>
        <v>152.79</v>
      </c>
      <c r="O1795" s="1">
        <f t="shared" ref="O1795:O1858" si="257">G1795-$G$5163</f>
        <v>153.42999999999998</v>
      </c>
      <c r="P1795" s="1">
        <f t="shared" ref="P1795:P1858" si="258">(G1795-$G$5163)/$G$5163</f>
        <v>78.280612244897952</v>
      </c>
    </row>
    <row r="1796" spans="1:16">
      <c r="A1796" s="2">
        <v>40452</v>
      </c>
      <c r="B1796" s="1">
        <v>157.08000000000001</v>
      </c>
      <c r="C1796" s="1">
        <v>157.44</v>
      </c>
      <c r="D1796" s="1">
        <v>152.19999999999999</v>
      </c>
      <c r="E1796" s="1">
        <v>153.71</v>
      </c>
      <c r="F1796" s="1">
        <v>8683400</v>
      </c>
      <c r="G1796" s="1">
        <v>153.71</v>
      </c>
      <c r="H1796" s="1">
        <f t="shared" si="252"/>
        <v>5.2400000000000091</v>
      </c>
      <c r="I1796" s="9">
        <f t="shared" ref="I1796:I1859" si="259">(C1796-D1796)/D1796</f>
        <v>3.4428383705650524E-2</v>
      </c>
      <c r="J1796" s="1">
        <f t="shared" ref="J1796:J1859" si="260">G1796-G1797</f>
        <v>-3.3499999999999943</v>
      </c>
      <c r="K1796" s="9">
        <f t="shared" si="253"/>
        <v>-2.1329428243983154E-2</v>
      </c>
      <c r="L1796" s="1">
        <f t="shared" si="254"/>
        <v>1</v>
      </c>
      <c r="M1796" s="1">
        <f t="shared" si="255"/>
        <v>157.44</v>
      </c>
      <c r="N1796" s="1">
        <f t="shared" si="256"/>
        <v>152.19999999999999</v>
      </c>
      <c r="O1796" s="1">
        <f t="shared" si="257"/>
        <v>151.75</v>
      </c>
      <c r="P1796" s="1">
        <f t="shared" si="258"/>
        <v>77.423469387755105</v>
      </c>
    </row>
    <row r="1797" spans="1:16">
      <c r="A1797" s="2">
        <v>40451</v>
      </c>
      <c r="B1797" s="1">
        <v>160.01</v>
      </c>
      <c r="C1797" s="1">
        <v>160.93</v>
      </c>
      <c r="D1797" s="1">
        <v>155.6</v>
      </c>
      <c r="E1797" s="1">
        <v>157.06</v>
      </c>
      <c r="F1797" s="1">
        <v>7606000</v>
      </c>
      <c r="G1797" s="1">
        <v>157.06</v>
      </c>
      <c r="H1797" s="1">
        <f t="shared" si="252"/>
        <v>5.3300000000000125</v>
      </c>
      <c r="I1797" s="9">
        <f t="shared" si="259"/>
        <v>3.4254498714653039E-2</v>
      </c>
      <c r="J1797" s="1">
        <f t="shared" si="260"/>
        <v>-1.9300000000000068</v>
      </c>
      <c r="K1797" s="9">
        <f t="shared" si="253"/>
        <v>-1.2139128247059606E-2</v>
      </c>
      <c r="L1797" s="1">
        <f t="shared" si="254"/>
        <v>1</v>
      </c>
      <c r="M1797" s="1">
        <f t="shared" si="255"/>
        <v>160.93</v>
      </c>
      <c r="N1797" s="1">
        <f t="shared" si="256"/>
        <v>155.6</v>
      </c>
      <c r="O1797" s="1">
        <f t="shared" si="257"/>
        <v>155.1</v>
      </c>
      <c r="P1797" s="1">
        <f t="shared" si="258"/>
        <v>79.132653061224488</v>
      </c>
    </row>
    <row r="1798" spans="1:16">
      <c r="A1798" s="2">
        <v>40450</v>
      </c>
      <c r="B1798" s="1">
        <v>159.03</v>
      </c>
      <c r="C1798" s="1">
        <v>161.78</v>
      </c>
      <c r="D1798" s="1">
        <v>157.75</v>
      </c>
      <c r="E1798" s="1">
        <v>158.99</v>
      </c>
      <c r="F1798" s="1">
        <v>7287500</v>
      </c>
      <c r="G1798" s="1">
        <v>158.99</v>
      </c>
      <c r="H1798" s="1">
        <f t="shared" si="252"/>
        <v>4.0300000000000011</v>
      </c>
      <c r="I1798" s="9">
        <f t="shared" si="259"/>
        <v>2.5546751188589546E-2</v>
      </c>
      <c r="J1798" s="1">
        <f t="shared" si="260"/>
        <v>-0.70999999999997954</v>
      </c>
      <c r="K1798" s="9">
        <f t="shared" si="253"/>
        <v>-4.4458359423918568E-3</v>
      </c>
      <c r="L1798" s="1">
        <f t="shared" si="254"/>
        <v>1</v>
      </c>
      <c r="M1798" s="1">
        <f t="shared" si="255"/>
        <v>161.78</v>
      </c>
      <c r="N1798" s="1">
        <f t="shared" si="256"/>
        <v>157.75</v>
      </c>
      <c r="O1798" s="1">
        <f t="shared" si="257"/>
        <v>157.03</v>
      </c>
      <c r="P1798" s="1">
        <f t="shared" si="258"/>
        <v>80.117346938775512</v>
      </c>
    </row>
    <row r="1799" spans="1:16">
      <c r="A1799" s="2">
        <v>40449</v>
      </c>
      <c r="B1799" s="1">
        <v>159.84</v>
      </c>
      <c r="C1799" s="1">
        <v>160.88</v>
      </c>
      <c r="D1799" s="1">
        <v>154.88999999999999</v>
      </c>
      <c r="E1799" s="1">
        <v>159.69999999999999</v>
      </c>
      <c r="F1799" s="1">
        <v>8494200</v>
      </c>
      <c r="G1799" s="1">
        <v>159.69999999999999</v>
      </c>
      <c r="H1799" s="1">
        <f t="shared" si="252"/>
        <v>5.9900000000000091</v>
      </c>
      <c r="I1799" s="9">
        <f t="shared" si="259"/>
        <v>3.8672606365808056E-2</v>
      </c>
      <c r="J1799" s="1">
        <f t="shared" si="260"/>
        <v>0.32999999999998408</v>
      </c>
      <c r="K1799" s="9">
        <f t="shared" si="253"/>
        <v>2.070653196962942E-3</v>
      </c>
      <c r="L1799" s="1">
        <f t="shared" si="254"/>
        <v>1</v>
      </c>
      <c r="M1799" s="1">
        <f t="shared" si="255"/>
        <v>160.88</v>
      </c>
      <c r="N1799" s="1">
        <f t="shared" si="256"/>
        <v>154.88999999999999</v>
      </c>
      <c r="O1799" s="1">
        <f t="shared" si="257"/>
        <v>157.73999999999998</v>
      </c>
      <c r="P1799" s="1">
        <f t="shared" si="258"/>
        <v>80.479591836734684</v>
      </c>
    </row>
    <row r="1800" spans="1:16">
      <c r="A1800" s="2">
        <v>40448</v>
      </c>
      <c r="B1800" s="1">
        <v>160.22</v>
      </c>
      <c r="C1800" s="1">
        <v>161.19999999999999</v>
      </c>
      <c r="D1800" s="1">
        <v>157.88</v>
      </c>
      <c r="E1800" s="1">
        <v>159.37</v>
      </c>
      <c r="F1800" s="1">
        <v>6446300</v>
      </c>
      <c r="G1800" s="1">
        <v>159.37</v>
      </c>
      <c r="H1800" s="1">
        <f t="shared" si="252"/>
        <v>3.3199999999999932</v>
      </c>
      <c r="I1800" s="9">
        <f t="shared" si="259"/>
        <v>2.1028629338738239E-2</v>
      </c>
      <c r="J1800" s="1">
        <f t="shared" si="260"/>
        <v>-1.3599999999999852</v>
      </c>
      <c r="K1800" s="9">
        <f t="shared" si="253"/>
        <v>-8.4613948858332944E-3</v>
      </c>
      <c r="L1800" s="1">
        <f t="shared" si="254"/>
        <v>1</v>
      </c>
      <c r="M1800" s="1">
        <f t="shared" si="255"/>
        <v>161.19999999999999</v>
      </c>
      <c r="N1800" s="1">
        <f t="shared" si="256"/>
        <v>157.88</v>
      </c>
      <c r="O1800" s="1">
        <f t="shared" si="257"/>
        <v>157.41</v>
      </c>
      <c r="P1800" s="1">
        <f t="shared" si="258"/>
        <v>80.311224489795919</v>
      </c>
    </row>
    <row r="1801" spans="1:16">
      <c r="A1801" s="2">
        <v>40445</v>
      </c>
      <c r="B1801" s="1">
        <v>155.43</v>
      </c>
      <c r="C1801" s="1">
        <v>160.88999999999999</v>
      </c>
      <c r="D1801" s="1">
        <v>155.41999999999999</v>
      </c>
      <c r="E1801" s="1">
        <v>160.72999999999999</v>
      </c>
      <c r="F1801" s="1">
        <v>10590600</v>
      </c>
      <c r="G1801" s="1">
        <v>160.72999999999999</v>
      </c>
      <c r="H1801" s="1">
        <f t="shared" si="252"/>
        <v>5.4699999999999989</v>
      </c>
      <c r="I1801" s="9">
        <f t="shared" si="259"/>
        <v>3.5194955604169346E-2</v>
      </c>
      <c r="J1801" s="1">
        <f t="shared" si="260"/>
        <v>7.8799999999999955</v>
      </c>
      <c r="K1801" s="9">
        <f t="shared" si="253"/>
        <v>5.1553810925744167E-2</v>
      </c>
      <c r="L1801" s="1">
        <f t="shared" si="254"/>
        <v>1</v>
      </c>
      <c r="M1801" s="1">
        <f t="shared" si="255"/>
        <v>160.88999999999999</v>
      </c>
      <c r="N1801" s="1">
        <f t="shared" si="256"/>
        <v>155.41999999999999</v>
      </c>
      <c r="O1801" s="1">
        <f t="shared" si="257"/>
        <v>158.76999999999998</v>
      </c>
      <c r="P1801" s="1">
        <f t="shared" si="258"/>
        <v>81.005102040816325</v>
      </c>
    </row>
    <row r="1802" spans="1:16">
      <c r="A1802" s="2">
        <v>40444</v>
      </c>
      <c r="B1802" s="1">
        <v>151.19999999999999</v>
      </c>
      <c r="C1802" s="1">
        <v>155.91999999999999</v>
      </c>
      <c r="D1802" s="1">
        <v>150.97</v>
      </c>
      <c r="E1802" s="1">
        <v>152.85</v>
      </c>
      <c r="F1802" s="1">
        <v>7065600</v>
      </c>
      <c r="G1802" s="1">
        <v>152.85</v>
      </c>
      <c r="H1802" s="1">
        <f t="shared" si="252"/>
        <v>4.9499999999999886</v>
      </c>
      <c r="I1802" s="9">
        <f t="shared" si="259"/>
        <v>3.2787971120090006E-2</v>
      </c>
      <c r="J1802" s="1">
        <f t="shared" si="260"/>
        <v>1.0199999999999818</v>
      </c>
      <c r="K1802" s="9">
        <f t="shared" si="253"/>
        <v>6.7180399130605398E-3</v>
      </c>
      <c r="L1802" s="1">
        <f t="shared" si="254"/>
        <v>1</v>
      </c>
      <c r="M1802" s="1">
        <f t="shared" si="255"/>
        <v>155.91999999999999</v>
      </c>
      <c r="N1802" s="1">
        <f t="shared" si="256"/>
        <v>150.97</v>
      </c>
      <c r="O1802" s="1">
        <f t="shared" si="257"/>
        <v>150.88999999999999</v>
      </c>
      <c r="P1802" s="1">
        <f t="shared" si="258"/>
        <v>76.98469387755101</v>
      </c>
    </row>
    <row r="1803" spans="1:16">
      <c r="A1803" s="2">
        <v>40443</v>
      </c>
      <c r="B1803" s="1">
        <v>149.84</v>
      </c>
      <c r="C1803" s="1">
        <v>152.69999999999999</v>
      </c>
      <c r="D1803" s="1">
        <v>149.1</v>
      </c>
      <c r="E1803" s="1">
        <v>151.83000000000001</v>
      </c>
      <c r="F1803" s="1">
        <v>6612400</v>
      </c>
      <c r="G1803" s="1">
        <v>151.83000000000001</v>
      </c>
      <c r="H1803" s="1">
        <f t="shared" si="252"/>
        <v>3.5999999999999943</v>
      </c>
      <c r="I1803" s="9">
        <f t="shared" si="259"/>
        <v>2.4144869215291714E-2</v>
      </c>
      <c r="J1803" s="1">
        <f t="shared" si="260"/>
        <v>1.1000000000000227</v>
      </c>
      <c r="K1803" s="9">
        <f t="shared" si="253"/>
        <v>7.2978172891927477E-3</v>
      </c>
      <c r="L1803" s="1">
        <f t="shared" si="254"/>
        <v>1</v>
      </c>
      <c r="M1803" s="1">
        <f t="shared" si="255"/>
        <v>152.69999999999999</v>
      </c>
      <c r="N1803" s="1">
        <f t="shared" si="256"/>
        <v>149.1</v>
      </c>
      <c r="O1803" s="1">
        <f t="shared" si="257"/>
        <v>149.87</v>
      </c>
      <c r="P1803" s="1">
        <f t="shared" si="258"/>
        <v>76.464285714285722</v>
      </c>
    </row>
    <row r="1804" spans="1:16">
      <c r="A1804" s="2">
        <v>40442</v>
      </c>
      <c r="B1804" s="1">
        <v>150.76</v>
      </c>
      <c r="C1804" s="1">
        <v>153.31</v>
      </c>
      <c r="D1804" s="1">
        <v>149.6</v>
      </c>
      <c r="E1804" s="1">
        <v>150.72999999999999</v>
      </c>
      <c r="F1804" s="1">
        <v>7542000</v>
      </c>
      <c r="G1804" s="1">
        <v>150.72999999999999</v>
      </c>
      <c r="H1804" s="1">
        <f t="shared" si="252"/>
        <v>3.710000000000008</v>
      </c>
      <c r="I1804" s="9">
        <f t="shared" si="259"/>
        <v>2.4799465240641767E-2</v>
      </c>
      <c r="J1804" s="1">
        <f t="shared" si="260"/>
        <v>-0.5700000000000216</v>
      </c>
      <c r="K1804" s="9">
        <f t="shared" si="253"/>
        <v>-3.7673496364839494E-3</v>
      </c>
      <c r="L1804" s="1">
        <f t="shared" si="254"/>
        <v>1</v>
      </c>
      <c r="M1804" s="1">
        <f t="shared" si="255"/>
        <v>153.31</v>
      </c>
      <c r="N1804" s="1">
        <f t="shared" si="256"/>
        <v>149.6</v>
      </c>
      <c r="O1804" s="1">
        <f t="shared" si="257"/>
        <v>148.76999999999998</v>
      </c>
      <c r="P1804" s="1">
        <f t="shared" si="258"/>
        <v>75.90306122448979</v>
      </c>
    </row>
    <row r="1805" spans="1:16">
      <c r="A1805" s="2">
        <v>40441</v>
      </c>
      <c r="B1805" s="1">
        <v>148.69999999999999</v>
      </c>
      <c r="C1805" s="1">
        <v>151.94999999999999</v>
      </c>
      <c r="D1805" s="1">
        <v>147.35</v>
      </c>
      <c r="E1805" s="1">
        <v>151.30000000000001</v>
      </c>
      <c r="F1805" s="1">
        <v>6449400</v>
      </c>
      <c r="G1805" s="1">
        <v>151.30000000000001</v>
      </c>
      <c r="H1805" s="1">
        <f t="shared" si="252"/>
        <v>4.5999999999999943</v>
      </c>
      <c r="I1805" s="9">
        <f t="shared" si="259"/>
        <v>3.1218187987784151E-2</v>
      </c>
      <c r="J1805" s="1">
        <f t="shared" si="260"/>
        <v>2.9800000000000182</v>
      </c>
      <c r="K1805" s="9">
        <f t="shared" si="253"/>
        <v>2.009169363538308E-2</v>
      </c>
      <c r="L1805" s="1">
        <f t="shared" si="254"/>
        <v>1</v>
      </c>
      <c r="M1805" s="1">
        <f t="shared" si="255"/>
        <v>151.94999999999999</v>
      </c>
      <c r="N1805" s="1">
        <f t="shared" si="256"/>
        <v>147.35</v>
      </c>
      <c r="O1805" s="1">
        <f t="shared" si="257"/>
        <v>149.34</v>
      </c>
      <c r="P1805" s="1">
        <f t="shared" si="258"/>
        <v>76.193877551020407</v>
      </c>
    </row>
    <row r="1806" spans="1:16">
      <c r="A1806" s="2">
        <v>40438</v>
      </c>
      <c r="B1806" s="1">
        <v>148.9</v>
      </c>
      <c r="C1806" s="1">
        <v>148.97999999999999</v>
      </c>
      <c r="D1806" s="1">
        <v>146.5</v>
      </c>
      <c r="E1806" s="1">
        <v>148.32</v>
      </c>
      <c r="F1806" s="1">
        <v>7259600</v>
      </c>
      <c r="G1806" s="1">
        <v>148.32</v>
      </c>
      <c r="H1806" s="1">
        <f t="shared" si="252"/>
        <v>2.4799999999999898</v>
      </c>
      <c r="I1806" s="9">
        <f t="shared" si="259"/>
        <v>1.6928327645051124E-2</v>
      </c>
      <c r="J1806" s="1">
        <f t="shared" si="260"/>
        <v>0.18999999999999773</v>
      </c>
      <c r="K1806" s="9">
        <f t="shared" si="253"/>
        <v>1.2826571254978582E-3</v>
      </c>
      <c r="L1806" s="1">
        <f t="shared" si="254"/>
        <v>1</v>
      </c>
      <c r="M1806" s="1">
        <f t="shared" si="255"/>
        <v>148.97999999999999</v>
      </c>
      <c r="N1806" s="1">
        <f t="shared" si="256"/>
        <v>146.5</v>
      </c>
      <c r="O1806" s="1">
        <f t="shared" si="257"/>
        <v>146.35999999999999</v>
      </c>
      <c r="P1806" s="1">
        <f t="shared" si="258"/>
        <v>74.673469387755091</v>
      </c>
    </row>
    <row r="1807" spans="1:16">
      <c r="A1807" s="2">
        <v>40437</v>
      </c>
      <c r="B1807" s="1">
        <v>145.4</v>
      </c>
      <c r="C1807" s="1">
        <v>148.22999999999999</v>
      </c>
      <c r="D1807" s="1">
        <v>145.16</v>
      </c>
      <c r="E1807" s="1">
        <v>148.13</v>
      </c>
      <c r="F1807" s="1">
        <v>5827000</v>
      </c>
      <c r="G1807" s="1">
        <v>148.13</v>
      </c>
      <c r="H1807" s="1">
        <f t="shared" si="252"/>
        <v>3.0699999999999932</v>
      </c>
      <c r="I1807" s="9">
        <f t="shared" si="259"/>
        <v>2.1149076880683338E-2</v>
      </c>
      <c r="J1807" s="1">
        <f t="shared" si="260"/>
        <v>2.6800000000000068</v>
      </c>
      <c r="K1807" s="9">
        <f t="shared" si="253"/>
        <v>1.8425575799243775E-2</v>
      </c>
      <c r="L1807" s="1">
        <f t="shared" si="254"/>
        <v>1</v>
      </c>
      <c r="M1807" s="1">
        <f t="shared" si="255"/>
        <v>148.22999999999999</v>
      </c>
      <c r="N1807" s="1">
        <f t="shared" si="256"/>
        <v>145.16</v>
      </c>
      <c r="O1807" s="1">
        <f t="shared" si="257"/>
        <v>146.16999999999999</v>
      </c>
      <c r="P1807" s="1">
        <f t="shared" si="258"/>
        <v>74.576530612244895</v>
      </c>
    </row>
    <row r="1808" spans="1:16">
      <c r="A1808" s="2">
        <v>40436</v>
      </c>
      <c r="B1808" s="1">
        <v>144.88</v>
      </c>
      <c r="C1808" s="1">
        <v>145.62</v>
      </c>
      <c r="D1808" s="1">
        <v>143.56</v>
      </c>
      <c r="E1808" s="1">
        <v>145.44999999999999</v>
      </c>
      <c r="F1808" s="1">
        <v>4903600</v>
      </c>
      <c r="G1808" s="1">
        <v>145.44999999999999</v>
      </c>
      <c r="H1808" s="1">
        <f t="shared" si="252"/>
        <v>2.0600000000000023</v>
      </c>
      <c r="I1808" s="9">
        <f t="shared" si="259"/>
        <v>1.4349400947339106E-2</v>
      </c>
      <c r="J1808" s="1">
        <f t="shared" si="260"/>
        <v>-0.30000000000001137</v>
      </c>
      <c r="K1808" s="9">
        <f t="shared" si="253"/>
        <v>-2.058319039451193E-3</v>
      </c>
      <c r="L1808" s="1">
        <f t="shared" si="254"/>
        <v>1</v>
      </c>
      <c r="M1808" s="1">
        <f t="shared" si="255"/>
        <v>145.62</v>
      </c>
      <c r="N1808" s="1">
        <f t="shared" si="256"/>
        <v>143.56</v>
      </c>
      <c r="O1808" s="1">
        <f t="shared" si="257"/>
        <v>143.48999999999998</v>
      </c>
      <c r="P1808" s="1">
        <f t="shared" si="258"/>
        <v>73.209183673469383</v>
      </c>
    </row>
    <row r="1809" spans="1:16">
      <c r="A1809" s="2">
        <v>40435</v>
      </c>
      <c r="B1809" s="1">
        <v>144.5</v>
      </c>
      <c r="C1809" s="1">
        <v>146.69999999999999</v>
      </c>
      <c r="D1809" s="1">
        <v>143.83000000000001</v>
      </c>
      <c r="E1809" s="1">
        <v>145.75</v>
      </c>
      <c r="F1809" s="1">
        <v>4319400</v>
      </c>
      <c r="G1809" s="1">
        <v>145.75</v>
      </c>
      <c r="H1809" s="1">
        <f t="shared" si="252"/>
        <v>2.8699999999999761</v>
      </c>
      <c r="I1809" s="9">
        <f t="shared" si="259"/>
        <v>1.9954112493916262E-2</v>
      </c>
      <c r="J1809" s="1">
        <f t="shared" si="260"/>
        <v>0.68000000000000682</v>
      </c>
      <c r="K1809" s="9">
        <f t="shared" si="253"/>
        <v>4.6873922933756591E-3</v>
      </c>
      <c r="L1809" s="1">
        <f t="shared" si="254"/>
        <v>1</v>
      </c>
      <c r="M1809" s="1">
        <f t="shared" si="255"/>
        <v>146.69999999999999</v>
      </c>
      <c r="N1809" s="1">
        <f t="shared" si="256"/>
        <v>143.83000000000001</v>
      </c>
      <c r="O1809" s="1">
        <f t="shared" si="257"/>
        <v>143.79</v>
      </c>
      <c r="P1809" s="1">
        <f t="shared" si="258"/>
        <v>73.362244897959187</v>
      </c>
    </row>
    <row r="1810" spans="1:16">
      <c r="A1810" s="2">
        <v>40434</v>
      </c>
      <c r="B1810" s="1">
        <v>144.07</v>
      </c>
      <c r="C1810" s="1">
        <v>145.74</v>
      </c>
      <c r="D1810" s="1">
        <v>143.76</v>
      </c>
      <c r="E1810" s="1">
        <v>145.07</v>
      </c>
      <c r="F1810" s="1">
        <v>5077400</v>
      </c>
      <c r="G1810" s="1">
        <v>145.07</v>
      </c>
      <c r="H1810" s="1">
        <f t="shared" si="252"/>
        <v>1.9800000000000182</v>
      </c>
      <c r="I1810" s="9">
        <f t="shared" si="259"/>
        <v>1.3772954924874918E-2</v>
      </c>
      <c r="J1810" s="1">
        <f t="shared" si="260"/>
        <v>2.6299999999999955</v>
      </c>
      <c r="K1810" s="9">
        <f t="shared" si="253"/>
        <v>1.8463914630721674E-2</v>
      </c>
      <c r="L1810" s="1">
        <f t="shared" si="254"/>
        <v>1</v>
      </c>
      <c r="M1810" s="1">
        <f t="shared" si="255"/>
        <v>145.74</v>
      </c>
      <c r="N1810" s="1">
        <f t="shared" si="256"/>
        <v>143.76</v>
      </c>
      <c r="O1810" s="1">
        <f t="shared" si="257"/>
        <v>143.10999999999999</v>
      </c>
      <c r="P1810" s="1">
        <f t="shared" si="258"/>
        <v>73.015306122448976</v>
      </c>
    </row>
    <row r="1811" spans="1:16">
      <c r="A1811" s="2">
        <v>40431</v>
      </c>
      <c r="B1811" s="1">
        <v>140.75</v>
      </c>
      <c r="C1811" s="1">
        <v>142.6</v>
      </c>
      <c r="D1811" s="1">
        <v>140.04</v>
      </c>
      <c r="E1811" s="1">
        <v>142.44</v>
      </c>
      <c r="F1811" s="1">
        <v>5043600</v>
      </c>
      <c r="G1811" s="1">
        <v>142.44</v>
      </c>
      <c r="H1811" s="1">
        <f t="shared" si="252"/>
        <v>2.5600000000000023</v>
      </c>
      <c r="I1811" s="9">
        <f t="shared" si="259"/>
        <v>1.8280491288203388E-2</v>
      </c>
      <c r="J1811" s="1">
        <f t="shared" si="260"/>
        <v>2.0600000000000023</v>
      </c>
      <c r="K1811" s="9">
        <f t="shared" si="253"/>
        <v>1.4674455050577021E-2</v>
      </c>
      <c r="L1811" s="1">
        <f t="shared" si="254"/>
        <v>1</v>
      </c>
      <c r="M1811" s="1">
        <f t="shared" si="255"/>
        <v>142.6</v>
      </c>
      <c r="N1811" s="1">
        <f t="shared" si="256"/>
        <v>140.04</v>
      </c>
      <c r="O1811" s="1">
        <f t="shared" si="257"/>
        <v>140.47999999999999</v>
      </c>
      <c r="P1811" s="1">
        <f t="shared" si="258"/>
        <v>71.673469387755091</v>
      </c>
    </row>
    <row r="1812" spans="1:16">
      <c r="A1812" s="2">
        <v>40430</v>
      </c>
      <c r="B1812" s="1">
        <v>140.38999999999999</v>
      </c>
      <c r="C1812" s="1">
        <v>141.37</v>
      </c>
      <c r="D1812" s="1">
        <v>139.26</v>
      </c>
      <c r="E1812" s="1">
        <v>140.38</v>
      </c>
      <c r="F1812" s="1">
        <v>4958000</v>
      </c>
      <c r="G1812" s="1">
        <v>140.38</v>
      </c>
      <c r="H1812" s="1">
        <f t="shared" si="252"/>
        <v>2.1100000000000136</v>
      </c>
      <c r="I1812" s="9">
        <f t="shared" si="259"/>
        <v>1.5151515151515251E-2</v>
      </c>
      <c r="J1812" s="1">
        <f t="shared" si="260"/>
        <v>1.2400000000000091</v>
      </c>
      <c r="K1812" s="9">
        <f t="shared" si="253"/>
        <v>8.9118873077476592E-3</v>
      </c>
      <c r="L1812" s="1">
        <f t="shared" si="254"/>
        <v>1</v>
      </c>
      <c r="M1812" s="1">
        <f t="shared" si="255"/>
        <v>141.37</v>
      </c>
      <c r="N1812" s="1">
        <f t="shared" si="256"/>
        <v>139.26</v>
      </c>
      <c r="O1812" s="1">
        <f t="shared" si="257"/>
        <v>138.41999999999999</v>
      </c>
      <c r="P1812" s="1">
        <f t="shared" si="258"/>
        <v>70.622448979591837</v>
      </c>
    </row>
    <row r="1813" spans="1:16">
      <c r="A1813" s="2">
        <v>40429</v>
      </c>
      <c r="B1813" s="1">
        <v>137.93</v>
      </c>
      <c r="C1813" s="1">
        <v>139.69999999999999</v>
      </c>
      <c r="D1813" s="1">
        <v>136.44999999999999</v>
      </c>
      <c r="E1813" s="1">
        <v>139.13999999999999</v>
      </c>
      <c r="F1813" s="1">
        <v>5828500</v>
      </c>
      <c r="G1813" s="1">
        <v>139.13999999999999</v>
      </c>
      <c r="H1813" s="1">
        <f t="shared" si="252"/>
        <v>3.25</v>
      </c>
      <c r="I1813" s="9">
        <f t="shared" si="259"/>
        <v>2.3818248442652987E-2</v>
      </c>
      <c r="J1813" s="1">
        <f t="shared" si="260"/>
        <v>1.9199999999999875</v>
      </c>
      <c r="K1813" s="9">
        <f t="shared" si="253"/>
        <v>1.399212942719711E-2</v>
      </c>
      <c r="L1813" s="1">
        <f t="shared" si="254"/>
        <v>1</v>
      </c>
      <c r="M1813" s="1">
        <f t="shared" si="255"/>
        <v>139.69999999999999</v>
      </c>
      <c r="N1813" s="1">
        <f t="shared" si="256"/>
        <v>136.44999999999999</v>
      </c>
      <c r="O1813" s="1">
        <f t="shared" si="257"/>
        <v>137.17999999999998</v>
      </c>
      <c r="P1813" s="1">
        <f t="shared" si="258"/>
        <v>69.989795918367335</v>
      </c>
    </row>
    <row r="1814" spans="1:16">
      <c r="A1814" s="2">
        <v>40428</v>
      </c>
      <c r="B1814" s="1">
        <v>137.56</v>
      </c>
      <c r="C1814" s="1">
        <v>138.6</v>
      </c>
      <c r="D1814" s="1">
        <v>136.88999999999999</v>
      </c>
      <c r="E1814" s="1">
        <v>137.22</v>
      </c>
      <c r="F1814" s="1">
        <v>3883000</v>
      </c>
      <c r="G1814" s="1">
        <v>137.22</v>
      </c>
      <c r="H1814" s="1">
        <f t="shared" si="252"/>
        <v>1.710000000000008</v>
      </c>
      <c r="I1814" s="9">
        <f t="shared" si="259"/>
        <v>1.2491781722551012E-2</v>
      </c>
      <c r="J1814" s="1">
        <f t="shared" si="260"/>
        <v>-1.5699999999999932</v>
      </c>
      <c r="K1814" s="9">
        <f t="shared" si="253"/>
        <v>-1.1312054182577948E-2</v>
      </c>
      <c r="L1814" s="1">
        <f t="shared" si="254"/>
        <v>1</v>
      </c>
      <c r="M1814" s="1">
        <f t="shared" si="255"/>
        <v>138.6</v>
      </c>
      <c r="N1814" s="1">
        <f t="shared" si="256"/>
        <v>136.88999999999999</v>
      </c>
      <c r="O1814" s="1">
        <f t="shared" si="257"/>
        <v>135.26</v>
      </c>
      <c r="P1814" s="1">
        <f t="shared" si="258"/>
        <v>69.010204081632651</v>
      </c>
    </row>
    <row r="1815" spans="1:16">
      <c r="A1815" s="2">
        <v>40424</v>
      </c>
      <c r="B1815" s="1">
        <v>136.88999999999999</v>
      </c>
      <c r="C1815" s="1">
        <v>139.5</v>
      </c>
      <c r="D1815" s="1">
        <v>136.63</v>
      </c>
      <c r="E1815" s="1">
        <v>138.79</v>
      </c>
      <c r="F1815" s="1">
        <v>6581200</v>
      </c>
      <c r="G1815" s="1">
        <v>138.79</v>
      </c>
      <c r="H1815" s="1">
        <f t="shared" si="252"/>
        <v>2.8700000000000045</v>
      </c>
      <c r="I1815" s="9">
        <f t="shared" si="259"/>
        <v>2.1005635658347396E-2</v>
      </c>
      <c r="J1815" s="1">
        <f t="shared" si="260"/>
        <v>3.5799999999999841</v>
      </c>
      <c r="K1815" s="9">
        <f t="shared" si="253"/>
        <v>2.6477331558316573E-2</v>
      </c>
      <c r="L1815" s="1">
        <f t="shared" si="254"/>
        <v>1</v>
      </c>
      <c r="M1815" s="1">
        <f t="shared" si="255"/>
        <v>139.5</v>
      </c>
      <c r="N1815" s="1">
        <f t="shared" si="256"/>
        <v>136.63</v>
      </c>
      <c r="O1815" s="1">
        <f t="shared" si="257"/>
        <v>136.82999999999998</v>
      </c>
      <c r="P1815" s="1">
        <f t="shared" si="258"/>
        <v>69.811224489795904</v>
      </c>
    </row>
    <row r="1816" spans="1:16">
      <c r="A1816" s="2">
        <v>40423</v>
      </c>
      <c r="B1816" s="1">
        <v>132.16999999999999</v>
      </c>
      <c r="C1816" s="1">
        <v>135.21</v>
      </c>
      <c r="D1816" s="1">
        <v>132.05000000000001</v>
      </c>
      <c r="E1816" s="1">
        <v>135.21</v>
      </c>
      <c r="F1816" s="1">
        <v>5407400</v>
      </c>
      <c r="G1816" s="1">
        <v>135.21</v>
      </c>
      <c r="H1816" s="1">
        <f t="shared" si="252"/>
        <v>3.1599999999999966</v>
      </c>
      <c r="I1816" s="9">
        <f t="shared" si="259"/>
        <v>2.3930329420673958E-2</v>
      </c>
      <c r="J1816" s="1">
        <f t="shared" si="260"/>
        <v>2.7199999999999989</v>
      </c>
      <c r="K1816" s="9">
        <f t="shared" si="253"/>
        <v>2.0529851309532787E-2</v>
      </c>
      <c r="L1816" s="1">
        <f t="shared" si="254"/>
        <v>1</v>
      </c>
      <c r="M1816" s="1">
        <f t="shared" si="255"/>
        <v>135.21</v>
      </c>
      <c r="N1816" s="1">
        <f t="shared" si="256"/>
        <v>132.05000000000001</v>
      </c>
      <c r="O1816" s="1">
        <f t="shared" si="257"/>
        <v>133.25</v>
      </c>
      <c r="P1816" s="1">
        <f t="shared" si="258"/>
        <v>67.984693877551024</v>
      </c>
    </row>
    <row r="1817" spans="1:16">
      <c r="A1817" s="2">
        <v>40422</v>
      </c>
      <c r="B1817" s="1">
        <v>126.36</v>
      </c>
      <c r="C1817" s="1">
        <v>132.6</v>
      </c>
      <c r="D1817" s="1">
        <v>126.17</v>
      </c>
      <c r="E1817" s="1">
        <v>132.49</v>
      </c>
      <c r="F1817" s="1">
        <v>7138300</v>
      </c>
      <c r="G1817" s="1">
        <v>132.49</v>
      </c>
      <c r="H1817" s="1">
        <f t="shared" si="252"/>
        <v>6.4299999999999926</v>
      </c>
      <c r="I1817" s="9">
        <f t="shared" si="259"/>
        <v>5.0962986446857358E-2</v>
      </c>
      <c r="J1817" s="1">
        <f t="shared" si="260"/>
        <v>7.6600000000000108</v>
      </c>
      <c r="K1817" s="9">
        <f t="shared" si="253"/>
        <v>6.1363454297845156E-2</v>
      </c>
      <c r="L1817" s="1">
        <f t="shared" si="254"/>
        <v>1</v>
      </c>
      <c r="M1817" s="1">
        <f t="shared" si="255"/>
        <v>132.6</v>
      </c>
      <c r="N1817" s="1">
        <f t="shared" si="256"/>
        <v>126.17</v>
      </c>
      <c r="O1817" s="1">
        <f t="shared" si="257"/>
        <v>130.53</v>
      </c>
      <c r="P1817" s="1">
        <f t="shared" si="258"/>
        <v>66.59693877551021</v>
      </c>
    </row>
    <row r="1818" spans="1:16">
      <c r="A1818" s="2">
        <v>40421</v>
      </c>
      <c r="B1818" s="1">
        <v>122.85</v>
      </c>
      <c r="C1818" s="1">
        <v>125.9</v>
      </c>
      <c r="D1818" s="1">
        <v>122.5</v>
      </c>
      <c r="E1818" s="1">
        <v>124.83</v>
      </c>
      <c r="F1818" s="1">
        <v>4225600</v>
      </c>
      <c r="G1818" s="1">
        <v>124.83</v>
      </c>
      <c r="H1818" s="1">
        <f t="shared" si="252"/>
        <v>3.4000000000000057</v>
      </c>
      <c r="I1818" s="9">
        <f t="shared" si="259"/>
        <v>2.7755102040816371E-2</v>
      </c>
      <c r="J1818" s="1">
        <f t="shared" si="260"/>
        <v>1.039999999999992</v>
      </c>
      <c r="K1818" s="9">
        <f t="shared" si="253"/>
        <v>8.4013248242991515E-3</v>
      </c>
      <c r="L1818" s="1">
        <f t="shared" si="254"/>
        <v>1</v>
      </c>
      <c r="M1818" s="1">
        <f t="shared" si="255"/>
        <v>125.9</v>
      </c>
      <c r="N1818" s="1">
        <f t="shared" si="256"/>
        <v>122.5</v>
      </c>
      <c r="O1818" s="1">
        <f t="shared" si="257"/>
        <v>122.87</v>
      </c>
      <c r="P1818" s="1">
        <f t="shared" si="258"/>
        <v>62.688775510204088</v>
      </c>
    </row>
    <row r="1819" spans="1:16">
      <c r="A1819" s="2">
        <v>40420</v>
      </c>
      <c r="B1819" s="1">
        <v>126.03</v>
      </c>
      <c r="C1819" s="1">
        <v>126.95</v>
      </c>
      <c r="D1819" s="1">
        <v>123.69</v>
      </c>
      <c r="E1819" s="1">
        <v>123.79</v>
      </c>
      <c r="F1819" s="1">
        <v>3426000</v>
      </c>
      <c r="G1819" s="1">
        <v>123.79</v>
      </c>
      <c r="H1819" s="1">
        <f t="shared" si="252"/>
        <v>3.2600000000000051</v>
      </c>
      <c r="I1819" s="9">
        <f t="shared" si="259"/>
        <v>2.6356213113428777E-2</v>
      </c>
      <c r="J1819" s="1">
        <f t="shared" si="260"/>
        <v>-2.8499999999999943</v>
      </c>
      <c r="K1819" s="9">
        <f t="shared" si="253"/>
        <v>-2.2504737839545121E-2</v>
      </c>
      <c r="L1819" s="1">
        <f t="shared" si="254"/>
        <v>1</v>
      </c>
      <c r="M1819" s="1">
        <f t="shared" si="255"/>
        <v>126.95</v>
      </c>
      <c r="N1819" s="1">
        <f t="shared" si="256"/>
        <v>123.69</v>
      </c>
      <c r="O1819" s="1">
        <f t="shared" si="257"/>
        <v>121.83000000000001</v>
      </c>
      <c r="P1819" s="1">
        <f t="shared" si="258"/>
        <v>62.158163265306129</v>
      </c>
    </row>
    <row r="1820" spans="1:16">
      <c r="A1820" s="2">
        <v>40417</v>
      </c>
      <c r="B1820" s="1">
        <v>125.46</v>
      </c>
      <c r="C1820" s="1">
        <v>126.64</v>
      </c>
      <c r="D1820" s="1">
        <v>122.25</v>
      </c>
      <c r="E1820" s="1">
        <v>126.64</v>
      </c>
      <c r="F1820" s="1">
        <v>5080000</v>
      </c>
      <c r="G1820" s="1">
        <v>126.64</v>
      </c>
      <c r="H1820" s="1">
        <f t="shared" si="252"/>
        <v>4.3900000000000006</v>
      </c>
      <c r="I1820" s="9">
        <f t="shared" si="259"/>
        <v>3.5910020449897752E-2</v>
      </c>
      <c r="J1820" s="1">
        <f t="shared" si="260"/>
        <v>1.7800000000000011</v>
      </c>
      <c r="K1820" s="9">
        <f t="shared" si="253"/>
        <v>1.4255966682684616E-2</v>
      </c>
      <c r="L1820" s="1">
        <f t="shared" si="254"/>
        <v>1</v>
      </c>
      <c r="M1820" s="1">
        <f t="shared" si="255"/>
        <v>126.64</v>
      </c>
      <c r="N1820" s="1">
        <f t="shared" si="256"/>
        <v>122.25</v>
      </c>
      <c r="O1820" s="1">
        <f t="shared" si="257"/>
        <v>124.68</v>
      </c>
      <c r="P1820" s="1">
        <f t="shared" si="258"/>
        <v>63.612244897959187</v>
      </c>
    </row>
    <row r="1821" spans="1:16">
      <c r="A1821" s="2">
        <v>40416</v>
      </c>
      <c r="B1821" s="1">
        <v>127.15</v>
      </c>
      <c r="C1821" s="1">
        <v>127.59</v>
      </c>
      <c r="D1821" s="1">
        <v>124.82</v>
      </c>
      <c r="E1821" s="1">
        <v>124.86</v>
      </c>
      <c r="F1821" s="1">
        <v>4694500</v>
      </c>
      <c r="G1821" s="1">
        <v>124.86</v>
      </c>
      <c r="H1821" s="1">
        <f t="shared" si="252"/>
        <v>2.7700000000000102</v>
      </c>
      <c r="I1821" s="9">
        <f t="shared" si="259"/>
        <v>2.2191956417240911E-2</v>
      </c>
      <c r="J1821" s="1">
        <f t="shared" si="260"/>
        <v>-1.9899999999999949</v>
      </c>
      <c r="K1821" s="9">
        <f t="shared" si="253"/>
        <v>-1.5687820260149744E-2</v>
      </c>
      <c r="L1821" s="1">
        <f t="shared" si="254"/>
        <v>1</v>
      </c>
      <c r="M1821" s="1">
        <f t="shared" si="255"/>
        <v>127.59</v>
      </c>
      <c r="N1821" s="1">
        <f t="shared" si="256"/>
        <v>124.82</v>
      </c>
      <c r="O1821" s="1">
        <f t="shared" si="257"/>
        <v>122.9</v>
      </c>
      <c r="P1821" s="1">
        <f t="shared" si="258"/>
        <v>62.704081632653065</v>
      </c>
    </row>
    <row r="1822" spans="1:16">
      <c r="A1822" s="2">
        <v>40415</v>
      </c>
      <c r="B1822" s="1">
        <v>123.85</v>
      </c>
      <c r="C1822" s="1">
        <v>127.37</v>
      </c>
      <c r="D1822" s="1">
        <v>123.83</v>
      </c>
      <c r="E1822" s="1">
        <v>126.85</v>
      </c>
      <c r="F1822" s="1">
        <v>5344500</v>
      </c>
      <c r="G1822" s="1">
        <v>126.85</v>
      </c>
      <c r="H1822" s="1">
        <f t="shared" si="252"/>
        <v>3.5400000000000063</v>
      </c>
      <c r="I1822" s="9">
        <f t="shared" si="259"/>
        <v>2.8587579746426603E-2</v>
      </c>
      <c r="J1822" s="1">
        <f t="shared" si="260"/>
        <v>2.3199999999999932</v>
      </c>
      <c r="K1822" s="9">
        <f t="shared" si="253"/>
        <v>1.8630048984180463E-2</v>
      </c>
      <c r="L1822" s="1">
        <f t="shared" si="254"/>
        <v>1</v>
      </c>
      <c r="M1822" s="1">
        <f t="shared" si="255"/>
        <v>127.37</v>
      </c>
      <c r="N1822" s="1">
        <f t="shared" si="256"/>
        <v>123.83</v>
      </c>
      <c r="O1822" s="1">
        <f t="shared" si="257"/>
        <v>124.89</v>
      </c>
      <c r="P1822" s="1">
        <f t="shared" si="258"/>
        <v>63.719387755102041</v>
      </c>
    </row>
    <row r="1823" spans="1:16">
      <c r="A1823" s="2">
        <v>40414</v>
      </c>
      <c r="B1823" s="1">
        <v>125.41</v>
      </c>
      <c r="C1823" s="1">
        <v>125.44</v>
      </c>
      <c r="D1823" s="1">
        <v>123.18</v>
      </c>
      <c r="E1823" s="1">
        <v>124.53</v>
      </c>
      <c r="F1823" s="1">
        <v>5369700</v>
      </c>
      <c r="G1823" s="1">
        <v>124.53</v>
      </c>
      <c r="H1823" s="1">
        <f t="shared" si="252"/>
        <v>2.2599999999999909</v>
      </c>
      <c r="I1823" s="9">
        <f t="shared" si="259"/>
        <v>1.8347134275044575E-2</v>
      </c>
      <c r="J1823" s="1">
        <f t="shared" si="260"/>
        <v>-2.0699999999999932</v>
      </c>
      <c r="K1823" s="9">
        <f t="shared" si="253"/>
        <v>-1.635071090047388E-2</v>
      </c>
      <c r="L1823" s="1">
        <f t="shared" si="254"/>
        <v>1</v>
      </c>
      <c r="M1823" s="1">
        <f t="shared" si="255"/>
        <v>125.44</v>
      </c>
      <c r="N1823" s="1">
        <f t="shared" si="256"/>
        <v>123.18</v>
      </c>
      <c r="O1823" s="1">
        <f t="shared" si="257"/>
        <v>122.57000000000001</v>
      </c>
      <c r="P1823" s="1">
        <f t="shared" si="258"/>
        <v>62.535714285714292</v>
      </c>
    </row>
    <row r="1824" spans="1:16">
      <c r="A1824" s="2">
        <v>40413</v>
      </c>
      <c r="B1824" s="1">
        <v>127.86</v>
      </c>
      <c r="C1824" s="1">
        <v>129.22</v>
      </c>
      <c r="D1824" s="1">
        <v>126.5</v>
      </c>
      <c r="E1824" s="1">
        <v>126.6</v>
      </c>
      <c r="F1824" s="1">
        <v>3861300</v>
      </c>
      <c r="G1824" s="1">
        <v>126.6</v>
      </c>
      <c r="H1824" s="1">
        <f t="shared" si="252"/>
        <v>2.7199999999999989</v>
      </c>
      <c r="I1824" s="9">
        <f t="shared" si="259"/>
        <v>2.1501976284584973E-2</v>
      </c>
      <c r="J1824" s="1">
        <f t="shared" si="260"/>
        <v>-1.1600000000000108</v>
      </c>
      <c r="K1824" s="9">
        <f t="shared" si="253"/>
        <v>-9.0795241077020247E-3</v>
      </c>
      <c r="L1824" s="1">
        <f t="shared" si="254"/>
        <v>1</v>
      </c>
      <c r="M1824" s="1">
        <f t="shared" si="255"/>
        <v>129.22</v>
      </c>
      <c r="N1824" s="1">
        <f t="shared" si="256"/>
        <v>126.5</v>
      </c>
      <c r="O1824" s="1">
        <f t="shared" si="257"/>
        <v>124.64</v>
      </c>
      <c r="P1824" s="1">
        <f t="shared" si="258"/>
        <v>63.591836734693878</v>
      </c>
    </row>
    <row r="1825" spans="1:16">
      <c r="A1825" s="2">
        <v>40410</v>
      </c>
      <c r="B1825" s="1">
        <v>127.2</v>
      </c>
      <c r="C1825" s="1">
        <v>128.04</v>
      </c>
      <c r="D1825" s="1">
        <v>126.02</v>
      </c>
      <c r="E1825" s="1">
        <v>127.76</v>
      </c>
      <c r="F1825" s="1">
        <v>4170100</v>
      </c>
      <c r="G1825" s="1">
        <v>127.76</v>
      </c>
      <c r="H1825" s="1">
        <f t="shared" si="252"/>
        <v>2.019999999999996</v>
      </c>
      <c r="I1825" s="9">
        <f t="shared" si="259"/>
        <v>1.6029201714013619E-2</v>
      </c>
      <c r="J1825" s="1">
        <f t="shared" si="260"/>
        <v>0.19000000000001194</v>
      </c>
      <c r="K1825" s="9">
        <f t="shared" si="253"/>
        <v>1.4893783804970757E-3</v>
      </c>
      <c r="L1825" s="1">
        <f t="shared" si="254"/>
        <v>1</v>
      </c>
      <c r="M1825" s="1">
        <f t="shared" si="255"/>
        <v>128.04</v>
      </c>
      <c r="N1825" s="1">
        <f t="shared" si="256"/>
        <v>126.02</v>
      </c>
      <c r="O1825" s="1">
        <f t="shared" si="257"/>
        <v>125.80000000000001</v>
      </c>
      <c r="P1825" s="1">
        <f t="shared" si="258"/>
        <v>64.183673469387756</v>
      </c>
    </row>
    <row r="1826" spans="1:16">
      <c r="A1826" s="2">
        <v>40409</v>
      </c>
      <c r="B1826" s="1">
        <v>129.22</v>
      </c>
      <c r="C1826" s="1">
        <v>130.02000000000001</v>
      </c>
      <c r="D1826" s="1">
        <v>126.82</v>
      </c>
      <c r="E1826" s="1">
        <v>127.57</v>
      </c>
      <c r="F1826" s="1">
        <v>5582500</v>
      </c>
      <c r="G1826" s="1">
        <v>127.57</v>
      </c>
      <c r="H1826" s="1">
        <f t="shared" si="252"/>
        <v>3.2000000000000171</v>
      </c>
      <c r="I1826" s="9">
        <f t="shared" si="259"/>
        <v>2.5232613152499743E-2</v>
      </c>
      <c r="J1826" s="1">
        <f t="shared" si="260"/>
        <v>-2.0800000000000125</v>
      </c>
      <c r="K1826" s="9">
        <f t="shared" si="253"/>
        <v>-1.6043193212495276E-2</v>
      </c>
      <c r="L1826" s="1">
        <f t="shared" si="254"/>
        <v>1</v>
      </c>
      <c r="M1826" s="1">
        <f t="shared" si="255"/>
        <v>130.02000000000001</v>
      </c>
      <c r="N1826" s="1">
        <f t="shared" si="256"/>
        <v>126.82</v>
      </c>
      <c r="O1826" s="1">
        <f t="shared" si="257"/>
        <v>125.61</v>
      </c>
      <c r="P1826" s="1">
        <f t="shared" si="258"/>
        <v>64.086734693877546</v>
      </c>
    </row>
    <row r="1827" spans="1:16">
      <c r="A1827" s="2">
        <v>40408</v>
      </c>
      <c r="B1827" s="1">
        <v>129.25</v>
      </c>
      <c r="C1827" s="1">
        <v>130.81</v>
      </c>
      <c r="D1827" s="1">
        <v>128.26</v>
      </c>
      <c r="E1827" s="1">
        <v>129.65</v>
      </c>
      <c r="F1827" s="1">
        <v>7901500</v>
      </c>
      <c r="G1827" s="1">
        <v>129.65</v>
      </c>
      <c r="H1827" s="1">
        <f t="shared" si="252"/>
        <v>2.5500000000000114</v>
      </c>
      <c r="I1827" s="9">
        <f t="shared" si="259"/>
        <v>1.9881490721971085E-2</v>
      </c>
      <c r="J1827" s="1">
        <f t="shared" si="260"/>
        <v>0.78999999999999204</v>
      </c>
      <c r="K1827" s="9">
        <f t="shared" si="253"/>
        <v>6.1306844637590563E-3</v>
      </c>
      <c r="L1827" s="1">
        <f t="shared" si="254"/>
        <v>1</v>
      </c>
      <c r="M1827" s="1">
        <f t="shared" si="255"/>
        <v>130.81</v>
      </c>
      <c r="N1827" s="1">
        <f t="shared" si="256"/>
        <v>128.26</v>
      </c>
      <c r="O1827" s="1">
        <f t="shared" si="257"/>
        <v>127.69000000000001</v>
      </c>
      <c r="P1827" s="1">
        <f t="shared" si="258"/>
        <v>65.147959183673478</v>
      </c>
    </row>
    <row r="1828" spans="1:16">
      <c r="A1828" s="2">
        <v>40407</v>
      </c>
      <c r="B1828" s="1">
        <v>127.34</v>
      </c>
      <c r="C1828" s="1">
        <v>129.97999999999999</v>
      </c>
      <c r="D1828" s="1">
        <v>126.79</v>
      </c>
      <c r="E1828" s="1">
        <v>128.86000000000001</v>
      </c>
      <c r="F1828" s="1">
        <v>5044700</v>
      </c>
      <c r="G1828" s="1">
        <v>128.86000000000001</v>
      </c>
      <c r="H1828" s="1">
        <f t="shared" si="252"/>
        <v>3.1899999999999835</v>
      </c>
      <c r="I1828" s="9">
        <f t="shared" si="259"/>
        <v>2.5159712911112731E-2</v>
      </c>
      <c r="J1828" s="1">
        <f t="shared" si="260"/>
        <v>2.7900000000000205</v>
      </c>
      <c r="K1828" s="9">
        <f t="shared" si="253"/>
        <v>2.2130562385976209E-2</v>
      </c>
      <c r="L1828" s="1">
        <f t="shared" si="254"/>
        <v>1</v>
      </c>
      <c r="M1828" s="1">
        <f t="shared" si="255"/>
        <v>129.97999999999999</v>
      </c>
      <c r="N1828" s="1">
        <f t="shared" si="256"/>
        <v>126.79</v>
      </c>
      <c r="O1828" s="1">
        <f t="shared" si="257"/>
        <v>126.90000000000002</v>
      </c>
      <c r="P1828" s="1">
        <f t="shared" si="258"/>
        <v>64.744897959183689</v>
      </c>
    </row>
    <row r="1829" spans="1:16">
      <c r="A1829" s="2">
        <v>40406</v>
      </c>
      <c r="B1829" s="1">
        <v>123.61</v>
      </c>
      <c r="C1829" s="1">
        <v>127.37</v>
      </c>
      <c r="D1829" s="1">
        <v>123.04</v>
      </c>
      <c r="E1829" s="1">
        <v>126.07</v>
      </c>
      <c r="F1829" s="1">
        <v>4024700</v>
      </c>
      <c r="G1829" s="1">
        <v>126.07</v>
      </c>
      <c r="H1829" s="1">
        <f t="shared" si="252"/>
        <v>4.3299999999999983</v>
      </c>
      <c r="I1829" s="9">
        <f t="shared" si="259"/>
        <v>3.5191807542262664E-2</v>
      </c>
      <c r="J1829" s="1">
        <f t="shared" si="260"/>
        <v>1.3799999999999955</v>
      </c>
      <c r="K1829" s="9">
        <f t="shared" si="253"/>
        <v>1.1067447269227648E-2</v>
      </c>
      <c r="L1829" s="1">
        <f t="shared" si="254"/>
        <v>1</v>
      </c>
      <c r="M1829" s="1">
        <f t="shared" si="255"/>
        <v>127.37</v>
      </c>
      <c r="N1829" s="1">
        <f t="shared" si="256"/>
        <v>123.04</v>
      </c>
      <c r="O1829" s="1">
        <f t="shared" si="257"/>
        <v>124.11</v>
      </c>
      <c r="P1829" s="1">
        <f t="shared" si="258"/>
        <v>63.321428571428569</v>
      </c>
    </row>
    <row r="1830" spans="1:16">
      <c r="A1830" s="2">
        <v>40403</v>
      </c>
      <c r="B1830" s="1">
        <v>126.06</v>
      </c>
      <c r="C1830" s="1">
        <v>127.48</v>
      </c>
      <c r="D1830" s="1">
        <v>124.26</v>
      </c>
      <c r="E1830" s="1">
        <v>124.69</v>
      </c>
      <c r="F1830" s="1">
        <v>3976600</v>
      </c>
      <c r="G1830" s="1">
        <v>124.69</v>
      </c>
      <c r="H1830" s="1">
        <f t="shared" si="252"/>
        <v>3.2199999999999989</v>
      </c>
      <c r="I1830" s="9">
        <f t="shared" si="259"/>
        <v>2.59134073716401E-2</v>
      </c>
      <c r="J1830" s="1">
        <f t="shared" si="260"/>
        <v>-1.8700000000000045</v>
      </c>
      <c r="K1830" s="9">
        <f t="shared" si="253"/>
        <v>-1.4775600505689037E-2</v>
      </c>
      <c r="L1830" s="1">
        <f t="shared" si="254"/>
        <v>1</v>
      </c>
      <c r="M1830" s="1">
        <f t="shared" si="255"/>
        <v>127.48</v>
      </c>
      <c r="N1830" s="1">
        <f t="shared" si="256"/>
        <v>124.26</v>
      </c>
      <c r="O1830" s="1">
        <f t="shared" si="257"/>
        <v>122.73</v>
      </c>
      <c r="P1830" s="1">
        <f t="shared" si="258"/>
        <v>62.617346938775512</v>
      </c>
    </row>
    <row r="1831" spans="1:16">
      <c r="A1831" s="2">
        <v>40402</v>
      </c>
      <c r="B1831" s="1">
        <v>123.76</v>
      </c>
      <c r="C1831" s="1">
        <v>127</v>
      </c>
      <c r="D1831" s="1">
        <v>123.55</v>
      </c>
      <c r="E1831" s="1">
        <v>126.56</v>
      </c>
      <c r="F1831" s="1">
        <v>4367900</v>
      </c>
      <c r="G1831" s="1">
        <v>126.56</v>
      </c>
      <c r="H1831" s="1">
        <f t="shared" si="252"/>
        <v>3.4500000000000028</v>
      </c>
      <c r="I1831" s="9">
        <f t="shared" si="259"/>
        <v>2.7923917442331064E-2</v>
      </c>
      <c r="J1831" s="1">
        <f t="shared" si="260"/>
        <v>0.67000000000000171</v>
      </c>
      <c r="K1831" s="9">
        <f t="shared" si="253"/>
        <v>5.3221066010008871E-3</v>
      </c>
      <c r="L1831" s="1">
        <f t="shared" si="254"/>
        <v>1</v>
      </c>
      <c r="M1831" s="1">
        <f t="shared" si="255"/>
        <v>127</v>
      </c>
      <c r="N1831" s="1">
        <f t="shared" si="256"/>
        <v>123.55</v>
      </c>
      <c r="O1831" s="1">
        <f t="shared" si="257"/>
        <v>124.60000000000001</v>
      </c>
      <c r="P1831" s="1">
        <f t="shared" si="258"/>
        <v>63.571428571428577</v>
      </c>
    </row>
    <row r="1832" spans="1:16">
      <c r="A1832" s="2">
        <v>40401</v>
      </c>
      <c r="B1832" s="1">
        <v>128.1</v>
      </c>
      <c r="C1832" s="1">
        <v>128.12</v>
      </c>
      <c r="D1832" s="1">
        <v>125.2</v>
      </c>
      <c r="E1832" s="1">
        <v>125.89</v>
      </c>
      <c r="F1832" s="1">
        <v>5541700</v>
      </c>
      <c r="G1832" s="1">
        <v>125.89</v>
      </c>
      <c r="H1832" s="1">
        <f t="shared" si="252"/>
        <v>2.9200000000000017</v>
      </c>
      <c r="I1832" s="9">
        <f t="shared" si="259"/>
        <v>2.33226837060703E-2</v>
      </c>
      <c r="J1832" s="1">
        <f t="shared" si="260"/>
        <v>-4.1099999999999994</v>
      </c>
      <c r="K1832" s="9">
        <f t="shared" si="253"/>
        <v>-3.1615384615384608E-2</v>
      </c>
      <c r="L1832" s="1">
        <f t="shared" si="254"/>
        <v>1</v>
      </c>
      <c r="M1832" s="1">
        <f t="shared" si="255"/>
        <v>128.12</v>
      </c>
      <c r="N1832" s="1">
        <f t="shared" si="256"/>
        <v>125.2</v>
      </c>
      <c r="O1832" s="1">
        <f t="shared" si="257"/>
        <v>123.93</v>
      </c>
      <c r="P1832" s="1">
        <f t="shared" si="258"/>
        <v>63.229591836734699</v>
      </c>
    </row>
    <row r="1833" spans="1:16">
      <c r="A1833" s="2">
        <v>40400</v>
      </c>
      <c r="B1833" s="1">
        <v>127.95</v>
      </c>
      <c r="C1833" s="1">
        <v>130</v>
      </c>
      <c r="D1833" s="1">
        <v>127.38</v>
      </c>
      <c r="E1833" s="1">
        <v>130</v>
      </c>
      <c r="F1833" s="1">
        <v>5706900</v>
      </c>
      <c r="G1833" s="1">
        <v>130</v>
      </c>
      <c r="H1833" s="1">
        <f t="shared" si="252"/>
        <v>2.6200000000000045</v>
      </c>
      <c r="I1833" s="9">
        <f t="shared" si="259"/>
        <v>2.0568378081331485E-2</v>
      </c>
      <c r="J1833" s="1">
        <f t="shared" si="260"/>
        <v>1.1699999999999875</v>
      </c>
      <c r="K1833" s="9">
        <f t="shared" si="253"/>
        <v>9.0817356205851688E-3</v>
      </c>
      <c r="L1833" s="1">
        <f t="shared" si="254"/>
        <v>1</v>
      </c>
      <c r="M1833" s="1">
        <f t="shared" si="255"/>
        <v>130</v>
      </c>
      <c r="N1833" s="1">
        <f t="shared" si="256"/>
        <v>127.38</v>
      </c>
      <c r="O1833" s="1">
        <f t="shared" si="257"/>
        <v>128.04</v>
      </c>
      <c r="P1833" s="1">
        <f t="shared" si="258"/>
        <v>65.326530612244895</v>
      </c>
    </row>
    <row r="1834" spans="1:16">
      <c r="A1834" s="2">
        <v>40399</v>
      </c>
      <c r="B1834" s="1">
        <v>128.46</v>
      </c>
      <c r="C1834" s="1">
        <v>129.93</v>
      </c>
      <c r="D1834" s="1">
        <v>127.85</v>
      </c>
      <c r="E1834" s="1">
        <v>128.83000000000001</v>
      </c>
      <c r="F1834" s="1">
        <v>5085800</v>
      </c>
      <c r="G1834" s="1">
        <v>128.83000000000001</v>
      </c>
      <c r="H1834" s="1">
        <f t="shared" si="252"/>
        <v>2.0800000000000125</v>
      </c>
      <c r="I1834" s="9">
        <f t="shared" si="259"/>
        <v>1.6269065310911324E-2</v>
      </c>
      <c r="J1834" s="1">
        <f t="shared" si="260"/>
        <v>0.51000000000001933</v>
      </c>
      <c r="K1834" s="9">
        <f t="shared" si="253"/>
        <v>3.9744389027432927E-3</v>
      </c>
      <c r="L1834" s="1">
        <f t="shared" si="254"/>
        <v>1</v>
      </c>
      <c r="M1834" s="1">
        <f t="shared" si="255"/>
        <v>129.93</v>
      </c>
      <c r="N1834" s="1">
        <f t="shared" si="256"/>
        <v>127.85</v>
      </c>
      <c r="O1834" s="1">
        <f t="shared" si="257"/>
        <v>126.87000000000002</v>
      </c>
      <c r="P1834" s="1">
        <f t="shared" si="258"/>
        <v>64.729591836734699</v>
      </c>
    </row>
    <row r="1835" spans="1:16">
      <c r="A1835" s="2">
        <v>40396</v>
      </c>
      <c r="B1835" s="1">
        <v>126.72</v>
      </c>
      <c r="C1835" s="1">
        <v>128.4</v>
      </c>
      <c r="D1835" s="1">
        <v>125.9</v>
      </c>
      <c r="E1835" s="1">
        <v>128.32</v>
      </c>
      <c r="F1835" s="1">
        <v>5065200</v>
      </c>
      <c r="G1835" s="1">
        <v>128.32</v>
      </c>
      <c r="H1835" s="1">
        <f t="shared" si="252"/>
        <v>2.5</v>
      </c>
      <c r="I1835" s="9">
        <f t="shared" si="259"/>
        <v>1.9857029388403495E-2</v>
      </c>
      <c r="J1835" s="1">
        <f t="shared" si="260"/>
        <v>0.48999999999999488</v>
      </c>
      <c r="K1835" s="9">
        <f t="shared" si="253"/>
        <v>3.8332159899866613E-3</v>
      </c>
      <c r="L1835" s="1">
        <f t="shared" si="254"/>
        <v>1</v>
      </c>
      <c r="M1835" s="1">
        <f t="shared" si="255"/>
        <v>128.4</v>
      </c>
      <c r="N1835" s="1">
        <f t="shared" si="256"/>
        <v>125.9</v>
      </c>
      <c r="O1835" s="1">
        <f t="shared" si="257"/>
        <v>126.36</v>
      </c>
      <c r="P1835" s="1">
        <f t="shared" si="258"/>
        <v>64.469387755102048</v>
      </c>
    </row>
    <row r="1836" spans="1:16">
      <c r="A1836" s="2">
        <v>40395</v>
      </c>
      <c r="B1836" s="1">
        <v>126.77</v>
      </c>
      <c r="C1836" s="1">
        <v>128</v>
      </c>
      <c r="D1836" s="1">
        <v>125.82</v>
      </c>
      <c r="E1836" s="1">
        <v>127.83</v>
      </c>
      <c r="F1836" s="1">
        <v>4282300</v>
      </c>
      <c r="G1836" s="1">
        <v>127.83</v>
      </c>
      <c r="H1836" s="1">
        <f t="shared" si="252"/>
        <v>2.1800000000000068</v>
      </c>
      <c r="I1836" s="9">
        <f t="shared" si="259"/>
        <v>1.7326339214751286E-2</v>
      </c>
      <c r="J1836" s="1">
        <f t="shared" si="260"/>
        <v>0.25</v>
      </c>
      <c r="K1836" s="9">
        <f t="shared" si="253"/>
        <v>1.9595547891519049E-3</v>
      </c>
      <c r="L1836" s="1">
        <f t="shared" si="254"/>
        <v>1</v>
      </c>
      <c r="M1836" s="1">
        <f t="shared" si="255"/>
        <v>128</v>
      </c>
      <c r="N1836" s="1">
        <f t="shared" si="256"/>
        <v>125.82</v>
      </c>
      <c r="O1836" s="1">
        <f t="shared" si="257"/>
        <v>125.87</v>
      </c>
      <c r="P1836" s="1">
        <f t="shared" si="258"/>
        <v>64.219387755102048</v>
      </c>
    </row>
    <row r="1837" spans="1:16">
      <c r="A1837" s="2">
        <v>40394</v>
      </c>
      <c r="B1837" s="1">
        <v>123.06</v>
      </c>
      <c r="C1837" s="1">
        <v>128.47</v>
      </c>
      <c r="D1837" s="1">
        <v>123</v>
      </c>
      <c r="E1837" s="1">
        <v>127.58</v>
      </c>
      <c r="F1837" s="1">
        <v>9270800</v>
      </c>
      <c r="G1837" s="1">
        <v>127.58</v>
      </c>
      <c r="H1837" s="1">
        <f t="shared" si="252"/>
        <v>5.4699999999999989</v>
      </c>
      <c r="I1837" s="9">
        <f t="shared" si="259"/>
        <v>4.4471544715447148E-2</v>
      </c>
      <c r="J1837" s="1">
        <f t="shared" si="260"/>
        <v>5.1599999999999966</v>
      </c>
      <c r="K1837" s="9">
        <f t="shared" si="253"/>
        <v>4.2149975494200263E-2</v>
      </c>
      <c r="L1837" s="1">
        <f t="shared" si="254"/>
        <v>1</v>
      </c>
      <c r="M1837" s="1">
        <f t="shared" si="255"/>
        <v>128.47</v>
      </c>
      <c r="N1837" s="1">
        <f t="shared" si="256"/>
        <v>123</v>
      </c>
      <c r="O1837" s="1">
        <f t="shared" si="257"/>
        <v>125.62</v>
      </c>
      <c r="P1837" s="1">
        <f t="shared" si="258"/>
        <v>64.091836734693885</v>
      </c>
    </row>
    <row r="1838" spans="1:16">
      <c r="A1838" s="2">
        <v>40393</v>
      </c>
      <c r="B1838" s="1">
        <v>120</v>
      </c>
      <c r="C1838" s="1">
        <v>122.87</v>
      </c>
      <c r="D1838" s="1">
        <v>119.68</v>
      </c>
      <c r="E1838" s="1">
        <v>122.42</v>
      </c>
      <c r="F1838" s="1">
        <v>5953800</v>
      </c>
      <c r="G1838" s="1">
        <v>122.42</v>
      </c>
      <c r="H1838" s="1">
        <f t="shared" si="252"/>
        <v>3.1899999999999977</v>
      </c>
      <c r="I1838" s="9">
        <f t="shared" si="259"/>
        <v>2.6654411764705861E-2</v>
      </c>
      <c r="J1838" s="1">
        <f t="shared" si="260"/>
        <v>2.3500000000000085</v>
      </c>
      <c r="K1838" s="9">
        <f t="shared" si="253"/>
        <v>1.9571916382110508E-2</v>
      </c>
      <c r="L1838" s="1">
        <f t="shared" si="254"/>
        <v>1</v>
      </c>
      <c r="M1838" s="1">
        <f t="shared" si="255"/>
        <v>122.87</v>
      </c>
      <c r="N1838" s="1">
        <f t="shared" si="256"/>
        <v>119.68</v>
      </c>
      <c r="O1838" s="1">
        <f t="shared" si="257"/>
        <v>120.46000000000001</v>
      </c>
      <c r="P1838" s="1">
        <f t="shared" si="258"/>
        <v>61.45918367346939</v>
      </c>
    </row>
    <row r="1839" spans="1:16">
      <c r="A1839" s="2">
        <v>40392</v>
      </c>
      <c r="B1839" s="1">
        <v>119.15</v>
      </c>
      <c r="C1839" s="1">
        <v>120.38</v>
      </c>
      <c r="D1839" s="1">
        <v>117.57</v>
      </c>
      <c r="E1839" s="1">
        <v>120.07</v>
      </c>
      <c r="F1839" s="1">
        <v>5443700</v>
      </c>
      <c r="G1839" s="1">
        <v>120.07</v>
      </c>
      <c r="H1839" s="1">
        <f t="shared" si="252"/>
        <v>2.8100000000000023</v>
      </c>
      <c r="I1839" s="9">
        <f t="shared" si="259"/>
        <v>2.3900654928978502E-2</v>
      </c>
      <c r="J1839" s="1">
        <f t="shared" si="260"/>
        <v>2.1799999999999926</v>
      </c>
      <c r="K1839" s="9">
        <f t="shared" si="253"/>
        <v>1.8491814403257211E-2</v>
      </c>
      <c r="L1839" s="1">
        <f t="shared" si="254"/>
        <v>1</v>
      </c>
      <c r="M1839" s="1">
        <f t="shared" si="255"/>
        <v>120.38</v>
      </c>
      <c r="N1839" s="1">
        <f t="shared" si="256"/>
        <v>117.57</v>
      </c>
      <c r="O1839" s="1">
        <f t="shared" si="257"/>
        <v>118.11</v>
      </c>
      <c r="P1839" s="1">
        <f t="shared" si="258"/>
        <v>60.260204081632651</v>
      </c>
    </row>
    <row r="1840" spans="1:16">
      <c r="A1840" s="2">
        <v>40389</v>
      </c>
      <c r="B1840" s="1">
        <v>115.53</v>
      </c>
      <c r="C1840" s="1">
        <v>118.74</v>
      </c>
      <c r="D1840" s="1">
        <v>114.51</v>
      </c>
      <c r="E1840" s="1">
        <v>117.89</v>
      </c>
      <c r="F1840" s="1">
        <v>7077500</v>
      </c>
      <c r="G1840" s="1">
        <v>117.89</v>
      </c>
      <c r="H1840" s="1">
        <f t="shared" si="252"/>
        <v>4.2299999999999898</v>
      </c>
      <c r="I1840" s="9">
        <f t="shared" si="259"/>
        <v>3.6940005239716966E-2</v>
      </c>
      <c r="J1840" s="1">
        <f t="shared" si="260"/>
        <v>1.0300000000000011</v>
      </c>
      <c r="K1840" s="9">
        <f t="shared" si="253"/>
        <v>8.8139654287181339E-3</v>
      </c>
      <c r="L1840" s="1">
        <f t="shared" si="254"/>
        <v>1</v>
      </c>
      <c r="M1840" s="1">
        <f t="shared" si="255"/>
        <v>118.74</v>
      </c>
      <c r="N1840" s="1">
        <f t="shared" si="256"/>
        <v>114.51</v>
      </c>
      <c r="O1840" s="1">
        <f t="shared" si="257"/>
        <v>115.93</v>
      </c>
      <c r="P1840" s="1">
        <f t="shared" si="258"/>
        <v>59.147959183673471</v>
      </c>
    </row>
    <row r="1841" spans="1:16">
      <c r="A1841" s="2">
        <v>40388</v>
      </c>
      <c r="B1841" s="1">
        <v>117.99</v>
      </c>
      <c r="C1841" s="1">
        <v>118.87</v>
      </c>
      <c r="D1841" s="1">
        <v>115.52</v>
      </c>
      <c r="E1841" s="1">
        <v>116.86</v>
      </c>
      <c r="F1841" s="1">
        <v>6175800</v>
      </c>
      <c r="G1841" s="1">
        <v>116.86</v>
      </c>
      <c r="H1841" s="1">
        <f t="shared" si="252"/>
        <v>3.3500000000000085</v>
      </c>
      <c r="I1841" s="9">
        <f t="shared" si="259"/>
        <v>2.899930747922445E-2</v>
      </c>
      <c r="J1841" s="1">
        <f t="shared" si="260"/>
        <v>-0.26999999999999602</v>
      </c>
      <c r="K1841" s="9">
        <f t="shared" si="253"/>
        <v>-2.3051310509689749E-3</v>
      </c>
      <c r="L1841" s="1">
        <f t="shared" si="254"/>
        <v>1</v>
      </c>
      <c r="M1841" s="1">
        <f t="shared" si="255"/>
        <v>118.87</v>
      </c>
      <c r="N1841" s="1">
        <f t="shared" si="256"/>
        <v>115.52</v>
      </c>
      <c r="O1841" s="1">
        <f t="shared" si="257"/>
        <v>114.9</v>
      </c>
      <c r="P1841" s="1">
        <f t="shared" si="258"/>
        <v>58.622448979591837</v>
      </c>
    </row>
    <row r="1842" spans="1:16">
      <c r="A1842" s="2">
        <v>40387</v>
      </c>
      <c r="B1842" s="1">
        <v>117</v>
      </c>
      <c r="C1842" s="1">
        <v>118.2</v>
      </c>
      <c r="D1842" s="1">
        <v>116.4</v>
      </c>
      <c r="E1842" s="1">
        <v>117.13</v>
      </c>
      <c r="F1842" s="1">
        <v>5472300</v>
      </c>
      <c r="G1842" s="1">
        <v>117.13</v>
      </c>
      <c r="H1842" s="1">
        <f t="shared" si="252"/>
        <v>1.7999999999999972</v>
      </c>
      <c r="I1842" s="9">
        <f t="shared" si="259"/>
        <v>1.546391752577317E-2</v>
      </c>
      <c r="J1842" s="1">
        <f t="shared" si="260"/>
        <v>0</v>
      </c>
      <c r="K1842" s="9">
        <f t="shared" si="253"/>
        <v>0</v>
      </c>
      <c r="L1842" s="1">
        <f t="shared" si="254"/>
        <v>1</v>
      </c>
      <c r="M1842" s="1">
        <f t="shared" si="255"/>
        <v>118.2</v>
      </c>
      <c r="N1842" s="1">
        <f t="shared" si="256"/>
        <v>116.4</v>
      </c>
      <c r="O1842" s="1">
        <f t="shared" si="257"/>
        <v>115.17</v>
      </c>
      <c r="P1842" s="1">
        <f t="shared" si="258"/>
        <v>58.760204081632658</v>
      </c>
    </row>
    <row r="1843" spans="1:16">
      <c r="A1843" s="2">
        <v>40386</v>
      </c>
      <c r="B1843" s="1">
        <v>118.43</v>
      </c>
      <c r="C1843" s="1">
        <v>118.5</v>
      </c>
      <c r="D1843" s="1">
        <v>115.07</v>
      </c>
      <c r="E1843" s="1">
        <v>117.13</v>
      </c>
      <c r="F1843" s="1">
        <v>7796100</v>
      </c>
      <c r="G1843" s="1">
        <v>117.13</v>
      </c>
      <c r="H1843" s="1">
        <f t="shared" si="252"/>
        <v>3.4300000000000068</v>
      </c>
      <c r="I1843" s="9">
        <f t="shared" si="259"/>
        <v>2.9807942991222795E-2</v>
      </c>
      <c r="J1843" s="1">
        <f t="shared" si="260"/>
        <v>-1.2700000000000102</v>
      </c>
      <c r="K1843" s="9">
        <f t="shared" si="253"/>
        <v>-1.0726351351351438E-2</v>
      </c>
      <c r="L1843" s="1">
        <f t="shared" si="254"/>
        <v>1</v>
      </c>
      <c r="M1843" s="1">
        <f t="shared" si="255"/>
        <v>118.5</v>
      </c>
      <c r="N1843" s="1">
        <f t="shared" si="256"/>
        <v>115.07</v>
      </c>
      <c r="O1843" s="1">
        <f t="shared" si="257"/>
        <v>115.17</v>
      </c>
      <c r="P1843" s="1">
        <f t="shared" si="258"/>
        <v>58.760204081632658</v>
      </c>
    </row>
    <row r="1844" spans="1:16">
      <c r="A1844" s="2">
        <v>40385</v>
      </c>
      <c r="B1844" s="1">
        <v>118.26</v>
      </c>
      <c r="C1844" s="1">
        <v>118.6</v>
      </c>
      <c r="D1844" s="1">
        <v>114.88</v>
      </c>
      <c r="E1844" s="1">
        <v>118.4</v>
      </c>
      <c r="F1844" s="1">
        <v>11137800</v>
      </c>
      <c r="G1844" s="1">
        <v>118.4</v>
      </c>
      <c r="H1844" s="1">
        <f t="shared" si="252"/>
        <v>3.7199999999999989</v>
      </c>
      <c r="I1844" s="9">
        <f t="shared" si="259"/>
        <v>3.2381615598885784E-2</v>
      </c>
      <c r="J1844" s="1">
        <f t="shared" si="260"/>
        <v>-0.46999999999999886</v>
      </c>
      <c r="K1844" s="9">
        <f t="shared" si="253"/>
        <v>-3.9538992176326986E-3</v>
      </c>
      <c r="L1844" s="1">
        <f t="shared" si="254"/>
        <v>1</v>
      </c>
      <c r="M1844" s="1">
        <f t="shared" si="255"/>
        <v>118.6</v>
      </c>
      <c r="N1844" s="1">
        <f t="shared" si="256"/>
        <v>114.88</v>
      </c>
      <c r="O1844" s="1">
        <f t="shared" si="257"/>
        <v>116.44000000000001</v>
      </c>
      <c r="P1844" s="1">
        <f t="shared" si="258"/>
        <v>59.408163265306129</v>
      </c>
    </row>
    <row r="1845" spans="1:16">
      <c r="A1845" s="2">
        <v>40382</v>
      </c>
      <c r="B1845" s="1">
        <v>105.93</v>
      </c>
      <c r="C1845" s="1">
        <v>119.28</v>
      </c>
      <c r="D1845" s="1">
        <v>105.8</v>
      </c>
      <c r="E1845" s="1">
        <v>118.87</v>
      </c>
      <c r="F1845" s="1">
        <v>42421100</v>
      </c>
      <c r="G1845" s="1">
        <v>118.87</v>
      </c>
      <c r="H1845" s="1">
        <f t="shared" si="252"/>
        <v>13.480000000000004</v>
      </c>
      <c r="I1845" s="9">
        <f t="shared" si="259"/>
        <v>0.12741020793950855</v>
      </c>
      <c r="J1845" s="1">
        <f t="shared" si="260"/>
        <v>-1.1999999999999886</v>
      </c>
      <c r="K1845" s="9">
        <f t="shared" si="253"/>
        <v>-9.9941700674605546E-3</v>
      </c>
      <c r="L1845" s="1">
        <f t="shared" si="254"/>
        <v>1</v>
      </c>
      <c r="M1845" s="1">
        <f t="shared" si="255"/>
        <v>119.28</v>
      </c>
      <c r="N1845" s="1">
        <f t="shared" si="256"/>
        <v>105.8</v>
      </c>
      <c r="O1845" s="1">
        <f t="shared" si="257"/>
        <v>116.91000000000001</v>
      </c>
      <c r="P1845" s="1">
        <f t="shared" si="258"/>
        <v>59.647959183673478</v>
      </c>
    </row>
    <row r="1846" spans="1:16">
      <c r="A1846" s="2">
        <v>40381</v>
      </c>
      <c r="B1846" s="1">
        <v>118.71</v>
      </c>
      <c r="C1846" s="1">
        <v>120.87</v>
      </c>
      <c r="D1846" s="1">
        <v>118.02</v>
      </c>
      <c r="E1846" s="1">
        <v>120.07</v>
      </c>
      <c r="F1846" s="1">
        <v>15003400</v>
      </c>
      <c r="G1846" s="1">
        <v>120.07</v>
      </c>
      <c r="H1846" s="1">
        <f t="shared" si="252"/>
        <v>2.8500000000000085</v>
      </c>
      <c r="I1846" s="9">
        <f t="shared" si="259"/>
        <v>2.4148449415353403E-2</v>
      </c>
      <c r="J1846" s="1">
        <f t="shared" si="260"/>
        <v>2.6399999999999864</v>
      </c>
      <c r="K1846" s="9">
        <f t="shared" si="253"/>
        <v>2.2481478327514147E-2</v>
      </c>
      <c r="L1846" s="1">
        <f t="shared" si="254"/>
        <v>1</v>
      </c>
      <c r="M1846" s="1">
        <f t="shared" si="255"/>
        <v>120.87</v>
      </c>
      <c r="N1846" s="1">
        <f t="shared" si="256"/>
        <v>118.02</v>
      </c>
      <c r="O1846" s="1">
        <f t="shared" si="257"/>
        <v>118.11</v>
      </c>
      <c r="P1846" s="1">
        <f t="shared" si="258"/>
        <v>60.260204081632651</v>
      </c>
    </row>
    <row r="1847" spans="1:16">
      <c r="A1847" s="2">
        <v>40380</v>
      </c>
      <c r="B1847" s="1">
        <v>120.62</v>
      </c>
      <c r="C1847" s="1">
        <v>121.25</v>
      </c>
      <c r="D1847" s="1">
        <v>117.26</v>
      </c>
      <c r="E1847" s="1">
        <v>117.43</v>
      </c>
      <c r="F1847" s="1">
        <v>5011700</v>
      </c>
      <c r="G1847" s="1">
        <v>117.43</v>
      </c>
      <c r="H1847" s="1">
        <f t="shared" si="252"/>
        <v>3.9899999999999949</v>
      </c>
      <c r="I1847" s="9">
        <f t="shared" si="259"/>
        <v>3.4026948661094958E-2</v>
      </c>
      <c r="J1847" s="1">
        <f t="shared" si="260"/>
        <v>-2.6699999999999875</v>
      </c>
      <c r="K1847" s="9">
        <f t="shared" si="253"/>
        <v>-2.2231473771856684E-2</v>
      </c>
      <c r="L1847" s="1">
        <f t="shared" si="254"/>
        <v>1</v>
      </c>
      <c r="M1847" s="1">
        <f t="shared" si="255"/>
        <v>121.25</v>
      </c>
      <c r="N1847" s="1">
        <f t="shared" si="256"/>
        <v>117.26</v>
      </c>
      <c r="O1847" s="1">
        <f t="shared" si="257"/>
        <v>115.47000000000001</v>
      </c>
      <c r="P1847" s="1">
        <f t="shared" si="258"/>
        <v>58.913265306122454</v>
      </c>
    </row>
    <row r="1848" spans="1:16">
      <c r="A1848" s="2">
        <v>40379</v>
      </c>
      <c r="B1848" s="1">
        <v>120.61</v>
      </c>
      <c r="C1848" s="1">
        <v>120.71</v>
      </c>
      <c r="D1848" s="1">
        <v>117.51</v>
      </c>
      <c r="E1848" s="1">
        <v>120.1</v>
      </c>
      <c r="F1848" s="1">
        <v>6785000</v>
      </c>
      <c r="G1848" s="1">
        <v>120.1</v>
      </c>
      <c r="H1848" s="1">
        <f t="shared" si="252"/>
        <v>3.1999999999999886</v>
      </c>
      <c r="I1848" s="9">
        <f t="shared" si="259"/>
        <v>2.7231724959577812E-2</v>
      </c>
      <c r="J1848" s="1">
        <f t="shared" si="260"/>
        <v>0.15999999999999659</v>
      </c>
      <c r="K1848" s="9">
        <f t="shared" si="253"/>
        <v>1.3340003335000549E-3</v>
      </c>
      <c r="L1848" s="1">
        <f t="shared" si="254"/>
        <v>1</v>
      </c>
      <c r="M1848" s="1">
        <f t="shared" si="255"/>
        <v>120.71</v>
      </c>
      <c r="N1848" s="1">
        <f t="shared" si="256"/>
        <v>117.51</v>
      </c>
      <c r="O1848" s="1">
        <f t="shared" si="257"/>
        <v>118.14</v>
      </c>
      <c r="P1848" s="1">
        <f t="shared" si="258"/>
        <v>60.275510204081634</v>
      </c>
    </row>
    <row r="1849" spans="1:16">
      <c r="A1849" s="2">
        <v>40378</v>
      </c>
      <c r="B1849" s="1">
        <v>118.38</v>
      </c>
      <c r="C1849" s="1">
        <v>120.74</v>
      </c>
      <c r="D1849" s="1">
        <v>117</v>
      </c>
      <c r="E1849" s="1">
        <v>119.94</v>
      </c>
      <c r="F1849" s="1">
        <v>5030900</v>
      </c>
      <c r="G1849" s="1">
        <v>119.94</v>
      </c>
      <c r="H1849" s="1">
        <f t="shared" si="252"/>
        <v>3.7399999999999949</v>
      </c>
      <c r="I1849" s="9">
        <f t="shared" si="259"/>
        <v>3.196581196581192E-2</v>
      </c>
      <c r="J1849" s="1">
        <f t="shared" si="260"/>
        <v>1.4500000000000028</v>
      </c>
      <c r="K1849" s="9">
        <f t="shared" si="253"/>
        <v>1.2237319605029984E-2</v>
      </c>
      <c r="L1849" s="1">
        <f t="shared" si="254"/>
        <v>1</v>
      </c>
      <c r="M1849" s="1">
        <f t="shared" si="255"/>
        <v>120.74</v>
      </c>
      <c r="N1849" s="1">
        <f t="shared" si="256"/>
        <v>117</v>
      </c>
      <c r="O1849" s="1">
        <f t="shared" si="257"/>
        <v>117.98</v>
      </c>
      <c r="P1849" s="1">
        <f t="shared" si="258"/>
        <v>60.193877551020414</v>
      </c>
    </row>
    <row r="1850" spans="1:16">
      <c r="A1850" s="2">
        <v>40375</v>
      </c>
      <c r="B1850" s="1">
        <v>121.28</v>
      </c>
      <c r="C1850" s="1">
        <v>121.92</v>
      </c>
      <c r="D1850" s="1">
        <v>118.01</v>
      </c>
      <c r="E1850" s="1">
        <v>118.49</v>
      </c>
      <c r="F1850" s="1">
        <v>6227900</v>
      </c>
      <c r="G1850" s="1">
        <v>118.49</v>
      </c>
      <c r="H1850" s="1">
        <f t="shared" si="252"/>
        <v>3.9099999999999966</v>
      </c>
      <c r="I1850" s="9">
        <f t="shared" si="259"/>
        <v>3.3132785357173088E-2</v>
      </c>
      <c r="J1850" s="1">
        <f t="shared" si="260"/>
        <v>-3.5700000000000074</v>
      </c>
      <c r="K1850" s="9">
        <f t="shared" si="253"/>
        <v>-2.9247910863509811E-2</v>
      </c>
      <c r="L1850" s="1">
        <f t="shared" si="254"/>
        <v>1</v>
      </c>
      <c r="M1850" s="1">
        <f t="shared" si="255"/>
        <v>121.92</v>
      </c>
      <c r="N1850" s="1">
        <f t="shared" si="256"/>
        <v>118.01</v>
      </c>
      <c r="O1850" s="1">
        <f t="shared" si="257"/>
        <v>116.53</v>
      </c>
      <c r="P1850" s="1">
        <f t="shared" si="258"/>
        <v>59.454081632653065</v>
      </c>
    </row>
    <row r="1851" spans="1:16">
      <c r="A1851" s="2">
        <v>40374</v>
      </c>
      <c r="B1851" s="1">
        <v>120.13</v>
      </c>
      <c r="C1851" s="1">
        <v>122.48</v>
      </c>
      <c r="D1851" s="1">
        <v>119.26</v>
      </c>
      <c r="E1851" s="1">
        <v>122.06</v>
      </c>
      <c r="F1851" s="1">
        <v>6047700</v>
      </c>
      <c r="G1851" s="1">
        <v>122.06</v>
      </c>
      <c r="H1851" s="1">
        <f t="shared" si="252"/>
        <v>3.2199999999999989</v>
      </c>
      <c r="I1851" s="9">
        <f t="shared" si="259"/>
        <v>2.6999832299178256E-2</v>
      </c>
      <c r="J1851" s="1">
        <f t="shared" si="260"/>
        <v>-1.2399999999999949</v>
      </c>
      <c r="K1851" s="9">
        <f t="shared" si="253"/>
        <v>-1.0056772100567679E-2</v>
      </c>
      <c r="L1851" s="1">
        <f t="shared" si="254"/>
        <v>1</v>
      </c>
      <c r="M1851" s="1">
        <f t="shared" si="255"/>
        <v>122.48</v>
      </c>
      <c r="N1851" s="1">
        <f t="shared" si="256"/>
        <v>119.26</v>
      </c>
      <c r="O1851" s="1">
        <f t="shared" si="257"/>
        <v>120.10000000000001</v>
      </c>
      <c r="P1851" s="1">
        <f t="shared" si="258"/>
        <v>61.275510204081641</v>
      </c>
    </row>
    <row r="1852" spans="1:16">
      <c r="A1852" s="2">
        <v>40373</v>
      </c>
      <c r="B1852" s="1">
        <v>123.03</v>
      </c>
      <c r="C1852" s="1">
        <v>123.75</v>
      </c>
      <c r="D1852" s="1">
        <v>121.47</v>
      </c>
      <c r="E1852" s="1">
        <v>123.3</v>
      </c>
      <c r="F1852" s="1">
        <v>5257000</v>
      </c>
      <c r="G1852" s="1">
        <v>123.3</v>
      </c>
      <c r="H1852" s="1">
        <f t="shared" si="252"/>
        <v>2.2800000000000011</v>
      </c>
      <c r="I1852" s="9">
        <f t="shared" si="259"/>
        <v>1.8770066683131647E-2</v>
      </c>
      <c r="J1852" s="1">
        <f t="shared" si="260"/>
        <v>-0.35000000000000853</v>
      </c>
      <c r="K1852" s="9">
        <f t="shared" si="253"/>
        <v>-2.8305701577032633E-3</v>
      </c>
      <c r="L1852" s="1">
        <f t="shared" si="254"/>
        <v>1</v>
      </c>
      <c r="M1852" s="1">
        <f t="shared" si="255"/>
        <v>123.75</v>
      </c>
      <c r="N1852" s="1">
        <f t="shared" si="256"/>
        <v>121.47</v>
      </c>
      <c r="O1852" s="1">
        <f t="shared" si="257"/>
        <v>121.34</v>
      </c>
      <c r="P1852" s="1">
        <f t="shared" si="258"/>
        <v>61.908163265306122</v>
      </c>
    </row>
    <row r="1853" spans="1:16">
      <c r="A1853" s="2">
        <v>40372</v>
      </c>
      <c r="B1853" s="1">
        <v>120.69</v>
      </c>
      <c r="C1853" s="1">
        <v>124.88</v>
      </c>
      <c r="D1853" s="1">
        <v>120.3</v>
      </c>
      <c r="E1853" s="1">
        <v>123.65</v>
      </c>
      <c r="F1853" s="1">
        <v>7091100</v>
      </c>
      <c r="G1853" s="1">
        <v>123.65</v>
      </c>
      <c r="H1853" s="1">
        <f t="shared" si="252"/>
        <v>4.5799999999999983</v>
      </c>
      <c r="I1853" s="9">
        <f t="shared" si="259"/>
        <v>3.8071487946799654E-2</v>
      </c>
      <c r="J1853" s="1">
        <f t="shared" si="260"/>
        <v>4.1400000000000006</v>
      </c>
      <c r="K1853" s="9">
        <f t="shared" si="253"/>
        <v>3.4641452598108947E-2</v>
      </c>
      <c r="L1853" s="1">
        <f t="shared" si="254"/>
        <v>1</v>
      </c>
      <c r="M1853" s="1">
        <f t="shared" si="255"/>
        <v>124.88</v>
      </c>
      <c r="N1853" s="1">
        <f t="shared" si="256"/>
        <v>120.3</v>
      </c>
      <c r="O1853" s="1">
        <f t="shared" si="257"/>
        <v>121.69000000000001</v>
      </c>
      <c r="P1853" s="1">
        <f t="shared" si="258"/>
        <v>62.08673469387756</v>
      </c>
    </row>
    <row r="1854" spans="1:16">
      <c r="A1854" s="2">
        <v>40371</v>
      </c>
      <c r="B1854" s="1">
        <v>117.81</v>
      </c>
      <c r="C1854" s="1">
        <v>119.7</v>
      </c>
      <c r="D1854" s="1">
        <v>117.32</v>
      </c>
      <c r="E1854" s="1">
        <v>119.51</v>
      </c>
      <c r="F1854" s="1">
        <v>4783600</v>
      </c>
      <c r="G1854" s="1">
        <v>119.51</v>
      </c>
      <c r="H1854" s="1">
        <f t="shared" si="252"/>
        <v>2.3800000000000097</v>
      </c>
      <c r="I1854" s="9">
        <f t="shared" si="259"/>
        <v>2.0286396181384333E-2</v>
      </c>
      <c r="J1854" s="1">
        <f t="shared" si="260"/>
        <v>2.25</v>
      </c>
      <c r="K1854" s="9">
        <f t="shared" si="253"/>
        <v>1.9188128944226505E-2</v>
      </c>
      <c r="L1854" s="1">
        <f t="shared" si="254"/>
        <v>1</v>
      </c>
      <c r="M1854" s="1">
        <f t="shared" si="255"/>
        <v>119.7</v>
      </c>
      <c r="N1854" s="1">
        <f t="shared" si="256"/>
        <v>117.32</v>
      </c>
      <c r="O1854" s="1">
        <f t="shared" si="257"/>
        <v>117.55000000000001</v>
      </c>
      <c r="P1854" s="1">
        <f t="shared" si="258"/>
        <v>59.974489795918373</v>
      </c>
    </row>
    <row r="1855" spans="1:16">
      <c r="A1855" s="2">
        <v>40368</v>
      </c>
      <c r="B1855" s="1">
        <v>116.55</v>
      </c>
      <c r="C1855" s="1">
        <v>117.4</v>
      </c>
      <c r="D1855" s="1">
        <v>114.65</v>
      </c>
      <c r="E1855" s="1">
        <v>117.26</v>
      </c>
      <c r="F1855" s="1">
        <v>4065100</v>
      </c>
      <c r="G1855" s="1">
        <v>117.26</v>
      </c>
      <c r="H1855" s="1">
        <f t="shared" si="252"/>
        <v>2.75</v>
      </c>
      <c r="I1855" s="9">
        <f t="shared" si="259"/>
        <v>2.3986044483209769E-2</v>
      </c>
      <c r="J1855" s="1">
        <f t="shared" si="260"/>
        <v>1.0400000000000063</v>
      </c>
      <c r="K1855" s="9">
        <f t="shared" si="253"/>
        <v>8.9485458612975927E-3</v>
      </c>
      <c r="L1855" s="1">
        <f t="shared" si="254"/>
        <v>1</v>
      </c>
      <c r="M1855" s="1">
        <f t="shared" si="255"/>
        <v>117.4</v>
      </c>
      <c r="N1855" s="1">
        <f t="shared" si="256"/>
        <v>114.65</v>
      </c>
      <c r="O1855" s="1">
        <f t="shared" si="257"/>
        <v>115.30000000000001</v>
      </c>
      <c r="P1855" s="1">
        <f t="shared" si="258"/>
        <v>58.826530612244902</v>
      </c>
    </row>
    <row r="1856" spans="1:16">
      <c r="A1856" s="2">
        <v>40367</v>
      </c>
      <c r="B1856" s="1">
        <v>115.02</v>
      </c>
      <c r="C1856" s="1">
        <v>117.48</v>
      </c>
      <c r="D1856" s="1">
        <v>114.07</v>
      </c>
      <c r="E1856" s="1">
        <v>116.22</v>
      </c>
      <c r="F1856" s="1">
        <v>6775000</v>
      </c>
      <c r="G1856" s="1">
        <v>116.22</v>
      </c>
      <c r="H1856" s="1">
        <f t="shared" si="252"/>
        <v>3.4100000000000108</v>
      </c>
      <c r="I1856" s="9">
        <f t="shared" si="259"/>
        <v>2.9893924783028061E-2</v>
      </c>
      <c r="J1856" s="1">
        <f t="shared" si="260"/>
        <v>2.789999999999992</v>
      </c>
      <c r="K1856" s="9">
        <f t="shared" si="253"/>
        <v>2.4596667548267583E-2</v>
      </c>
      <c r="L1856" s="1">
        <f t="shared" si="254"/>
        <v>1</v>
      </c>
      <c r="M1856" s="1">
        <f t="shared" si="255"/>
        <v>117.48</v>
      </c>
      <c r="N1856" s="1">
        <f t="shared" si="256"/>
        <v>114.07</v>
      </c>
      <c r="O1856" s="1">
        <f t="shared" si="257"/>
        <v>114.26</v>
      </c>
      <c r="P1856" s="1">
        <f t="shared" si="258"/>
        <v>58.295918367346943</v>
      </c>
    </row>
    <row r="1857" spans="1:16">
      <c r="A1857" s="2">
        <v>40366</v>
      </c>
      <c r="B1857" s="1">
        <v>109.84</v>
      </c>
      <c r="C1857" s="1">
        <v>113.63</v>
      </c>
      <c r="D1857" s="1">
        <v>109.81</v>
      </c>
      <c r="E1857" s="1">
        <v>113.43</v>
      </c>
      <c r="F1857" s="1">
        <v>4941000</v>
      </c>
      <c r="G1857" s="1">
        <v>113.43</v>
      </c>
      <c r="H1857" s="1">
        <f t="shared" si="252"/>
        <v>3.8199999999999932</v>
      </c>
      <c r="I1857" s="9">
        <f t="shared" si="259"/>
        <v>3.4787359985429318E-2</v>
      </c>
      <c r="J1857" s="1">
        <f t="shared" si="260"/>
        <v>3.3700000000000045</v>
      </c>
      <c r="K1857" s="9">
        <f t="shared" si="253"/>
        <v>3.0619662002544106E-2</v>
      </c>
      <c r="L1857" s="1">
        <f t="shared" si="254"/>
        <v>1</v>
      </c>
      <c r="M1857" s="1">
        <f t="shared" si="255"/>
        <v>113.63</v>
      </c>
      <c r="N1857" s="1">
        <f t="shared" si="256"/>
        <v>109.81</v>
      </c>
      <c r="O1857" s="1">
        <f t="shared" si="257"/>
        <v>111.47000000000001</v>
      </c>
      <c r="P1857" s="1">
        <f t="shared" si="258"/>
        <v>56.872448979591844</v>
      </c>
    </row>
    <row r="1858" spans="1:16">
      <c r="A1858" s="2">
        <v>40365</v>
      </c>
      <c r="B1858" s="1">
        <v>110.65</v>
      </c>
      <c r="C1858" s="1">
        <v>112.53</v>
      </c>
      <c r="D1858" s="1">
        <v>109</v>
      </c>
      <c r="E1858" s="1">
        <v>110.06</v>
      </c>
      <c r="F1858" s="1">
        <v>5219300</v>
      </c>
      <c r="G1858" s="1">
        <v>110.06</v>
      </c>
      <c r="H1858" s="1">
        <f t="shared" si="252"/>
        <v>3.5300000000000011</v>
      </c>
      <c r="I1858" s="9">
        <f t="shared" si="259"/>
        <v>3.2385321100917443E-2</v>
      </c>
      <c r="J1858" s="1">
        <f t="shared" si="260"/>
        <v>0.92000000000000171</v>
      </c>
      <c r="K1858" s="9">
        <f t="shared" si="253"/>
        <v>8.429540040315207E-3</v>
      </c>
      <c r="L1858" s="1">
        <f t="shared" si="254"/>
        <v>1</v>
      </c>
      <c r="M1858" s="1">
        <f t="shared" si="255"/>
        <v>112.53</v>
      </c>
      <c r="N1858" s="1">
        <f t="shared" si="256"/>
        <v>109</v>
      </c>
      <c r="O1858" s="1">
        <f t="shared" si="257"/>
        <v>108.10000000000001</v>
      </c>
      <c r="P1858" s="1">
        <f t="shared" si="258"/>
        <v>55.153061224489804</v>
      </c>
    </row>
    <row r="1859" spans="1:16">
      <c r="A1859" s="2">
        <v>40361</v>
      </c>
      <c r="B1859" s="1">
        <v>110.92</v>
      </c>
      <c r="C1859" s="1">
        <v>111.29</v>
      </c>
      <c r="D1859" s="1">
        <v>108.56</v>
      </c>
      <c r="E1859" s="1">
        <v>109.14</v>
      </c>
      <c r="F1859" s="1">
        <v>4477100</v>
      </c>
      <c r="G1859" s="1">
        <v>109.14</v>
      </c>
      <c r="H1859" s="1">
        <f t="shared" ref="H1859:H1922" si="261">C1859-D1859</f>
        <v>2.730000000000004</v>
      </c>
      <c r="I1859" s="9">
        <f t="shared" si="259"/>
        <v>2.5147383935151105E-2</v>
      </c>
      <c r="J1859" s="1">
        <f t="shared" si="260"/>
        <v>-1.8199999999999932</v>
      </c>
      <c r="K1859" s="9">
        <f t="shared" ref="K1859:K1922" si="262">(G1859-G1860)/G1860</f>
        <v>-1.6402307137707222E-2</v>
      </c>
      <c r="L1859" s="1">
        <f t="shared" ref="L1859:L1922" si="263">G1859/E1859</f>
        <v>1</v>
      </c>
      <c r="M1859" s="1">
        <f t="shared" ref="M1859:M1922" si="264">L1859*C1859</f>
        <v>111.29</v>
      </c>
      <c r="N1859" s="1">
        <f t="shared" ref="N1859:N1922" si="265">L1859*D1859</f>
        <v>108.56</v>
      </c>
      <c r="O1859" s="1">
        <f t="shared" ref="O1859:O1922" si="266">G1859-$G$5163</f>
        <v>107.18</v>
      </c>
      <c r="P1859" s="1">
        <f t="shared" ref="P1859:P1922" si="267">(G1859-$G$5163)/$G$5163</f>
        <v>54.683673469387763</v>
      </c>
    </row>
    <row r="1860" spans="1:16">
      <c r="A1860" s="2">
        <v>40360</v>
      </c>
      <c r="B1860" s="1">
        <v>108.9</v>
      </c>
      <c r="C1860" s="1">
        <v>111.69</v>
      </c>
      <c r="D1860" s="1">
        <v>106.7</v>
      </c>
      <c r="E1860" s="1">
        <v>110.96</v>
      </c>
      <c r="F1860" s="1">
        <v>8529800</v>
      </c>
      <c r="G1860" s="1">
        <v>110.96</v>
      </c>
      <c r="H1860" s="1">
        <f t="shared" si="261"/>
        <v>4.9899999999999949</v>
      </c>
      <c r="I1860" s="9">
        <f t="shared" ref="I1860:I1923" si="268">(C1860-D1860)/D1860</f>
        <v>4.6766635426429191E-2</v>
      </c>
      <c r="J1860" s="1">
        <f t="shared" ref="J1860:J1923" si="269">G1860-G1861</f>
        <v>1.6999999999999886</v>
      </c>
      <c r="K1860" s="9">
        <f t="shared" si="262"/>
        <v>1.5559216547684317E-2</v>
      </c>
      <c r="L1860" s="1">
        <f t="shared" si="263"/>
        <v>1</v>
      </c>
      <c r="M1860" s="1">
        <f t="shared" si="264"/>
        <v>111.69</v>
      </c>
      <c r="N1860" s="1">
        <f t="shared" si="265"/>
        <v>106.7</v>
      </c>
      <c r="O1860" s="1">
        <f t="shared" si="266"/>
        <v>109</v>
      </c>
      <c r="P1860" s="1">
        <f t="shared" si="267"/>
        <v>55.612244897959187</v>
      </c>
    </row>
    <row r="1861" spans="1:16">
      <c r="A1861" s="2">
        <v>40359</v>
      </c>
      <c r="B1861" s="1">
        <v>108.58</v>
      </c>
      <c r="C1861" s="1">
        <v>112.68</v>
      </c>
      <c r="D1861" s="1">
        <v>108.11</v>
      </c>
      <c r="E1861" s="1">
        <v>109.26</v>
      </c>
      <c r="F1861" s="1">
        <v>9740700</v>
      </c>
      <c r="G1861" s="1">
        <v>109.26</v>
      </c>
      <c r="H1861" s="1">
        <f t="shared" si="261"/>
        <v>4.5700000000000074</v>
      </c>
      <c r="I1861" s="9">
        <f t="shared" si="268"/>
        <v>4.2271760244195794E-2</v>
      </c>
      <c r="J1861" s="1">
        <f t="shared" si="269"/>
        <v>0.65000000000000568</v>
      </c>
      <c r="K1861" s="9">
        <f t="shared" si="262"/>
        <v>5.9847159561735169E-3</v>
      </c>
      <c r="L1861" s="1">
        <f t="shared" si="263"/>
        <v>1</v>
      </c>
      <c r="M1861" s="1">
        <f t="shared" si="264"/>
        <v>112.68</v>
      </c>
      <c r="N1861" s="1">
        <f t="shared" si="265"/>
        <v>108.11</v>
      </c>
      <c r="O1861" s="1">
        <f t="shared" si="266"/>
        <v>107.30000000000001</v>
      </c>
      <c r="P1861" s="1">
        <f t="shared" si="267"/>
        <v>54.744897959183682</v>
      </c>
    </row>
    <row r="1862" spans="1:16">
      <c r="A1862" s="2">
        <v>40358</v>
      </c>
      <c r="B1862" s="1">
        <v>116.26</v>
      </c>
      <c r="C1862" s="1">
        <v>116.48</v>
      </c>
      <c r="D1862" s="1">
        <v>106.01</v>
      </c>
      <c r="E1862" s="1">
        <v>108.61</v>
      </c>
      <c r="F1862" s="1">
        <v>12866300</v>
      </c>
      <c r="G1862" s="1">
        <v>108.61</v>
      </c>
      <c r="H1862" s="1">
        <f t="shared" si="261"/>
        <v>10.469999999999999</v>
      </c>
      <c r="I1862" s="9">
        <f t="shared" si="268"/>
        <v>9.8764267521931876E-2</v>
      </c>
      <c r="J1862" s="1">
        <f t="shared" si="269"/>
        <v>-9.1899999999999977</v>
      </c>
      <c r="K1862" s="9">
        <f t="shared" si="262"/>
        <v>-7.8013582342954135E-2</v>
      </c>
      <c r="L1862" s="1">
        <f t="shared" si="263"/>
        <v>1</v>
      </c>
      <c r="M1862" s="1">
        <f t="shared" si="264"/>
        <v>116.48</v>
      </c>
      <c r="N1862" s="1">
        <f t="shared" si="265"/>
        <v>106.01</v>
      </c>
      <c r="O1862" s="1">
        <f t="shared" si="266"/>
        <v>106.65</v>
      </c>
      <c r="P1862" s="1">
        <f t="shared" si="267"/>
        <v>54.413265306122454</v>
      </c>
    </row>
    <row r="1863" spans="1:16">
      <c r="A1863" s="2">
        <v>40357</v>
      </c>
      <c r="B1863" s="1">
        <v>118.85</v>
      </c>
      <c r="C1863" s="1">
        <v>120.04</v>
      </c>
      <c r="D1863" s="1">
        <v>117.1</v>
      </c>
      <c r="E1863" s="1">
        <v>117.8</v>
      </c>
      <c r="F1863" s="1">
        <v>5612200</v>
      </c>
      <c r="G1863" s="1">
        <v>117.8</v>
      </c>
      <c r="H1863" s="1">
        <f t="shared" si="261"/>
        <v>2.9400000000000119</v>
      </c>
      <c r="I1863" s="9">
        <f t="shared" si="268"/>
        <v>2.5106746370623503E-2</v>
      </c>
      <c r="J1863" s="1">
        <f t="shared" si="269"/>
        <v>-3.2000000000000028</v>
      </c>
      <c r="K1863" s="9">
        <f t="shared" si="262"/>
        <v>-2.6446280991735561E-2</v>
      </c>
      <c r="L1863" s="1">
        <f t="shared" si="263"/>
        <v>1</v>
      </c>
      <c r="M1863" s="1">
        <f t="shared" si="264"/>
        <v>120.04</v>
      </c>
      <c r="N1863" s="1">
        <f t="shared" si="265"/>
        <v>117.1</v>
      </c>
      <c r="O1863" s="1">
        <f t="shared" si="266"/>
        <v>115.84</v>
      </c>
      <c r="P1863" s="1">
        <f t="shared" si="267"/>
        <v>59.102040816326536</v>
      </c>
    </row>
    <row r="1864" spans="1:16">
      <c r="A1864" s="2">
        <v>40354</v>
      </c>
      <c r="B1864" s="1">
        <v>118.14</v>
      </c>
      <c r="C1864" s="1">
        <v>121.76</v>
      </c>
      <c r="D1864" s="1">
        <v>117.63</v>
      </c>
      <c r="E1864" s="1">
        <v>121</v>
      </c>
      <c r="F1864" s="1">
        <v>5769700</v>
      </c>
      <c r="G1864" s="1">
        <v>121</v>
      </c>
      <c r="H1864" s="1">
        <f t="shared" si="261"/>
        <v>4.1300000000000097</v>
      </c>
      <c r="I1864" s="9">
        <f t="shared" si="268"/>
        <v>3.5110090963189747E-2</v>
      </c>
      <c r="J1864" s="1">
        <f t="shared" si="269"/>
        <v>2.6700000000000017</v>
      </c>
      <c r="K1864" s="9">
        <f t="shared" si="262"/>
        <v>2.2564015887771502E-2</v>
      </c>
      <c r="L1864" s="1">
        <f t="shared" si="263"/>
        <v>1</v>
      </c>
      <c r="M1864" s="1">
        <f t="shared" si="264"/>
        <v>121.76</v>
      </c>
      <c r="N1864" s="1">
        <f t="shared" si="265"/>
        <v>117.63</v>
      </c>
      <c r="O1864" s="1">
        <f t="shared" si="266"/>
        <v>119.04</v>
      </c>
      <c r="P1864" s="1">
        <f t="shared" si="267"/>
        <v>60.734693877551024</v>
      </c>
    </row>
    <row r="1865" spans="1:16">
      <c r="A1865" s="2">
        <v>40353</v>
      </c>
      <c r="B1865" s="1">
        <v>120.61</v>
      </c>
      <c r="C1865" s="1">
        <v>120.85</v>
      </c>
      <c r="D1865" s="1">
        <v>116.8</v>
      </c>
      <c r="E1865" s="1">
        <v>118.33</v>
      </c>
      <c r="F1865" s="1">
        <v>7771100</v>
      </c>
      <c r="G1865" s="1">
        <v>118.33</v>
      </c>
      <c r="H1865" s="1">
        <f t="shared" si="261"/>
        <v>4.0499999999999972</v>
      </c>
      <c r="I1865" s="9">
        <f t="shared" si="268"/>
        <v>3.4674657534246554E-2</v>
      </c>
      <c r="J1865" s="1">
        <f t="shared" si="269"/>
        <v>-3.1200000000000045</v>
      </c>
      <c r="K1865" s="9">
        <f t="shared" si="262"/>
        <v>-2.5689584191025149E-2</v>
      </c>
      <c r="L1865" s="1">
        <f t="shared" si="263"/>
        <v>1</v>
      </c>
      <c r="M1865" s="1">
        <f t="shared" si="264"/>
        <v>120.85</v>
      </c>
      <c r="N1865" s="1">
        <f t="shared" si="265"/>
        <v>116.8</v>
      </c>
      <c r="O1865" s="1">
        <f t="shared" si="266"/>
        <v>116.37</v>
      </c>
      <c r="P1865" s="1">
        <f t="shared" si="267"/>
        <v>59.372448979591837</v>
      </c>
    </row>
    <row r="1866" spans="1:16">
      <c r="A1866" s="2">
        <v>40352</v>
      </c>
      <c r="B1866" s="1">
        <v>122.11</v>
      </c>
      <c r="C1866" s="1">
        <v>123.22</v>
      </c>
      <c r="D1866" s="1">
        <v>120.04</v>
      </c>
      <c r="E1866" s="1">
        <v>121.45</v>
      </c>
      <c r="F1866" s="1">
        <v>5455100</v>
      </c>
      <c r="G1866" s="1">
        <v>121.45</v>
      </c>
      <c r="H1866" s="1">
        <f t="shared" si="261"/>
        <v>3.1799999999999926</v>
      </c>
      <c r="I1866" s="9">
        <f t="shared" si="268"/>
        <v>2.6491169610129893E-2</v>
      </c>
      <c r="J1866" s="1">
        <f t="shared" si="269"/>
        <v>-0.85999999999999943</v>
      </c>
      <c r="K1866" s="9">
        <f t="shared" si="262"/>
        <v>-7.0313138745809779E-3</v>
      </c>
      <c r="L1866" s="1">
        <f t="shared" si="263"/>
        <v>1</v>
      </c>
      <c r="M1866" s="1">
        <f t="shared" si="264"/>
        <v>123.22</v>
      </c>
      <c r="N1866" s="1">
        <f t="shared" si="265"/>
        <v>120.04</v>
      </c>
      <c r="O1866" s="1">
        <f t="shared" si="266"/>
        <v>119.49000000000001</v>
      </c>
      <c r="P1866" s="1">
        <f t="shared" si="267"/>
        <v>60.964285714285722</v>
      </c>
    </row>
    <row r="1867" spans="1:16">
      <c r="A1867" s="2">
        <v>40351</v>
      </c>
      <c r="B1867" s="1">
        <v>122.65</v>
      </c>
      <c r="C1867" s="1">
        <v>125.23</v>
      </c>
      <c r="D1867" s="1">
        <v>121.55</v>
      </c>
      <c r="E1867" s="1">
        <v>122.31</v>
      </c>
      <c r="F1867" s="1">
        <v>6207200</v>
      </c>
      <c r="G1867" s="1">
        <v>122.31</v>
      </c>
      <c r="H1867" s="1">
        <f t="shared" si="261"/>
        <v>3.6800000000000068</v>
      </c>
      <c r="I1867" s="9">
        <f t="shared" si="268"/>
        <v>3.027560674619504E-2</v>
      </c>
      <c r="J1867" s="1">
        <f t="shared" si="269"/>
        <v>-0.23999999999999488</v>
      </c>
      <c r="K1867" s="9">
        <f t="shared" si="262"/>
        <v>-1.9583843329252951E-3</v>
      </c>
      <c r="L1867" s="1">
        <f t="shared" si="263"/>
        <v>1</v>
      </c>
      <c r="M1867" s="1">
        <f t="shared" si="264"/>
        <v>125.23</v>
      </c>
      <c r="N1867" s="1">
        <f t="shared" si="265"/>
        <v>121.55</v>
      </c>
      <c r="O1867" s="1">
        <f t="shared" si="266"/>
        <v>120.35000000000001</v>
      </c>
      <c r="P1867" s="1">
        <f t="shared" si="267"/>
        <v>61.403061224489804</v>
      </c>
    </row>
    <row r="1868" spans="1:16">
      <c r="A1868" s="2">
        <v>40350</v>
      </c>
      <c r="B1868" s="1">
        <v>126.79</v>
      </c>
      <c r="C1868" s="1">
        <v>127.48</v>
      </c>
      <c r="D1868" s="1">
        <v>121.41</v>
      </c>
      <c r="E1868" s="1">
        <v>122.55</v>
      </c>
      <c r="F1868" s="1">
        <v>5327700</v>
      </c>
      <c r="G1868" s="1">
        <v>122.55</v>
      </c>
      <c r="H1868" s="1">
        <f t="shared" si="261"/>
        <v>6.0700000000000074</v>
      </c>
      <c r="I1868" s="9">
        <f t="shared" si="268"/>
        <v>4.9995881723087124E-2</v>
      </c>
      <c r="J1868" s="1">
        <f t="shared" si="269"/>
        <v>-3.2800000000000011</v>
      </c>
      <c r="K1868" s="9">
        <f t="shared" si="262"/>
        <v>-2.6066915679885571E-2</v>
      </c>
      <c r="L1868" s="1">
        <f t="shared" si="263"/>
        <v>1</v>
      </c>
      <c r="M1868" s="1">
        <f t="shared" si="264"/>
        <v>127.48</v>
      </c>
      <c r="N1868" s="1">
        <f t="shared" si="265"/>
        <v>121.41</v>
      </c>
      <c r="O1868" s="1">
        <f t="shared" si="266"/>
        <v>120.59</v>
      </c>
      <c r="P1868" s="1">
        <f t="shared" si="267"/>
        <v>61.525510204081634</v>
      </c>
    </row>
    <row r="1869" spans="1:16">
      <c r="A1869" s="2">
        <v>40347</v>
      </c>
      <c r="B1869" s="1">
        <v>126.48</v>
      </c>
      <c r="C1869" s="1">
        <v>127.48</v>
      </c>
      <c r="D1869" s="1">
        <v>125.07</v>
      </c>
      <c r="E1869" s="1">
        <v>125.83</v>
      </c>
      <c r="F1869" s="1">
        <v>3836000</v>
      </c>
      <c r="G1869" s="1">
        <v>125.83</v>
      </c>
      <c r="H1869" s="1">
        <f t="shared" si="261"/>
        <v>2.4100000000000108</v>
      </c>
      <c r="I1869" s="9">
        <f t="shared" si="268"/>
        <v>1.9269209242824107E-2</v>
      </c>
      <c r="J1869" s="1">
        <f t="shared" si="269"/>
        <v>-6.0000000000002274E-2</v>
      </c>
      <c r="K1869" s="9">
        <f t="shared" si="262"/>
        <v>-4.7660656128367841E-4</v>
      </c>
      <c r="L1869" s="1">
        <f t="shared" si="263"/>
        <v>1</v>
      </c>
      <c r="M1869" s="1">
        <f t="shared" si="264"/>
        <v>127.48</v>
      </c>
      <c r="N1869" s="1">
        <f t="shared" si="265"/>
        <v>125.07</v>
      </c>
      <c r="O1869" s="1">
        <f t="shared" si="266"/>
        <v>123.87</v>
      </c>
      <c r="P1869" s="1">
        <f t="shared" si="267"/>
        <v>63.198979591836739</v>
      </c>
    </row>
    <row r="1870" spans="1:16">
      <c r="A1870" s="2">
        <v>40346</v>
      </c>
      <c r="B1870" s="1">
        <v>126.74</v>
      </c>
      <c r="C1870" s="1">
        <v>127.8</v>
      </c>
      <c r="D1870" s="1">
        <v>124.69</v>
      </c>
      <c r="E1870" s="1">
        <v>125.89</v>
      </c>
      <c r="F1870" s="1">
        <v>3479000</v>
      </c>
      <c r="G1870" s="1">
        <v>125.89</v>
      </c>
      <c r="H1870" s="1">
        <f t="shared" si="261"/>
        <v>3.1099999999999994</v>
      </c>
      <c r="I1870" s="9">
        <f t="shared" si="268"/>
        <v>2.4941855802389924E-2</v>
      </c>
      <c r="J1870" s="1">
        <f t="shared" si="269"/>
        <v>-1.0100000000000051</v>
      </c>
      <c r="K1870" s="9">
        <f t="shared" si="262"/>
        <v>-7.9590228526399132E-3</v>
      </c>
      <c r="L1870" s="1">
        <f t="shared" si="263"/>
        <v>1</v>
      </c>
      <c r="M1870" s="1">
        <f t="shared" si="264"/>
        <v>127.8</v>
      </c>
      <c r="N1870" s="1">
        <f t="shared" si="265"/>
        <v>124.69</v>
      </c>
      <c r="O1870" s="1">
        <f t="shared" si="266"/>
        <v>123.93</v>
      </c>
      <c r="P1870" s="1">
        <f t="shared" si="267"/>
        <v>63.229591836734699</v>
      </c>
    </row>
    <row r="1871" spans="1:16">
      <c r="A1871" s="2">
        <v>40345</v>
      </c>
      <c r="B1871" s="1">
        <v>125.39</v>
      </c>
      <c r="C1871" s="1">
        <v>127.98</v>
      </c>
      <c r="D1871" s="1">
        <v>125.36</v>
      </c>
      <c r="E1871" s="1">
        <v>126.9</v>
      </c>
      <c r="F1871" s="1">
        <v>3964300</v>
      </c>
      <c r="G1871" s="1">
        <v>126.9</v>
      </c>
      <c r="H1871" s="1">
        <f t="shared" si="261"/>
        <v>2.6200000000000045</v>
      </c>
      <c r="I1871" s="9">
        <f t="shared" si="268"/>
        <v>2.0899808551372086E-2</v>
      </c>
      <c r="J1871" s="1">
        <f t="shared" si="269"/>
        <v>6.0000000000002274E-2</v>
      </c>
      <c r="K1871" s="9">
        <f t="shared" si="262"/>
        <v>4.7303689687797437E-4</v>
      </c>
      <c r="L1871" s="1">
        <f t="shared" si="263"/>
        <v>1</v>
      </c>
      <c r="M1871" s="1">
        <f t="shared" si="264"/>
        <v>127.98</v>
      </c>
      <c r="N1871" s="1">
        <f t="shared" si="265"/>
        <v>125.36</v>
      </c>
      <c r="O1871" s="1">
        <f t="shared" si="266"/>
        <v>124.94000000000001</v>
      </c>
      <c r="P1871" s="1">
        <f t="shared" si="267"/>
        <v>63.744897959183682</v>
      </c>
    </row>
    <row r="1872" spans="1:16">
      <c r="A1872" s="2">
        <v>40344</v>
      </c>
      <c r="B1872" s="1">
        <v>123.2</v>
      </c>
      <c r="C1872" s="1">
        <v>126.92</v>
      </c>
      <c r="D1872" s="1">
        <v>122.5</v>
      </c>
      <c r="E1872" s="1">
        <v>126.84</v>
      </c>
      <c r="F1872" s="1">
        <v>4541000</v>
      </c>
      <c r="G1872" s="1">
        <v>126.84</v>
      </c>
      <c r="H1872" s="1">
        <f t="shared" si="261"/>
        <v>4.4200000000000017</v>
      </c>
      <c r="I1872" s="9">
        <f t="shared" si="268"/>
        <v>3.6081632653061239E-2</v>
      </c>
      <c r="J1872" s="1">
        <f t="shared" si="269"/>
        <v>3.0100000000000051</v>
      </c>
      <c r="K1872" s="9">
        <f t="shared" si="262"/>
        <v>2.4307518371961601E-2</v>
      </c>
      <c r="L1872" s="1">
        <f t="shared" si="263"/>
        <v>1</v>
      </c>
      <c r="M1872" s="1">
        <f t="shared" si="264"/>
        <v>126.92</v>
      </c>
      <c r="N1872" s="1">
        <f t="shared" si="265"/>
        <v>122.5</v>
      </c>
      <c r="O1872" s="1">
        <f t="shared" si="266"/>
        <v>124.88000000000001</v>
      </c>
      <c r="P1872" s="1">
        <f t="shared" si="267"/>
        <v>63.714285714285722</v>
      </c>
    </row>
    <row r="1873" spans="1:16">
      <c r="A1873" s="2">
        <v>40343</v>
      </c>
      <c r="B1873" s="1">
        <v>124.24</v>
      </c>
      <c r="C1873" s="1">
        <v>125.7</v>
      </c>
      <c r="D1873" s="1">
        <v>123.5</v>
      </c>
      <c r="E1873" s="1">
        <v>123.83</v>
      </c>
      <c r="F1873" s="1">
        <v>3923000</v>
      </c>
      <c r="G1873" s="1">
        <v>123.83</v>
      </c>
      <c r="H1873" s="1">
        <f t="shared" si="261"/>
        <v>2.2000000000000028</v>
      </c>
      <c r="I1873" s="9">
        <f t="shared" si="268"/>
        <v>1.7813765182186258E-2</v>
      </c>
      <c r="J1873" s="1">
        <f t="shared" si="269"/>
        <v>0.79999999999999716</v>
      </c>
      <c r="K1873" s="9">
        <f t="shared" si="262"/>
        <v>6.5024790701454695E-3</v>
      </c>
      <c r="L1873" s="1">
        <f t="shared" si="263"/>
        <v>1</v>
      </c>
      <c r="M1873" s="1">
        <f t="shared" si="264"/>
        <v>125.7</v>
      </c>
      <c r="N1873" s="1">
        <f t="shared" si="265"/>
        <v>123.5</v>
      </c>
      <c r="O1873" s="1">
        <f t="shared" si="266"/>
        <v>121.87</v>
      </c>
      <c r="P1873" s="1">
        <f t="shared" si="267"/>
        <v>62.178571428571431</v>
      </c>
    </row>
    <row r="1874" spans="1:16">
      <c r="A1874" s="2">
        <v>40340</v>
      </c>
      <c r="B1874" s="1">
        <v>121.39</v>
      </c>
      <c r="C1874" s="1">
        <v>123.53</v>
      </c>
      <c r="D1874" s="1">
        <v>120.29</v>
      </c>
      <c r="E1874" s="1">
        <v>123.03</v>
      </c>
      <c r="F1874" s="1">
        <v>4204600</v>
      </c>
      <c r="G1874" s="1">
        <v>123.03</v>
      </c>
      <c r="H1874" s="1">
        <f t="shared" si="261"/>
        <v>3.2399999999999949</v>
      </c>
      <c r="I1874" s="9">
        <f t="shared" si="268"/>
        <v>2.693490730734055E-2</v>
      </c>
      <c r="J1874" s="1">
        <f t="shared" si="269"/>
        <v>-0.17999999999999261</v>
      </c>
      <c r="K1874" s="9">
        <f t="shared" si="262"/>
        <v>-1.4609203798392389E-3</v>
      </c>
      <c r="L1874" s="1">
        <f t="shared" si="263"/>
        <v>1</v>
      </c>
      <c r="M1874" s="1">
        <f t="shared" si="264"/>
        <v>123.53</v>
      </c>
      <c r="N1874" s="1">
        <f t="shared" si="265"/>
        <v>120.29</v>
      </c>
      <c r="O1874" s="1">
        <f t="shared" si="266"/>
        <v>121.07000000000001</v>
      </c>
      <c r="P1874" s="1">
        <f t="shared" si="267"/>
        <v>61.770408163265309</v>
      </c>
    </row>
    <row r="1875" spans="1:16">
      <c r="A1875" s="2">
        <v>40339</v>
      </c>
      <c r="B1875" s="1">
        <v>120</v>
      </c>
      <c r="C1875" s="1">
        <v>123.5</v>
      </c>
      <c r="D1875" s="1">
        <v>119.2</v>
      </c>
      <c r="E1875" s="1">
        <v>123.21</v>
      </c>
      <c r="F1875" s="1">
        <v>6061800</v>
      </c>
      <c r="G1875" s="1">
        <v>123.21</v>
      </c>
      <c r="H1875" s="1">
        <f t="shared" si="261"/>
        <v>4.2999999999999972</v>
      </c>
      <c r="I1875" s="9">
        <f t="shared" si="268"/>
        <v>3.607382550335568E-2</v>
      </c>
      <c r="J1875" s="1">
        <f t="shared" si="269"/>
        <v>5.2999999999999972</v>
      </c>
      <c r="K1875" s="9">
        <f t="shared" si="262"/>
        <v>4.4949537783054848E-2</v>
      </c>
      <c r="L1875" s="1">
        <f t="shared" si="263"/>
        <v>1</v>
      </c>
      <c r="M1875" s="1">
        <f t="shared" si="264"/>
        <v>123.5</v>
      </c>
      <c r="N1875" s="1">
        <f t="shared" si="265"/>
        <v>119.2</v>
      </c>
      <c r="O1875" s="1">
        <f t="shared" si="266"/>
        <v>121.25</v>
      </c>
      <c r="P1875" s="1">
        <f t="shared" si="267"/>
        <v>61.862244897959187</v>
      </c>
    </row>
    <row r="1876" spans="1:16">
      <c r="A1876" s="2">
        <v>40338</v>
      </c>
      <c r="B1876" s="1">
        <v>120.31</v>
      </c>
      <c r="C1876" s="1">
        <v>121.47</v>
      </c>
      <c r="D1876" s="1">
        <v>117.36</v>
      </c>
      <c r="E1876" s="1">
        <v>117.91</v>
      </c>
      <c r="F1876" s="1">
        <v>7369200</v>
      </c>
      <c r="G1876" s="1">
        <v>117.91</v>
      </c>
      <c r="H1876" s="1">
        <f t="shared" si="261"/>
        <v>4.1099999999999994</v>
      </c>
      <c r="I1876" s="9">
        <f t="shared" si="268"/>
        <v>3.5020449897750508E-2</v>
      </c>
      <c r="J1876" s="1">
        <f t="shared" si="269"/>
        <v>-0.93000000000000682</v>
      </c>
      <c r="K1876" s="9">
        <f t="shared" si="262"/>
        <v>-7.8256479299899599E-3</v>
      </c>
      <c r="L1876" s="1">
        <f t="shared" si="263"/>
        <v>1</v>
      </c>
      <c r="M1876" s="1">
        <f t="shared" si="264"/>
        <v>121.47</v>
      </c>
      <c r="N1876" s="1">
        <f t="shared" si="265"/>
        <v>117.36</v>
      </c>
      <c r="O1876" s="1">
        <f t="shared" si="266"/>
        <v>115.95</v>
      </c>
      <c r="P1876" s="1">
        <f t="shared" si="267"/>
        <v>59.158163265306122</v>
      </c>
    </row>
    <row r="1877" spans="1:16">
      <c r="A1877" s="2">
        <v>40337</v>
      </c>
      <c r="B1877" s="1">
        <v>122</v>
      </c>
      <c r="C1877" s="1">
        <v>122</v>
      </c>
      <c r="D1877" s="1">
        <v>115.8</v>
      </c>
      <c r="E1877" s="1">
        <v>118.84</v>
      </c>
      <c r="F1877" s="1">
        <v>11484400</v>
      </c>
      <c r="G1877" s="1">
        <v>118.84</v>
      </c>
      <c r="H1877" s="1">
        <f t="shared" si="261"/>
        <v>6.2000000000000028</v>
      </c>
      <c r="I1877" s="9">
        <f t="shared" si="268"/>
        <v>5.3540587219343724E-2</v>
      </c>
      <c r="J1877" s="1">
        <f t="shared" si="269"/>
        <v>-3.1700000000000017</v>
      </c>
      <c r="K1877" s="9">
        <f t="shared" si="262"/>
        <v>-2.598147692812066E-2</v>
      </c>
      <c r="L1877" s="1">
        <f t="shared" si="263"/>
        <v>1</v>
      </c>
      <c r="M1877" s="1">
        <f t="shared" si="264"/>
        <v>122</v>
      </c>
      <c r="N1877" s="1">
        <f t="shared" si="265"/>
        <v>115.8</v>
      </c>
      <c r="O1877" s="1">
        <f t="shared" si="266"/>
        <v>116.88000000000001</v>
      </c>
      <c r="P1877" s="1">
        <f t="shared" si="267"/>
        <v>59.632653061224495</v>
      </c>
    </row>
    <row r="1878" spans="1:16">
      <c r="A1878" s="2">
        <v>40336</v>
      </c>
      <c r="B1878" s="1">
        <v>125.84</v>
      </c>
      <c r="C1878" s="1">
        <v>126.61</v>
      </c>
      <c r="D1878" s="1">
        <v>121.67</v>
      </c>
      <c r="E1878" s="1">
        <v>122.01</v>
      </c>
      <c r="F1878" s="1">
        <v>6566400</v>
      </c>
      <c r="G1878" s="1">
        <v>122.01</v>
      </c>
      <c r="H1878" s="1">
        <f t="shared" si="261"/>
        <v>4.9399999999999977</v>
      </c>
      <c r="I1878" s="9">
        <f t="shared" si="268"/>
        <v>4.0601627352675251E-2</v>
      </c>
      <c r="J1878" s="1">
        <f t="shared" si="269"/>
        <v>-0.75999999999999091</v>
      </c>
      <c r="K1878" s="9">
        <f t="shared" si="262"/>
        <v>-6.1904374032743419E-3</v>
      </c>
      <c r="L1878" s="1">
        <f t="shared" si="263"/>
        <v>1</v>
      </c>
      <c r="M1878" s="1">
        <f t="shared" si="264"/>
        <v>126.61</v>
      </c>
      <c r="N1878" s="1">
        <f t="shared" si="265"/>
        <v>121.67</v>
      </c>
      <c r="O1878" s="1">
        <f t="shared" si="266"/>
        <v>120.05000000000001</v>
      </c>
      <c r="P1878" s="1">
        <f t="shared" si="267"/>
        <v>61.250000000000007</v>
      </c>
    </row>
    <row r="1879" spans="1:16">
      <c r="A1879" s="2">
        <v>40333</v>
      </c>
      <c r="B1879" s="1">
        <v>126.33</v>
      </c>
      <c r="C1879" s="1">
        <v>128.19999999999999</v>
      </c>
      <c r="D1879" s="1">
        <v>122.18</v>
      </c>
      <c r="E1879" s="1">
        <v>122.77</v>
      </c>
      <c r="F1879" s="1">
        <v>5497700</v>
      </c>
      <c r="G1879" s="1">
        <v>122.77</v>
      </c>
      <c r="H1879" s="1">
        <f t="shared" si="261"/>
        <v>6.0199999999999818</v>
      </c>
      <c r="I1879" s="9">
        <f t="shared" si="268"/>
        <v>4.9271566541168613E-2</v>
      </c>
      <c r="J1879" s="1">
        <f t="shared" si="269"/>
        <v>-5.9899999999999949</v>
      </c>
      <c r="K1879" s="9">
        <f t="shared" si="262"/>
        <v>-4.6520658589624071E-2</v>
      </c>
      <c r="L1879" s="1">
        <f t="shared" si="263"/>
        <v>1</v>
      </c>
      <c r="M1879" s="1">
        <f t="shared" si="264"/>
        <v>128.19999999999999</v>
      </c>
      <c r="N1879" s="1">
        <f t="shared" si="265"/>
        <v>122.18</v>
      </c>
      <c r="O1879" s="1">
        <f t="shared" si="266"/>
        <v>120.81</v>
      </c>
      <c r="P1879" s="1">
        <f t="shared" si="267"/>
        <v>61.637755102040821</v>
      </c>
    </row>
    <row r="1880" spans="1:16">
      <c r="A1880" s="2">
        <v>40332</v>
      </c>
      <c r="B1880" s="1">
        <v>126.25</v>
      </c>
      <c r="C1880" s="1">
        <v>129.15</v>
      </c>
      <c r="D1880" s="1">
        <v>124.85</v>
      </c>
      <c r="E1880" s="1">
        <v>128.76</v>
      </c>
      <c r="F1880" s="1">
        <v>5276900</v>
      </c>
      <c r="G1880" s="1">
        <v>128.76</v>
      </c>
      <c r="H1880" s="1">
        <f t="shared" si="261"/>
        <v>4.3000000000000114</v>
      </c>
      <c r="I1880" s="9">
        <f t="shared" si="268"/>
        <v>3.4441329595514714E-2</v>
      </c>
      <c r="J1880" s="1">
        <f t="shared" si="269"/>
        <v>2.4499999999999886</v>
      </c>
      <c r="K1880" s="9">
        <f t="shared" si="262"/>
        <v>1.9396722349774274E-2</v>
      </c>
      <c r="L1880" s="1">
        <f t="shared" si="263"/>
        <v>1</v>
      </c>
      <c r="M1880" s="1">
        <f t="shared" si="264"/>
        <v>129.15</v>
      </c>
      <c r="N1880" s="1">
        <f t="shared" si="265"/>
        <v>124.85</v>
      </c>
      <c r="O1880" s="1">
        <f t="shared" si="266"/>
        <v>126.8</v>
      </c>
      <c r="P1880" s="1">
        <f t="shared" si="267"/>
        <v>64.693877551020407</v>
      </c>
    </row>
    <row r="1881" spans="1:16">
      <c r="A1881" s="2">
        <v>40331</v>
      </c>
      <c r="B1881" s="1">
        <v>124.02</v>
      </c>
      <c r="C1881" s="1">
        <v>126.43</v>
      </c>
      <c r="D1881" s="1">
        <v>121.65</v>
      </c>
      <c r="E1881" s="1">
        <v>126.31</v>
      </c>
      <c r="F1881" s="1">
        <v>4764700</v>
      </c>
      <c r="G1881" s="1">
        <v>126.31</v>
      </c>
      <c r="H1881" s="1">
        <f t="shared" si="261"/>
        <v>4.7800000000000011</v>
      </c>
      <c r="I1881" s="9">
        <f t="shared" si="268"/>
        <v>3.9293053842992198E-2</v>
      </c>
      <c r="J1881" s="1">
        <f t="shared" si="269"/>
        <v>3.0700000000000074</v>
      </c>
      <c r="K1881" s="9">
        <f t="shared" si="262"/>
        <v>2.4910743265173705E-2</v>
      </c>
      <c r="L1881" s="1">
        <f t="shared" si="263"/>
        <v>1</v>
      </c>
      <c r="M1881" s="1">
        <f t="shared" si="264"/>
        <v>126.43</v>
      </c>
      <c r="N1881" s="1">
        <f t="shared" si="265"/>
        <v>121.65</v>
      </c>
      <c r="O1881" s="1">
        <f t="shared" si="266"/>
        <v>124.35000000000001</v>
      </c>
      <c r="P1881" s="1">
        <f t="shared" si="267"/>
        <v>63.443877551020414</v>
      </c>
    </row>
    <row r="1882" spans="1:16">
      <c r="A1882" s="2">
        <v>40330</v>
      </c>
      <c r="B1882" s="1">
        <v>124.97</v>
      </c>
      <c r="C1882" s="1">
        <v>126.57</v>
      </c>
      <c r="D1882" s="1">
        <v>123.02</v>
      </c>
      <c r="E1882" s="1">
        <v>123.24</v>
      </c>
      <c r="F1882" s="1">
        <v>3659500</v>
      </c>
      <c r="G1882" s="1">
        <v>123.24</v>
      </c>
      <c r="H1882" s="1">
        <f t="shared" si="261"/>
        <v>3.5499999999999972</v>
      </c>
      <c r="I1882" s="9">
        <f t="shared" si="268"/>
        <v>2.8857096407088258E-2</v>
      </c>
      <c r="J1882" s="1">
        <f t="shared" si="269"/>
        <v>-2.2199999999999989</v>
      </c>
      <c r="K1882" s="9">
        <f t="shared" si="262"/>
        <v>-1.7694882831181244E-2</v>
      </c>
      <c r="L1882" s="1">
        <f t="shared" si="263"/>
        <v>1</v>
      </c>
      <c r="M1882" s="1">
        <f t="shared" si="264"/>
        <v>126.57</v>
      </c>
      <c r="N1882" s="1">
        <f t="shared" si="265"/>
        <v>123.02</v>
      </c>
      <c r="O1882" s="1">
        <f t="shared" si="266"/>
        <v>121.28</v>
      </c>
      <c r="P1882" s="1">
        <f t="shared" si="267"/>
        <v>61.877551020408163</v>
      </c>
    </row>
    <row r="1883" spans="1:16">
      <c r="A1883" s="2">
        <v>40326</v>
      </c>
      <c r="B1883" s="1">
        <v>126.07</v>
      </c>
      <c r="C1883" s="1">
        <v>127.6</v>
      </c>
      <c r="D1883" s="1">
        <v>124.01</v>
      </c>
      <c r="E1883" s="1">
        <v>125.46</v>
      </c>
      <c r="F1883" s="1">
        <v>3954800</v>
      </c>
      <c r="G1883" s="1">
        <v>125.46</v>
      </c>
      <c r="H1883" s="1">
        <f t="shared" si="261"/>
        <v>3.5899999999999892</v>
      </c>
      <c r="I1883" s="9">
        <f t="shared" si="268"/>
        <v>2.8949278284009266E-2</v>
      </c>
      <c r="J1883" s="1">
        <f t="shared" si="269"/>
        <v>-1.2400000000000091</v>
      </c>
      <c r="K1883" s="9">
        <f t="shared" si="262"/>
        <v>-9.786898184688312E-3</v>
      </c>
      <c r="L1883" s="1">
        <f t="shared" si="263"/>
        <v>1</v>
      </c>
      <c r="M1883" s="1">
        <f t="shared" si="264"/>
        <v>127.6</v>
      </c>
      <c r="N1883" s="1">
        <f t="shared" si="265"/>
        <v>124.01</v>
      </c>
      <c r="O1883" s="1">
        <f t="shared" si="266"/>
        <v>123.5</v>
      </c>
      <c r="P1883" s="1">
        <f t="shared" si="267"/>
        <v>63.010204081632651</v>
      </c>
    </row>
    <row r="1884" spans="1:16">
      <c r="A1884" s="2">
        <v>40325</v>
      </c>
      <c r="B1884" s="1">
        <v>124.98</v>
      </c>
      <c r="C1884" s="1">
        <v>126.85</v>
      </c>
      <c r="D1884" s="1">
        <v>120.6</v>
      </c>
      <c r="E1884" s="1">
        <v>126.7</v>
      </c>
      <c r="F1884" s="1">
        <v>4747700</v>
      </c>
      <c r="G1884" s="1">
        <v>126.7</v>
      </c>
      <c r="H1884" s="1">
        <f t="shared" si="261"/>
        <v>6.25</v>
      </c>
      <c r="I1884" s="9">
        <f t="shared" si="268"/>
        <v>5.1824212271973466E-2</v>
      </c>
      <c r="J1884" s="1">
        <f t="shared" si="269"/>
        <v>3.4900000000000091</v>
      </c>
      <c r="K1884" s="9">
        <f t="shared" si="262"/>
        <v>2.8325622920217591E-2</v>
      </c>
      <c r="L1884" s="1">
        <f t="shared" si="263"/>
        <v>1</v>
      </c>
      <c r="M1884" s="1">
        <f t="shared" si="264"/>
        <v>126.85</v>
      </c>
      <c r="N1884" s="1">
        <f t="shared" si="265"/>
        <v>120.6</v>
      </c>
      <c r="O1884" s="1">
        <f t="shared" si="266"/>
        <v>124.74000000000001</v>
      </c>
      <c r="P1884" s="1">
        <f t="shared" si="267"/>
        <v>63.642857142857146</v>
      </c>
    </row>
    <row r="1885" spans="1:16">
      <c r="A1885" s="2">
        <v>40324</v>
      </c>
      <c r="B1885" s="1">
        <v>125.05</v>
      </c>
      <c r="C1885" s="1">
        <v>125.79</v>
      </c>
      <c r="D1885" s="1">
        <v>122.3</v>
      </c>
      <c r="E1885" s="1">
        <v>123.21</v>
      </c>
      <c r="F1885" s="1">
        <v>6964600</v>
      </c>
      <c r="G1885" s="1">
        <v>123.21</v>
      </c>
      <c r="H1885" s="1">
        <f t="shared" si="261"/>
        <v>3.4900000000000091</v>
      </c>
      <c r="I1885" s="9">
        <f t="shared" si="268"/>
        <v>2.8536385936222479E-2</v>
      </c>
      <c r="J1885" s="1">
        <f t="shared" si="269"/>
        <v>-1.6500000000000057</v>
      </c>
      <c r="K1885" s="9">
        <f t="shared" si="262"/>
        <v>-1.321480057664589E-2</v>
      </c>
      <c r="L1885" s="1">
        <f t="shared" si="263"/>
        <v>1</v>
      </c>
      <c r="M1885" s="1">
        <f t="shared" si="264"/>
        <v>125.79</v>
      </c>
      <c r="N1885" s="1">
        <f t="shared" si="265"/>
        <v>122.3</v>
      </c>
      <c r="O1885" s="1">
        <f t="shared" si="266"/>
        <v>121.25</v>
      </c>
      <c r="P1885" s="1">
        <f t="shared" si="267"/>
        <v>61.862244897959187</v>
      </c>
    </row>
    <row r="1886" spans="1:16">
      <c r="A1886" s="2">
        <v>40323</v>
      </c>
      <c r="B1886" s="1">
        <v>118.54</v>
      </c>
      <c r="C1886" s="1">
        <v>125.19</v>
      </c>
      <c r="D1886" s="1">
        <v>118.5</v>
      </c>
      <c r="E1886" s="1">
        <v>124.86</v>
      </c>
      <c r="F1886" s="1">
        <v>6913400</v>
      </c>
      <c r="G1886" s="1">
        <v>124.86</v>
      </c>
      <c r="H1886" s="1">
        <f t="shared" si="261"/>
        <v>6.6899999999999977</v>
      </c>
      <c r="I1886" s="9">
        <f t="shared" si="268"/>
        <v>5.6455696202531623E-2</v>
      </c>
      <c r="J1886" s="1">
        <f t="shared" si="269"/>
        <v>2.7399999999999949</v>
      </c>
      <c r="K1886" s="9">
        <f t="shared" si="262"/>
        <v>2.2436947264985217E-2</v>
      </c>
      <c r="L1886" s="1">
        <f t="shared" si="263"/>
        <v>1</v>
      </c>
      <c r="M1886" s="1">
        <f t="shared" si="264"/>
        <v>125.19</v>
      </c>
      <c r="N1886" s="1">
        <f t="shared" si="265"/>
        <v>118.5</v>
      </c>
      <c r="O1886" s="1">
        <f t="shared" si="266"/>
        <v>122.9</v>
      </c>
      <c r="P1886" s="1">
        <f t="shared" si="267"/>
        <v>62.704081632653065</v>
      </c>
    </row>
    <row r="1887" spans="1:16">
      <c r="A1887" s="2">
        <v>40322</v>
      </c>
      <c r="B1887" s="1">
        <v>122.57</v>
      </c>
      <c r="C1887" s="1">
        <v>124.5</v>
      </c>
      <c r="D1887" s="1">
        <v>120.65</v>
      </c>
      <c r="E1887" s="1">
        <v>122.12</v>
      </c>
      <c r="F1887" s="1">
        <v>4535900</v>
      </c>
      <c r="G1887" s="1">
        <v>122.12</v>
      </c>
      <c r="H1887" s="1">
        <f t="shared" si="261"/>
        <v>3.8499999999999943</v>
      </c>
      <c r="I1887" s="9">
        <f t="shared" si="268"/>
        <v>3.1910484873601278E-2</v>
      </c>
      <c r="J1887" s="1">
        <f t="shared" si="269"/>
        <v>-0.59999999999999432</v>
      </c>
      <c r="K1887" s="9">
        <f t="shared" si="262"/>
        <v>-4.8891786179921307E-3</v>
      </c>
      <c r="L1887" s="1">
        <f t="shared" si="263"/>
        <v>1</v>
      </c>
      <c r="M1887" s="1">
        <f t="shared" si="264"/>
        <v>124.5</v>
      </c>
      <c r="N1887" s="1">
        <f t="shared" si="265"/>
        <v>120.65</v>
      </c>
      <c r="O1887" s="1">
        <f t="shared" si="266"/>
        <v>120.16000000000001</v>
      </c>
      <c r="P1887" s="1">
        <f t="shared" si="267"/>
        <v>61.3061224489796</v>
      </c>
    </row>
    <row r="1888" spans="1:16">
      <c r="A1888" s="2">
        <v>40319</v>
      </c>
      <c r="B1888" s="1">
        <v>117.9</v>
      </c>
      <c r="C1888" s="1">
        <v>124.97</v>
      </c>
      <c r="D1888" s="1">
        <v>117.52</v>
      </c>
      <c r="E1888" s="1">
        <v>122.72</v>
      </c>
      <c r="F1888" s="1">
        <v>7966900</v>
      </c>
      <c r="G1888" s="1">
        <v>122.72</v>
      </c>
      <c r="H1888" s="1">
        <f t="shared" si="261"/>
        <v>7.4500000000000028</v>
      </c>
      <c r="I1888" s="9">
        <f t="shared" si="268"/>
        <v>6.3393464942137531E-2</v>
      </c>
      <c r="J1888" s="1">
        <f t="shared" si="269"/>
        <v>3.0100000000000051</v>
      </c>
      <c r="K1888" s="9">
        <f t="shared" si="262"/>
        <v>2.5144098237407111E-2</v>
      </c>
      <c r="L1888" s="1">
        <f t="shared" si="263"/>
        <v>1</v>
      </c>
      <c r="M1888" s="1">
        <f t="shared" si="264"/>
        <v>124.97</v>
      </c>
      <c r="N1888" s="1">
        <f t="shared" si="265"/>
        <v>117.52</v>
      </c>
      <c r="O1888" s="1">
        <f t="shared" si="266"/>
        <v>120.76</v>
      </c>
      <c r="P1888" s="1">
        <f t="shared" si="267"/>
        <v>61.612244897959187</v>
      </c>
    </row>
    <row r="1889" spans="1:16">
      <c r="A1889" s="2">
        <v>40318</v>
      </c>
      <c r="B1889" s="1">
        <v>122.64</v>
      </c>
      <c r="C1889" s="1">
        <v>125</v>
      </c>
      <c r="D1889" s="1">
        <v>118.78</v>
      </c>
      <c r="E1889" s="1">
        <v>119.71</v>
      </c>
      <c r="F1889" s="1">
        <v>8594400</v>
      </c>
      <c r="G1889" s="1">
        <v>119.71</v>
      </c>
      <c r="H1889" s="1">
        <f t="shared" si="261"/>
        <v>6.2199999999999989</v>
      </c>
      <c r="I1889" s="9">
        <f t="shared" si="268"/>
        <v>5.2365718134366045E-2</v>
      </c>
      <c r="J1889" s="1">
        <f t="shared" si="269"/>
        <v>-4.8800000000000097</v>
      </c>
      <c r="K1889" s="9">
        <f t="shared" si="262"/>
        <v>-3.9168472590095593E-2</v>
      </c>
      <c r="L1889" s="1">
        <f t="shared" si="263"/>
        <v>1</v>
      </c>
      <c r="M1889" s="1">
        <f t="shared" si="264"/>
        <v>125</v>
      </c>
      <c r="N1889" s="1">
        <f t="shared" si="265"/>
        <v>118.78</v>
      </c>
      <c r="O1889" s="1">
        <f t="shared" si="266"/>
        <v>117.75</v>
      </c>
      <c r="P1889" s="1">
        <f t="shared" si="267"/>
        <v>60.076530612244902</v>
      </c>
    </row>
    <row r="1890" spans="1:16">
      <c r="A1890" s="2">
        <v>40317</v>
      </c>
      <c r="B1890" s="1">
        <v>125.51</v>
      </c>
      <c r="C1890" s="1">
        <v>127.93</v>
      </c>
      <c r="D1890" s="1">
        <v>123.8</v>
      </c>
      <c r="E1890" s="1">
        <v>124.59</v>
      </c>
      <c r="F1890" s="1">
        <v>6463300</v>
      </c>
      <c r="G1890" s="1">
        <v>124.59</v>
      </c>
      <c r="H1890" s="1">
        <f t="shared" si="261"/>
        <v>4.1300000000000097</v>
      </c>
      <c r="I1890" s="9">
        <f t="shared" si="268"/>
        <v>3.3360258481421726E-2</v>
      </c>
      <c r="J1890" s="1">
        <f t="shared" si="269"/>
        <v>-1.6899999999999977</v>
      </c>
      <c r="K1890" s="9">
        <f t="shared" si="262"/>
        <v>-1.3382958504909706E-2</v>
      </c>
      <c r="L1890" s="1">
        <f t="shared" si="263"/>
        <v>1</v>
      </c>
      <c r="M1890" s="1">
        <f t="shared" si="264"/>
        <v>127.93</v>
      </c>
      <c r="N1890" s="1">
        <f t="shared" si="265"/>
        <v>123.8</v>
      </c>
      <c r="O1890" s="1">
        <f t="shared" si="266"/>
        <v>122.63000000000001</v>
      </c>
      <c r="P1890" s="1">
        <f t="shared" si="267"/>
        <v>62.566326530612251</v>
      </c>
    </row>
    <row r="1891" spans="1:16">
      <c r="A1891" s="2">
        <v>40316</v>
      </c>
      <c r="B1891" s="1">
        <v>130.13999999999999</v>
      </c>
      <c r="C1891" s="1">
        <v>131.25</v>
      </c>
      <c r="D1891" s="1">
        <v>125.51</v>
      </c>
      <c r="E1891" s="1">
        <v>126.28</v>
      </c>
      <c r="F1891" s="1">
        <v>5256900</v>
      </c>
      <c r="G1891" s="1">
        <v>126.28</v>
      </c>
      <c r="H1891" s="1">
        <f t="shared" si="261"/>
        <v>5.7399999999999949</v>
      </c>
      <c r="I1891" s="9">
        <f t="shared" si="268"/>
        <v>4.5733407696597839E-2</v>
      </c>
      <c r="J1891" s="1">
        <f t="shared" si="269"/>
        <v>-2.6299999999999955</v>
      </c>
      <c r="K1891" s="9">
        <f t="shared" si="262"/>
        <v>-2.040183073462102E-2</v>
      </c>
      <c r="L1891" s="1">
        <f t="shared" si="263"/>
        <v>1</v>
      </c>
      <c r="M1891" s="1">
        <f t="shared" si="264"/>
        <v>131.25</v>
      </c>
      <c r="N1891" s="1">
        <f t="shared" si="265"/>
        <v>125.51</v>
      </c>
      <c r="O1891" s="1">
        <f t="shared" si="266"/>
        <v>124.32000000000001</v>
      </c>
      <c r="P1891" s="1">
        <f t="shared" si="267"/>
        <v>63.428571428571431</v>
      </c>
    </row>
    <row r="1892" spans="1:16">
      <c r="A1892" s="2">
        <v>40315</v>
      </c>
      <c r="B1892" s="1">
        <v>128.24</v>
      </c>
      <c r="C1892" s="1">
        <v>129.94999999999999</v>
      </c>
      <c r="D1892" s="1">
        <v>125.8</v>
      </c>
      <c r="E1892" s="1">
        <v>128.91</v>
      </c>
      <c r="F1892" s="1">
        <v>5642200</v>
      </c>
      <c r="G1892" s="1">
        <v>128.91</v>
      </c>
      <c r="H1892" s="1">
        <f t="shared" si="261"/>
        <v>4.1499999999999915</v>
      </c>
      <c r="I1892" s="9">
        <f t="shared" si="268"/>
        <v>3.2988871224165273E-2</v>
      </c>
      <c r="J1892" s="1">
        <f t="shared" si="269"/>
        <v>0.37999999999999545</v>
      </c>
      <c r="K1892" s="9">
        <f t="shared" si="262"/>
        <v>2.9565082082003849E-3</v>
      </c>
      <c r="L1892" s="1">
        <f t="shared" si="263"/>
        <v>1</v>
      </c>
      <c r="M1892" s="1">
        <f t="shared" si="264"/>
        <v>129.94999999999999</v>
      </c>
      <c r="N1892" s="1">
        <f t="shared" si="265"/>
        <v>125.8</v>
      </c>
      <c r="O1892" s="1">
        <f t="shared" si="266"/>
        <v>126.95</v>
      </c>
      <c r="P1892" s="1">
        <f t="shared" si="267"/>
        <v>64.770408163265316</v>
      </c>
    </row>
    <row r="1893" spans="1:16">
      <c r="A1893" s="2">
        <v>40312</v>
      </c>
      <c r="B1893" s="1">
        <v>130.36000000000001</v>
      </c>
      <c r="C1893" s="1">
        <v>131</v>
      </c>
      <c r="D1893" s="1">
        <v>126.76</v>
      </c>
      <c r="E1893" s="1">
        <v>128.53</v>
      </c>
      <c r="F1893" s="1">
        <v>5277800</v>
      </c>
      <c r="G1893" s="1">
        <v>128.53</v>
      </c>
      <c r="H1893" s="1">
        <f t="shared" si="261"/>
        <v>4.2399999999999949</v>
      </c>
      <c r="I1893" s="9">
        <f t="shared" si="268"/>
        <v>3.3449037551277962E-2</v>
      </c>
      <c r="J1893" s="1">
        <f t="shared" si="269"/>
        <v>-2.9399999999999977</v>
      </c>
      <c r="K1893" s="9">
        <f t="shared" si="262"/>
        <v>-2.2362516163383264E-2</v>
      </c>
      <c r="L1893" s="1">
        <f t="shared" si="263"/>
        <v>1</v>
      </c>
      <c r="M1893" s="1">
        <f t="shared" si="264"/>
        <v>131</v>
      </c>
      <c r="N1893" s="1">
        <f t="shared" si="265"/>
        <v>126.76</v>
      </c>
      <c r="O1893" s="1">
        <f t="shared" si="266"/>
        <v>126.57000000000001</v>
      </c>
      <c r="P1893" s="1">
        <f t="shared" si="267"/>
        <v>64.576530612244909</v>
      </c>
    </row>
    <row r="1894" spans="1:16">
      <c r="A1894" s="2">
        <v>40311</v>
      </c>
      <c r="B1894" s="1">
        <v>133.93</v>
      </c>
      <c r="C1894" s="1">
        <v>136.99</v>
      </c>
      <c r="D1894" s="1">
        <v>131</v>
      </c>
      <c r="E1894" s="1">
        <v>131.47</v>
      </c>
      <c r="F1894" s="1">
        <v>5940200</v>
      </c>
      <c r="G1894" s="1">
        <v>131.47</v>
      </c>
      <c r="H1894" s="1">
        <f t="shared" si="261"/>
        <v>5.9900000000000091</v>
      </c>
      <c r="I1894" s="9">
        <f t="shared" si="268"/>
        <v>4.5725190839694729E-2</v>
      </c>
      <c r="J1894" s="1">
        <f t="shared" si="269"/>
        <v>-2.4000000000000057</v>
      </c>
      <c r="K1894" s="9">
        <f t="shared" si="262"/>
        <v>-1.7927840442220105E-2</v>
      </c>
      <c r="L1894" s="1">
        <f t="shared" si="263"/>
        <v>1</v>
      </c>
      <c r="M1894" s="1">
        <f t="shared" si="264"/>
        <v>136.99</v>
      </c>
      <c r="N1894" s="1">
        <f t="shared" si="265"/>
        <v>131</v>
      </c>
      <c r="O1894" s="1">
        <f t="shared" si="266"/>
        <v>129.51</v>
      </c>
      <c r="P1894" s="1">
        <f t="shared" si="267"/>
        <v>66.076530612244895</v>
      </c>
    </row>
    <row r="1895" spans="1:16">
      <c r="A1895" s="2">
        <v>40310</v>
      </c>
      <c r="B1895" s="1">
        <v>131.41</v>
      </c>
      <c r="C1895" s="1">
        <v>134.13</v>
      </c>
      <c r="D1895" s="1">
        <v>129.68</v>
      </c>
      <c r="E1895" s="1">
        <v>133.87</v>
      </c>
      <c r="F1895" s="1">
        <v>5904500</v>
      </c>
      <c r="G1895" s="1">
        <v>133.87</v>
      </c>
      <c r="H1895" s="1">
        <f t="shared" si="261"/>
        <v>4.4499999999999886</v>
      </c>
      <c r="I1895" s="9">
        <f t="shared" si="268"/>
        <v>3.4315237507711198E-2</v>
      </c>
      <c r="J1895" s="1">
        <f t="shared" si="269"/>
        <v>3.4099999999999966</v>
      </c>
      <c r="K1895" s="9">
        <f t="shared" si="262"/>
        <v>2.6138279932546346E-2</v>
      </c>
      <c r="L1895" s="1">
        <f t="shared" si="263"/>
        <v>1</v>
      </c>
      <c r="M1895" s="1">
        <f t="shared" si="264"/>
        <v>134.13</v>
      </c>
      <c r="N1895" s="1">
        <f t="shared" si="265"/>
        <v>129.68</v>
      </c>
      <c r="O1895" s="1">
        <f t="shared" si="266"/>
        <v>131.91</v>
      </c>
      <c r="P1895" s="1">
        <f t="shared" si="267"/>
        <v>67.301020408163268</v>
      </c>
    </row>
    <row r="1896" spans="1:16">
      <c r="A1896" s="2">
        <v>40309</v>
      </c>
      <c r="B1896" s="1">
        <v>129.94999999999999</v>
      </c>
      <c r="C1896" s="1">
        <v>133.08000000000001</v>
      </c>
      <c r="D1896" s="1">
        <v>128.47</v>
      </c>
      <c r="E1896" s="1">
        <v>130.46</v>
      </c>
      <c r="F1896" s="1">
        <v>6044100</v>
      </c>
      <c r="G1896" s="1">
        <v>130.46</v>
      </c>
      <c r="H1896" s="1">
        <f t="shared" si="261"/>
        <v>4.6100000000000136</v>
      </c>
      <c r="I1896" s="9">
        <f t="shared" si="268"/>
        <v>3.5883863937106047E-2</v>
      </c>
      <c r="J1896" s="1">
        <f t="shared" si="269"/>
        <v>-0.82999999999998408</v>
      </c>
      <c r="K1896" s="9">
        <f t="shared" si="262"/>
        <v>-6.321882854748908E-3</v>
      </c>
      <c r="L1896" s="1">
        <f t="shared" si="263"/>
        <v>1</v>
      </c>
      <c r="M1896" s="1">
        <f t="shared" si="264"/>
        <v>133.08000000000001</v>
      </c>
      <c r="N1896" s="1">
        <f t="shared" si="265"/>
        <v>128.47</v>
      </c>
      <c r="O1896" s="1">
        <f t="shared" si="266"/>
        <v>128.5</v>
      </c>
      <c r="P1896" s="1">
        <f t="shared" si="267"/>
        <v>65.561224489795919</v>
      </c>
    </row>
    <row r="1897" spans="1:16">
      <c r="A1897" s="2">
        <v>40308</v>
      </c>
      <c r="B1897" s="1">
        <v>129.72999999999999</v>
      </c>
      <c r="C1897" s="1">
        <v>132.21</v>
      </c>
      <c r="D1897" s="1">
        <v>129.26</v>
      </c>
      <c r="E1897" s="1">
        <v>131.29</v>
      </c>
      <c r="F1897" s="1">
        <v>6806100</v>
      </c>
      <c r="G1897" s="1">
        <v>131.29</v>
      </c>
      <c r="H1897" s="1">
        <f t="shared" si="261"/>
        <v>2.9500000000000171</v>
      </c>
      <c r="I1897" s="9">
        <f t="shared" si="268"/>
        <v>2.2822218783846646E-2</v>
      </c>
      <c r="J1897" s="1">
        <f t="shared" si="269"/>
        <v>6.3099999999999881</v>
      </c>
      <c r="K1897" s="9">
        <f t="shared" si="262"/>
        <v>5.0488078092494705E-2</v>
      </c>
      <c r="L1897" s="1">
        <f t="shared" si="263"/>
        <v>1</v>
      </c>
      <c r="M1897" s="1">
        <f t="shared" si="264"/>
        <v>132.21</v>
      </c>
      <c r="N1897" s="1">
        <f t="shared" si="265"/>
        <v>129.26</v>
      </c>
      <c r="O1897" s="1">
        <f t="shared" si="266"/>
        <v>129.32999999999998</v>
      </c>
      <c r="P1897" s="1">
        <f t="shared" si="267"/>
        <v>65.98469387755101</v>
      </c>
    </row>
    <row r="1898" spans="1:16">
      <c r="A1898" s="2">
        <v>40305</v>
      </c>
      <c r="B1898" s="1">
        <v>127.97</v>
      </c>
      <c r="C1898" s="1">
        <v>131.18</v>
      </c>
      <c r="D1898" s="1">
        <v>123.76</v>
      </c>
      <c r="E1898" s="1">
        <v>124.98</v>
      </c>
      <c r="F1898" s="1">
        <v>11927600</v>
      </c>
      <c r="G1898" s="1">
        <v>124.98</v>
      </c>
      <c r="H1898" s="1">
        <f t="shared" si="261"/>
        <v>7.4200000000000017</v>
      </c>
      <c r="I1898" s="9">
        <f t="shared" si="268"/>
        <v>5.9954751131221728E-2</v>
      </c>
      <c r="J1898" s="1">
        <f t="shared" si="269"/>
        <v>-3.730000000000004</v>
      </c>
      <c r="K1898" s="9">
        <f t="shared" si="262"/>
        <v>-2.8979877243415459E-2</v>
      </c>
      <c r="L1898" s="1">
        <f t="shared" si="263"/>
        <v>1</v>
      </c>
      <c r="M1898" s="1">
        <f t="shared" si="264"/>
        <v>131.18</v>
      </c>
      <c r="N1898" s="1">
        <f t="shared" si="265"/>
        <v>123.76</v>
      </c>
      <c r="O1898" s="1">
        <f t="shared" si="266"/>
        <v>123.02000000000001</v>
      </c>
      <c r="P1898" s="1">
        <f t="shared" si="267"/>
        <v>62.765306122448983</v>
      </c>
    </row>
    <row r="1899" spans="1:16">
      <c r="A1899" s="2">
        <v>40304</v>
      </c>
      <c r="B1899" s="1">
        <v>130</v>
      </c>
      <c r="C1899" s="1">
        <v>132.33000000000001</v>
      </c>
      <c r="D1899" s="1">
        <v>120.6</v>
      </c>
      <c r="E1899" s="1">
        <v>128.71</v>
      </c>
      <c r="F1899" s="1">
        <v>10189000</v>
      </c>
      <c r="G1899" s="1">
        <v>128.71</v>
      </c>
      <c r="H1899" s="1">
        <f t="shared" si="261"/>
        <v>11.730000000000018</v>
      </c>
      <c r="I1899" s="9">
        <f t="shared" si="268"/>
        <v>9.7263681592039963E-2</v>
      </c>
      <c r="J1899" s="1">
        <f t="shared" si="269"/>
        <v>-2.2199999999999989</v>
      </c>
      <c r="K1899" s="9">
        <f t="shared" si="262"/>
        <v>-1.6955625143206286E-2</v>
      </c>
      <c r="L1899" s="1">
        <f t="shared" si="263"/>
        <v>1</v>
      </c>
      <c r="M1899" s="1">
        <f t="shared" si="264"/>
        <v>132.33000000000001</v>
      </c>
      <c r="N1899" s="1">
        <f t="shared" si="265"/>
        <v>120.6</v>
      </c>
      <c r="O1899" s="1">
        <f t="shared" si="266"/>
        <v>126.75000000000001</v>
      </c>
      <c r="P1899" s="1">
        <f t="shared" si="267"/>
        <v>64.66836734693878</v>
      </c>
    </row>
    <row r="1900" spans="1:16">
      <c r="A1900" s="2">
        <v>40303</v>
      </c>
      <c r="B1900" s="1">
        <v>128</v>
      </c>
      <c r="C1900" s="1">
        <v>131.61000000000001</v>
      </c>
      <c r="D1900" s="1">
        <v>127.55</v>
      </c>
      <c r="E1900" s="1">
        <v>130.93</v>
      </c>
      <c r="F1900" s="1">
        <v>9458100</v>
      </c>
      <c r="G1900" s="1">
        <v>130.93</v>
      </c>
      <c r="H1900" s="1">
        <f t="shared" si="261"/>
        <v>4.0600000000000165</v>
      </c>
      <c r="I1900" s="9">
        <f t="shared" si="268"/>
        <v>3.1830654645237294E-2</v>
      </c>
      <c r="J1900" s="1">
        <f t="shared" si="269"/>
        <v>1.0999999999999943</v>
      </c>
      <c r="K1900" s="9">
        <f t="shared" si="262"/>
        <v>8.4726180389739988E-3</v>
      </c>
      <c r="L1900" s="1">
        <f t="shared" si="263"/>
        <v>1</v>
      </c>
      <c r="M1900" s="1">
        <f t="shared" si="264"/>
        <v>131.61000000000001</v>
      </c>
      <c r="N1900" s="1">
        <f t="shared" si="265"/>
        <v>127.55</v>
      </c>
      <c r="O1900" s="1">
        <f t="shared" si="266"/>
        <v>128.97</v>
      </c>
      <c r="P1900" s="1">
        <f t="shared" si="267"/>
        <v>65.801020408163268</v>
      </c>
    </row>
    <row r="1901" spans="1:16">
      <c r="A1901" s="2">
        <v>40302</v>
      </c>
      <c r="B1901" s="1">
        <v>135.62</v>
      </c>
      <c r="C1901" s="1">
        <v>135.81</v>
      </c>
      <c r="D1901" s="1">
        <v>128.38</v>
      </c>
      <c r="E1901" s="1">
        <v>129.83000000000001</v>
      </c>
      <c r="F1901" s="1">
        <v>12667800</v>
      </c>
      <c r="G1901" s="1">
        <v>129.83000000000001</v>
      </c>
      <c r="H1901" s="1">
        <f t="shared" si="261"/>
        <v>7.4300000000000068</v>
      </c>
      <c r="I1901" s="9">
        <f t="shared" si="268"/>
        <v>5.7875058420314748E-2</v>
      </c>
      <c r="J1901" s="1">
        <f t="shared" si="269"/>
        <v>-7.6599999999999966</v>
      </c>
      <c r="K1901" s="9">
        <f t="shared" si="262"/>
        <v>-5.5713142774019897E-2</v>
      </c>
      <c r="L1901" s="1">
        <f t="shared" si="263"/>
        <v>1</v>
      </c>
      <c r="M1901" s="1">
        <f t="shared" si="264"/>
        <v>135.81</v>
      </c>
      <c r="N1901" s="1">
        <f t="shared" si="265"/>
        <v>128.38</v>
      </c>
      <c r="O1901" s="1">
        <f t="shared" si="266"/>
        <v>127.87000000000002</v>
      </c>
      <c r="P1901" s="1">
        <f t="shared" si="267"/>
        <v>65.239795918367363</v>
      </c>
    </row>
    <row r="1902" spans="1:16">
      <c r="A1902" s="2">
        <v>40301</v>
      </c>
      <c r="B1902" s="1">
        <v>137.19999999999999</v>
      </c>
      <c r="C1902" s="1">
        <v>139.44</v>
      </c>
      <c r="D1902" s="1">
        <v>136.11000000000001</v>
      </c>
      <c r="E1902" s="1">
        <v>137.49</v>
      </c>
      <c r="F1902" s="1">
        <v>5654600</v>
      </c>
      <c r="G1902" s="1">
        <v>137.49</v>
      </c>
      <c r="H1902" s="1">
        <f t="shared" si="261"/>
        <v>3.3299999999999841</v>
      </c>
      <c r="I1902" s="9">
        <f t="shared" si="268"/>
        <v>2.4465505840863887E-2</v>
      </c>
      <c r="J1902" s="1">
        <f t="shared" si="269"/>
        <v>0.39000000000001478</v>
      </c>
      <c r="K1902" s="9">
        <f t="shared" si="262"/>
        <v>2.8446389496718802E-3</v>
      </c>
      <c r="L1902" s="1">
        <f t="shared" si="263"/>
        <v>1</v>
      </c>
      <c r="M1902" s="1">
        <f t="shared" si="264"/>
        <v>139.44</v>
      </c>
      <c r="N1902" s="1">
        <f t="shared" si="265"/>
        <v>136.11000000000001</v>
      </c>
      <c r="O1902" s="1">
        <f t="shared" si="266"/>
        <v>135.53</v>
      </c>
      <c r="P1902" s="1">
        <f t="shared" si="267"/>
        <v>69.147959183673464</v>
      </c>
    </row>
    <row r="1903" spans="1:16">
      <c r="A1903" s="2">
        <v>40298</v>
      </c>
      <c r="B1903" s="1">
        <v>141.4</v>
      </c>
      <c r="C1903" s="1">
        <v>141.4</v>
      </c>
      <c r="D1903" s="1">
        <v>136.91</v>
      </c>
      <c r="E1903" s="1">
        <v>137.1</v>
      </c>
      <c r="F1903" s="1">
        <v>6113500</v>
      </c>
      <c r="G1903" s="1">
        <v>137.1</v>
      </c>
      <c r="H1903" s="1">
        <f t="shared" si="261"/>
        <v>4.4900000000000091</v>
      </c>
      <c r="I1903" s="9">
        <f t="shared" si="268"/>
        <v>3.2795266963698846E-2</v>
      </c>
      <c r="J1903" s="1">
        <f t="shared" si="269"/>
        <v>-4.6299999999999955</v>
      </c>
      <c r="K1903" s="9">
        <f t="shared" si="262"/>
        <v>-3.2667748535948608E-2</v>
      </c>
      <c r="L1903" s="1">
        <f t="shared" si="263"/>
        <v>1</v>
      </c>
      <c r="M1903" s="1">
        <f t="shared" si="264"/>
        <v>141.4</v>
      </c>
      <c r="N1903" s="1">
        <f t="shared" si="265"/>
        <v>136.91</v>
      </c>
      <c r="O1903" s="1">
        <f t="shared" si="266"/>
        <v>135.13999999999999</v>
      </c>
      <c r="P1903" s="1">
        <f t="shared" si="267"/>
        <v>68.948979591836732</v>
      </c>
    </row>
    <row r="1904" spans="1:16">
      <c r="A1904" s="2">
        <v>40297</v>
      </c>
      <c r="B1904" s="1">
        <v>140.09</v>
      </c>
      <c r="C1904" s="1">
        <v>142.44999999999999</v>
      </c>
      <c r="D1904" s="1">
        <v>139.79</v>
      </c>
      <c r="E1904" s="1">
        <v>141.72999999999999</v>
      </c>
      <c r="F1904" s="1">
        <v>6314200</v>
      </c>
      <c r="G1904" s="1">
        <v>141.72999999999999</v>
      </c>
      <c r="H1904" s="1">
        <f t="shared" si="261"/>
        <v>2.6599999999999966</v>
      </c>
      <c r="I1904" s="9">
        <f t="shared" si="268"/>
        <v>1.9028542814221307E-2</v>
      </c>
      <c r="J1904" s="1">
        <f t="shared" si="269"/>
        <v>2.3799999999999955</v>
      </c>
      <c r="K1904" s="9">
        <f t="shared" si="262"/>
        <v>1.7079296734840297E-2</v>
      </c>
      <c r="L1904" s="1">
        <f t="shared" si="263"/>
        <v>1</v>
      </c>
      <c r="M1904" s="1">
        <f t="shared" si="264"/>
        <v>142.44999999999999</v>
      </c>
      <c r="N1904" s="1">
        <f t="shared" si="265"/>
        <v>139.79</v>
      </c>
      <c r="O1904" s="1">
        <f t="shared" si="266"/>
        <v>139.76999999999998</v>
      </c>
      <c r="P1904" s="1">
        <f t="shared" si="267"/>
        <v>71.311224489795904</v>
      </c>
    </row>
    <row r="1905" spans="1:16">
      <c r="A1905" s="2">
        <v>40296</v>
      </c>
      <c r="B1905" s="1">
        <v>142.59</v>
      </c>
      <c r="C1905" s="1">
        <v>142.75</v>
      </c>
      <c r="D1905" s="1">
        <v>138.69</v>
      </c>
      <c r="E1905" s="1">
        <v>139.35</v>
      </c>
      <c r="F1905" s="1">
        <v>9235300</v>
      </c>
      <c r="G1905" s="1">
        <v>139.35</v>
      </c>
      <c r="H1905" s="1">
        <f t="shared" si="261"/>
        <v>4.0600000000000023</v>
      </c>
      <c r="I1905" s="9">
        <f t="shared" si="268"/>
        <v>2.9273920253803463E-2</v>
      </c>
      <c r="J1905" s="1">
        <f t="shared" si="269"/>
        <v>-2.6700000000000159</v>
      </c>
      <c r="K1905" s="9">
        <f t="shared" si="262"/>
        <v>-1.880016899028317E-2</v>
      </c>
      <c r="L1905" s="1">
        <f t="shared" si="263"/>
        <v>1</v>
      </c>
      <c r="M1905" s="1">
        <f t="shared" si="264"/>
        <v>142.75</v>
      </c>
      <c r="N1905" s="1">
        <f t="shared" si="265"/>
        <v>138.69</v>
      </c>
      <c r="O1905" s="1">
        <f t="shared" si="266"/>
        <v>137.38999999999999</v>
      </c>
      <c r="P1905" s="1">
        <f t="shared" si="267"/>
        <v>70.096938775510196</v>
      </c>
    </row>
    <row r="1906" spans="1:16">
      <c r="A1906" s="2">
        <v>40295</v>
      </c>
      <c r="B1906" s="1">
        <v>145.55000000000001</v>
      </c>
      <c r="C1906" s="1">
        <v>146.44</v>
      </c>
      <c r="D1906" s="1">
        <v>141.11000000000001</v>
      </c>
      <c r="E1906" s="1">
        <v>142.02000000000001</v>
      </c>
      <c r="F1906" s="1">
        <v>8639000</v>
      </c>
      <c r="G1906" s="1">
        <v>142.02000000000001</v>
      </c>
      <c r="H1906" s="1">
        <f t="shared" si="261"/>
        <v>5.3299999999999841</v>
      </c>
      <c r="I1906" s="9">
        <f t="shared" si="268"/>
        <v>3.7771950960243668E-2</v>
      </c>
      <c r="J1906" s="1">
        <f t="shared" si="269"/>
        <v>-5.0900000000000034</v>
      </c>
      <c r="K1906" s="9">
        <f t="shared" si="262"/>
        <v>-3.4599959214193482E-2</v>
      </c>
      <c r="L1906" s="1">
        <f t="shared" si="263"/>
        <v>1</v>
      </c>
      <c r="M1906" s="1">
        <f t="shared" si="264"/>
        <v>146.44</v>
      </c>
      <c r="N1906" s="1">
        <f t="shared" si="265"/>
        <v>141.11000000000001</v>
      </c>
      <c r="O1906" s="1">
        <f t="shared" si="266"/>
        <v>140.06</v>
      </c>
      <c r="P1906" s="1">
        <f t="shared" si="267"/>
        <v>71.459183673469397</v>
      </c>
    </row>
    <row r="1907" spans="1:16">
      <c r="A1907" s="2">
        <v>40294</v>
      </c>
      <c r="B1907" s="1">
        <v>143.19999999999999</v>
      </c>
      <c r="C1907" s="1">
        <v>147.72999999999999</v>
      </c>
      <c r="D1907" s="1">
        <v>142.9</v>
      </c>
      <c r="E1907" s="1">
        <v>147.11000000000001</v>
      </c>
      <c r="F1907" s="1">
        <v>9318300</v>
      </c>
      <c r="G1907" s="1">
        <v>147.11000000000001</v>
      </c>
      <c r="H1907" s="1">
        <f t="shared" si="261"/>
        <v>4.8299999999999841</v>
      </c>
      <c r="I1907" s="9">
        <f t="shared" si="268"/>
        <v>3.379986004198729E-2</v>
      </c>
      <c r="J1907" s="1">
        <f t="shared" si="269"/>
        <v>3.4800000000000182</v>
      </c>
      <c r="K1907" s="9">
        <f t="shared" si="262"/>
        <v>2.4228921534498491E-2</v>
      </c>
      <c r="L1907" s="1">
        <f t="shared" si="263"/>
        <v>1</v>
      </c>
      <c r="M1907" s="1">
        <f t="shared" si="264"/>
        <v>147.72999999999999</v>
      </c>
      <c r="N1907" s="1">
        <f t="shared" si="265"/>
        <v>142.9</v>
      </c>
      <c r="O1907" s="1">
        <f t="shared" si="266"/>
        <v>145.15</v>
      </c>
      <c r="P1907" s="1">
        <f t="shared" si="267"/>
        <v>74.056122448979593</v>
      </c>
    </row>
    <row r="1908" spans="1:16">
      <c r="A1908" s="2">
        <v>40291</v>
      </c>
      <c r="B1908" s="1">
        <v>145.38</v>
      </c>
      <c r="C1908" s="1">
        <v>149.09</v>
      </c>
      <c r="D1908" s="1">
        <v>142.41999999999999</v>
      </c>
      <c r="E1908" s="1">
        <v>143.63</v>
      </c>
      <c r="F1908" s="1">
        <v>18975200</v>
      </c>
      <c r="G1908" s="1">
        <v>143.63</v>
      </c>
      <c r="H1908" s="1">
        <f t="shared" si="261"/>
        <v>6.6700000000000159</v>
      </c>
      <c r="I1908" s="9">
        <f t="shared" si="268"/>
        <v>4.6833309928380959E-2</v>
      </c>
      <c r="J1908" s="1">
        <f t="shared" si="269"/>
        <v>-6.460000000000008</v>
      </c>
      <c r="K1908" s="9">
        <f t="shared" si="262"/>
        <v>-4.3040842161369899E-2</v>
      </c>
      <c r="L1908" s="1">
        <f t="shared" si="263"/>
        <v>1</v>
      </c>
      <c r="M1908" s="1">
        <f t="shared" si="264"/>
        <v>149.09</v>
      </c>
      <c r="N1908" s="1">
        <f t="shared" si="265"/>
        <v>142.41999999999999</v>
      </c>
      <c r="O1908" s="1">
        <f t="shared" si="266"/>
        <v>141.66999999999999</v>
      </c>
      <c r="P1908" s="1">
        <f t="shared" si="267"/>
        <v>72.280612244897952</v>
      </c>
    </row>
    <row r="1909" spans="1:16">
      <c r="A1909" s="2">
        <v>40290</v>
      </c>
      <c r="B1909" s="1">
        <v>147.01</v>
      </c>
      <c r="C1909" s="1">
        <v>151.09</v>
      </c>
      <c r="D1909" s="1">
        <v>145.88</v>
      </c>
      <c r="E1909" s="1">
        <v>150.09</v>
      </c>
      <c r="F1909" s="1">
        <v>15165800</v>
      </c>
      <c r="G1909" s="1">
        <v>150.09</v>
      </c>
      <c r="H1909" s="1">
        <f t="shared" si="261"/>
        <v>5.210000000000008</v>
      </c>
      <c r="I1909" s="9">
        <f t="shared" si="268"/>
        <v>3.5714285714285768E-2</v>
      </c>
      <c r="J1909" s="1">
        <f t="shared" si="269"/>
        <v>3.6599999999999966</v>
      </c>
      <c r="K1909" s="9">
        <f t="shared" si="262"/>
        <v>2.4994878098750232E-2</v>
      </c>
      <c r="L1909" s="1">
        <f t="shared" si="263"/>
        <v>1</v>
      </c>
      <c r="M1909" s="1">
        <f t="shared" si="264"/>
        <v>151.09</v>
      </c>
      <c r="N1909" s="1">
        <f t="shared" si="265"/>
        <v>145.88</v>
      </c>
      <c r="O1909" s="1">
        <f t="shared" si="266"/>
        <v>148.13</v>
      </c>
      <c r="P1909" s="1">
        <f t="shared" si="267"/>
        <v>75.576530612244895</v>
      </c>
    </row>
    <row r="1910" spans="1:16">
      <c r="A1910" s="2">
        <v>40289</v>
      </c>
      <c r="B1910" s="1">
        <v>145.16999999999999</v>
      </c>
      <c r="C1910" s="1">
        <v>149</v>
      </c>
      <c r="D1910" s="1">
        <v>143.52000000000001</v>
      </c>
      <c r="E1910" s="1">
        <v>146.43</v>
      </c>
      <c r="F1910" s="1">
        <v>7374400</v>
      </c>
      <c r="G1910" s="1">
        <v>146.43</v>
      </c>
      <c r="H1910" s="1">
        <f t="shared" si="261"/>
        <v>5.4799999999999898</v>
      </c>
      <c r="I1910" s="9">
        <f t="shared" si="268"/>
        <v>3.8182831661092459E-2</v>
      </c>
      <c r="J1910" s="1">
        <f t="shared" si="269"/>
        <v>2.2300000000000182</v>
      </c>
      <c r="K1910" s="9">
        <f t="shared" si="262"/>
        <v>1.5464632454923844E-2</v>
      </c>
      <c r="L1910" s="1">
        <f t="shared" si="263"/>
        <v>1</v>
      </c>
      <c r="M1910" s="1">
        <f t="shared" si="264"/>
        <v>149</v>
      </c>
      <c r="N1910" s="1">
        <f t="shared" si="265"/>
        <v>143.52000000000001</v>
      </c>
      <c r="O1910" s="1">
        <f t="shared" si="266"/>
        <v>144.47</v>
      </c>
      <c r="P1910" s="1">
        <f t="shared" si="267"/>
        <v>73.709183673469383</v>
      </c>
    </row>
    <row r="1911" spans="1:16">
      <c r="A1911" s="2">
        <v>40288</v>
      </c>
      <c r="B1911" s="1">
        <v>143.83000000000001</v>
      </c>
      <c r="C1911" s="1">
        <v>144.63999999999999</v>
      </c>
      <c r="D1911" s="1">
        <v>142.1</v>
      </c>
      <c r="E1911" s="1">
        <v>144.19999999999999</v>
      </c>
      <c r="F1911" s="1">
        <v>4311700</v>
      </c>
      <c r="G1911" s="1">
        <v>144.19999999999999</v>
      </c>
      <c r="H1911" s="1">
        <f t="shared" si="261"/>
        <v>2.539999999999992</v>
      </c>
      <c r="I1911" s="9">
        <f t="shared" si="268"/>
        <v>1.7874736101337031E-2</v>
      </c>
      <c r="J1911" s="1">
        <f t="shared" si="269"/>
        <v>1.7699999999999818</v>
      </c>
      <c r="K1911" s="9">
        <f t="shared" si="262"/>
        <v>1.2427157200027955E-2</v>
      </c>
      <c r="L1911" s="1">
        <f t="shared" si="263"/>
        <v>1</v>
      </c>
      <c r="M1911" s="1">
        <f t="shared" si="264"/>
        <v>144.63999999999999</v>
      </c>
      <c r="N1911" s="1">
        <f t="shared" si="265"/>
        <v>142.1</v>
      </c>
      <c r="O1911" s="1">
        <f t="shared" si="266"/>
        <v>142.23999999999998</v>
      </c>
      <c r="P1911" s="1">
        <f t="shared" si="267"/>
        <v>72.571428571428569</v>
      </c>
    </row>
    <row r="1912" spans="1:16">
      <c r="A1912" s="2">
        <v>40287</v>
      </c>
      <c r="B1912" s="1">
        <v>142.35</v>
      </c>
      <c r="C1912" s="1">
        <v>143.66999999999999</v>
      </c>
      <c r="D1912" s="1">
        <v>139.13</v>
      </c>
      <c r="E1912" s="1">
        <v>142.43</v>
      </c>
      <c r="F1912" s="1">
        <v>6022000</v>
      </c>
      <c r="G1912" s="1">
        <v>142.43</v>
      </c>
      <c r="H1912" s="1">
        <f t="shared" si="261"/>
        <v>4.539999999999992</v>
      </c>
      <c r="I1912" s="9">
        <f t="shared" si="268"/>
        <v>3.2631351972974856E-2</v>
      </c>
      <c r="J1912" s="1">
        <f t="shared" si="269"/>
        <v>0.26000000000001933</v>
      </c>
      <c r="K1912" s="9">
        <f t="shared" si="262"/>
        <v>1.8287965112190993E-3</v>
      </c>
      <c r="L1912" s="1">
        <f t="shared" si="263"/>
        <v>1</v>
      </c>
      <c r="M1912" s="1">
        <f t="shared" si="264"/>
        <v>143.66999999999999</v>
      </c>
      <c r="N1912" s="1">
        <f t="shared" si="265"/>
        <v>139.13</v>
      </c>
      <c r="O1912" s="1">
        <f t="shared" si="266"/>
        <v>140.47</v>
      </c>
      <c r="P1912" s="1">
        <f t="shared" si="267"/>
        <v>71.66836734693878</v>
      </c>
    </row>
    <row r="1913" spans="1:16">
      <c r="A1913" s="2">
        <v>40284</v>
      </c>
      <c r="B1913" s="1">
        <v>144.88</v>
      </c>
      <c r="C1913" s="1">
        <v>147.16999999999999</v>
      </c>
      <c r="D1913" s="1">
        <v>141.44999999999999</v>
      </c>
      <c r="E1913" s="1">
        <v>142.16999999999999</v>
      </c>
      <c r="F1913" s="1">
        <v>8396800</v>
      </c>
      <c r="G1913" s="1">
        <v>142.16999999999999</v>
      </c>
      <c r="H1913" s="1">
        <f t="shared" si="261"/>
        <v>5.7199999999999989</v>
      </c>
      <c r="I1913" s="9">
        <f t="shared" si="268"/>
        <v>4.043831742665252E-2</v>
      </c>
      <c r="J1913" s="1">
        <f t="shared" si="269"/>
        <v>-3.6500000000000057</v>
      </c>
      <c r="K1913" s="9">
        <f t="shared" si="262"/>
        <v>-2.5030859964339638E-2</v>
      </c>
      <c r="L1913" s="1">
        <f t="shared" si="263"/>
        <v>1</v>
      </c>
      <c r="M1913" s="1">
        <f t="shared" si="264"/>
        <v>147.16999999999999</v>
      </c>
      <c r="N1913" s="1">
        <f t="shared" si="265"/>
        <v>141.44999999999999</v>
      </c>
      <c r="O1913" s="1">
        <f t="shared" si="266"/>
        <v>140.20999999999998</v>
      </c>
      <c r="P1913" s="1">
        <f t="shared" si="267"/>
        <v>71.535714285714278</v>
      </c>
    </row>
    <row r="1914" spans="1:16">
      <c r="A1914" s="2">
        <v>40283</v>
      </c>
      <c r="B1914" s="1">
        <v>144.55000000000001</v>
      </c>
      <c r="C1914" s="1">
        <v>147.09</v>
      </c>
      <c r="D1914" s="1">
        <v>144</v>
      </c>
      <c r="E1914" s="1">
        <v>145.82</v>
      </c>
      <c r="F1914" s="1">
        <v>7829600</v>
      </c>
      <c r="G1914" s="1">
        <v>145.82</v>
      </c>
      <c r="H1914" s="1">
        <f t="shared" si="261"/>
        <v>3.0900000000000034</v>
      </c>
      <c r="I1914" s="9">
        <f t="shared" si="268"/>
        <v>2.1458333333333357E-2</v>
      </c>
      <c r="J1914" s="1">
        <f t="shared" si="269"/>
        <v>1.539999999999992</v>
      </c>
      <c r="K1914" s="9">
        <f t="shared" si="262"/>
        <v>1.0673690047130525E-2</v>
      </c>
      <c r="L1914" s="1">
        <f t="shared" si="263"/>
        <v>1</v>
      </c>
      <c r="M1914" s="1">
        <f t="shared" si="264"/>
        <v>147.09</v>
      </c>
      <c r="N1914" s="1">
        <f t="shared" si="265"/>
        <v>144</v>
      </c>
      <c r="O1914" s="1">
        <f t="shared" si="266"/>
        <v>143.85999999999999</v>
      </c>
      <c r="P1914" s="1">
        <f t="shared" si="267"/>
        <v>73.397959183673464</v>
      </c>
    </row>
    <row r="1915" spans="1:16">
      <c r="A1915" s="2">
        <v>40282</v>
      </c>
      <c r="B1915" s="1">
        <v>140.34</v>
      </c>
      <c r="C1915" s="1">
        <v>144.5</v>
      </c>
      <c r="D1915" s="1">
        <v>139.19999999999999</v>
      </c>
      <c r="E1915" s="1">
        <v>144.28</v>
      </c>
      <c r="F1915" s="1">
        <v>7900300</v>
      </c>
      <c r="G1915" s="1">
        <v>144.28</v>
      </c>
      <c r="H1915" s="1">
        <f t="shared" si="261"/>
        <v>5.3000000000000114</v>
      </c>
      <c r="I1915" s="9">
        <f t="shared" si="268"/>
        <v>3.8074712643678246E-2</v>
      </c>
      <c r="J1915" s="1">
        <f t="shared" si="269"/>
        <v>4.1200000000000045</v>
      </c>
      <c r="K1915" s="9">
        <f t="shared" si="262"/>
        <v>2.9394977168949805E-2</v>
      </c>
      <c r="L1915" s="1">
        <f t="shared" si="263"/>
        <v>1</v>
      </c>
      <c r="M1915" s="1">
        <f t="shared" si="264"/>
        <v>144.5</v>
      </c>
      <c r="N1915" s="1">
        <f t="shared" si="265"/>
        <v>139.19999999999999</v>
      </c>
      <c r="O1915" s="1">
        <f t="shared" si="266"/>
        <v>142.32</v>
      </c>
      <c r="P1915" s="1">
        <f t="shared" si="267"/>
        <v>72.612244897959187</v>
      </c>
    </row>
    <row r="1916" spans="1:16">
      <c r="A1916" s="2">
        <v>40281</v>
      </c>
      <c r="B1916" s="1">
        <v>141.22999999999999</v>
      </c>
      <c r="C1916" s="1">
        <v>141.97999999999999</v>
      </c>
      <c r="D1916" s="1">
        <v>139.12</v>
      </c>
      <c r="E1916" s="1">
        <v>140.16</v>
      </c>
      <c r="F1916" s="1">
        <v>4785500</v>
      </c>
      <c r="G1916" s="1">
        <v>140.16</v>
      </c>
      <c r="H1916" s="1">
        <f t="shared" si="261"/>
        <v>2.8599999999999852</v>
      </c>
      <c r="I1916" s="9">
        <f t="shared" si="268"/>
        <v>2.0557791834387471E-2</v>
      </c>
      <c r="J1916" s="1">
        <f t="shared" si="269"/>
        <v>-1.039999999999992</v>
      </c>
      <c r="K1916" s="9">
        <f t="shared" si="262"/>
        <v>-7.3654390934843631E-3</v>
      </c>
      <c r="L1916" s="1">
        <f t="shared" si="263"/>
        <v>1</v>
      </c>
      <c r="M1916" s="1">
        <f t="shared" si="264"/>
        <v>141.97999999999999</v>
      </c>
      <c r="N1916" s="1">
        <f t="shared" si="265"/>
        <v>139.12</v>
      </c>
      <c r="O1916" s="1">
        <f t="shared" si="266"/>
        <v>138.19999999999999</v>
      </c>
      <c r="P1916" s="1">
        <f t="shared" si="267"/>
        <v>70.510204081632651</v>
      </c>
    </row>
    <row r="1917" spans="1:16">
      <c r="A1917" s="2">
        <v>40280</v>
      </c>
      <c r="B1917" s="1">
        <v>140</v>
      </c>
      <c r="C1917" s="1">
        <v>142.91</v>
      </c>
      <c r="D1917" s="1">
        <v>139.68</v>
      </c>
      <c r="E1917" s="1">
        <v>141.19999999999999</v>
      </c>
      <c r="F1917" s="1">
        <v>5445300</v>
      </c>
      <c r="G1917" s="1">
        <v>141.19999999999999</v>
      </c>
      <c r="H1917" s="1">
        <f t="shared" si="261"/>
        <v>3.2299999999999898</v>
      </c>
      <c r="I1917" s="9">
        <f t="shared" si="268"/>
        <v>2.312428407789225E-2</v>
      </c>
      <c r="J1917" s="1">
        <f t="shared" si="269"/>
        <v>1.1399999999999864</v>
      </c>
      <c r="K1917" s="9">
        <f t="shared" si="262"/>
        <v>8.1393688419247913E-3</v>
      </c>
      <c r="L1917" s="1">
        <f t="shared" si="263"/>
        <v>1</v>
      </c>
      <c r="M1917" s="1">
        <f t="shared" si="264"/>
        <v>142.91</v>
      </c>
      <c r="N1917" s="1">
        <f t="shared" si="265"/>
        <v>139.68</v>
      </c>
      <c r="O1917" s="1">
        <f t="shared" si="266"/>
        <v>139.23999999999998</v>
      </c>
      <c r="P1917" s="1">
        <f t="shared" si="267"/>
        <v>71.040816326530603</v>
      </c>
    </row>
    <row r="1918" spans="1:16">
      <c r="A1918" s="2">
        <v>40277</v>
      </c>
      <c r="B1918" s="1">
        <v>140.72</v>
      </c>
      <c r="C1918" s="1">
        <v>141.33000000000001</v>
      </c>
      <c r="D1918" s="1">
        <v>139.07</v>
      </c>
      <c r="E1918" s="1">
        <v>140.06</v>
      </c>
      <c r="F1918" s="1">
        <v>6011100</v>
      </c>
      <c r="G1918" s="1">
        <v>140.06</v>
      </c>
      <c r="H1918" s="1">
        <f t="shared" si="261"/>
        <v>2.2600000000000193</v>
      </c>
      <c r="I1918" s="9">
        <f t="shared" si="268"/>
        <v>1.6250808945135684E-2</v>
      </c>
      <c r="J1918" s="1">
        <f t="shared" si="269"/>
        <v>-0.90000000000000568</v>
      </c>
      <c r="K1918" s="9">
        <f t="shared" si="262"/>
        <v>-6.3847900113507775E-3</v>
      </c>
      <c r="L1918" s="1">
        <f t="shared" si="263"/>
        <v>1</v>
      </c>
      <c r="M1918" s="1">
        <f t="shared" si="264"/>
        <v>141.33000000000001</v>
      </c>
      <c r="N1918" s="1">
        <f t="shared" si="265"/>
        <v>139.07</v>
      </c>
      <c r="O1918" s="1">
        <f t="shared" si="266"/>
        <v>138.1</v>
      </c>
      <c r="P1918" s="1">
        <f t="shared" si="267"/>
        <v>70.459183673469383</v>
      </c>
    </row>
    <row r="1919" spans="1:16">
      <c r="A1919" s="2">
        <v>40276</v>
      </c>
      <c r="B1919" s="1">
        <v>134.71</v>
      </c>
      <c r="C1919" s="1">
        <v>141.25</v>
      </c>
      <c r="D1919" s="1">
        <v>134.71</v>
      </c>
      <c r="E1919" s="1">
        <v>140.96</v>
      </c>
      <c r="F1919" s="1">
        <v>12689100</v>
      </c>
      <c r="G1919" s="1">
        <v>140.96</v>
      </c>
      <c r="H1919" s="1">
        <f t="shared" si="261"/>
        <v>6.539999999999992</v>
      </c>
      <c r="I1919" s="9">
        <f t="shared" si="268"/>
        <v>4.8548734318164886E-2</v>
      </c>
      <c r="J1919" s="1">
        <f t="shared" si="269"/>
        <v>6.0900000000000034</v>
      </c>
      <c r="K1919" s="9">
        <f t="shared" si="262"/>
        <v>4.5154593312078321E-2</v>
      </c>
      <c r="L1919" s="1">
        <f t="shared" si="263"/>
        <v>1</v>
      </c>
      <c r="M1919" s="1">
        <f t="shared" si="264"/>
        <v>141.25</v>
      </c>
      <c r="N1919" s="1">
        <f t="shared" si="265"/>
        <v>134.71</v>
      </c>
      <c r="O1919" s="1">
        <f t="shared" si="266"/>
        <v>139</v>
      </c>
      <c r="P1919" s="1">
        <f t="shared" si="267"/>
        <v>70.91836734693878</v>
      </c>
    </row>
    <row r="1920" spans="1:16">
      <c r="A1920" s="2">
        <v>40275</v>
      </c>
      <c r="B1920" s="1">
        <v>135.96</v>
      </c>
      <c r="C1920" s="1">
        <v>136.08000000000001</v>
      </c>
      <c r="D1920" s="1">
        <v>133.86000000000001</v>
      </c>
      <c r="E1920" s="1">
        <v>134.87</v>
      </c>
      <c r="F1920" s="1">
        <v>5945400</v>
      </c>
      <c r="G1920" s="1">
        <v>134.87</v>
      </c>
      <c r="H1920" s="1">
        <f t="shared" si="261"/>
        <v>2.2199999999999989</v>
      </c>
      <c r="I1920" s="9">
        <f t="shared" si="268"/>
        <v>1.6584491259524867E-2</v>
      </c>
      <c r="J1920" s="1">
        <f t="shared" si="269"/>
        <v>-0.68999999999999773</v>
      </c>
      <c r="K1920" s="9">
        <f t="shared" si="262"/>
        <v>-5.0899970492770561E-3</v>
      </c>
      <c r="L1920" s="1">
        <f t="shared" si="263"/>
        <v>1</v>
      </c>
      <c r="M1920" s="1">
        <f t="shared" si="264"/>
        <v>136.08000000000001</v>
      </c>
      <c r="N1920" s="1">
        <f t="shared" si="265"/>
        <v>133.86000000000001</v>
      </c>
      <c r="O1920" s="1">
        <f t="shared" si="266"/>
        <v>132.91</v>
      </c>
      <c r="P1920" s="1">
        <f t="shared" si="267"/>
        <v>67.811224489795919</v>
      </c>
    </row>
    <row r="1921" spans="1:16">
      <c r="A1921" s="2">
        <v>40274</v>
      </c>
      <c r="B1921" s="1">
        <v>131.22999999999999</v>
      </c>
      <c r="C1921" s="1">
        <v>136</v>
      </c>
      <c r="D1921" s="1">
        <v>131.18</v>
      </c>
      <c r="E1921" s="1">
        <v>135.56</v>
      </c>
      <c r="F1921" s="1">
        <v>7950300</v>
      </c>
      <c r="G1921" s="1">
        <v>135.56</v>
      </c>
      <c r="H1921" s="1">
        <f t="shared" si="261"/>
        <v>4.8199999999999932</v>
      </c>
      <c r="I1921" s="9">
        <f t="shared" si="268"/>
        <v>3.6743406007013209E-2</v>
      </c>
      <c r="J1921" s="1">
        <f t="shared" si="269"/>
        <v>4.0699999999999932</v>
      </c>
      <c r="K1921" s="9">
        <f t="shared" si="262"/>
        <v>3.0952924176743425E-2</v>
      </c>
      <c r="L1921" s="1">
        <f t="shared" si="263"/>
        <v>1</v>
      </c>
      <c r="M1921" s="1">
        <f t="shared" si="264"/>
        <v>136</v>
      </c>
      <c r="N1921" s="1">
        <f t="shared" si="265"/>
        <v>131.18</v>
      </c>
      <c r="O1921" s="1">
        <f t="shared" si="266"/>
        <v>133.6</v>
      </c>
      <c r="P1921" s="1">
        <f t="shared" si="267"/>
        <v>68.16326530612244</v>
      </c>
    </row>
    <row r="1922" spans="1:16">
      <c r="A1922" s="2">
        <v>40273</v>
      </c>
      <c r="B1922" s="1">
        <v>132.85</v>
      </c>
      <c r="C1922" s="1">
        <v>133.74</v>
      </c>
      <c r="D1922" s="1">
        <v>130.78</v>
      </c>
      <c r="E1922" s="1">
        <v>131.49</v>
      </c>
      <c r="F1922" s="1">
        <v>5816500</v>
      </c>
      <c r="G1922" s="1">
        <v>131.49</v>
      </c>
      <c r="H1922" s="1">
        <f t="shared" si="261"/>
        <v>2.960000000000008</v>
      </c>
      <c r="I1922" s="9">
        <f t="shared" si="268"/>
        <v>2.2633430188102217E-2</v>
      </c>
      <c r="J1922" s="1">
        <f t="shared" si="269"/>
        <v>-0.31999999999999318</v>
      </c>
      <c r="K1922" s="9">
        <f t="shared" si="262"/>
        <v>-2.4277368940140596E-3</v>
      </c>
      <c r="L1922" s="1">
        <f t="shared" si="263"/>
        <v>1</v>
      </c>
      <c r="M1922" s="1">
        <f t="shared" si="264"/>
        <v>133.74</v>
      </c>
      <c r="N1922" s="1">
        <f t="shared" si="265"/>
        <v>130.78</v>
      </c>
      <c r="O1922" s="1">
        <f t="shared" si="266"/>
        <v>129.53</v>
      </c>
      <c r="P1922" s="1">
        <f t="shared" si="267"/>
        <v>66.08673469387756</v>
      </c>
    </row>
    <row r="1923" spans="1:16">
      <c r="A1923" s="2">
        <v>40269</v>
      </c>
      <c r="B1923" s="1">
        <v>135.80000000000001</v>
      </c>
      <c r="C1923" s="1">
        <v>136.51</v>
      </c>
      <c r="D1923" s="1">
        <v>131.18</v>
      </c>
      <c r="E1923" s="1">
        <v>131.81</v>
      </c>
      <c r="F1923" s="1">
        <v>8785800</v>
      </c>
      <c r="G1923" s="1">
        <v>131.81</v>
      </c>
      <c r="H1923" s="1">
        <f t="shared" ref="H1923:H1986" si="270">C1923-D1923</f>
        <v>5.3299999999999841</v>
      </c>
      <c r="I1923" s="9">
        <f t="shared" si="268"/>
        <v>4.0631193779539443E-2</v>
      </c>
      <c r="J1923" s="1">
        <f t="shared" si="269"/>
        <v>-3.960000000000008</v>
      </c>
      <c r="K1923" s="9">
        <f t="shared" ref="K1923:K1986" si="271">(G1923-G1924)/G1924</f>
        <v>-2.9166973558223522E-2</v>
      </c>
      <c r="L1923" s="1">
        <f t="shared" ref="L1923:L1986" si="272">G1923/E1923</f>
        <v>1</v>
      </c>
      <c r="M1923" s="1">
        <f t="shared" ref="M1923:M1986" si="273">L1923*C1923</f>
        <v>136.51</v>
      </c>
      <c r="N1923" s="1">
        <f t="shared" ref="N1923:N1986" si="274">L1923*D1923</f>
        <v>131.18</v>
      </c>
      <c r="O1923" s="1">
        <f t="shared" ref="O1923:O1986" si="275">G1923-$G$5163</f>
        <v>129.85</v>
      </c>
      <c r="P1923" s="1">
        <f t="shared" ref="P1923:P1986" si="276">(G1923-$G$5163)/$G$5163</f>
        <v>66.25</v>
      </c>
    </row>
    <row r="1924" spans="1:16">
      <c r="A1924" s="2">
        <v>40268</v>
      </c>
      <c r="B1924" s="1">
        <v>136</v>
      </c>
      <c r="C1924" s="1">
        <v>136.80000000000001</v>
      </c>
      <c r="D1924" s="1">
        <v>134.47999999999999</v>
      </c>
      <c r="E1924" s="1">
        <v>135.77000000000001</v>
      </c>
      <c r="F1924" s="1">
        <v>4600600</v>
      </c>
      <c r="G1924" s="1">
        <v>135.77000000000001</v>
      </c>
      <c r="H1924" s="1">
        <f t="shared" si="270"/>
        <v>2.3200000000000216</v>
      </c>
      <c r="I1924" s="9">
        <f t="shared" ref="I1924:I1987" si="277">(C1924-D1924)/D1924</f>
        <v>1.7251635930993617E-2</v>
      </c>
      <c r="J1924" s="1">
        <f t="shared" ref="J1924:J1987" si="278">G1924-G1925</f>
        <v>-0.81000000000000227</v>
      </c>
      <c r="K1924" s="9">
        <f t="shared" si="271"/>
        <v>-5.930590130326565E-3</v>
      </c>
      <c r="L1924" s="1">
        <f t="shared" si="272"/>
        <v>1</v>
      </c>
      <c r="M1924" s="1">
        <f t="shared" si="273"/>
        <v>136.80000000000001</v>
      </c>
      <c r="N1924" s="1">
        <f t="shared" si="274"/>
        <v>134.47999999999999</v>
      </c>
      <c r="O1924" s="1">
        <f t="shared" si="275"/>
        <v>133.81</v>
      </c>
      <c r="P1924" s="1">
        <f t="shared" si="276"/>
        <v>68.270408163265301</v>
      </c>
    </row>
    <row r="1925" spans="1:16">
      <c r="A1925" s="2">
        <v>40267</v>
      </c>
      <c r="B1925" s="1">
        <v>135.74</v>
      </c>
      <c r="C1925" s="1">
        <v>138.19</v>
      </c>
      <c r="D1925" s="1">
        <v>135.36000000000001</v>
      </c>
      <c r="E1925" s="1">
        <v>136.58000000000001</v>
      </c>
      <c r="F1925" s="1">
        <v>6192700</v>
      </c>
      <c r="G1925" s="1">
        <v>136.58000000000001</v>
      </c>
      <c r="H1925" s="1">
        <f t="shared" si="270"/>
        <v>2.8299999999999841</v>
      </c>
      <c r="I1925" s="9">
        <f t="shared" si="277"/>
        <v>2.0907210401891134E-2</v>
      </c>
      <c r="J1925" s="1">
        <f t="shared" si="278"/>
        <v>1.460000000000008</v>
      </c>
      <c r="K1925" s="9">
        <f t="shared" si="271"/>
        <v>1.0805210183540616E-2</v>
      </c>
      <c r="L1925" s="1">
        <f t="shared" si="272"/>
        <v>1</v>
      </c>
      <c r="M1925" s="1">
        <f t="shared" si="273"/>
        <v>138.19</v>
      </c>
      <c r="N1925" s="1">
        <f t="shared" si="274"/>
        <v>135.36000000000001</v>
      </c>
      <c r="O1925" s="1">
        <f t="shared" si="275"/>
        <v>134.62</v>
      </c>
      <c r="P1925" s="1">
        <f t="shared" si="276"/>
        <v>68.683673469387756</v>
      </c>
    </row>
    <row r="1926" spans="1:16">
      <c r="A1926" s="2">
        <v>40266</v>
      </c>
      <c r="B1926" s="1">
        <v>135.37</v>
      </c>
      <c r="C1926" s="1">
        <v>136.63</v>
      </c>
      <c r="D1926" s="1">
        <v>134.33000000000001</v>
      </c>
      <c r="E1926" s="1">
        <v>135.12</v>
      </c>
      <c r="F1926" s="1">
        <v>4626900</v>
      </c>
      <c r="G1926" s="1">
        <v>135.12</v>
      </c>
      <c r="H1926" s="1">
        <f t="shared" si="270"/>
        <v>2.2999999999999829</v>
      </c>
      <c r="I1926" s="9">
        <f t="shared" si="277"/>
        <v>1.7122012953174889E-2</v>
      </c>
      <c r="J1926" s="1">
        <f t="shared" si="278"/>
        <v>6.0000000000002274E-2</v>
      </c>
      <c r="K1926" s="9">
        <f t="shared" si="271"/>
        <v>4.4424700133275784E-4</v>
      </c>
      <c r="L1926" s="1">
        <f t="shared" si="272"/>
        <v>1</v>
      </c>
      <c r="M1926" s="1">
        <f t="shared" si="273"/>
        <v>136.63</v>
      </c>
      <c r="N1926" s="1">
        <f t="shared" si="274"/>
        <v>134.33000000000001</v>
      </c>
      <c r="O1926" s="1">
        <f t="shared" si="275"/>
        <v>133.16</v>
      </c>
      <c r="P1926" s="1">
        <f t="shared" si="276"/>
        <v>67.938775510204081</v>
      </c>
    </row>
    <row r="1927" spans="1:16">
      <c r="A1927" s="2">
        <v>40263</v>
      </c>
      <c r="B1927" s="1">
        <v>134.9</v>
      </c>
      <c r="C1927" s="1">
        <v>136.99</v>
      </c>
      <c r="D1927" s="1">
        <v>133.76</v>
      </c>
      <c r="E1927" s="1">
        <v>135.06</v>
      </c>
      <c r="F1927" s="1">
        <v>6565700</v>
      </c>
      <c r="G1927" s="1">
        <v>135.06</v>
      </c>
      <c r="H1927" s="1">
        <f t="shared" si="270"/>
        <v>3.2300000000000182</v>
      </c>
      <c r="I1927" s="9">
        <f t="shared" si="277"/>
        <v>2.4147727272727411E-2</v>
      </c>
      <c r="J1927" s="1">
        <f t="shared" si="278"/>
        <v>0.33000000000001251</v>
      </c>
      <c r="K1927" s="9">
        <f t="shared" si="271"/>
        <v>2.4493431307059492E-3</v>
      </c>
      <c r="L1927" s="1">
        <f t="shared" si="272"/>
        <v>1</v>
      </c>
      <c r="M1927" s="1">
        <f t="shared" si="273"/>
        <v>136.99</v>
      </c>
      <c r="N1927" s="1">
        <f t="shared" si="274"/>
        <v>133.76</v>
      </c>
      <c r="O1927" s="1">
        <f t="shared" si="275"/>
        <v>133.1</v>
      </c>
      <c r="P1927" s="1">
        <f t="shared" si="276"/>
        <v>67.908163265306115</v>
      </c>
    </row>
    <row r="1928" spans="1:16">
      <c r="A1928" s="2">
        <v>40262</v>
      </c>
      <c r="B1928" s="1">
        <v>129.13999999999999</v>
      </c>
      <c r="C1928" s="1">
        <v>136.91</v>
      </c>
      <c r="D1928" s="1">
        <v>128.04</v>
      </c>
      <c r="E1928" s="1">
        <v>134.72999999999999</v>
      </c>
      <c r="F1928" s="1">
        <v>16209600</v>
      </c>
      <c r="G1928" s="1">
        <v>134.72999999999999</v>
      </c>
      <c r="H1928" s="1">
        <f t="shared" si="270"/>
        <v>8.8700000000000045</v>
      </c>
      <c r="I1928" s="9">
        <f t="shared" si="277"/>
        <v>6.9275226491721381E-2</v>
      </c>
      <c r="J1928" s="1">
        <f t="shared" si="278"/>
        <v>6.6899999999999977</v>
      </c>
      <c r="K1928" s="9">
        <f t="shared" si="271"/>
        <v>5.2249297094657907E-2</v>
      </c>
      <c r="L1928" s="1">
        <f t="shared" si="272"/>
        <v>1</v>
      </c>
      <c r="M1928" s="1">
        <f t="shared" si="273"/>
        <v>136.91</v>
      </c>
      <c r="N1928" s="1">
        <f t="shared" si="274"/>
        <v>128.04</v>
      </c>
      <c r="O1928" s="1">
        <f t="shared" si="275"/>
        <v>132.76999999999998</v>
      </c>
      <c r="P1928" s="1">
        <f t="shared" si="276"/>
        <v>67.739795918367335</v>
      </c>
    </row>
    <row r="1929" spans="1:16">
      <c r="A1929" s="2">
        <v>40261</v>
      </c>
      <c r="B1929" s="1">
        <v>128.63999999999999</v>
      </c>
      <c r="C1929" s="1">
        <v>129.4</v>
      </c>
      <c r="D1929" s="1">
        <v>127.2</v>
      </c>
      <c r="E1929" s="1">
        <v>128.04</v>
      </c>
      <c r="F1929" s="1">
        <v>4696400</v>
      </c>
      <c r="G1929" s="1">
        <v>128.04</v>
      </c>
      <c r="H1929" s="1">
        <f t="shared" si="270"/>
        <v>2.2000000000000028</v>
      </c>
      <c r="I1929" s="9">
        <f t="shared" si="277"/>
        <v>1.729559748427675E-2</v>
      </c>
      <c r="J1929" s="1">
        <f t="shared" si="278"/>
        <v>-1.2199999999999989</v>
      </c>
      <c r="K1929" s="9">
        <f t="shared" si="271"/>
        <v>-9.4383413275568543E-3</v>
      </c>
      <c r="L1929" s="1">
        <f t="shared" si="272"/>
        <v>1</v>
      </c>
      <c r="M1929" s="1">
        <f t="shared" si="273"/>
        <v>129.4</v>
      </c>
      <c r="N1929" s="1">
        <f t="shared" si="274"/>
        <v>127.2</v>
      </c>
      <c r="O1929" s="1">
        <f t="shared" si="275"/>
        <v>126.08</v>
      </c>
      <c r="P1929" s="1">
        <f t="shared" si="276"/>
        <v>64.326530612244895</v>
      </c>
    </row>
    <row r="1930" spans="1:16">
      <c r="A1930" s="2">
        <v>40260</v>
      </c>
      <c r="B1930" s="1">
        <v>130.88999999999999</v>
      </c>
      <c r="C1930" s="1">
        <v>130.94</v>
      </c>
      <c r="D1930" s="1">
        <v>128.07</v>
      </c>
      <c r="E1930" s="1">
        <v>129.26</v>
      </c>
      <c r="F1930" s="1">
        <v>4213100</v>
      </c>
      <c r="G1930" s="1">
        <v>129.26</v>
      </c>
      <c r="H1930" s="1">
        <f t="shared" si="270"/>
        <v>2.8700000000000045</v>
      </c>
      <c r="I1930" s="9">
        <f t="shared" si="277"/>
        <v>2.2409619739205158E-2</v>
      </c>
      <c r="J1930" s="1">
        <f t="shared" si="278"/>
        <v>-1.210000000000008</v>
      </c>
      <c r="K1930" s="9">
        <f t="shared" si="271"/>
        <v>-9.2741626427531847E-3</v>
      </c>
      <c r="L1930" s="1">
        <f t="shared" si="272"/>
        <v>1</v>
      </c>
      <c r="M1930" s="1">
        <f t="shared" si="273"/>
        <v>130.94</v>
      </c>
      <c r="N1930" s="1">
        <f t="shared" si="274"/>
        <v>128.07</v>
      </c>
      <c r="O1930" s="1">
        <f t="shared" si="275"/>
        <v>127.3</v>
      </c>
      <c r="P1930" s="1">
        <f t="shared" si="276"/>
        <v>64.948979591836732</v>
      </c>
    </row>
    <row r="1931" spans="1:16">
      <c r="A1931" s="2">
        <v>40259</v>
      </c>
      <c r="B1931" s="1">
        <v>130.19999999999999</v>
      </c>
      <c r="C1931" s="1">
        <v>130.96</v>
      </c>
      <c r="D1931" s="1">
        <v>128.63999999999999</v>
      </c>
      <c r="E1931" s="1">
        <v>130.47</v>
      </c>
      <c r="F1931" s="1">
        <v>5383400</v>
      </c>
      <c r="G1931" s="1">
        <v>130.47</v>
      </c>
      <c r="H1931" s="1">
        <f t="shared" si="270"/>
        <v>2.3200000000000216</v>
      </c>
      <c r="I1931" s="9">
        <f t="shared" si="277"/>
        <v>1.8034825870646937E-2</v>
      </c>
      <c r="J1931" s="1">
        <f t="shared" si="278"/>
        <v>0.12000000000000455</v>
      </c>
      <c r="K1931" s="9">
        <f t="shared" si="271"/>
        <v>9.2059838895285431E-4</v>
      </c>
      <c r="L1931" s="1">
        <f t="shared" si="272"/>
        <v>1</v>
      </c>
      <c r="M1931" s="1">
        <f t="shared" si="273"/>
        <v>130.96</v>
      </c>
      <c r="N1931" s="1">
        <f t="shared" si="274"/>
        <v>128.63999999999999</v>
      </c>
      <c r="O1931" s="1">
        <f t="shared" si="275"/>
        <v>128.51</v>
      </c>
      <c r="P1931" s="1">
        <f t="shared" si="276"/>
        <v>65.566326530612244</v>
      </c>
    </row>
    <row r="1932" spans="1:16">
      <c r="A1932" s="2">
        <v>40256</v>
      </c>
      <c r="B1932" s="1">
        <v>133.71</v>
      </c>
      <c r="C1932" s="1">
        <v>133.71</v>
      </c>
      <c r="D1932" s="1">
        <v>129.66</v>
      </c>
      <c r="E1932" s="1">
        <v>130.35</v>
      </c>
      <c r="F1932" s="1">
        <v>8905000</v>
      </c>
      <c r="G1932" s="1">
        <v>130.35</v>
      </c>
      <c r="H1932" s="1">
        <f t="shared" si="270"/>
        <v>4.0500000000000114</v>
      </c>
      <c r="I1932" s="9">
        <f t="shared" si="277"/>
        <v>3.1235539102267559E-2</v>
      </c>
      <c r="J1932" s="1">
        <f t="shared" si="278"/>
        <v>-2.4099999999999966</v>
      </c>
      <c r="K1932" s="9">
        <f t="shared" si="271"/>
        <v>-1.815305815004517E-2</v>
      </c>
      <c r="L1932" s="1">
        <f t="shared" si="272"/>
        <v>1</v>
      </c>
      <c r="M1932" s="1">
        <f t="shared" si="273"/>
        <v>133.71</v>
      </c>
      <c r="N1932" s="1">
        <f t="shared" si="274"/>
        <v>129.66</v>
      </c>
      <c r="O1932" s="1">
        <f t="shared" si="275"/>
        <v>128.38999999999999</v>
      </c>
      <c r="P1932" s="1">
        <f t="shared" si="276"/>
        <v>65.505102040816325</v>
      </c>
    </row>
    <row r="1933" spans="1:16">
      <c r="A1933" s="2">
        <v>40255</v>
      </c>
      <c r="B1933" s="1">
        <v>131.02000000000001</v>
      </c>
      <c r="C1933" s="1">
        <v>132.85</v>
      </c>
      <c r="D1933" s="1">
        <v>130.44</v>
      </c>
      <c r="E1933" s="1">
        <v>132.76</v>
      </c>
      <c r="F1933" s="1">
        <v>5021300</v>
      </c>
      <c r="G1933" s="1">
        <v>132.76</v>
      </c>
      <c r="H1933" s="1">
        <f t="shared" si="270"/>
        <v>2.4099999999999966</v>
      </c>
      <c r="I1933" s="9">
        <f t="shared" si="277"/>
        <v>1.8475927629561458E-2</v>
      </c>
      <c r="J1933" s="1">
        <f t="shared" si="278"/>
        <v>1.4199999999999875</v>
      </c>
      <c r="K1933" s="9">
        <f t="shared" si="271"/>
        <v>1.0811633927211722E-2</v>
      </c>
      <c r="L1933" s="1">
        <f t="shared" si="272"/>
        <v>1</v>
      </c>
      <c r="M1933" s="1">
        <f t="shared" si="273"/>
        <v>132.85</v>
      </c>
      <c r="N1933" s="1">
        <f t="shared" si="274"/>
        <v>130.44</v>
      </c>
      <c r="O1933" s="1">
        <f t="shared" si="275"/>
        <v>130.79999999999998</v>
      </c>
      <c r="P1933" s="1">
        <f t="shared" si="276"/>
        <v>66.73469387755101</v>
      </c>
    </row>
    <row r="1934" spans="1:16">
      <c r="A1934" s="2">
        <v>40254</v>
      </c>
      <c r="B1934" s="1">
        <v>132.41</v>
      </c>
      <c r="C1934" s="1">
        <v>132.69</v>
      </c>
      <c r="D1934" s="1">
        <v>131.22</v>
      </c>
      <c r="E1934" s="1">
        <v>131.34</v>
      </c>
      <c r="F1934" s="1">
        <v>4358800</v>
      </c>
      <c r="G1934" s="1">
        <v>131.34</v>
      </c>
      <c r="H1934" s="1">
        <f t="shared" si="270"/>
        <v>1.4699999999999989</v>
      </c>
      <c r="I1934" s="9">
        <f t="shared" si="277"/>
        <v>1.1202560585276626E-2</v>
      </c>
      <c r="J1934" s="1">
        <f t="shared" si="278"/>
        <v>-0.44999999999998863</v>
      </c>
      <c r="K1934" s="9">
        <f t="shared" si="271"/>
        <v>-3.4145231049395909E-3</v>
      </c>
      <c r="L1934" s="1">
        <f t="shared" si="272"/>
        <v>1</v>
      </c>
      <c r="M1934" s="1">
        <f t="shared" si="273"/>
        <v>132.69</v>
      </c>
      <c r="N1934" s="1">
        <f t="shared" si="274"/>
        <v>131.22</v>
      </c>
      <c r="O1934" s="1">
        <f t="shared" si="275"/>
        <v>129.38</v>
      </c>
      <c r="P1934" s="1">
        <f t="shared" si="276"/>
        <v>66.010204081632651</v>
      </c>
    </row>
    <row r="1935" spans="1:16">
      <c r="A1935" s="2">
        <v>40253</v>
      </c>
      <c r="B1935" s="1">
        <v>131.24</v>
      </c>
      <c r="C1935" s="1">
        <v>132.29</v>
      </c>
      <c r="D1935" s="1">
        <v>130.5</v>
      </c>
      <c r="E1935" s="1">
        <v>131.79</v>
      </c>
      <c r="F1935" s="1">
        <v>4132500</v>
      </c>
      <c r="G1935" s="1">
        <v>131.79</v>
      </c>
      <c r="H1935" s="1">
        <f t="shared" si="270"/>
        <v>1.789999999999992</v>
      </c>
      <c r="I1935" s="9">
        <f t="shared" si="277"/>
        <v>1.371647509578538E-2</v>
      </c>
      <c r="J1935" s="1">
        <f t="shared" si="278"/>
        <v>0.65999999999999659</v>
      </c>
      <c r="K1935" s="9">
        <f t="shared" si="271"/>
        <v>5.0331731869137242E-3</v>
      </c>
      <c r="L1935" s="1">
        <f t="shared" si="272"/>
        <v>1</v>
      </c>
      <c r="M1935" s="1">
        <f t="shared" si="273"/>
        <v>132.29</v>
      </c>
      <c r="N1935" s="1">
        <f t="shared" si="274"/>
        <v>130.5</v>
      </c>
      <c r="O1935" s="1">
        <f t="shared" si="275"/>
        <v>129.82999999999998</v>
      </c>
      <c r="P1935" s="1">
        <f t="shared" si="276"/>
        <v>66.239795918367335</v>
      </c>
    </row>
    <row r="1936" spans="1:16">
      <c r="A1936" s="2">
        <v>40252</v>
      </c>
      <c r="B1936" s="1">
        <v>131.69999999999999</v>
      </c>
      <c r="C1936" s="1">
        <v>132</v>
      </c>
      <c r="D1936" s="1">
        <v>128.63</v>
      </c>
      <c r="E1936" s="1">
        <v>131.13</v>
      </c>
      <c r="F1936" s="1">
        <v>6329200</v>
      </c>
      <c r="G1936" s="1">
        <v>131.13</v>
      </c>
      <c r="H1936" s="1">
        <f t="shared" si="270"/>
        <v>3.3700000000000045</v>
      </c>
      <c r="I1936" s="9">
        <f t="shared" si="277"/>
        <v>2.6199175930964817E-2</v>
      </c>
      <c r="J1936" s="1">
        <f t="shared" si="278"/>
        <v>-0.68999999999999773</v>
      </c>
      <c r="K1936" s="9">
        <f t="shared" si="271"/>
        <v>-5.2344105598543297E-3</v>
      </c>
      <c r="L1936" s="1">
        <f t="shared" si="272"/>
        <v>1</v>
      </c>
      <c r="M1936" s="1">
        <f t="shared" si="273"/>
        <v>132</v>
      </c>
      <c r="N1936" s="1">
        <f t="shared" si="274"/>
        <v>128.63</v>
      </c>
      <c r="O1936" s="1">
        <f t="shared" si="275"/>
        <v>129.16999999999999</v>
      </c>
      <c r="P1936" s="1">
        <f t="shared" si="276"/>
        <v>65.90306122448979</v>
      </c>
    </row>
    <row r="1937" spans="1:16">
      <c r="A1937" s="2">
        <v>40249</v>
      </c>
      <c r="B1937" s="1">
        <v>134.19999999999999</v>
      </c>
      <c r="C1937" s="1">
        <v>134.19999999999999</v>
      </c>
      <c r="D1937" s="1">
        <v>131.18</v>
      </c>
      <c r="E1937" s="1">
        <v>131.82</v>
      </c>
      <c r="F1937" s="1">
        <v>6150800</v>
      </c>
      <c r="G1937" s="1">
        <v>131.82</v>
      </c>
      <c r="H1937" s="1">
        <f t="shared" si="270"/>
        <v>3.0199999999999818</v>
      </c>
      <c r="I1937" s="9">
        <f t="shared" si="277"/>
        <v>2.3021802103979125E-2</v>
      </c>
      <c r="J1937" s="1">
        <f t="shared" si="278"/>
        <v>-1.7600000000000193</v>
      </c>
      <c r="K1937" s="9">
        <f t="shared" si="271"/>
        <v>-1.3175625093577026E-2</v>
      </c>
      <c r="L1937" s="1">
        <f t="shared" si="272"/>
        <v>1</v>
      </c>
      <c r="M1937" s="1">
        <f t="shared" si="273"/>
        <v>134.19999999999999</v>
      </c>
      <c r="N1937" s="1">
        <f t="shared" si="274"/>
        <v>131.18</v>
      </c>
      <c r="O1937" s="1">
        <f t="shared" si="275"/>
        <v>129.85999999999999</v>
      </c>
      <c r="P1937" s="1">
        <f t="shared" si="276"/>
        <v>66.255102040816325</v>
      </c>
    </row>
    <row r="1938" spans="1:16">
      <c r="A1938" s="2">
        <v>40248</v>
      </c>
      <c r="B1938" s="1">
        <v>130.44999999999999</v>
      </c>
      <c r="C1938" s="1">
        <v>133.62</v>
      </c>
      <c r="D1938" s="1">
        <v>130.36000000000001</v>
      </c>
      <c r="E1938" s="1">
        <v>133.58000000000001</v>
      </c>
      <c r="F1938" s="1">
        <v>7240800</v>
      </c>
      <c r="G1938" s="1">
        <v>133.58000000000001</v>
      </c>
      <c r="H1938" s="1">
        <f t="shared" si="270"/>
        <v>3.2599999999999909</v>
      </c>
      <c r="I1938" s="9">
        <f t="shared" si="277"/>
        <v>2.5007671064743713E-2</v>
      </c>
      <c r="J1938" s="1">
        <f t="shared" si="278"/>
        <v>3.0700000000000216</v>
      </c>
      <c r="K1938" s="9">
        <f t="shared" si="271"/>
        <v>2.3523101678032503E-2</v>
      </c>
      <c r="L1938" s="1">
        <f t="shared" si="272"/>
        <v>1</v>
      </c>
      <c r="M1938" s="1">
        <f t="shared" si="273"/>
        <v>133.62</v>
      </c>
      <c r="N1938" s="1">
        <f t="shared" si="274"/>
        <v>130.36000000000001</v>
      </c>
      <c r="O1938" s="1">
        <f t="shared" si="275"/>
        <v>131.62</v>
      </c>
      <c r="P1938" s="1">
        <f t="shared" si="276"/>
        <v>67.153061224489804</v>
      </c>
    </row>
    <row r="1939" spans="1:16">
      <c r="A1939" s="2">
        <v>40247</v>
      </c>
      <c r="B1939" s="1">
        <v>129.11000000000001</v>
      </c>
      <c r="C1939" s="1">
        <v>131.16999999999999</v>
      </c>
      <c r="D1939" s="1">
        <v>128.47999999999999</v>
      </c>
      <c r="E1939" s="1">
        <v>130.51</v>
      </c>
      <c r="F1939" s="1">
        <v>5625700</v>
      </c>
      <c r="G1939" s="1">
        <v>130.51</v>
      </c>
      <c r="H1939" s="1">
        <f t="shared" si="270"/>
        <v>2.6899999999999977</v>
      </c>
      <c r="I1939" s="9">
        <f t="shared" si="277"/>
        <v>2.0937110834371091E-2</v>
      </c>
      <c r="J1939" s="1">
        <f t="shared" si="278"/>
        <v>1.6899999999999977</v>
      </c>
      <c r="K1939" s="9">
        <f t="shared" si="271"/>
        <v>1.3119080888060844E-2</v>
      </c>
      <c r="L1939" s="1">
        <f t="shared" si="272"/>
        <v>1</v>
      </c>
      <c r="M1939" s="1">
        <f t="shared" si="273"/>
        <v>131.16999999999999</v>
      </c>
      <c r="N1939" s="1">
        <f t="shared" si="274"/>
        <v>128.47999999999999</v>
      </c>
      <c r="O1939" s="1">
        <f t="shared" si="275"/>
        <v>128.54999999999998</v>
      </c>
      <c r="P1939" s="1">
        <f t="shared" si="276"/>
        <v>65.586734693877546</v>
      </c>
    </row>
    <row r="1940" spans="1:16">
      <c r="A1940" s="2">
        <v>40246</v>
      </c>
      <c r="B1940" s="1">
        <v>129.59</v>
      </c>
      <c r="C1940" s="1">
        <v>130.81</v>
      </c>
      <c r="D1940" s="1">
        <v>127.97</v>
      </c>
      <c r="E1940" s="1">
        <v>128.82</v>
      </c>
      <c r="F1940" s="1">
        <v>6070800</v>
      </c>
      <c r="G1940" s="1">
        <v>128.82</v>
      </c>
      <c r="H1940" s="1">
        <f t="shared" si="270"/>
        <v>2.8400000000000034</v>
      </c>
      <c r="I1940" s="9">
        <f t="shared" si="277"/>
        <v>2.2192701414394025E-2</v>
      </c>
      <c r="J1940" s="1">
        <f t="shared" si="278"/>
        <v>-1.2900000000000205</v>
      </c>
      <c r="K1940" s="9">
        <f t="shared" si="271"/>
        <v>-9.9146875720545723E-3</v>
      </c>
      <c r="L1940" s="1">
        <f t="shared" si="272"/>
        <v>1</v>
      </c>
      <c r="M1940" s="1">
        <f t="shared" si="273"/>
        <v>130.81</v>
      </c>
      <c r="N1940" s="1">
        <f t="shared" si="274"/>
        <v>127.97</v>
      </c>
      <c r="O1940" s="1">
        <f t="shared" si="275"/>
        <v>126.86</v>
      </c>
      <c r="P1940" s="1">
        <f t="shared" si="276"/>
        <v>64.724489795918373</v>
      </c>
    </row>
    <row r="1941" spans="1:16">
      <c r="A1941" s="2">
        <v>40245</v>
      </c>
      <c r="B1941" s="1">
        <v>128.30000000000001</v>
      </c>
      <c r="C1941" s="1">
        <v>130.85</v>
      </c>
      <c r="D1941" s="1">
        <v>127.71</v>
      </c>
      <c r="E1941" s="1">
        <v>130.11000000000001</v>
      </c>
      <c r="F1941" s="1">
        <v>5605900</v>
      </c>
      <c r="G1941" s="1">
        <v>130.11000000000001</v>
      </c>
      <c r="H1941" s="1">
        <f t="shared" si="270"/>
        <v>3.1400000000000006</v>
      </c>
      <c r="I1941" s="9">
        <f t="shared" si="277"/>
        <v>2.4586954819512966E-2</v>
      </c>
      <c r="J1941" s="1">
        <f t="shared" si="278"/>
        <v>1.2000000000000171</v>
      </c>
      <c r="K1941" s="9">
        <f t="shared" si="271"/>
        <v>9.3088201070515644E-3</v>
      </c>
      <c r="L1941" s="1">
        <f t="shared" si="272"/>
        <v>1</v>
      </c>
      <c r="M1941" s="1">
        <f t="shared" si="273"/>
        <v>130.85</v>
      </c>
      <c r="N1941" s="1">
        <f t="shared" si="274"/>
        <v>127.71</v>
      </c>
      <c r="O1941" s="1">
        <f t="shared" si="275"/>
        <v>128.15</v>
      </c>
      <c r="P1941" s="1">
        <f t="shared" si="276"/>
        <v>65.382653061224488</v>
      </c>
    </row>
    <row r="1942" spans="1:16">
      <c r="A1942" s="2">
        <v>40242</v>
      </c>
      <c r="B1942" s="1">
        <v>129.13</v>
      </c>
      <c r="C1942" s="1">
        <v>129.44999999999999</v>
      </c>
      <c r="D1942" s="1">
        <v>127.07</v>
      </c>
      <c r="E1942" s="1">
        <v>128.91</v>
      </c>
      <c r="F1942" s="1">
        <v>6769300</v>
      </c>
      <c r="G1942" s="1">
        <v>128.91</v>
      </c>
      <c r="H1942" s="1">
        <f t="shared" si="270"/>
        <v>2.3799999999999955</v>
      </c>
      <c r="I1942" s="9">
        <f t="shared" si="277"/>
        <v>1.872983394979142E-2</v>
      </c>
      <c r="J1942" s="1">
        <f t="shared" si="278"/>
        <v>0.37999999999999545</v>
      </c>
      <c r="K1942" s="9">
        <f t="shared" si="271"/>
        <v>2.9565082082003849E-3</v>
      </c>
      <c r="L1942" s="1">
        <f t="shared" si="272"/>
        <v>1</v>
      </c>
      <c r="M1942" s="1">
        <f t="shared" si="273"/>
        <v>129.44999999999999</v>
      </c>
      <c r="N1942" s="1">
        <f t="shared" si="274"/>
        <v>127.07</v>
      </c>
      <c r="O1942" s="1">
        <f t="shared" si="275"/>
        <v>126.95</v>
      </c>
      <c r="P1942" s="1">
        <f t="shared" si="276"/>
        <v>64.770408163265316</v>
      </c>
    </row>
    <row r="1943" spans="1:16">
      <c r="A1943" s="2">
        <v>40241</v>
      </c>
      <c r="B1943" s="1">
        <v>125.98</v>
      </c>
      <c r="C1943" s="1">
        <v>128.85</v>
      </c>
      <c r="D1943" s="1">
        <v>125.57</v>
      </c>
      <c r="E1943" s="1">
        <v>128.53</v>
      </c>
      <c r="F1943" s="1">
        <v>7509700</v>
      </c>
      <c r="G1943" s="1">
        <v>128.53</v>
      </c>
      <c r="H1943" s="1">
        <f t="shared" si="270"/>
        <v>3.2800000000000011</v>
      </c>
      <c r="I1943" s="9">
        <f t="shared" si="277"/>
        <v>2.6120888747312266E-2</v>
      </c>
      <c r="J1943" s="1">
        <f t="shared" si="278"/>
        <v>2.6400000000000006</v>
      </c>
      <c r="K1943" s="9">
        <f t="shared" si="271"/>
        <v>2.0970688696481058E-2</v>
      </c>
      <c r="L1943" s="1">
        <f t="shared" si="272"/>
        <v>1</v>
      </c>
      <c r="M1943" s="1">
        <f t="shared" si="273"/>
        <v>128.85</v>
      </c>
      <c r="N1943" s="1">
        <f t="shared" si="274"/>
        <v>125.57</v>
      </c>
      <c r="O1943" s="1">
        <f t="shared" si="275"/>
        <v>126.57000000000001</v>
      </c>
      <c r="P1943" s="1">
        <f t="shared" si="276"/>
        <v>64.576530612244909</v>
      </c>
    </row>
    <row r="1944" spans="1:16">
      <c r="A1944" s="2">
        <v>40240</v>
      </c>
      <c r="B1944" s="1">
        <v>125.4</v>
      </c>
      <c r="C1944" s="1">
        <v>126.94</v>
      </c>
      <c r="D1944" s="1">
        <v>124.43</v>
      </c>
      <c r="E1944" s="1">
        <v>125.89</v>
      </c>
      <c r="F1944" s="1">
        <v>6440400</v>
      </c>
      <c r="G1944" s="1">
        <v>125.89</v>
      </c>
      <c r="H1944" s="1">
        <f t="shared" si="270"/>
        <v>2.5099999999999909</v>
      </c>
      <c r="I1944" s="9">
        <f t="shared" si="277"/>
        <v>2.0171984248171588E-2</v>
      </c>
      <c r="J1944" s="1">
        <f t="shared" si="278"/>
        <v>0.35999999999999943</v>
      </c>
      <c r="K1944" s="9">
        <f t="shared" si="271"/>
        <v>2.8678403568867953E-3</v>
      </c>
      <c r="L1944" s="1">
        <f t="shared" si="272"/>
        <v>1</v>
      </c>
      <c r="M1944" s="1">
        <f t="shared" si="273"/>
        <v>126.94</v>
      </c>
      <c r="N1944" s="1">
        <f t="shared" si="274"/>
        <v>124.43</v>
      </c>
      <c r="O1944" s="1">
        <f t="shared" si="275"/>
        <v>123.93</v>
      </c>
      <c r="P1944" s="1">
        <f t="shared" si="276"/>
        <v>63.229591836734699</v>
      </c>
    </row>
    <row r="1945" spans="1:16">
      <c r="A1945" s="2">
        <v>40239</v>
      </c>
      <c r="B1945" s="1">
        <v>125.01</v>
      </c>
      <c r="C1945" s="1">
        <v>127.35</v>
      </c>
      <c r="D1945" s="1">
        <v>124.8</v>
      </c>
      <c r="E1945" s="1">
        <v>125.53</v>
      </c>
      <c r="F1945" s="1">
        <v>12097500</v>
      </c>
      <c r="G1945" s="1">
        <v>125.53</v>
      </c>
      <c r="H1945" s="1">
        <f t="shared" si="270"/>
        <v>2.5499999999999972</v>
      </c>
      <c r="I1945" s="9">
        <f t="shared" si="277"/>
        <v>2.0432692307692284E-2</v>
      </c>
      <c r="J1945" s="1">
        <f t="shared" si="278"/>
        <v>0.98999999999999488</v>
      </c>
      <c r="K1945" s="9">
        <f t="shared" si="271"/>
        <v>7.9492532519671987E-3</v>
      </c>
      <c r="L1945" s="1">
        <f t="shared" si="272"/>
        <v>1</v>
      </c>
      <c r="M1945" s="1">
        <f t="shared" si="273"/>
        <v>127.35</v>
      </c>
      <c r="N1945" s="1">
        <f t="shared" si="274"/>
        <v>124.8</v>
      </c>
      <c r="O1945" s="1">
        <f t="shared" si="275"/>
        <v>123.57000000000001</v>
      </c>
      <c r="P1945" s="1">
        <f t="shared" si="276"/>
        <v>63.045918367346943</v>
      </c>
    </row>
    <row r="1946" spans="1:16">
      <c r="A1946" s="2">
        <v>40238</v>
      </c>
      <c r="B1946" s="1">
        <v>118.7</v>
      </c>
      <c r="C1946" s="1">
        <v>124.66</v>
      </c>
      <c r="D1946" s="1">
        <v>117.53</v>
      </c>
      <c r="E1946" s="1">
        <v>124.54</v>
      </c>
      <c r="F1946" s="1">
        <v>13296500</v>
      </c>
      <c r="G1946" s="1">
        <v>124.54</v>
      </c>
      <c r="H1946" s="1">
        <f t="shared" si="270"/>
        <v>7.1299999999999955</v>
      </c>
      <c r="I1946" s="9">
        <f t="shared" si="277"/>
        <v>6.0665362035225011E-2</v>
      </c>
      <c r="J1946" s="1">
        <f t="shared" si="278"/>
        <v>6.1400000000000006</v>
      </c>
      <c r="K1946" s="9">
        <f t="shared" si="271"/>
        <v>5.1858108108108113E-2</v>
      </c>
      <c r="L1946" s="1">
        <f t="shared" si="272"/>
        <v>1</v>
      </c>
      <c r="M1946" s="1">
        <f t="shared" si="273"/>
        <v>124.66</v>
      </c>
      <c r="N1946" s="1">
        <f t="shared" si="274"/>
        <v>117.53</v>
      </c>
      <c r="O1946" s="1">
        <f t="shared" si="275"/>
        <v>122.58000000000001</v>
      </c>
      <c r="P1946" s="1">
        <f t="shared" si="276"/>
        <v>62.540816326530617</v>
      </c>
    </row>
    <row r="1947" spans="1:16">
      <c r="A1947" s="2">
        <v>40235</v>
      </c>
      <c r="B1947" s="1">
        <v>117.88</v>
      </c>
      <c r="C1947" s="1">
        <v>119.43</v>
      </c>
      <c r="D1947" s="1">
        <v>117</v>
      </c>
      <c r="E1947" s="1">
        <v>118.4</v>
      </c>
      <c r="F1947" s="1">
        <v>5721600</v>
      </c>
      <c r="G1947" s="1">
        <v>118.4</v>
      </c>
      <c r="H1947" s="1">
        <f t="shared" si="270"/>
        <v>2.4300000000000068</v>
      </c>
      <c r="I1947" s="9">
        <f t="shared" si="277"/>
        <v>2.0769230769230828E-2</v>
      </c>
      <c r="J1947" s="1">
        <f t="shared" si="278"/>
        <v>0.20000000000000284</v>
      </c>
      <c r="K1947" s="9">
        <f t="shared" si="271"/>
        <v>1.6920473773265892E-3</v>
      </c>
      <c r="L1947" s="1">
        <f t="shared" si="272"/>
        <v>1</v>
      </c>
      <c r="M1947" s="1">
        <f t="shared" si="273"/>
        <v>119.43</v>
      </c>
      <c r="N1947" s="1">
        <f t="shared" si="274"/>
        <v>117</v>
      </c>
      <c r="O1947" s="1">
        <f t="shared" si="275"/>
        <v>116.44000000000001</v>
      </c>
      <c r="P1947" s="1">
        <f t="shared" si="276"/>
        <v>59.408163265306129</v>
      </c>
    </row>
    <row r="1948" spans="1:16">
      <c r="A1948" s="2">
        <v>40234</v>
      </c>
      <c r="B1948" s="1">
        <v>118.17</v>
      </c>
      <c r="C1948" s="1">
        <v>118.34</v>
      </c>
      <c r="D1948" s="1">
        <v>115.85</v>
      </c>
      <c r="E1948" s="1">
        <v>118.2</v>
      </c>
      <c r="F1948" s="1">
        <v>9533400</v>
      </c>
      <c r="G1948" s="1">
        <v>118.2</v>
      </c>
      <c r="H1948" s="1">
        <f t="shared" si="270"/>
        <v>2.4900000000000091</v>
      </c>
      <c r="I1948" s="9">
        <f t="shared" si="277"/>
        <v>2.1493310315062662E-2</v>
      </c>
      <c r="J1948" s="1">
        <f t="shared" si="278"/>
        <v>-1.519999999999996</v>
      </c>
      <c r="K1948" s="9">
        <f t="shared" si="271"/>
        <v>-1.2696291346475076E-2</v>
      </c>
      <c r="L1948" s="1">
        <f t="shared" si="272"/>
        <v>1</v>
      </c>
      <c r="M1948" s="1">
        <f t="shared" si="273"/>
        <v>118.34</v>
      </c>
      <c r="N1948" s="1">
        <f t="shared" si="274"/>
        <v>115.85</v>
      </c>
      <c r="O1948" s="1">
        <f t="shared" si="275"/>
        <v>116.24000000000001</v>
      </c>
      <c r="P1948" s="1">
        <f t="shared" si="276"/>
        <v>59.3061224489796</v>
      </c>
    </row>
    <row r="1949" spans="1:16">
      <c r="A1949" s="2">
        <v>40233</v>
      </c>
      <c r="B1949" s="1">
        <v>117.96</v>
      </c>
      <c r="C1949" s="1">
        <v>119.8</v>
      </c>
      <c r="D1949" s="1">
        <v>117.15</v>
      </c>
      <c r="E1949" s="1">
        <v>119.72</v>
      </c>
      <c r="F1949" s="1">
        <v>7389900</v>
      </c>
      <c r="G1949" s="1">
        <v>119.72</v>
      </c>
      <c r="H1949" s="1">
        <f t="shared" si="270"/>
        <v>2.6499999999999915</v>
      </c>
      <c r="I1949" s="9">
        <f t="shared" si="277"/>
        <v>2.2620571916346491E-2</v>
      </c>
      <c r="J1949" s="1">
        <f t="shared" si="278"/>
        <v>2.480000000000004</v>
      </c>
      <c r="K1949" s="9">
        <f t="shared" si="271"/>
        <v>2.1153190037529888E-2</v>
      </c>
      <c r="L1949" s="1">
        <f t="shared" si="272"/>
        <v>1</v>
      </c>
      <c r="M1949" s="1">
        <f t="shared" si="273"/>
        <v>119.8</v>
      </c>
      <c r="N1949" s="1">
        <f t="shared" si="274"/>
        <v>117.15</v>
      </c>
      <c r="O1949" s="1">
        <f t="shared" si="275"/>
        <v>117.76</v>
      </c>
      <c r="P1949" s="1">
        <f t="shared" si="276"/>
        <v>60.081632653061227</v>
      </c>
    </row>
    <row r="1950" spans="1:16">
      <c r="A1950" s="2">
        <v>40232</v>
      </c>
      <c r="B1950" s="1">
        <v>118.01</v>
      </c>
      <c r="C1950" s="1">
        <v>119.25</v>
      </c>
      <c r="D1950" s="1">
        <v>116.51</v>
      </c>
      <c r="E1950" s="1">
        <v>117.24</v>
      </c>
      <c r="F1950" s="1">
        <v>7068200</v>
      </c>
      <c r="G1950" s="1">
        <v>117.24</v>
      </c>
      <c r="H1950" s="1">
        <f t="shared" si="270"/>
        <v>2.7399999999999949</v>
      </c>
      <c r="I1950" s="9">
        <f t="shared" si="277"/>
        <v>2.3517294652819456E-2</v>
      </c>
      <c r="J1950" s="1">
        <f t="shared" si="278"/>
        <v>-0.77000000000001023</v>
      </c>
      <c r="K1950" s="9">
        <f t="shared" si="271"/>
        <v>-6.5248707736633351E-3</v>
      </c>
      <c r="L1950" s="1">
        <f t="shared" si="272"/>
        <v>1</v>
      </c>
      <c r="M1950" s="1">
        <f t="shared" si="273"/>
        <v>119.25</v>
      </c>
      <c r="N1950" s="1">
        <f t="shared" si="274"/>
        <v>116.51</v>
      </c>
      <c r="O1950" s="1">
        <f t="shared" si="275"/>
        <v>115.28</v>
      </c>
      <c r="P1950" s="1">
        <f t="shared" si="276"/>
        <v>58.816326530612244</v>
      </c>
    </row>
    <row r="1951" spans="1:16">
      <c r="A1951" s="2">
        <v>40231</v>
      </c>
      <c r="B1951" s="1">
        <v>117.37</v>
      </c>
      <c r="C1951" s="1">
        <v>118.97</v>
      </c>
      <c r="D1951" s="1">
        <v>116.18</v>
      </c>
      <c r="E1951" s="1">
        <v>118.01</v>
      </c>
      <c r="F1951" s="1">
        <v>6807300</v>
      </c>
      <c r="G1951" s="1">
        <v>118.01</v>
      </c>
      <c r="H1951" s="1">
        <f t="shared" si="270"/>
        <v>2.789999999999992</v>
      </c>
      <c r="I1951" s="9">
        <f t="shared" si="277"/>
        <v>2.4014460320192735E-2</v>
      </c>
      <c r="J1951" s="1">
        <f t="shared" si="278"/>
        <v>0.49000000000000909</v>
      </c>
      <c r="K1951" s="9">
        <f t="shared" si="271"/>
        <v>4.1695030633084502E-3</v>
      </c>
      <c r="L1951" s="1">
        <f t="shared" si="272"/>
        <v>1</v>
      </c>
      <c r="M1951" s="1">
        <f t="shared" si="273"/>
        <v>118.97</v>
      </c>
      <c r="N1951" s="1">
        <f t="shared" si="274"/>
        <v>116.18</v>
      </c>
      <c r="O1951" s="1">
        <f t="shared" si="275"/>
        <v>116.05000000000001</v>
      </c>
      <c r="P1951" s="1">
        <f t="shared" si="276"/>
        <v>59.209183673469397</v>
      </c>
    </row>
    <row r="1952" spans="1:16">
      <c r="A1952" s="2">
        <v>40228</v>
      </c>
      <c r="B1952" s="1">
        <v>117.91</v>
      </c>
      <c r="C1952" s="1">
        <v>119.09</v>
      </c>
      <c r="D1952" s="1">
        <v>117</v>
      </c>
      <c r="E1952" s="1">
        <v>117.52</v>
      </c>
      <c r="F1952" s="1">
        <v>7115600</v>
      </c>
      <c r="G1952" s="1">
        <v>117.52</v>
      </c>
      <c r="H1952" s="1">
        <f t="shared" si="270"/>
        <v>2.0900000000000034</v>
      </c>
      <c r="I1952" s="9">
        <f t="shared" si="277"/>
        <v>1.7863247863247892E-2</v>
      </c>
      <c r="J1952" s="1">
        <f t="shared" si="278"/>
        <v>-0.56000000000000227</v>
      </c>
      <c r="K1952" s="9">
        <f t="shared" si="271"/>
        <v>-4.7425474254742745E-3</v>
      </c>
      <c r="L1952" s="1">
        <f t="shared" si="272"/>
        <v>1</v>
      </c>
      <c r="M1952" s="1">
        <f t="shared" si="273"/>
        <v>119.09</v>
      </c>
      <c r="N1952" s="1">
        <f t="shared" si="274"/>
        <v>117</v>
      </c>
      <c r="O1952" s="1">
        <f t="shared" si="275"/>
        <v>115.56</v>
      </c>
      <c r="P1952" s="1">
        <f t="shared" si="276"/>
        <v>58.95918367346939</v>
      </c>
    </row>
    <row r="1953" spans="1:16">
      <c r="A1953" s="2">
        <v>40227</v>
      </c>
      <c r="B1953" s="1">
        <v>115.84</v>
      </c>
      <c r="C1953" s="1">
        <v>118.51</v>
      </c>
      <c r="D1953" s="1">
        <v>114.82</v>
      </c>
      <c r="E1953" s="1">
        <v>118.08</v>
      </c>
      <c r="F1953" s="1">
        <v>9800100</v>
      </c>
      <c r="G1953" s="1">
        <v>118.08</v>
      </c>
      <c r="H1953" s="1">
        <f t="shared" si="270"/>
        <v>3.6900000000000119</v>
      </c>
      <c r="I1953" s="9">
        <f t="shared" si="277"/>
        <v>3.213725831736642E-2</v>
      </c>
      <c r="J1953" s="1">
        <f t="shared" si="278"/>
        <v>1.769999999999996</v>
      </c>
      <c r="K1953" s="9">
        <f t="shared" si="271"/>
        <v>1.5217952024761379E-2</v>
      </c>
      <c r="L1953" s="1">
        <f t="shared" si="272"/>
        <v>1</v>
      </c>
      <c r="M1953" s="1">
        <f t="shared" si="273"/>
        <v>118.51</v>
      </c>
      <c r="N1953" s="1">
        <f t="shared" si="274"/>
        <v>114.82</v>
      </c>
      <c r="O1953" s="1">
        <f t="shared" si="275"/>
        <v>116.12</v>
      </c>
      <c r="P1953" s="1">
        <f t="shared" si="276"/>
        <v>59.244897959183675</v>
      </c>
    </row>
    <row r="1954" spans="1:16">
      <c r="A1954" s="2">
        <v>40226</v>
      </c>
      <c r="B1954" s="1">
        <v>117.07</v>
      </c>
      <c r="C1954" s="1">
        <v>117.13</v>
      </c>
      <c r="D1954" s="1">
        <v>115.55</v>
      </c>
      <c r="E1954" s="1">
        <v>116.31</v>
      </c>
      <c r="F1954" s="1">
        <v>8944800</v>
      </c>
      <c r="G1954" s="1">
        <v>116.31</v>
      </c>
      <c r="H1954" s="1">
        <f t="shared" si="270"/>
        <v>1.5799999999999983</v>
      </c>
      <c r="I1954" s="9">
        <f t="shared" si="277"/>
        <v>1.3673734314149704E-2</v>
      </c>
      <c r="J1954" s="1">
        <f t="shared" si="278"/>
        <v>-1.2199999999999989</v>
      </c>
      <c r="K1954" s="9">
        <f t="shared" si="271"/>
        <v>-1.0380328426784642E-2</v>
      </c>
      <c r="L1954" s="1">
        <f t="shared" si="272"/>
        <v>1</v>
      </c>
      <c r="M1954" s="1">
        <f t="shared" si="273"/>
        <v>117.13</v>
      </c>
      <c r="N1954" s="1">
        <f t="shared" si="274"/>
        <v>115.55</v>
      </c>
      <c r="O1954" s="1">
        <f t="shared" si="275"/>
        <v>114.35000000000001</v>
      </c>
      <c r="P1954" s="1">
        <f t="shared" si="276"/>
        <v>58.341836734693885</v>
      </c>
    </row>
    <row r="1955" spans="1:16">
      <c r="A1955" s="2">
        <v>40225</v>
      </c>
      <c r="B1955" s="1">
        <v>120.06</v>
      </c>
      <c r="C1955" s="1">
        <v>120.5</v>
      </c>
      <c r="D1955" s="1">
        <v>117.18</v>
      </c>
      <c r="E1955" s="1">
        <v>117.53</v>
      </c>
      <c r="F1955" s="1">
        <v>8932700</v>
      </c>
      <c r="G1955" s="1">
        <v>117.53</v>
      </c>
      <c r="H1955" s="1">
        <f t="shared" si="270"/>
        <v>3.3199999999999932</v>
      </c>
      <c r="I1955" s="9">
        <f t="shared" si="277"/>
        <v>2.8332479945383113E-2</v>
      </c>
      <c r="J1955" s="1">
        <f t="shared" si="278"/>
        <v>-2.1299999999999955</v>
      </c>
      <c r="K1955" s="9">
        <f t="shared" si="271"/>
        <v>-1.7800434564599663E-2</v>
      </c>
      <c r="L1955" s="1">
        <f t="shared" si="272"/>
        <v>1</v>
      </c>
      <c r="M1955" s="1">
        <f t="shared" si="273"/>
        <v>120.5</v>
      </c>
      <c r="N1955" s="1">
        <f t="shared" si="274"/>
        <v>117.18</v>
      </c>
      <c r="O1955" s="1">
        <f t="shared" si="275"/>
        <v>115.57000000000001</v>
      </c>
      <c r="P1955" s="1">
        <f t="shared" si="276"/>
        <v>58.964285714285722</v>
      </c>
    </row>
    <row r="1956" spans="1:16">
      <c r="A1956" s="2">
        <v>40221</v>
      </c>
      <c r="B1956" s="1">
        <v>118.99</v>
      </c>
      <c r="C1956" s="1">
        <v>119.94</v>
      </c>
      <c r="D1956" s="1">
        <v>117.5</v>
      </c>
      <c r="E1956" s="1">
        <v>119.66</v>
      </c>
      <c r="F1956" s="1">
        <v>8073500</v>
      </c>
      <c r="G1956" s="1">
        <v>119.66</v>
      </c>
      <c r="H1956" s="1">
        <f t="shared" si="270"/>
        <v>2.4399999999999977</v>
      </c>
      <c r="I1956" s="9">
        <f t="shared" si="277"/>
        <v>2.0765957446808491E-2</v>
      </c>
      <c r="J1956" s="1">
        <f t="shared" si="278"/>
        <v>-0.43000000000000682</v>
      </c>
      <c r="K1956" s="9">
        <f t="shared" si="271"/>
        <v>-3.5806478474478044E-3</v>
      </c>
      <c r="L1956" s="1">
        <f t="shared" si="272"/>
        <v>1</v>
      </c>
      <c r="M1956" s="1">
        <f t="shared" si="273"/>
        <v>119.94</v>
      </c>
      <c r="N1956" s="1">
        <f t="shared" si="274"/>
        <v>117.5</v>
      </c>
      <c r="O1956" s="1">
        <f t="shared" si="275"/>
        <v>117.7</v>
      </c>
      <c r="P1956" s="1">
        <f t="shared" si="276"/>
        <v>60.051020408163268</v>
      </c>
    </row>
    <row r="1957" spans="1:16">
      <c r="A1957" s="2">
        <v>40220</v>
      </c>
      <c r="B1957" s="1">
        <v>117.21</v>
      </c>
      <c r="C1957" s="1">
        <v>120.42</v>
      </c>
      <c r="D1957" s="1">
        <v>116.5</v>
      </c>
      <c r="E1957" s="1">
        <v>120.09</v>
      </c>
      <c r="F1957" s="1">
        <v>8343500</v>
      </c>
      <c r="G1957" s="1">
        <v>120.09</v>
      </c>
      <c r="H1957" s="1">
        <f t="shared" si="270"/>
        <v>3.9200000000000017</v>
      </c>
      <c r="I1957" s="9">
        <f t="shared" si="277"/>
        <v>3.3648068669527909E-2</v>
      </c>
      <c r="J1957" s="1">
        <f t="shared" si="278"/>
        <v>2.730000000000004</v>
      </c>
      <c r="K1957" s="9">
        <f t="shared" si="271"/>
        <v>2.3261758691206579E-2</v>
      </c>
      <c r="L1957" s="1">
        <f t="shared" si="272"/>
        <v>1</v>
      </c>
      <c r="M1957" s="1">
        <f t="shared" si="273"/>
        <v>120.42</v>
      </c>
      <c r="N1957" s="1">
        <f t="shared" si="274"/>
        <v>116.5</v>
      </c>
      <c r="O1957" s="1">
        <f t="shared" si="275"/>
        <v>118.13000000000001</v>
      </c>
      <c r="P1957" s="1">
        <f t="shared" si="276"/>
        <v>60.270408163265316</v>
      </c>
    </row>
    <row r="1958" spans="1:16">
      <c r="A1958" s="2">
        <v>40219</v>
      </c>
      <c r="B1958" s="1">
        <v>118</v>
      </c>
      <c r="C1958" s="1">
        <v>118.61</v>
      </c>
      <c r="D1958" s="1">
        <v>116</v>
      </c>
      <c r="E1958" s="1">
        <v>117.36</v>
      </c>
      <c r="F1958" s="1">
        <v>6233200</v>
      </c>
      <c r="G1958" s="1">
        <v>117.36</v>
      </c>
      <c r="H1958" s="1">
        <f t="shared" si="270"/>
        <v>2.6099999999999994</v>
      </c>
      <c r="I1958" s="9">
        <f t="shared" si="277"/>
        <v>2.2499999999999996E-2</v>
      </c>
      <c r="J1958" s="1">
        <f t="shared" si="278"/>
        <v>-0.67000000000000171</v>
      </c>
      <c r="K1958" s="9">
        <f t="shared" si="271"/>
        <v>-5.6765229179022427E-3</v>
      </c>
      <c r="L1958" s="1">
        <f t="shared" si="272"/>
        <v>1</v>
      </c>
      <c r="M1958" s="1">
        <f t="shared" si="273"/>
        <v>118.61</v>
      </c>
      <c r="N1958" s="1">
        <f t="shared" si="274"/>
        <v>116</v>
      </c>
      <c r="O1958" s="1">
        <f t="shared" si="275"/>
        <v>115.4</v>
      </c>
      <c r="P1958" s="1">
        <f t="shared" si="276"/>
        <v>58.87755102040817</v>
      </c>
    </row>
    <row r="1959" spans="1:16">
      <c r="A1959" s="2">
        <v>40218</v>
      </c>
      <c r="B1959" s="1">
        <v>118.2</v>
      </c>
      <c r="C1959" s="1">
        <v>119.09</v>
      </c>
      <c r="D1959" s="1">
        <v>117</v>
      </c>
      <c r="E1959" s="1">
        <v>118.03</v>
      </c>
      <c r="F1959" s="1">
        <v>9223000</v>
      </c>
      <c r="G1959" s="1">
        <v>118.03</v>
      </c>
      <c r="H1959" s="1">
        <f t="shared" si="270"/>
        <v>2.0900000000000034</v>
      </c>
      <c r="I1959" s="9">
        <f t="shared" si="277"/>
        <v>1.7863247863247892E-2</v>
      </c>
      <c r="J1959" s="1">
        <f t="shared" si="278"/>
        <v>1.2000000000000028</v>
      </c>
      <c r="K1959" s="9">
        <f t="shared" si="271"/>
        <v>1.0271334417529768E-2</v>
      </c>
      <c r="L1959" s="1">
        <f t="shared" si="272"/>
        <v>1</v>
      </c>
      <c r="M1959" s="1">
        <f t="shared" si="273"/>
        <v>119.09</v>
      </c>
      <c r="N1959" s="1">
        <f t="shared" si="274"/>
        <v>117</v>
      </c>
      <c r="O1959" s="1">
        <f t="shared" si="275"/>
        <v>116.07000000000001</v>
      </c>
      <c r="P1959" s="1">
        <f t="shared" si="276"/>
        <v>59.219387755102048</v>
      </c>
    </row>
    <row r="1960" spans="1:16">
      <c r="A1960" s="2">
        <v>40217</v>
      </c>
      <c r="B1960" s="1">
        <v>119.38</v>
      </c>
      <c r="C1960" s="1">
        <v>121</v>
      </c>
      <c r="D1960" s="1">
        <v>116.56</v>
      </c>
      <c r="E1960" s="1">
        <v>116.83</v>
      </c>
      <c r="F1960" s="1">
        <v>9890200</v>
      </c>
      <c r="G1960" s="1">
        <v>116.83</v>
      </c>
      <c r="H1960" s="1">
        <f t="shared" si="270"/>
        <v>4.4399999999999977</v>
      </c>
      <c r="I1960" s="9">
        <f t="shared" si="277"/>
        <v>3.8091969800960856E-2</v>
      </c>
      <c r="J1960" s="1">
        <f t="shared" si="278"/>
        <v>-0.56000000000000227</v>
      </c>
      <c r="K1960" s="9">
        <f t="shared" si="271"/>
        <v>-4.7704233750745575E-3</v>
      </c>
      <c r="L1960" s="1">
        <f t="shared" si="272"/>
        <v>1</v>
      </c>
      <c r="M1960" s="1">
        <f t="shared" si="273"/>
        <v>121</v>
      </c>
      <c r="N1960" s="1">
        <f t="shared" si="274"/>
        <v>116.56</v>
      </c>
      <c r="O1960" s="1">
        <f t="shared" si="275"/>
        <v>114.87</v>
      </c>
      <c r="P1960" s="1">
        <f t="shared" si="276"/>
        <v>58.607142857142861</v>
      </c>
    </row>
    <row r="1961" spans="1:16">
      <c r="A1961" s="2">
        <v>40214</v>
      </c>
      <c r="B1961" s="1">
        <v>115.88</v>
      </c>
      <c r="C1961" s="1">
        <v>117.65</v>
      </c>
      <c r="D1961" s="1">
        <v>114.1</v>
      </c>
      <c r="E1961" s="1">
        <v>117.39</v>
      </c>
      <c r="F1961" s="1">
        <v>11024800</v>
      </c>
      <c r="G1961" s="1">
        <v>117.39</v>
      </c>
      <c r="H1961" s="1">
        <f t="shared" si="270"/>
        <v>3.5500000000000114</v>
      </c>
      <c r="I1961" s="9">
        <f t="shared" si="277"/>
        <v>3.1113058720420785E-2</v>
      </c>
      <c r="J1961" s="1">
        <f t="shared" si="278"/>
        <v>1.4500000000000028</v>
      </c>
      <c r="K1961" s="9">
        <f t="shared" si="271"/>
        <v>1.250646886320513E-2</v>
      </c>
      <c r="L1961" s="1">
        <f t="shared" si="272"/>
        <v>1</v>
      </c>
      <c r="M1961" s="1">
        <f t="shared" si="273"/>
        <v>117.65</v>
      </c>
      <c r="N1961" s="1">
        <f t="shared" si="274"/>
        <v>114.1</v>
      </c>
      <c r="O1961" s="1">
        <f t="shared" si="275"/>
        <v>115.43</v>
      </c>
      <c r="P1961" s="1">
        <f t="shared" si="276"/>
        <v>58.892857142857146</v>
      </c>
    </row>
    <row r="1962" spans="1:16">
      <c r="A1962" s="2">
        <v>40213</v>
      </c>
      <c r="B1962" s="1">
        <v>118.64</v>
      </c>
      <c r="C1962" s="1">
        <v>120.33</v>
      </c>
      <c r="D1962" s="1">
        <v>115.74</v>
      </c>
      <c r="E1962" s="1">
        <v>115.94</v>
      </c>
      <c r="F1962" s="1">
        <v>12784000</v>
      </c>
      <c r="G1962" s="1">
        <v>115.94</v>
      </c>
      <c r="H1962" s="1">
        <f t="shared" si="270"/>
        <v>4.5900000000000034</v>
      </c>
      <c r="I1962" s="9">
        <f t="shared" si="277"/>
        <v>3.9657853810264418E-2</v>
      </c>
      <c r="J1962" s="1">
        <f t="shared" si="278"/>
        <v>-3.1599999999999966</v>
      </c>
      <c r="K1962" s="9">
        <f t="shared" si="271"/>
        <v>-2.6532325776658244E-2</v>
      </c>
      <c r="L1962" s="1">
        <f t="shared" si="272"/>
        <v>1</v>
      </c>
      <c r="M1962" s="1">
        <f t="shared" si="273"/>
        <v>120.33</v>
      </c>
      <c r="N1962" s="1">
        <f t="shared" si="274"/>
        <v>115.74</v>
      </c>
      <c r="O1962" s="1">
        <f t="shared" si="275"/>
        <v>113.98</v>
      </c>
      <c r="P1962" s="1">
        <f t="shared" si="276"/>
        <v>58.153061224489797</v>
      </c>
    </row>
    <row r="1963" spans="1:16">
      <c r="A1963" s="2">
        <v>40212</v>
      </c>
      <c r="B1963" s="1">
        <v>117.12</v>
      </c>
      <c r="C1963" s="1">
        <v>119.61</v>
      </c>
      <c r="D1963" s="1">
        <v>116.56</v>
      </c>
      <c r="E1963" s="1">
        <v>119.1</v>
      </c>
      <c r="F1963" s="1">
        <v>12405900</v>
      </c>
      <c r="G1963" s="1">
        <v>119.1</v>
      </c>
      <c r="H1963" s="1">
        <f t="shared" si="270"/>
        <v>3.0499999999999972</v>
      </c>
      <c r="I1963" s="9">
        <f t="shared" si="277"/>
        <v>2.6166781056966345E-2</v>
      </c>
      <c r="J1963" s="1">
        <f t="shared" si="278"/>
        <v>0.97999999999998977</v>
      </c>
      <c r="K1963" s="9">
        <f t="shared" si="271"/>
        <v>8.2966474771418025E-3</v>
      </c>
      <c r="L1963" s="1">
        <f t="shared" si="272"/>
        <v>1</v>
      </c>
      <c r="M1963" s="1">
        <f t="shared" si="273"/>
        <v>119.61</v>
      </c>
      <c r="N1963" s="1">
        <f t="shared" si="274"/>
        <v>116.56</v>
      </c>
      <c r="O1963" s="1">
        <f t="shared" si="275"/>
        <v>117.14</v>
      </c>
      <c r="P1963" s="1">
        <f t="shared" si="276"/>
        <v>59.765306122448983</v>
      </c>
    </row>
    <row r="1964" spans="1:16">
      <c r="A1964" s="2">
        <v>40211</v>
      </c>
      <c r="B1964" s="1">
        <v>118.79</v>
      </c>
      <c r="C1964" s="1">
        <v>118.98</v>
      </c>
      <c r="D1964" s="1">
        <v>114.4</v>
      </c>
      <c r="E1964" s="1">
        <v>118.12</v>
      </c>
      <c r="F1964" s="1">
        <v>23079700</v>
      </c>
      <c r="G1964" s="1">
        <v>118.12</v>
      </c>
      <c r="H1964" s="1">
        <f t="shared" si="270"/>
        <v>4.5799999999999983</v>
      </c>
      <c r="I1964" s="9">
        <f t="shared" si="277"/>
        <v>4.0034965034965016E-2</v>
      </c>
      <c r="J1964" s="1">
        <f t="shared" si="278"/>
        <v>-0.75</v>
      </c>
      <c r="K1964" s="9">
        <f t="shared" si="271"/>
        <v>-6.3094136451585766E-3</v>
      </c>
      <c r="L1964" s="1">
        <f t="shared" si="272"/>
        <v>1</v>
      </c>
      <c r="M1964" s="1">
        <f t="shared" si="273"/>
        <v>118.98</v>
      </c>
      <c r="N1964" s="1">
        <f t="shared" si="274"/>
        <v>114.4</v>
      </c>
      <c r="O1964" s="1">
        <f t="shared" si="275"/>
        <v>116.16000000000001</v>
      </c>
      <c r="P1964" s="1">
        <f t="shared" si="276"/>
        <v>59.265306122448983</v>
      </c>
    </row>
    <row r="1965" spans="1:16">
      <c r="A1965" s="2">
        <v>40210</v>
      </c>
      <c r="B1965" s="1">
        <v>123.18</v>
      </c>
      <c r="C1965" s="1">
        <v>124.86</v>
      </c>
      <c r="D1965" s="1">
        <v>113.82</v>
      </c>
      <c r="E1965" s="1">
        <v>118.87</v>
      </c>
      <c r="F1965" s="1">
        <v>37774400</v>
      </c>
      <c r="G1965" s="1">
        <v>118.87</v>
      </c>
      <c r="H1965" s="1">
        <f t="shared" si="270"/>
        <v>11.040000000000006</v>
      </c>
      <c r="I1965" s="9">
        <f t="shared" si="277"/>
        <v>9.6995255666842445E-2</v>
      </c>
      <c r="J1965" s="1">
        <f t="shared" si="278"/>
        <v>-6.539999999999992</v>
      </c>
      <c r="K1965" s="9">
        <f t="shared" si="271"/>
        <v>-5.2148951439279105E-2</v>
      </c>
      <c r="L1965" s="1">
        <f t="shared" si="272"/>
        <v>1</v>
      </c>
      <c r="M1965" s="1">
        <f t="shared" si="273"/>
        <v>124.86</v>
      </c>
      <c r="N1965" s="1">
        <f t="shared" si="274"/>
        <v>113.82</v>
      </c>
      <c r="O1965" s="1">
        <f t="shared" si="275"/>
        <v>116.91000000000001</v>
      </c>
      <c r="P1965" s="1">
        <f t="shared" si="276"/>
        <v>59.647959183673478</v>
      </c>
    </row>
    <row r="1966" spans="1:16">
      <c r="A1966" s="2">
        <v>40207</v>
      </c>
      <c r="B1966" s="1">
        <v>129.77000000000001</v>
      </c>
      <c r="C1966" s="1">
        <v>131.85</v>
      </c>
      <c r="D1966" s="1">
        <v>124.14</v>
      </c>
      <c r="E1966" s="1">
        <v>125.41</v>
      </c>
      <c r="F1966" s="1">
        <v>29471300</v>
      </c>
      <c r="G1966" s="1">
        <v>125.41</v>
      </c>
      <c r="H1966" s="1">
        <f t="shared" si="270"/>
        <v>7.7099999999999937</v>
      </c>
      <c r="I1966" s="9">
        <f t="shared" si="277"/>
        <v>6.2107298211696423E-2</v>
      </c>
      <c r="J1966" s="1">
        <f t="shared" si="278"/>
        <v>-0.62000000000000455</v>
      </c>
      <c r="K1966" s="9">
        <f t="shared" si="271"/>
        <v>-4.9194636197731059E-3</v>
      </c>
      <c r="L1966" s="1">
        <f t="shared" si="272"/>
        <v>1</v>
      </c>
      <c r="M1966" s="1">
        <f t="shared" si="273"/>
        <v>131.85</v>
      </c>
      <c r="N1966" s="1">
        <f t="shared" si="274"/>
        <v>124.14</v>
      </c>
      <c r="O1966" s="1">
        <f t="shared" si="275"/>
        <v>123.45</v>
      </c>
      <c r="P1966" s="1">
        <f t="shared" si="276"/>
        <v>62.984693877551024</v>
      </c>
    </row>
    <row r="1967" spans="1:16">
      <c r="A1967" s="2">
        <v>40206</v>
      </c>
      <c r="B1967" s="1">
        <v>124.43</v>
      </c>
      <c r="C1967" s="1">
        <v>127.2</v>
      </c>
      <c r="D1967" s="1">
        <v>122.8</v>
      </c>
      <c r="E1967" s="1">
        <v>126.03</v>
      </c>
      <c r="F1967" s="1">
        <v>27293100</v>
      </c>
      <c r="G1967" s="1">
        <v>126.03</v>
      </c>
      <c r="H1967" s="1">
        <f t="shared" si="270"/>
        <v>4.4000000000000057</v>
      </c>
      <c r="I1967" s="9">
        <f t="shared" si="277"/>
        <v>3.5830618892508187E-2</v>
      </c>
      <c r="J1967" s="1">
        <f t="shared" si="278"/>
        <v>3.2800000000000011</v>
      </c>
      <c r="K1967" s="9">
        <f t="shared" si="271"/>
        <v>2.6720977596741354E-2</v>
      </c>
      <c r="L1967" s="1">
        <f t="shared" si="272"/>
        <v>1</v>
      </c>
      <c r="M1967" s="1">
        <f t="shared" si="273"/>
        <v>127.2</v>
      </c>
      <c r="N1967" s="1">
        <f t="shared" si="274"/>
        <v>122.8</v>
      </c>
      <c r="O1967" s="1">
        <f t="shared" si="275"/>
        <v>124.07000000000001</v>
      </c>
      <c r="P1967" s="1">
        <f t="shared" si="276"/>
        <v>63.301020408163268</v>
      </c>
    </row>
    <row r="1968" spans="1:16">
      <c r="A1968" s="2">
        <v>40205</v>
      </c>
      <c r="B1968" s="1">
        <v>121.03</v>
      </c>
      <c r="C1968" s="1">
        <v>123.33</v>
      </c>
      <c r="D1968" s="1">
        <v>118.8</v>
      </c>
      <c r="E1968" s="1">
        <v>122.75</v>
      </c>
      <c r="F1968" s="1">
        <v>14765300</v>
      </c>
      <c r="G1968" s="1">
        <v>122.75</v>
      </c>
      <c r="H1968" s="1">
        <f t="shared" si="270"/>
        <v>4.5300000000000011</v>
      </c>
      <c r="I1968" s="9">
        <f t="shared" si="277"/>
        <v>3.8131313131313141E-2</v>
      </c>
      <c r="J1968" s="1">
        <f t="shared" si="278"/>
        <v>3.269999999999996</v>
      </c>
      <c r="K1968" s="9">
        <f t="shared" si="271"/>
        <v>2.736859725477064E-2</v>
      </c>
      <c r="L1968" s="1">
        <f t="shared" si="272"/>
        <v>1</v>
      </c>
      <c r="M1968" s="1">
        <f t="shared" si="273"/>
        <v>123.33</v>
      </c>
      <c r="N1968" s="1">
        <f t="shared" si="274"/>
        <v>118.8</v>
      </c>
      <c r="O1968" s="1">
        <f t="shared" si="275"/>
        <v>120.79</v>
      </c>
      <c r="P1968" s="1">
        <f t="shared" si="276"/>
        <v>61.62755102040817</v>
      </c>
    </row>
    <row r="1969" spans="1:16">
      <c r="A1969" s="2">
        <v>40204</v>
      </c>
      <c r="B1969" s="1">
        <v>120.56</v>
      </c>
      <c r="C1969" s="1">
        <v>122.98</v>
      </c>
      <c r="D1969" s="1">
        <v>119.06</v>
      </c>
      <c r="E1969" s="1">
        <v>119.48</v>
      </c>
      <c r="F1969" s="1">
        <v>9559000</v>
      </c>
      <c r="G1969" s="1">
        <v>119.48</v>
      </c>
      <c r="H1969" s="1">
        <f t="shared" si="270"/>
        <v>3.9200000000000017</v>
      </c>
      <c r="I1969" s="9">
        <f t="shared" si="277"/>
        <v>3.2924575844112229E-2</v>
      </c>
      <c r="J1969" s="1">
        <f t="shared" si="278"/>
        <v>-0.82999999999999829</v>
      </c>
      <c r="K1969" s="9">
        <f t="shared" si="271"/>
        <v>-6.8988446513174153E-3</v>
      </c>
      <c r="L1969" s="1">
        <f t="shared" si="272"/>
        <v>1</v>
      </c>
      <c r="M1969" s="1">
        <f t="shared" si="273"/>
        <v>122.98</v>
      </c>
      <c r="N1969" s="1">
        <f t="shared" si="274"/>
        <v>119.06</v>
      </c>
      <c r="O1969" s="1">
        <f t="shared" si="275"/>
        <v>117.52000000000001</v>
      </c>
      <c r="P1969" s="1">
        <f t="shared" si="276"/>
        <v>59.959183673469397</v>
      </c>
    </row>
    <row r="1970" spans="1:16">
      <c r="A1970" s="2">
        <v>40203</v>
      </c>
      <c r="B1970" s="1">
        <v>122.1</v>
      </c>
      <c r="C1970" s="1">
        <v>122.28</v>
      </c>
      <c r="D1970" s="1">
        <v>118.12</v>
      </c>
      <c r="E1970" s="1">
        <v>120.31</v>
      </c>
      <c r="F1970" s="1">
        <v>12023900</v>
      </c>
      <c r="G1970" s="1">
        <v>120.31</v>
      </c>
      <c r="H1970" s="1">
        <f t="shared" si="270"/>
        <v>4.1599999999999966</v>
      </c>
      <c r="I1970" s="9">
        <f t="shared" si="277"/>
        <v>3.5218421943785952E-2</v>
      </c>
      <c r="J1970" s="1">
        <f t="shared" si="278"/>
        <v>-1.1200000000000045</v>
      </c>
      <c r="K1970" s="9">
        <f t="shared" si="271"/>
        <v>-9.2234209009306144E-3</v>
      </c>
      <c r="L1970" s="1">
        <f t="shared" si="272"/>
        <v>1</v>
      </c>
      <c r="M1970" s="1">
        <f t="shared" si="273"/>
        <v>122.28</v>
      </c>
      <c r="N1970" s="1">
        <f t="shared" si="274"/>
        <v>118.12</v>
      </c>
      <c r="O1970" s="1">
        <f t="shared" si="275"/>
        <v>118.35000000000001</v>
      </c>
      <c r="P1970" s="1">
        <f t="shared" si="276"/>
        <v>60.382653061224495</v>
      </c>
    </row>
    <row r="1971" spans="1:16">
      <c r="A1971" s="2">
        <v>40200</v>
      </c>
      <c r="B1971" s="1">
        <v>125.6</v>
      </c>
      <c r="C1971" s="1">
        <v>127.67</v>
      </c>
      <c r="D1971" s="1">
        <v>120.76</v>
      </c>
      <c r="E1971" s="1">
        <v>121.43</v>
      </c>
      <c r="F1971" s="1">
        <v>11568900</v>
      </c>
      <c r="G1971" s="1">
        <v>121.43</v>
      </c>
      <c r="H1971" s="1">
        <f t="shared" si="270"/>
        <v>6.9099999999999966</v>
      </c>
      <c r="I1971" s="9">
        <f t="shared" si="277"/>
        <v>5.7220934084133791E-2</v>
      </c>
      <c r="J1971" s="1">
        <f t="shared" si="278"/>
        <v>-5.1899999999999977</v>
      </c>
      <c r="K1971" s="9">
        <f t="shared" si="271"/>
        <v>-4.0988785341968072E-2</v>
      </c>
      <c r="L1971" s="1">
        <f t="shared" si="272"/>
        <v>1</v>
      </c>
      <c r="M1971" s="1">
        <f t="shared" si="273"/>
        <v>127.67</v>
      </c>
      <c r="N1971" s="1">
        <f t="shared" si="274"/>
        <v>120.76</v>
      </c>
      <c r="O1971" s="1">
        <f t="shared" si="275"/>
        <v>119.47000000000001</v>
      </c>
      <c r="P1971" s="1">
        <f t="shared" si="276"/>
        <v>60.954081632653072</v>
      </c>
    </row>
    <row r="1972" spans="1:16">
      <c r="A1972" s="2">
        <v>40199</v>
      </c>
      <c r="B1972" s="1">
        <v>127.26</v>
      </c>
      <c r="C1972" s="1">
        <v>128.15</v>
      </c>
      <c r="D1972" s="1">
        <v>125</v>
      </c>
      <c r="E1972" s="1">
        <v>126.62</v>
      </c>
      <c r="F1972" s="1">
        <v>9970600</v>
      </c>
      <c r="G1972" s="1">
        <v>126.62</v>
      </c>
      <c r="H1972" s="1">
        <f t="shared" si="270"/>
        <v>3.1500000000000057</v>
      </c>
      <c r="I1972" s="9">
        <f t="shared" si="277"/>
        <v>2.5200000000000045E-2</v>
      </c>
      <c r="J1972" s="1">
        <f t="shared" si="278"/>
        <v>0.84000000000000341</v>
      </c>
      <c r="K1972" s="9">
        <f t="shared" si="271"/>
        <v>6.6783272380346904E-3</v>
      </c>
      <c r="L1972" s="1">
        <f t="shared" si="272"/>
        <v>1</v>
      </c>
      <c r="M1972" s="1">
        <f t="shared" si="273"/>
        <v>128.15</v>
      </c>
      <c r="N1972" s="1">
        <f t="shared" si="274"/>
        <v>125</v>
      </c>
      <c r="O1972" s="1">
        <f t="shared" si="275"/>
        <v>124.66000000000001</v>
      </c>
      <c r="P1972" s="1">
        <f t="shared" si="276"/>
        <v>63.602040816326536</v>
      </c>
    </row>
    <row r="1973" spans="1:16">
      <c r="A1973" s="2">
        <v>40198</v>
      </c>
      <c r="B1973" s="1">
        <v>127.13</v>
      </c>
      <c r="C1973" s="1">
        <v>129.19999999999999</v>
      </c>
      <c r="D1973" s="1">
        <v>125.08</v>
      </c>
      <c r="E1973" s="1">
        <v>125.78</v>
      </c>
      <c r="F1973" s="1">
        <v>9074700</v>
      </c>
      <c r="G1973" s="1">
        <v>125.78</v>
      </c>
      <c r="H1973" s="1">
        <f t="shared" si="270"/>
        <v>4.1199999999999903</v>
      </c>
      <c r="I1973" s="9">
        <f t="shared" si="277"/>
        <v>3.2938919091781184E-2</v>
      </c>
      <c r="J1973" s="1">
        <f t="shared" si="278"/>
        <v>-1.8299999999999983</v>
      </c>
      <c r="K1973" s="9">
        <f t="shared" si="271"/>
        <v>-1.4340568920930948E-2</v>
      </c>
      <c r="L1973" s="1">
        <f t="shared" si="272"/>
        <v>1</v>
      </c>
      <c r="M1973" s="1">
        <f t="shared" si="273"/>
        <v>129.19999999999999</v>
      </c>
      <c r="N1973" s="1">
        <f t="shared" si="274"/>
        <v>125.08</v>
      </c>
      <c r="O1973" s="1">
        <f t="shared" si="275"/>
        <v>123.82000000000001</v>
      </c>
      <c r="P1973" s="1">
        <f t="shared" si="276"/>
        <v>63.173469387755105</v>
      </c>
    </row>
    <row r="1974" spans="1:16">
      <c r="A1974" s="2">
        <v>40197</v>
      </c>
      <c r="B1974" s="1">
        <v>126.31</v>
      </c>
      <c r="C1974" s="1">
        <v>128</v>
      </c>
      <c r="D1974" s="1">
        <v>124.33</v>
      </c>
      <c r="E1974" s="1">
        <v>127.61</v>
      </c>
      <c r="F1974" s="1">
        <v>8892600</v>
      </c>
      <c r="G1974" s="1">
        <v>127.61</v>
      </c>
      <c r="H1974" s="1">
        <f t="shared" si="270"/>
        <v>3.6700000000000017</v>
      </c>
      <c r="I1974" s="9">
        <f t="shared" si="277"/>
        <v>2.9518217646585715E-2</v>
      </c>
      <c r="J1974" s="1">
        <f t="shared" si="278"/>
        <v>0.46999999999999886</v>
      </c>
      <c r="K1974" s="9">
        <f t="shared" si="271"/>
        <v>3.6967122856693319E-3</v>
      </c>
      <c r="L1974" s="1">
        <f t="shared" si="272"/>
        <v>1</v>
      </c>
      <c r="M1974" s="1">
        <f t="shared" si="273"/>
        <v>128</v>
      </c>
      <c r="N1974" s="1">
        <f t="shared" si="274"/>
        <v>124.33</v>
      </c>
      <c r="O1974" s="1">
        <f t="shared" si="275"/>
        <v>125.65</v>
      </c>
      <c r="P1974" s="1">
        <f t="shared" si="276"/>
        <v>64.107142857142861</v>
      </c>
    </row>
    <row r="1975" spans="1:16">
      <c r="A1975" s="2">
        <v>40193</v>
      </c>
      <c r="B1975" s="1">
        <v>129.18</v>
      </c>
      <c r="C1975" s="1">
        <v>129.65</v>
      </c>
      <c r="D1975" s="1">
        <v>127.06</v>
      </c>
      <c r="E1975" s="1">
        <v>127.14</v>
      </c>
      <c r="F1975" s="1">
        <v>15376500</v>
      </c>
      <c r="G1975" s="1">
        <v>127.14</v>
      </c>
      <c r="H1975" s="1">
        <f t="shared" si="270"/>
        <v>2.5900000000000034</v>
      </c>
      <c r="I1975" s="9">
        <f t="shared" si="277"/>
        <v>2.0384070517865602E-2</v>
      </c>
      <c r="J1975" s="1">
        <f t="shared" si="278"/>
        <v>-0.20999999999999375</v>
      </c>
      <c r="K1975" s="9">
        <f t="shared" si="271"/>
        <v>-1.6489988221436494E-3</v>
      </c>
      <c r="L1975" s="1">
        <f t="shared" si="272"/>
        <v>1</v>
      </c>
      <c r="M1975" s="1">
        <f t="shared" si="273"/>
        <v>129.65</v>
      </c>
      <c r="N1975" s="1">
        <f t="shared" si="274"/>
        <v>127.06</v>
      </c>
      <c r="O1975" s="1">
        <f t="shared" si="275"/>
        <v>125.18</v>
      </c>
      <c r="P1975" s="1">
        <f t="shared" si="276"/>
        <v>63.867346938775512</v>
      </c>
    </row>
    <row r="1976" spans="1:16">
      <c r="A1976" s="2">
        <v>40192</v>
      </c>
      <c r="B1976" s="1">
        <v>129.13999999999999</v>
      </c>
      <c r="C1976" s="1">
        <v>130.38</v>
      </c>
      <c r="D1976" s="1">
        <v>126.4</v>
      </c>
      <c r="E1976" s="1">
        <v>127.35</v>
      </c>
      <c r="F1976" s="1">
        <v>9774900</v>
      </c>
      <c r="G1976" s="1">
        <v>127.35</v>
      </c>
      <c r="H1976" s="1">
        <f t="shared" si="270"/>
        <v>3.9799999999999898</v>
      </c>
      <c r="I1976" s="9">
        <f t="shared" si="277"/>
        <v>3.1487341772151817E-2</v>
      </c>
      <c r="J1976" s="1">
        <f t="shared" si="278"/>
        <v>-1.7600000000000193</v>
      </c>
      <c r="K1976" s="9">
        <f t="shared" si="271"/>
        <v>-1.3631786848423973E-2</v>
      </c>
      <c r="L1976" s="1">
        <f t="shared" si="272"/>
        <v>1</v>
      </c>
      <c r="M1976" s="1">
        <f t="shared" si="273"/>
        <v>130.38</v>
      </c>
      <c r="N1976" s="1">
        <f t="shared" si="274"/>
        <v>126.4</v>
      </c>
      <c r="O1976" s="1">
        <f t="shared" si="275"/>
        <v>125.39</v>
      </c>
      <c r="P1976" s="1">
        <f t="shared" si="276"/>
        <v>63.974489795918366</v>
      </c>
    </row>
    <row r="1977" spans="1:16">
      <c r="A1977" s="2">
        <v>40191</v>
      </c>
      <c r="B1977" s="1">
        <v>127.9</v>
      </c>
      <c r="C1977" s="1">
        <v>129.71</v>
      </c>
      <c r="D1977" s="1">
        <v>125.75</v>
      </c>
      <c r="E1977" s="1">
        <v>129.11000000000001</v>
      </c>
      <c r="F1977" s="1">
        <v>10723200</v>
      </c>
      <c r="G1977" s="1">
        <v>129.11000000000001</v>
      </c>
      <c r="H1977" s="1">
        <f t="shared" si="270"/>
        <v>3.960000000000008</v>
      </c>
      <c r="I1977" s="9">
        <f t="shared" si="277"/>
        <v>3.1491053677932472E-2</v>
      </c>
      <c r="J1977" s="1">
        <f t="shared" si="278"/>
        <v>1.7600000000000193</v>
      </c>
      <c r="K1977" s="9">
        <f t="shared" si="271"/>
        <v>1.3820180604633053E-2</v>
      </c>
      <c r="L1977" s="1">
        <f t="shared" si="272"/>
        <v>1</v>
      </c>
      <c r="M1977" s="1">
        <f t="shared" si="273"/>
        <v>129.71</v>
      </c>
      <c r="N1977" s="1">
        <f t="shared" si="274"/>
        <v>125.75</v>
      </c>
      <c r="O1977" s="1">
        <f t="shared" si="275"/>
        <v>127.15000000000002</v>
      </c>
      <c r="P1977" s="1">
        <f t="shared" si="276"/>
        <v>64.872448979591852</v>
      </c>
    </row>
    <row r="1978" spans="1:16">
      <c r="A1978" s="2">
        <v>40190</v>
      </c>
      <c r="B1978" s="1">
        <v>128.99</v>
      </c>
      <c r="C1978" s="1">
        <v>129.82</v>
      </c>
      <c r="D1978" s="1">
        <v>126.55</v>
      </c>
      <c r="E1978" s="1">
        <v>127.35</v>
      </c>
      <c r="F1978" s="1">
        <v>9096300</v>
      </c>
      <c r="G1978" s="1">
        <v>127.35</v>
      </c>
      <c r="H1978" s="1">
        <f t="shared" si="270"/>
        <v>3.269999999999996</v>
      </c>
      <c r="I1978" s="9">
        <f t="shared" si="277"/>
        <v>2.5839589095219249E-2</v>
      </c>
      <c r="J1978" s="1">
        <f t="shared" si="278"/>
        <v>-2.960000000000008</v>
      </c>
      <c r="K1978" s="9">
        <f t="shared" si="271"/>
        <v>-2.2715064077967983E-2</v>
      </c>
      <c r="L1978" s="1">
        <f t="shared" si="272"/>
        <v>1</v>
      </c>
      <c r="M1978" s="1">
        <f t="shared" si="273"/>
        <v>129.82</v>
      </c>
      <c r="N1978" s="1">
        <f t="shared" si="274"/>
        <v>126.55</v>
      </c>
      <c r="O1978" s="1">
        <f t="shared" si="275"/>
        <v>125.39</v>
      </c>
      <c r="P1978" s="1">
        <f t="shared" si="276"/>
        <v>63.974489795918366</v>
      </c>
    </row>
    <row r="1979" spans="1:16">
      <c r="A1979" s="2">
        <v>40189</v>
      </c>
      <c r="B1979" s="1">
        <v>132.62</v>
      </c>
      <c r="C1979" s="1">
        <v>132.80000000000001</v>
      </c>
      <c r="D1979" s="1">
        <v>129.21</v>
      </c>
      <c r="E1979" s="1">
        <v>130.31</v>
      </c>
      <c r="F1979" s="1">
        <v>8779400</v>
      </c>
      <c r="G1979" s="1">
        <v>130.31</v>
      </c>
      <c r="H1979" s="1">
        <f t="shared" si="270"/>
        <v>3.5900000000000034</v>
      </c>
      <c r="I1979" s="9">
        <f t="shared" si="277"/>
        <v>2.7784227226994838E-2</v>
      </c>
      <c r="J1979" s="1">
        <f t="shared" si="278"/>
        <v>-3.210000000000008</v>
      </c>
      <c r="K1979" s="9">
        <f t="shared" si="271"/>
        <v>-2.4041342121030616E-2</v>
      </c>
      <c r="L1979" s="1">
        <f t="shared" si="272"/>
        <v>1</v>
      </c>
      <c r="M1979" s="1">
        <f t="shared" si="273"/>
        <v>132.80000000000001</v>
      </c>
      <c r="N1979" s="1">
        <f t="shared" si="274"/>
        <v>129.21</v>
      </c>
      <c r="O1979" s="1">
        <f t="shared" si="275"/>
        <v>128.35</v>
      </c>
      <c r="P1979" s="1">
        <f t="shared" si="276"/>
        <v>65.484693877551024</v>
      </c>
    </row>
    <row r="1980" spans="1:16">
      <c r="A1980" s="2">
        <v>40186</v>
      </c>
      <c r="B1980" s="1">
        <v>130.56</v>
      </c>
      <c r="C1980" s="1">
        <v>133.68</v>
      </c>
      <c r="D1980" s="1">
        <v>129.03</v>
      </c>
      <c r="E1980" s="1">
        <v>133.52000000000001</v>
      </c>
      <c r="F1980" s="1">
        <v>9830500</v>
      </c>
      <c r="G1980" s="1">
        <v>133.52000000000001</v>
      </c>
      <c r="H1980" s="1">
        <f t="shared" si="270"/>
        <v>4.6500000000000057</v>
      </c>
      <c r="I1980" s="9">
        <f t="shared" si="277"/>
        <v>3.603813066728672E-2</v>
      </c>
      <c r="J1980" s="1">
        <f t="shared" si="278"/>
        <v>3.5200000000000102</v>
      </c>
      <c r="K1980" s="9">
        <f t="shared" si="271"/>
        <v>2.7076923076923155E-2</v>
      </c>
      <c r="L1980" s="1">
        <f t="shared" si="272"/>
        <v>1</v>
      </c>
      <c r="M1980" s="1">
        <f t="shared" si="273"/>
        <v>133.68</v>
      </c>
      <c r="N1980" s="1">
        <f t="shared" si="274"/>
        <v>129.03</v>
      </c>
      <c r="O1980" s="1">
        <f t="shared" si="275"/>
        <v>131.56</v>
      </c>
      <c r="P1980" s="1">
        <f t="shared" si="276"/>
        <v>67.122448979591837</v>
      </c>
    </row>
    <row r="1981" spans="1:16">
      <c r="A1981" s="2">
        <v>40185</v>
      </c>
      <c r="B1981" s="1">
        <v>132.01</v>
      </c>
      <c r="C1981" s="1">
        <v>132.32</v>
      </c>
      <c r="D1981" s="1">
        <v>128.80000000000001</v>
      </c>
      <c r="E1981" s="1">
        <v>130</v>
      </c>
      <c r="F1981" s="1">
        <v>11030200</v>
      </c>
      <c r="G1981" s="1">
        <v>130</v>
      </c>
      <c r="H1981" s="1">
        <f t="shared" si="270"/>
        <v>3.5199999999999818</v>
      </c>
      <c r="I1981" s="9">
        <f t="shared" si="277"/>
        <v>2.7329192546583708E-2</v>
      </c>
      <c r="J1981" s="1">
        <f t="shared" si="278"/>
        <v>-2.25</v>
      </c>
      <c r="K1981" s="9">
        <f t="shared" si="271"/>
        <v>-1.7013232514177693E-2</v>
      </c>
      <c r="L1981" s="1">
        <f t="shared" si="272"/>
        <v>1</v>
      </c>
      <c r="M1981" s="1">
        <f t="shared" si="273"/>
        <v>132.32</v>
      </c>
      <c r="N1981" s="1">
        <f t="shared" si="274"/>
        <v>128.80000000000001</v>
      </c>
      <c r="O1981" s="1">
        <f t="shared" si="275"/>
        <v>128.04</v>
      </c>
      <c r="P1981" s="1">
        <f t="shared" si="276"/>
        <v>65.326530612244895</v>
      </c>
    </row>
    <row r="1982" spans="1:16">
      <c r="A1982" s="2">
        <v>40184</v>
      </c>
      <c r="B1982" s="1">
        <v>134.6</v>
      </c>
      <c r="C1982" s="1">
        <v>134.72999999999999</v>
      </c>
      <c r="D1982" s="1">
        <v>131.65</v>
      </c>
      <c r="E1982" s="1">
        <v>132.25</v>
      </c>
      <c r="F1982" s="1">
        <v>7178800</v>
      </c>
      <c r="G1982" s="1">
        <v>132.25</v>
      </c>
      <c r="H1982" s="1">
        <f t="shared" si="270"/>
        <v>3.0799999999999841</v>
      </c>
      <c r="I1982" s="9">
        <f t="shared" si="277"/>
        <v>2.339536650208875E-2</v>
      </c>
      <c r="J1982" s="1">
        <f t="shared" si="278"/>
        <v>-2.4399999999999977</v>
      </c>
      <c r="K1982" s="9">
        <f t="shared" si="271"/>
        <v>-1.811567302695076E-2</v>
      </c>
      <c r="L1982" s="1">
        <f t="shared" si="272"/>
        <v>1</v>
      </c>
      <c r="M1982" s="1">
        <f t="shared" si="273"/>
        <v>134.72999999999999</v>
      </c>
      <c r="N1982" s="1">
        <f t="shared" si="274"/>
        <v>131.65</v>
      </c>
      <c r="O1982" s="1">
        <f t="shared" si="275"/>
        <v>130.29</v>
      </c>
      <c r="P1982" s="1">
        <f t="shared" si="276"/>
        <v>66.474489795918359</v>
      </c>
    </row>
    <row r="1983" spans="1:16">
      <c r="A1983" s="2">
        <v>40183</v>
      </c>
      <c r="B1983" s="1">
        <v>133.43</v>
      </c>
      <c r="C1983" s="1">
        <v>135.47999999999999</v>
      </c>
      <c r="D1983" s="1">
        <v>131.81</v>
      </c>
      <c r="E1983" s="1">
        <v>134.69</v>
      </c>
      <c r="F1983" s="1">
        <v>8851900</v>
      </c>
      <c r="G1983" s="1">
        <v>134.69</v>
      </c>
      <c r="H1983" s="1">
        <f t="shared" si="270"/>
        <v>3.6699999999999875</v>
      </c>
      <c r="I1983" s="9">
        <f t="shared" si="277"/>
        <v>2.7843107503224242E-2</v>
      </c>
      <c r="J1983" s="1">
        <f t="shared" si="278"/>
        <v>0.78999999999999204</v>
      </c>
      <c r="K1983" s="9">
        <f t="shared" si="271"/>
        <v>5.899925317400986E-3</v>
      </c>
      <c r="L1983" s="1">
        <f t="shared" si="272"/>
        <v>1</v>
      </c>
      <c r="M1983" s="1">
        <f t="shared" si="273"/>
        <v>135.47999999999999</v>
      </c>
      <c r="N1983" s="1">
        <f t="shared" si="274"/>
        <v>131.81</v>
      </c>
      <c r="O1983" s="1">
        <f t="shared" si="275"/>
        <v>132.72999999999999</v>
      </c>
      <c r="P1983" s="1">
        <f t="shared" si="276"/>
        <v>67.719387755102034</v>
      </c>
    </row>
    <row r="1984" spans="1:16">
      <c r="A1984" s="2">
        <v>40182</v>
      </c>
      <c r="B1984" s="1">
        <v>136.25</v>
      </c>
      <c r="C1984" s="1">
        <v>136.61000000000001</v>
      </c>
      <c r="D1984" s="1">
        <v>133.13999999999999</v>
      </c>
      <c r="E1984" s="1">
        <v>133.9</v>
      </c>
      <c r="F1984" s="1">
        <v>7599900</v>
      </c>
      <c r="G1984" s="1">
        <v>133.9</v>
      </c>
      <c r="H1984" s="1">
        <f t="shared" si="270"/>
        <v>3.4700000000000273</v>
      </c>
      <c r="I1984" s="9">
        <f t="shared" si="277"/>
        <v>2.6062791047018384E-2</v>
      </c>
      <c r="J1984" s="1">
        <f t="shared" si="278"/>
        <v>-0.62000000000000455</v>
      </c>
      <c r="K1984" s="9">
        <f t="shared" si="271"/>
        <v>-4.6089800773119576E-3</v>
      </c>
      <c r="L1984" s="1">
        <f t="shared" si="272"/>
        <v>1</v>
      </c>
      <c r="M1984" s="1">
        <f t="shared" si="273"/>
        <v>136.61000000000001</v>
      </c>
      <c r="N1984" s="1">
        <f t="shared" si="274"/>
        <v>133.13999999999999</v>
      </c>
      <c r="O1984" s="1">
        <f t="shared" si="275"/>
        <v>131.94</v>
      </c>
      <c r="P1984" s="1">
        <f t="shared" si="276"/>
        <v>67.316326530612244</v>
      </c>
    </row>
    <row r="1985" spans="1:16">
      <c r="A1985" s="2">
        <v>40178</v>
      </c>
      <c r="B1985" s="1">
        <v>137.09</v>
      </c>
      <c r="C1985" s="1">
        <v>137.28</v>
      </c>
      <c r="D1985" s="1">
        <v>134.52000000000001</v>
      </c>
      <c r="E1985" s="1">
        <v>134.52000000000001</v>
      </c>
      <c r="F1985" s="1">
        <v>4523000</v>
      </c>
      <c r="G1985" s="1">
        <v>134.52000000000001</v>
      </c>
      <c r="H1985" s="1">
        <f t="shared" si="270"/>
        <v>2.7599999999999909</v>
      </c>
      <c r="I1985" s="9">
        <f t="shared" si="277"/>
        <v>2.0517395182872367E-2</v>
      </c>
      <c r="J1985" s="1">
        <f t="shared" si="278"/>
        <v>-1.9699999999999989</v>
      </c>
      <c r="K1985" s="9">
        <f t="shared" si="271"/>
        <v>-1.4433291816250266E-2</v>
      </c>
      <c r="L1985" s="1">
        <f t="shared" si="272"/>
        <v>1</v>
      </c>
      <c r="M1985" s="1">
        <f t="shared" si="273"/>
        <v>137.28</v>
      </c>
      <c r="N1985" s="1">
        <f t="shared" si="274"/>
        <v>134.52000000000001</v>
      </c>
      <c r="O1985" s="1">
        <f t="shared" si="275"/>
        <v>132.56</v>
      </c>
      <c r="P1985" s="1">
        <f t="shared" si="276"/>
        <v>67.632653061224488</v>
      </c>
    </row>
    <row r="1986" spans="1:16">
      <c r="A1986" s="2">
        <v>40177</v>
      </c>
      <c r="B1986" s="1">
        <v>138.4</v>
      </c>
      <c r="C1986" s="1">
        <v>138.4</v>
      </c>
      <c r="D1986" s="1">
        <v>135.28</v>
      </c>
      <c r="E1986" s="1">
        <v>136.49</v>
      </c>
      <c r="F1986" s="1">
        <v>6913200</v>
      </c>
      <c r="G1986" s="1">
        <v>136.49</v>
      </c>
      <c r="H1986" s="1">
        <f t="shared" si="270"/>
        <v>3.1200000000000045</v>
      </c>
      <c r="I1986" s="9">
        <f t="shared" si="277"/>
        <v>2.3063276167947993E-2</v>
      </c>
      <c r="J1986" s="1">
        <f t="shared" si="278"/>
        <v>-2.9199999999999875</v>
      </c>
      <c r="K1986" s="9">
        <f t="shared" si="271"/>
        <v>-2.094541281113254E-2</v>
      </c>
      <c r="L1986" s="1">
        <f t="shared" si="272"/>
        <v>1</v>
      </c>
      <c r="M1986" s="1">
        <f t="shared" si="273"/>
        <v>138.4</v>
      </c>
      <c r="N1986" s="1">
        <f t="shared" si="274"/>
        <v>135.28</v>
      </c>
      <c r="O1986" s="1">
        <f t="shared" si="275"/>
        <v>134.53</v>
      </c>
      <c r="P1986" s="1">
        <f t="shared" si="276"/>
        <v>68.637755102040813</v>
      </c>
    </row>
    <row r="1987" spans="1:16">
      <c r="A1987" s="2">
        <v>40176</v>
      </c>
      <c r="B1987" s="1">
        <v>141.29</v>
      </c>
      <c r="C1987" s="1">
        <v>142.58000000000001</v>
      </c>
      <c r="D1987" s="1">
        <v>138.55000000000001</v>
      </c>
      <c r="E1987" s="1">
        <v>139.41</v>
      </c>
      <c r="F1987" s="1">
        <v>8400600</v>
      </c>
      <c r="G1987" s="1">
        <v>139.41</v>
      </c>
      <c r="H1987" s="1">
        <f t="shared" ref="H1987:H2050" si="279">C1987-D1987</f>
        <v>4.0300000000000011</v>
      </c>
      <c r="I1987" s="9">
        <f t="shared" si="277"/>
        <v>2.9086972212197769E-2</v>
      </c>
      <c r="J1987" s="1">
        <f t="shared" si="278"/>
        <v>9.9999999999994316E-2</v>
      </c>
      <c r="K1987" s="9">
        <f t="shared" ref="K1987:K2050" si="280">(G1987-G1988)/G1988</f>
        <v>7.178235589691646E-4</v>
      </c>
      <c r="L1987" s="1">
        <f t="shared" ref="L1987:L2050" si="281">G1987/E1987</f>
        <v>1</v>
      </c>
      <c r="M1987" s="1">
        <f t="shared" ref="M1987:M2050" si="282">L1987*C1987</f>
        <v>142.58000000000001</v>
      </c>
      <c r="N1987" s="1">
        <f t="shared" ref="N1987:N2050" si="283">L1987*D1987</f>
        <v>138.55000000000001</v>
      </c>
      <c r="O1987" s="1">
        <f t="shared" ref="O1987:O2050" si="284">G1987-$G$5163</f>
        <v>137.44999999999999</v>
      </c>
      <c r="P1987" s="1">
        <f t="shared" ref="P1987:P2050" si="285">(G1987-$G$5163)/$G$5163</f>
        <v>70.127551020408163</v>
      </c>
    </row>
    <row r="1988" spans="1:16">
      <c r="A1988" s="2">
        <v>40175</v>
      </c>
      <c r="B1988" s="1">
        <v>139.75</v>
      </c>
      <c r="C1988" s="1">
        <v>141.97999999999999</v>
      </c>
      <c r="D1988" s="1">
        <v>138.53</v>
      </c>
      <c r="E1988" s="1">
        <v>139.31</v>
      </c>
      <c r="F1988" s="1">
        <v>8763900</v>
      </c>
      <c r="G1988" s="1">
        <v>139.31</v>
      </c>
      <c r="H1988" s="1">
        <f t="shared" si="279"/>
        <v>3.4499999999999886</v>
      </c>
      <c r="I1988" s="9">
        <f t="shared" ref="I1988:I2051" si="286">(C1988-D1988)/D1988</f>
        <v>2.4904352847758528E-2</v>
      </c>
      <c r="J1988" s="1">
        <f t="shared" ref="J1988:J2051" si="287">G1988-G1989</f>
        <v>0.84000000000000341</v>
      </c>
      <c r="K1988" s="9">
        <f t="shared" si="280"/>
        <v>6.0662959485809449E-3</v>
      </c>
      <c r="L1988" s="1">
        <f t="shared" si="281"/>
        <v>1</v>
      </c>
      <c r="M1988" s="1">
        <f t="shared" si="282"/>
        <v>141.97999999999999</v>
      </c>
      <c r="N1988" s="1">
        <f t="shared" si="283"/>
        <v>138.53</v>
      </c>
      <c r="O1988" s="1">
        <f t="shared" si="284"/>
        <v>137.35</v>
      </c>
      <c r="P1988" s="1">
        <f t="shared" si="285"/>
        <v>70.076530612244895</v>
      </c>
    </row>
    <row r="1989" spans="1:16">
      <c r="A1989" s="2">
        <v>40171</v>
      </c>
      <c r="B1989" s="1">
        <v>139.19999999999999</v>
      </c>
      <c r="C1989" s="1">
        <v>139.69999999999999</v>
      </c>
      <c r="D1989" s="1">
        <v>137.54</v>
      </c>
      <c r="E1989" s="1">
        <v>138.47</v>
      </c>
      <c r="F1989" s="1">
        <v>5128800</v>
      </c>
      <c r="G1989" s="1">
        <v>138.47</v>
      </c>
      <c r="H1989" s="1">
        <f t="shared" si="279"/>
        <v>2.1599999999999966</v>
      </c>
      <c r="I1989" s="9">
        <f t="shared" si="286"/>
        <v>1.5704522320779384E-2</v>
      </c>
      <c r="J1989" s="1">
        <f t="shared" si="287"/>
        <v>-0.46999999999999886</v>
      </c>
      <c r="K1989" s="9">
        <f t="shared" si="280"/>
        <v>-3.3827551461062247E-3</v>
      </c>
      <c r="L1989" s="1">
        <f t="shared" si="281"/>
        <v>1</v>
      </c>
      <c r="M1989" s="1">
        <f t="shared" si="282"/>
        <v>139.69999999999999</v>
      </c>
      <c r="N1989" s="1">
        <f t="shared" si="283"/>
        <v>137.54</v>
      </c>
      <c r="O1989" s="1">
        <f t="shared" si="284"/>
        <v>136.51</v>
      </c>
      <c r="P1989" s="1">
        <f t="shared" si="285"/>
        <v>69.647959183673464</v>
      </c>
    </row>
    <row r="1990" spans="1:16">
      <c r="A1990" s="2">
        <v>40170</v>
      </c>
      <c r="B1990" s="1">
        <v>134.80000000000001</v>
      </c>
      <c r="C1990" s="1">
        <v>139.05000000000001</v>
      </c>
      <c r="D1990" s="1">
        <v>134.35</v>
      </c>
      <c r="E1990" s="1">
        <v>138.94</v>
      </c>
      <c r="F1990" s="1">
        <v>9546100</v>
      </c>
      <c r="G1990" s="1">
        <v>138.94</v>
      </c>
      <c r="H1990" s="1">
        <f t="shared" si="279"/>
        <v>4.7000000000000171</v>
      </c>
      <c r="I1990" s="9">
        <f t="shared" si="286"/>
        <v>3.498325269817653E-2</v>
      </c>
      <c r="J1990" s="1">
        <f t="shared" si="287"/>
        <v>5.1899999999999977</v>
      </c>
      <c r="K1990" s="9">
        <f t="shared" si="280"/>
        <v>3.8803738317756992E-2</v>
      </c>
      <c r="L1990" s="1">
        <f t="shared" si="281"/>
        <v>1</v>
      </c>
      <c r="M1990" s="1">
        <f t="shared" si="282"/>
        <v>139.05000000000001</v>
      </c>
      <c r="N1990" s="1">
        <f t="shared" si="283"/>
        <v>134.35</v>
      </c>
      <c r="O1990" s="1">
        <f t="shared" si="284"/>
        <v>136.97999999999999</v>
      </c>
      <c r="P1990" s="1">
        <f t="shared" si="285"/>
        <v>69.887755102040813</v>
      </c>
    </row>
    <row r="1991" spans="1:16">
      <c r="A1991" s="2">
        <v>40169</v>
      </c>
      <c r="B1991" s="1">
        <v>133.76</v>
      </c>
      <c r="C1991" s="1">
        <v>135.99</v>
      </c>
      <c r="D1991" s="1">
        <v>132.65</v>
      </c>
      <c r="E1991" s="1">
        <v>133.75</v>
      </c>
      <c r="F1991" s="1">
        <v>8257500</v>
      </c>
      <c r="G1991" s="1">
        <v>133.75</v>
      </c>
      <c r="H1991" s="1">
        <f t="shared" si="279"/>
        <v>3.3400000000000034</v>
      </c>
      <c r="I1991" s="9">
        <f t="shared" si="286"/>
        <v>2.5179042593290638E-2</v>
      </c>
      <c r="J1991" s="1">
        <f t="shared" si="287"/>
        <v>0.96000000000000796</v>
      </c>
      <c r="K1991" s="9">
        <f t="shared" si="280"/>
        <v>7.229460049702598E-3</v>
      </c>
      <c r="L1991" s="1">
        <f t="shared" si="281"/>
        <v>1</v>
      </c>
      <c r="M1991" s="1">
        <f t="shared" si="282"/>
        <v>135.99</v>
      </c>
      <c r="N1991" s="1">
        <f t="shared" si="283"/>
        <v>132.65</v>
      </c>
      <c r="O1991" s="1">
        <f t="shared" si="284"/>
        <v>131.79</v>
      </c>
      <c r="P1991" s="1">
        <f t="shared" si="285"/>
        <v>67.239795918367349</v>
      </c>
    </row>
    <row r="1992" spans="1:16">
      <c r="A1992" s="2">
        <v>40168</v>
      </c>
      <c r="B1992" s="1">
        <v>130.47999999999999</v>
      </c>
      <c r="C1992" s="1">
        <v>133.19999999999999</v>
      </c>
      <c r="D1992" s="1">
        <v>130.19</v>
      </c>
      <c r="E1992" s="1">
        <v>132.79</v>
      </c>
      <c r="F1992" s="1">
        <v>9473600</v>
      </c>
      <c r="G1992" s="1">
        <v>132.79</v>
      </c>
      <c r="H1992" s="1">
        <f t="shared" si="279"/>
        <v>3.0099999999999909</v>
      </c>
      <c r="I1992" s="9">
        <f t="shared" si="286"/>
        <v>2.3120055303786705E-2</v>
      </c>
      <c r="J1992" s="1">
        <f t="shared" si="287"/>
        <v>4.3100000000000023</v>
      </c>
      <c r="K1992" s="9">
        <f t="shared" si="280"/>
        <v>3.3546077210460795E-2</v>
      </c>
      <c r="L1992" s="1">
        <f t="shared" si="281"/>
        <v>1</v>
      </c>
      <c r="M1992" s="1">
        <f t="shared" si="282"/>
        <v>133.19999999999999</v>
      </c>
      <c r="N1992" s="1">
        <f t="shared" si="283"/>
        <v>130.19</v>
      </c>
      <c r="O1992" s="1">
        <f t="shared" si="284"/>
        <v>130.82999999999998</v>
      </c>
      <c r="P1992" s="1">
        <f t="shared" si="285"/>
        <v>66.75</v>
      </c>
    </row>
    <row r="1993" spans="1:16">
      <c r="A1993" s="2">
        <v>40165</v>
      </c>
      <c r="B1993" s="1">
        <v>127.91</v>
      </c>
      <c r="C1993" s="1">
        <v>128.79</v>
      </c>
      <c r="D1993" s="1">
        <v>125.65</v>
      </c>
      <c r="E1993" s="1">
        <v>128.47999999999999</v>
      </c>
      <c r="F1993" s="1">
        <v>9605400</v>
      </c>
      <c r="G1993" s="1">
        <v>128.47999999999999</v>
      </c>
      <c r="H1993" s="1">
        <f t="shared" si="279"/>
        <v>3.1399999999999864</v>
      </c>
      <c r="I1993" s="9">
        <f t="shared" si="286"/>
        <v>2.4990051730998695E-2</v>
      </c>
      <c r="J1993" s="1">
        <f t="shared" si="287"/>
        <v>1.5699999999999932</v>
      </c>
      <c r="K1993" s="9">
        <f t="shared" si="280"/>
        <v>1.237097155464497E-2</v>
      </c>
      <c r="L1993" s="1">
        <f t="shared" si="281"/>
        <v>1</v>
      </c>
      <c r="M1993" s="1">
        <f t="shared" si="282"/>
        <v>128.79</v>
      </c>
      <c r="N1993" s="1">
        <f t="shared" si="283"/>
        <v>125.65</v>
      </c>
      <c r="O1993" s="1">
        <f t="shared" si="284"/>
        <v>126.52</v>
      </c>
      <c r="P1993" s="1">
        <f t="shared" si="285"/>
        <v>64.551020408163268</v>
      </c>
    </row>
    <row r="1994" spans="1:16">
      <c r="A1994" s="2">
        <v>40164</v>
      </c>
      <c r="B1994" s="1">
        <v>129.36000000000001</v>
      </c>
      <c r="C1994" s="1">
        <v>130.08000000000001</v>
      </c>
      <c r="D1994" s="1">
        <v>126.9</v>
      </c>
      <c r="E1994" s="1">
        <v>126.91</v>
      </c>
      <c r="F1994" s="1">
        <v>8476500</v>
      </c>
      <c r="G1994" s="1">
        <v>126.91</v>
      </c>
      <c r="H1994" s="1">
        <f t="shared" si="279"/>
        <v>3.1800000000000068</v>
      </c>
      <c r="I1994" s="9">
        <f t="shared" si="286"/>
        <v>2.5059101654846389E-2</v>
      </c>
      <c r="J1994" s="1">
        <f t="shared" si="287"/>
        <v>-1.4500000000000171</v>
      </c>
      <c r="K1994" s="9">
        <f t="shared" si="280"/>
        <v>-1.1296354004362862E-2</v>
      </c>
      <c r="L1994" s="1">
        <f t="shared" si="281"/>
        <v>1</v>
      </c>
      <c r="M1994" s="1">
        <f t="shared" si="282"/>
        <v>130.08000000000001</v>
      </c>
      <c r="N1994" s="1">
        <f t="shared" si="283"/>
        <v>126.9</v>
      </c>
      <c r="O1994" s="1">
        <f t="shared" si="284"/>
        <v>124.95</v>
      </c>
      <c r="P1994" s="1">
        <f t="shared" si="285"/>
        <v>63.75</v>
      </c>
    </row>
    <row r="1995" spans="1:16">
      <c r="A1995" s="2">
        <v>40163</v>
      </c>
      <c r="B1995" s="1">
        <v>130.93</v>
      </c>
      <c r="C1995" s="1">
        <v>131.44999999999999</v>
      </c>
      <c r="D1995" s="1">
        <v>127.65</v>
      </c>
      <c r="E1995" s="1">
        <v>128.36000000000001</v>
      </c>
      <c r="F1995" s="1">
        <v>10261300</v>
      </c>
      <c r="G1995" s="1">
        <v>128.36000000000001</v>
      </c>
      <c r="H1995" s="1">
        <f t="shared" si="279"/>
        <v>3.7999999999999829</v>
      </c>
      <c r="I1995" s="9">
        <f t="shared" si="286"/>
        <v>2.976889933411659E-2</v>
      </c>
      <c r="J1995" s="1">
        <f t="shared" si="287"/>
        <v>-1.8699999999999761</v>
      </c>
      <c r="K1995" s="9">
        <f t="shared" si="280"/>
        <v>-1.4359210627351427E-2</v>
      </c>
      <c r="L1995" s="1">
        <f t="shared" si="281"/>
        <v>1</v>
      </c>
      <c r="M1995" s="1">
        <f t="shared" si="282"/>
        <v>131.44999999999999</v>
      </c>
      <c r="N1995" s="1">
        <f t="shared" si="283"/>
        <v>127.65</v>
      </c>
      <c r="O1995" s="1">
        <f t="shared" si="284"/>
        <v>126.40000000000002</v>
      </c>
      <c r="P1995" s="1">
        <f t="shared" si="285"/>
        <v>64.489795918367363</v>
      </c>
    </row>
    <row r="1996" spans="1:16">
      <c r="A1996" s="2">
        <v>40162</v>
      </c>
      <c r="B1996" s="1">
        <v>130.76</v>
      </c>
      <c r="C1996" s="1">
        <v>132.46</v>
      </c>
      <c r="D1996" s="1">
        <v>129.59</v>
      </c>
      <c r="E1996" s="1">
        <v>130.22999999999999</v>
      </c>
      <c r="F1996" s="1">
        <v>7428800</v>
      </c>
      <c r="G1996" s="1">
        <v>130.22999999999999</v>
      </c>
      <c r="H1996" s="1">
        <f t="shared" si="279"/>
        <v>2.8700000000000045</v>
      </c>
      <c r="I1996" s="9">
        <f t="shared" si="286"/>
        <v>2.2146770584150047E-2</v>
      </c>
      <c r="J1996" s="1">
        <f t="shared" si="287"/>
        <v>-1.1500000000000057</v>
      </c>
      <c r="K1996" s="9">
        <f t="shared" si="280"/>
        <v>-8.753234891155471E-3</v>
      </c>
      <c r="L1996" s="1">
        <f t="shared" si="281"/>
        <v>1</v>
      </c>
      <c r="M1996" s="1">
        <f t="shared" si="282"/>
        <v>132.46</v>
      </c>
      <c r="N1996" s="1">
        <f t="shared" si="283"/>
        <v>129.59</v>
      </c>
      <c r="O1996" s="1">
        <f t="shared" si="284"/>
        <v>128.26999999999998</v>
      </c>
      <c r="P1996" s="1">
        <f t="shared" si="285"/>
        <v>65.443877551020407</v>
      </c>
    </row>
    <row r="1997" spans="1:16">
      <c r="A1997" s="2">
        <v>40161</v>
      </c>
      <c r="B1997" s="1">
        <v>132.5</v>
      </c>
      <c r="C1997" s="1">
        <v>132.61000000000001</v>
      </c>
      <c r="D1997" s="1">
        <v>129.35</v>
      </c>
      <c r="E1997" s="1">
        <v>131.38</v>
      </c>
      <c r="F1997" s="1">
        <v>10022900</v>
      </c>
      <c r="G1997" s="1">
        <v>131.38</v>
      </c>
      <c r="H1997" s="1">
        <f t="shared" si="279"/>
        <v>3.2600000000000193</v>
      </c>
      <c r="I1997" s="9">
        <f t="shared" si="286"/>
        <v>2.5202937765751988E-2</v>
      </c>
      <c r="J1997" s="1">
        <f t="shared" si="287"/>
        <v>-2.7700000000000102</v>
      </c>
      <c r="K1997" s="9">
        <f t="shared" si="280"/>
        <v>-2.0648527767424599E-2</v>
      </c>
      <c r="L1997" s="1">
        <f t="shared" si="281"/>
        <v>1</v>
      </c>
      <c r="M1997" s="1">
        <f t="shared" si="282"/>
        <v>132.61000000000001</v>
      </c>
      <c r="N1997" s="1">
        <f t="shared" si="283"/>
        <v>129.35</v>
      </c>
      <c r="O1997" s="1">
        <f t="shared" si="284"/>
        <v>129.41999999999999</v>
      </c>
      <c r="P1997" s="1">
        <f t="shared" si="285"/>
        <v>66.030612244897952</v>
      </c>
    </row>
    <row r="1998" spans="1:16">
      <c r="A1998" s="2">
        <v>40158</v>
      </c>
      <c r="B1998" s="1">
        <v>136.07</v>
      </c>
      <c r="C1998" s="1">
        <v>136.29</v>
      </c>
      <c r="D1998" s="1">
        <v>133.19999999999999</v>
      </c>
      <c r="E1998" s="1">
        <v>134.15</v>
      </c>
      <c r="F1998" s="1">
        <v>8046700</v>
      </c>
      <c r="G1998" s="1">
        <v>134.15</v>
      </c>
      <c r="H1998" s="1">
        <f t="shared" si="279"/>
        <v>3.0900000000000034</v>
      </c>
      <c r="I1998" s="9">
        <f t="shared" si="286"/>
        <v>2.3198198198198225E-2</v>
      </c>
      <c r="J1998" s="1">
        <f t="shared" si="287"/>
        <v>-1.2299999999999898</v>
      </c>
      <c r="K1998" s="9">
        <f t="shared" si="280"/>
        <v>-9.0855370069433429E-3</v>
      </c>
      <c r="L1998" s="1">
        <f t="shared" si="281"/>
        <v>1</v>
      </c>
      <c r="M1998" s="1">
        <f t="shared" si="282"/>
        <v>136.29</v>
      </c>
      <c r="N1998" s="1">
        <f t="shared" si="283"/>
        <v>133.19999999999999</v>
      </c>
      <c r="O1998" s="1">
        <f t="shared" si="284"/>
        <v>132.19</v>
      </c>
      <c r="P1998" s="1">
        <f t="shared" si="285"/>
        <v>67.443877551020407</v>
      </c>
    </row>
    <row r="1999" spans="1:16">
      <c r="A1999" s="2">
        <v>40157</v>
      </c>
      <c r="B1999" s="1">
        <v>132.41</v>
      </c>
      <c r="C1999" s="1">
        <v>136.19</v>
      </c>
      <c r="D1999" s="1">
        <v>132.4</v>
      </c>
      <c r="E1999" s="1">
        <v>135.38</v>
      </c>
      <c r="F1999" s="1">
        <v>11343600</v>
      </c>
      <c r="G1999" s="1">
        <v>135.38</v>
      </c>
      <c r="H1999" s="1">
        <f t="shared" si="279"/>
        <v>3.789999999999992</v>
      </c>
      <c r="I1999" s="9">
        <f t="shared" si="286"/>
        <v>2.8625377643504469E-2</v>
      </c>
      <c r="J1999" s="1">
        <f t="shared" si="287"/>
        <v>4.0699999999999932</v>
      </c>
      <c r="K1999" s="9">
        <f t="shared" si="280"/>
        <v>3.0995354504607366E-2</v>
      </c>
      <c r="L1999" s="1">
        <f t="shared" si="281"/>
        <v>1</v>
      </c>
      <c r="M1999" s="1">
        <f t="shared" si="282"/>
        <v>136.19</v>
      </c>
      <c r="N1999" s="1">
        <f t="shared" si="283"/>
        <v>132.4</v>
      </c>
      <c r="O1999" s="1">
        <f t="shared" si="284"/>
        <v>133.41999999999999</v>
      </c>
      <c r="P1999" s="1">
        <f t="shared" si="285"/>
        <v>68.071428571428569</v>
      </c>
    </row>
    <row r="2000" spans="1:16">
      <c r="A2000" s="2">
        <v>40156</v>
      </c>
      <c r="B2000" s="1">
        <v>134.6</v>
      </c>
      <c r="C2000" s="1">
        <v>134.71</v>
      </c>
      <c r="D2000" s="1">
        <v>129.82</v>
      </c>
      <c r="E2000" s="1">
        <v>131.31</v>
      </c>
      <c r="F2000" s="1">
        <v>12632900</v>
      </c>
      <c r="G2000" s="1">
        <v>131.31</v>
      </c>
      <c r="H2000" s="1">
        <f t="shared" si="279"/>
        <v>4.8900000000000148</v>
      </c>
      <c r="I2000" s="9">
        <f t="shared" si="286"/>
        <v>3.7667539670312854E-2</v>
      </c>
      <c r="J2000" s="1">
        <f t="shared" si="287"/>
        <v>-2.8000000000000114</v>
      </c>
      <c r="K2000" s="9">
        <f t="shared" si="280"/>
        <v>-2.0878383416598398E-2</v>
      </c>
      <c r="L2000" s="1">
        <f t="shared" si="281"/>
        <v>1</v>
      </c>
      <c r="M2000" s="1">
        <f t="shared" si="282"/>
        <v>134.71</v>
      </c>
      <c r="N2000" s="1">
        <f t="shared" si="283"/>
        <v>129.82</v>
      </c>
      <c r="O2000" s="1">
        <f t="shared" si="284"/>
        <v>129.35</v>
      </c>
      <c r="P2000" s="1">
        <f t="shared" si="285"/>
        <v>65.994897959183675</v>
      </c>
    </row>
    <row r="2001" spans="1:16">
      <c r="A2001" s="2">
        <v>40155</v>
      </c>
      <c r="B2001" s="1">
        <v>134.30000000000001</v>
      </c>
      <c r="C2001" s="1">
        <v>136.08000000000001</v>
      </c>
      <c r="D2001" s="1">
        <v>132.87</v>
      </c>
      <c r="E2001" s="1">
        <v>134.11000000000001</v>
      </c>
      <c r="F2001" s="1">
        <v>8002800</v>
      </c>
      <c r="G2001" s="1">
        <v>134.11000000000001</v>
      </c>
      <c r="H2001" s="1">
        <f t="shared" si="279"/>
        <v>3.210000000000008</v>
      </c>
      <c r="I2001" s="9">
        <f t="shared" si="286"/>
        <v>2.4158952359449145E-2</v>
      </c>
      <c r="J2001" s="1">
        <f t="shared" si="287"/>
        <v>-9.9999999999994316E-2</v>
      </c>
      <c r="K2001" s="9">
        <f t="shared" si="280"/>
        <v>-7.4510096118019756E-4</v>
      </c>
      <c r="L2001" s="1">
        <f t="shared" si="281"/>
        <v>1</v>
      </c>
      <c r="M2001" s="1">
        <f t="shared" si="282"/>
        <v>136.08000000000001</v>
      </c>
      <c r="N2001" s="1">
        <f t="shared" si="283"/>
        <v>132.87</v>
      </c>
      <c r="O2001" s="1">
        <f t="shared" si="284"/>
        <v>132.15</v>
      </c>
      <c r="P2001" s="1">
        <f t="shared" si="285"/>
        <v>67.423469387755105</v>
      </c>
    </row>
    <row r="2002" spans="1:16">
      <c r="A2002" s="2">
        <v>40154</v>
      </c>
      <c r="B2002" s="1">
        <v>138</v>
      </c>
      <c r="C2002" s="1">
        <v>139</v>
      </c>
      <c r="D2002" s="1">
        <v>133.84</v>
      </c>
      <c r="E2002" s="1">
        <v>134.21</v>
      </c>
      <c r="F2002" s="1">
        <v>7837000</v>
      </c>
      <c r="G2002" s="1">
        <v>134.21</v>
      </c>
      <c r="H2002" s="1">
        <f t="shared" si="279"/>
        <v>5.1599999999999966</v>
      </c>
      <c r="I2002" s="9">
        <f t="shared" si="286"/>
        <v>3.8553496712492502E-2</v>
      </c>
      <c r="J2002" s="1">
        <f t="shared" si="287"/>
        <v>-3.3700000000000045</v>
      </c>
      <c r="K2002" s="9">
        <f t="shared" si="280"/>
        <v>-2.4494839366186977E-2</v>
      </c>
      <c r="L2002" s="1">
        <f t="shared" si="281"/>
        <v>1</v>
      </c>
      <c r="M2002" s="1">
        <f t="shared" si="282"/>
        <v>139</v>
      </c>
      <c r="N2002" s="1">
        <f t="shared" si="283"/>
        <v>133.84</v>
      </c>
      <c r="O2002" s="1">
        <f t="shared" si="284"/>
        <v>132.25</v>
      </c>
      <c r="P2002" s="1">
        <f t="shared" si="285"/>
        <v>67.474489795918373</v>
      </c>
    </row>
    <row r="2003" spans="1:16">
      <c r="A2003" s="2">
        <v>40151</v>
      </c>
      <c r="B2003" s="1">
        <v>143.41999999999999</v>
      </c>
      <c r="C2003" s="1">
        <v>143.44999999999999</v>
      </c>
      <c r="D2003" s="1">
        <v>135.11000000000001</v>
      </c>
      <c r="E2003" s="1">
        <v>137.58000000000001</v>
      </c>
      <c r="F2003" s="1">
        <v>14827400</v>
      </c>
      <c r="G2003" s="1">
        <v>137.58000000000001</v>
      </c>
      <c r="H2003" s="1">
        <f t="shared" si="279"/>
        <v>8.339999999999975</v>
      </c>
      <c r="I2003" s="9">
        <f t="shared" si="286"/>
        <v>6.1727481311523752E-2</v>
      </c>
      <c r="J2003" s="1">
        <f t="shared" si="287"/>
        <v>-3.589999999999975</v>
      </c>
      <c r="K2003" s="9">
        <f t="shared" si="280"/>
        <v>-2.5430332223560073E-2</v>
      </c>
      <c r="L2003" s="1">
        <f t="shared" si="281"/>
        <v>1</v>
      </c>
      <c r="M2003" s="1">
        <f t="shared" si="282"/>
        <v>143.44999999999999</v>
      </c>
      <c r="N2003" s="1">
        <f t="shared" si="283"/>
        <v>135.11000000000001</v>
      </c>
      <c r="O2003" s="1">
        <f t="shared" si="284"/>
        <v>135.62</v>
      </c>
      <c r="P2003" s="1">
        <f t="shared" si="285"/>
        <v>69.193877551020407</v>
      </c>
    </row>
    <row r="2004" spans="1:16">
      <c r="A2004" s="2">
        <v>40150</v>
      </c>
      <c r="B2004" s="1">
        <v>143.62</v>
      </c>
      <c r="C2004" s="1">
        <v>145.91</v>
      </c>
      <c r="D2004" s="1">
        <v>140.77000000000001</v>
      </c>
      <c r="E2004" s="1">
        <v>141.16999999999999</v>
      </c>
      <c r="F2004" s="1">
        <v>16523500</v>
      </c>
      <c r="G2004" s="1">
        <v>141.16999999999999</v>
      </c>
      <c r="H2004" s="1">
        <f t="shared" si="279"/>
        <v>5.1399999999999864</v>
      </c>
      <c r="I2004" s="9">
        <f t="shared" si="286"/>
        <v>3.6513461675072717E-2</v>
      </c>
      <c r="J2004" s="1">
        <f t="shared" si="287"/>
        <v>-1.0800000000000125</v>
      </c>
      <c r="K2004" s="9">
        <f t="shared" si="280"/>
        <v>-7.5922671353252195E-3</v>
      </c>
      <c r="L2004" s="1">
        <f t="shared" si="281"/>
        <v>1</v>
      </c>
      <c r="M2004" s="1">
        <f t="shared" si="282"/>
        <v>145.91</v>
      </c>
      <c r="N2004" s="1">
        <f t="shared" si="283"/>
        <v>140.77000000000001</v>
      </c>
      <c r="O2004" s="1">
        <f t="shared" si="284"/>
        <v>139.20999999999998</v>
      </c>
      <c r="P2004" s="1">
        <f t="shared" si="285"/>
        <v>71.025510204081627</v>
      </c>
    </row>
    <row r="2005" spans="1:16">
      <c r="A2005" s="2">
        <v>40149</v>
      </c>
      <c r="B2005" s="1">
        <v>139.15</v>
      </c>
      <c r="C2005" s="1">
        <v>142.66999999999999</v>
      </c>
      <c r="D2005" s="1">
        <v>138.96</v>
      </c>
      <c r="E2005" s="1">
        <v>142.25</v>
      </c>
      <c r="F2005" s="1">
        <v>11798000</v>
      </c>
      <c r="G2005" s="1">
        <v>142.25</v>
      </c>
      <c r="H2005" s="1">
        <f t="shared" si="279"/>
        <v>3.7099999999999795</v>
      </c>
      <c r="I2005" s="9">
        <f t="shared" si="286"/>
        <v>2.669833045480699E-2</v>
      </c>
      <c r="J2005" s="1">
        <f t="shared" si="287"/>
        <v>3.75</v>
      </c>
      <c r="K2005" s="9">
        <f t="shared" si="280"/>
        <v>2.7075812274368231E-2</v>
      </c>
      <c r="L2005" s="1">
        <f t="shared" si="281"/>
        <v>1</v>
      </c>
      <c r="M2005" s="1">
        <f t="shared" si="282"/>
        <v>142.66999999999999</v>
      </c>
      <c r="N2005" s="1">
        <f t="shared" si="283"/>
        <v>138.96</v>
      </c>
      <c r="O2005" s="1">
        <f t="shared" si="284"/>
        <v>140.29</v>
      </c>
      <c r="P2005" s="1">
        <f t="shared" si="285"/>
        <v>71.576530612244895</v>
      </c>
    </row>
    <row r="2006" spans="1:16">
      <c r="A2006" s="2">
        <v>40148</v>
      </c>
      <c r="B2006" s="1">
        <v>136.94</v>
      </c>
      <c r="C2006" s="1">
        <v>139.35</v>
      </c>
      <c r="D2006" s="1">
        <v>135.75</v>
      </c>
      <c r="E2006" s="1">
        <v>138.5</v>
      </c>
      <c r="F2006" s="1">
        <v>9657600</v>
      </c>
      <c r="G2006" s="1">
        <v>138.5</v>
      </c>
      <c r="H2006" s="1">
        <f t="shared" si="279"/>
        <v>3.5999999999999943</v>
      </c>
      <c r="I2006" s="9">
        <f t="shared" si="286"/>
        <v>2.6519337016574544E-2</v>
      </c>
      <c r="J2006" s="1">
        <f t="shared" si="287"/>
        <v>2.5900000000000034</v>
      </c>
      <c r="K2006" s="9">
        <f t="shared" si="280"/>
        <v>1.9056728717533687E-2</v>
      </c>
      <c r="L2006" s="1">
        <f t="shared" si="281"/>
        <v>1</v>
      </c>
      <c r="M2006" s="1">
        <f t="shared" si="282"/>
        <v>139.35</v>
      </c>
      <c r="N2006" s="1">
        <f t="shared" si="283"/>
        <v>135.75</v>
      </c>
      <c r="O2006" s="1">
        <f t="shared" si="284"/>
        <v>136.54</v>
      </c>
      <c r="P2006" s="1">
        <f t="shared" si="285"/>
        <v>69.66326530612244</v>
      </c>
    </row>
    <row r="2007" spans="1:16">
      <c r="A2007" s="2">
        <v>40147</v>
      </c>
      <c r="B2007" s="1">
        <v>132.19</v>
      </c>
      <c r="C2007" s="1">
        <v>136.08000000000001</v>
      </c>
      <c r="D2007" s="1">
        <v>132.16</v>
      </c>
      <c r="E2007" s="1">
        <v>135.91</v>
      </c>
      <c r="F2007" s="1">
        <v>10119500</v>
      </c>
      <c r="G2007" s="1">
        <v>135.91</v>
      </c>
      <c r="H2007" s="1">
        <f t="shared" si="279"/>
        <v>3.9200000000000159</v>
      </c>
      <c r="I2007" s="9">
        <f t="shared" si="286"/>
        <v>2.9661016949152665E-2</v>
      </c>
      <c r="J2007" s="1">
        <f t="shared" si="287"/>
        <v>4.1699999999999875</v>
      </c>
      <c r="K2007" s="9">
        <f t="shared" si="280"/>
        <v>3.1653256414148984E-2</v>
      </c>
      <c r="L2007" s="1">
        <f t="shared" si="281"/>
        <v>1</v>
      </c>
      <c r="M2007" s="1">
        <f t="shared" si="282"/>
        <v>136.08000000000001</v>
      </c>
      <c r="N2007" s="1">
        <f t="shared" si="283"/>
        <v>132.16</v>
      </c>
      <c r="O2007" s="1">
        <f t="shared" si="284"/>
        <v>133.94999999999999</v>
      </c>
      <c r="P2007" s="1">
        <f t="shared" si="285"/>
        <v>68.341836734693871</v>
      </c>
    </row>
    <row r="2008" spans="1:16">
      <c r="A2008" s="2">
        <v>40144</v>
      </c>
      <c r="B2008" s="1">
        <v>130.30000000000001</v>
      </c>
      <c r="C2008" s="1">
        <v>133</v>
      </c>
      <c r="D2008" s="1">
        <v>129.88</v>
      </c>
      <c r="E2008" s="1">
        <v>131.74</v>
      </c>
      <c r="F2008" s="1">
        <v>4422600</v>
      </c>
      <c r="G2008" s="1">
        <v>131.74</v>
      </c>
      <c r="H2008" s="1">
        <f t="shared" si="279"/>
        <v>3.1200000000000045</v>
      </c>
      <c r="I2008" s="9">
        <f t="shared" si="286"/>
        <v>2.4022174314752114E-2</v>
      </c>
      <c r="J2008" s="1">
        <f t="shared" si="287"/>
        <v>-2.289999999999992</v>
      </c>
      <c r="K2008" s="9">
        <f t="shared" si="280"/>
        <v>-1.7085727076027696E-2</v>
      </c>
      <c r="L2008" s="1">
        <f t="shared" si="281"/>
        <v>1</v>
      </c>
      <c r="M2008" s="1">
        <f t="shared" si="282"/>
        <v>133</v>
      </c>
      <c r="N2008" s="1">
        <f t="shared" si="283"/>
        <v>129.88</v>
      </c>
      <c r="O2008" s="1">
        <f t="shared" si="284"/>
        <v>129.78</v>
      </c>
      <c r="P2008" s="1">
        <f t="shared" si="285"/>
        <v>66.214285714285722</v>
      </c>
    </row>
    <row r="2009" spans="1:16">
      <c r="A2009" s="2">
        <v>40142</v>
      </c>
      <c r="B2009" s="1">
        <v>133.31</v>
      </c>
      <c r="C2009" s="1">
        <v>134.19999999999999</v>
      </c>
      <c r="D2009" s="1">
        <v>132.4</v>
      </c>
      <c r="E2009" s="1">
        <v>134.03</v>
      </c>
      <c r="F2009" s="1">
        <v>5071200</v>
      </c>
      <c r="G2009" s="1">
        <v>134.03</v>
      </c>
      <c r="H2009" s="1">
        <f t="shared" si="279"/>
        <v>1.7999999999999829</v>
      </c>
      <c r="I2009" s="9">
        <f t="shared" si="286"/>
        <v>1.3595166163141865E-2</v>
      </c>
      <c r="J2009" s="1">
        <f t="shared" si="287"/>
        <v>1.0900000000000034</v>
      </c>
      <c r="K2009" s="9">
        <f t="shared" si="280"/>
        <v>8.1991876034301445E-3</v>
      </c>
      <c r="L2009" s="1">
        <f t="shared" si="281"/>
        <v>1</v>
      </c>
      <c r="M2009" s="1">
        <f t="shared" si="282"/>
        <v>134.19999999999999</v>
      </c>
      <c r="N2009" s="1">
        <f t="shared" si="283"/>
        <v>132.4</v>
      </c>
      <c r="O2009" s="1">
        <f t="shared" si="284"/>
        <v>132.07</v>
      </c>
      <c r="P2009" s="1">
        <f t="shared" si="285"/>
        <v>67.382653061224488</v>
      </c>
    </row>
    <row r="2010" spans="1:16">
      <c r="A2010" s="2">
        <v>40141</v>
      </c>
      <c r="B2010" s="1">
        <v>133.57</v>
      </c>
      <c r="C2010" s="1">
        <v>134.33000000000001</v>
      </c>
      <c r="D2010" s="1">
        <v>132.22</v>
      </c>
      <c r="E2010" s="1">
        <v>132.94</v>
      </c>
      <c r="F2010" s="1">
        <v>7319700</v>
      </c>
      <c r="G2010" s="1">
        <v>132.94</v>
      </c>
      <c r="H2010" s="1">
        <f t="shared" si="279"/>
        <v>2.1100000000000136</v>
      </c>
      <c r="I2010" s="9">
        <f t="shared" si="286"/>
        <v>1.5958251399183283E-2</v>
      </c>
      <c r="J2010" s="1">
        <f t="shared" si="287"/>
        <v>-6.0000000000002274E-2</v>
      </c>
      <c r="K2010" s="9">
        <f t="shared" si="280"/>
        <v>-4.5112781954888926E-4</v>
      </c>
      <c r="L2010" s="1">
        <f t="shared" si="281"/>
        <v>1</v>
      </c>
      <c r="M2010" s="1">
        <f t="shared" si="282"/>
        <v>134.33000000000001</v>
      </c>
      <c r="N2010" s="1">
        <f t="shared" si="283"/>
        <v>132.22</v>
      </c>
      <c r="O2010" s="1">
        <f t="shared" si="284"/>
        <v>130.97999999999999</v>
      </c>
      <c r="P2010" s="1">
        <f t="shared" si="285"/>
        <v>66.826530612244895</v>
      </c>
    </row>
    <row r="2011" spans="1:16">
      <c r="A2011" s="2">
        <v>40140</v>
      </c>
      <c r="B2011" s="1">
        <v>131.05000000000001</v>
      </c>
      <c r="C2011" s="1">
        <v>133</v>
      </c>
      <c r="D2011" s="1">
        <v>131</v>
      </c>
      <c r="E2011" s="1">
        <v>133</v>
      </c>
      <c r="F2011" s="1">
        <v>6878100</v>
      </c>
      <c r="G2011" s="1">
        <v>133</v>
      </c>
      <c r="H2011" s="1">
        <f t="shared" si="279"/>
        <v>2</v>
      </c>
      <c r="I2011" s="9">
        <f t="shared" si="286"/>
        <v>1.5267175572519083E-2</v>
      </c>
      <c r="J2011" s="1">
        <f t="shared" si="287"/>
        <v>3.3400000000000034</v>
      </c>
      <c r="K2011" s="9">
        <f t="shared" si="280"/>
        <v>2.5759679160882336E-2</v>
      </c>
      <c r="L2011" s="1">
        <f t="shared" si="281"/>
        <v>1</v>
      </c>
      <c r="M2011" s="1">
        <f t="shared" si="282"/>
        <v>133</v>
      </c>
      <c r="N2011" s="1">
        <f t="shared" si="283"/>
        <v>131</v>
      </c>
      <c r="O2011" s="1">
        <f t="shared" si="284"/>
        <v>131.04</v>
      </c>
      <c r="P2011" s="1">
        <f t="shared" si="285"/>
        <v>66.857142857142861</v>
      </c>
    </row>
    <row r="2012" spans="1:16">
      <c r="A2012" s="2">
        <v>40137</v>
      </c>
      <c r="B2012" s="1">
        <v>127.76</v>
      </c>
      <c r="C2012" s="1">
        <v>129.99</v>
      </c>
      <c r="D2012" s="1">
        <v>127.41</v>
      </c>
      <c r="E2012" s="1">
        <v>129.66</v>
      </c>
      <c r="F2012" s="1">
        <v>6652600</v>
      </c>
      <c r="G2012" s="1">
        <v>129.66</v>
      </c>
      <c r="H2012" s="1">
        <f t="shared" si="279"/>
        <v>2.5800000000000125</v>
      </c>
      <c r="I2012" s="9">
        <f t="shared" si="286"/>
        <v>2.0249587944431463E-2</v>
      </c>
      <c r="J2012" s="1">
        <f t="shared" si="287"/>
        <v>0.66999999999998749</v>
      </c>
      <c r="K2012" s="9">
        <f t="shared" si="280"/>
        <v>5.1942011008604344E-3</v>
      </c>
      <c r="L2012" s="1">
        <f t="shared" si="281"/>
        <v>1</v>
      </c>
      <c r="M2012" s="1">
        <f t="shared" si="282"/>
        <v>129.99</v>
      </c>
      <c r="N2012" s="1">
        <f t="shared" si="283"/>
        <v>127.41</v>
      </c>
      <c r="O2012" s="1">
        <f t="shared" si="284"/>
        <v>127.7</v>
      </c>
      <c r="P2012" s="1">
        <f t="shared" si="285"/>
        <v>65.153061224489804</v>
      </c>
    </row>
    <row r="2013" spans="1:16">
      <c r="A2013" s="2">
        <v>40136</v>
      </c>
      <c r="B2013" s="1">
        <v>130.54</v>
      </c>
      <c r="C2013" s="1">
        <v>130.54</v>
      </c>
      <c r="D2013" s="1">
        <v>128.47999999999999</v>
      </c>
      <c r="E2013" s="1">
        <v>128.99</v>
      </c>
      <c r="F2013" s="1">
        <v>5998200</v>
      </c>
      <c r="G2013" s="1">
        <v>128.99</v>
      </c>
      <c r="H2013" s="1">
        <f t="shared" si="279"/>
        <v>2.0600000000000023</v>
      </c>
      <c r="I2013" s="9">
        <f t="shared" si="286"/>
        <v>1.6033623910336258E-2</v>
      </c>
      <c r="J2013" s="1">
        <f t="shared" si="287"/>
        <v>-2.2999999999999829</v>
      </c>
      <c r="K2013" s="9">
        <f t="shared" si="280"/>
        <v>-1.7518470561352601E-2</v>
      </c>
      <c r="L2013" s="1">
        <f t="shared" si="281"/>
        <v>1</v>
      </c>
      <c r="M2013" s="1">
        <f t="shared" si="282"/>
        <v>130.54</v>
      </c>
      <c r="N2013" s="1">
        <f t="shared" si="283"/>
        <v>128.47999999999999</v>
      </c>
      <c r="O2013" s="1">
        <f t="shared" si="284"/>
        <v>127.03000000000002</v>
      </c>
      <c r="P2013" s="1">
        <f t="shared" si="285"/>
        <v>64.811224489795933</v>
      </c>
    </row>
    <row r="2014" spans="1:16">
      <c r="A2014" s="2">
        <v>40135</v>
      </c>
      <c r="B2014" s="1">
        <v>130.9</v>
      </c>
      <c r="C2014" s="1">
        <v>131.41</v>
      </c>
      <c r="D2014" s="1">
        <v>129.53</v>
      </c>
      <c r="E2014" s="1">
        <v>131.29</v>
      </c>
      <c r="F2014" s="1">
        <v>5213500</v>
      </c>
      <c r="G2014" s="1">
        <v>131.29</v>
      </c>
      <c r="H2014" s="1">
        <f t="shared" si="279"/>
        <v>1.8799999999999955</v>
      </c>
      <c r="I2014" s="9">
        <f t="shared" si="286"/>
        <v>1.4514012197946386E-2</v>
      </c>
      <c r="J2014" s="1">
        <f t="shared" si="287"/>
        <v>3.9999999999992042E-2</v>
      </c>
      <c r="K2014" s="9">
        <f t="shared" si="280"/>
        <v>3.0476190476184413E-4</v>
      </c>
      <c r="L2014" s="1">
        <f t="shared" si="281"/>
        <v>1</v>
      </c>
      <c r="M2014" s="1">
        <f t="shared" si="282"/>
        <v>131.41</v>
      </c>
      <c r="N2014" s="1">
        <f t="shared" si="283"/>
        <v>129.53</v>
      </c>
      <c r="O2014" s="1">
        <f t="shared" si="284"/>
        <v>129.32999999999998</v>
      </c>
      <c r="P2014" s="1">
        <f t="shared" si="285"/>
        <v>65.98469387755101</v>
      </c>
    </row>
    <row r="2015" spans="1:16">
      <c r="A2015" s="2">
        <v>40134</v>
      </c>
      <c r="B2015" s="1">
        <v>131.4</v>
      </c>
      <c r="C2015" s="1">
        <v>131.85</v>
      </c>
      <c r="D2015" s="1">
        <v>129.32</v>
      </c>
      <c r="E2015" s="1">
        <v>131.25</v>
      </c>
      <c r="F2015" s="1">
        <v>7748000</v>
      </c>
      <c r="G2015" s="1">
        <v>131.25</v>
      </c>
      <c r="H2015" s="1">
        <f t="shared" si="279"/>
        <v>2.5300000000000011</v>
      </c>
      <c r="I2015" s="9">
        <f t="shared" si="286"/>
        <v>1.9563872564181885E-2</v>
      </c>
      <c r="J2015" s="1">
        <f t="shared" si="287"/>
        <v>-0.34000000000000341</v>
      </c>
      <c r="K2015" s="9">
        <f t="shared" si="280"/>
        <v>-2.5837829622311985E-3</v>
      </c>
      <c r="L2015" s="1">
        <f t="shared" si="281"/>
        <v>1</v>
      </c>
      <c r="M2015" s="1">
        <f t="shared" si="282"/>
        <v>131.85</v>
      </c>
      <c r="N2015" s="1">
        <f t="shared" si="283"/>
        <v>129.32</v>
      </c>
      <c r="O2015" s="1">
        <f t="shared" si="284"/>
        <v>129.29</v>
      </c>
      <c r="P2015" s="1">
        <f t="shared" si="285"/>
        <v>65.964285714285708</v>
      </c>
    </row>
    <row r="2016" spans="1:16">
      <c r="A2016" s="2">
        <v>40133</v>
      </c>
      <c r="B2016" s="1">
        <v>132.12</v>
      </c>
      <c r="C2016" s="1">
        <v>134.56</v>
      </c>
      <c r="D2016" s="1">
        <v>130.97999999999999</v>
      </c>
      <c r="E2016" s="1">
        <v>131.59</v>
      </c>
      <c r="F2016" s="1">
        <v>9018300</v>
      </c>
      <c r="G2016" s="1">
        <v>131.59</v>
      </c>
      <c r="H2016" s="1">
        <f t="shared" si="279"/>
        <v>3.5800000000000125</v>
      </c>
      <c r="I2016" s="9">
        <f t="shared" si="286"/>
        <v>2.7332417162925737E-2</v>
      </c>
      <c r="J2016" s="1">
        <f t="shared" si="287"/>
        <v>-1.3799999999999955</v>
      </c>
      <c r="K2016" s="9">
        <f t="shared" si="280"/>
        <v>-1.0378280815221444E-2</v>
      </c>
      <c r="L2016" s="1">
        <f t="shared" si="281"/>
        <v>1</v>
      </c>
      <c r="M2016" s="1">
        <f t="shared" si="282"/>
        <v>134.56</v>
      </c>
      <c r="N2016" s="1">
        <f t="shared" si="283"/>
        <v>130.97999999999999</v>
      </c>
      <c r="O2016" s="1">
        <f t="shared" si="284"/>
        <v>129.63</v>
      </c>
      <c r="P2016" s="1">
        <f t="shared" si="285"/>
        <v>66.137755102040813</v>
      </c>
    </row>
    <row r="2017" spans="1:16">
      <c r="A2017" s="2">
        <v>40130</v>
      </c>
      <c r="B2017" s="1">
        <v>131.16</v>
      </c>
      <c r="C2017" s="1">
        <v>132.99</v>
      </c>
      <c r="D2017" s="1">
        <v>129.75</v>
      </c>
      <c r="E2017" s="1">
        <v>132.97</v>
      </c>
      <c r="F2017" s="1">
        <v>7376800</v>
      </c>
      <c r="G2017" s="1">
        <v>132.97</v>
      </c>
      <c r="H2017" s="1">
        <f t="shared" si="279"/>
        <v>3.2400000000000091</v>
      </c>
      <c r="I2017" s="9">
        <f t="shared" si="286"/>
        <v>2.4971098265896025E-2</v>
      </c>
      <c r="J2017" s="1">
        <f t="shared" si="287"/>
        <v>2.4399999999999977</v>
      </c>
      <c r="K2017" s="9">
        <f t="shared" si="280"/>
        <v>1.8693020761510745E-2</v>
      </c>
      <c r="L2017" s="1">
        <f t="shared" si="281"/>
        <v>1</v>
      </c>
      <c r="M2017" s="1">
        <f t="shared" si="282"/>
        <v>132.99</v>
      </c>
      <c r="N2017" s="1">
        <f t="shared" si="283"/>
        <v>129.75</v>
      </c>
      <c r="O2017" s="1">
        <f t="shared" si="284"/>
        <v>131.01</v>
      </c>
      <c r="P2017" s="1">
        <f t="shared" si="285"/>
        <v>66.841836734693871</v>
      </c>
    </row>
    <row r="2018" spans="1:16">
      <c r="A2018" s="2">
        <v>40129</v>
      </c>
      <c r="B2018" s="1">
        <v>129.97999999999999</v>
      </c>
      <c r="C2018" s="1">
        <v>132.15</v>
      </c>
      <c r="D2018" s="1">
        <v>129.97999999999999</v>
      </c>
      <c r="E2018" s="1">
        <v>130.53</v>
      </c>
      <c r="F2018" s="1">
        <v>7210100</v>
      </c>
      <c r="G2018" s="1">
        <v>130.53</v>
      </c>
      <c r="H2018" s="1">
        <f t="shared" si="279"/>
        <v>2.1700000000000159</v>
      </c>
      <c r="I2018" s="9">
        <f t="shared" si="286"/>
        <v>1.6694876134790093E-2</v>
      </c>
      <c r="J2018" s="1">
        <f t="shared" si="287"/>
        <v>0.62000000000000455</v>
      </c>
      <c r="K2018" s="9">
        <f t="shared" si="280"/>
        <v>4.7725348318066706E-3</v>
      </c>
      <c r="L2018" s="1">
        <f t="shared" si="281"/>
        <v>1</v>
      </c>
      <c r="M2018" s="1">
        <f t="shared" si="282"/>
        <v>132.15</v>
      </c>
      <c r="N2018" s="1">
        <f t="shared" si="283"/>
        <v>129.97999999999999</v>
      </c>
      <c r="O2018" s="1">
        <f t="shared" si="284"/>
        <v>128.57</v>
      </c>
      <c r="P2018" s="1">
        <f t="shared" si="285"/>
        <v>65.596938775510196</v>
      </c>
    </row>
    <row r="2019" spans="1:16">
      <c r="A2019" s="2">
        <v>40128</v>
      </c>
      <c r="B2019" s="1">
        <v>131.08000000000001</v>
      </c>
      <c r="C2019" s="1">
        <v>131.31</v>
      </c>
      <c r="D2019" s="1">
        <v>128.33000000000001</v>
      </c>
      <c r="E2019" s="1">
        <v>129.91</v>
      </c>
      <c r="F2019" s="1">
        <v>7434200</v>
      </c>
      <c r="G2019" s="1">
        <v>129.91</v>
      </c>
      <c r="H2019" s="1">
        <f t="shared" si="279"/>
        <v>2.9799999999999898</v>
      </c>
      <c r="I2019" s="9">
        <f t="shared" si="286"/>
        <v>2.3221382373568064E-2</v>
      </c>
      <c r="J2019" s="1">
        <f t="shared" si="287"/>
        <v>-0.24000000000000909</v>
      </c>
      <c r="K2019" s="9">
        <f t="shared" si="280"/>
        <v>-1.844026123703489E-3</v>
      </c>
      <c r="L2019" s="1">
        <f t="shared" si="281"/>
        <v>1</v>
      </c>
      <c r="M2019" s="1">
        <f t="shared" si="282"/>
        <v>131.31</v>
      </c>
      <c r="N2019" s="1">
        <f t="shared" si="283"/>
        <v>128.33000000000001</v>
      </c>
      <c r="O2019" s="1">
        <f t="shared" si="284"/>
        <v>127.95</v>
      </c>
      <c r="P2019" s="1">
        <f t="shared" si="285"/>
        <v>65.280612244897966</v>
      </c>
    </row>
    <row r="2020" spans="1:16">
      <c r="A2020" s="2">
        <v>40127</v>
      </c>
      <c r="B2020" s="1">
        <v>126.8</v>
      </c>
      <c r="C2020" s="1">
        <v>130.61000000000001</v>
      </c>
      <c r="D2020" s="1">
        <v>126</v>
      </c>
      <c r="E2020" s="1">
        <v>130.15</v>
      </c>
      <c r="F2020" s="1">
        <v>10529300</v>
      </c>
      <c r="G2020" s="1">
        <v>130.15</v>
      </c>
      <c r="H2020" s="1">
        <f t="shared" si="279"/>
        <v>4.6100000000000136</v>
      </c>
      <c r="I2020" s="9">
        <f t="shared" si="286"/>
        <v>3.6587301587301696E-2</v>
      </c>
      <c r="J2020" s="1">
        <f t="shared" si="287"/>
        <v>3.480000000000004</v>
      </c>
      <c r="K2020" s="9">
        <f t="shared" si="280"/>
        <v>2.7472961237862192E-2</v>
      </c>
      <c r="L2020" s="1">
        <f t="shared" si="281"/>
        <v>1</v>
      </c>
      <c r="M2020" s="1">
        <f t="shared" si="282"/>
        <v>130.61000000000001</v>
      </c>
      <c r="N2020" s="1">
        <f t="shared" si="283"/>
        <v>126</v>
      </c>
      <c r="O2020" s="1">
        <f t="shared" si="284"/>
        <v>128.19</v>
      </c>
      <c r="P2020" s="1">
        <f t="shared" si="285"/>
        <v>65.40306122448979</v>
      </c>
    </row>
    <row r="2021" spans="1:16">
      <c r="A2021" s="2">
        <v>40126</v>
      </c>
      <c r="B2021" s="1">
        <v>127.11</v>
      </c>
      <c r="C2021" s="1">
        <v>128.32</v>
      </c>
      <c r="D2021" s="1">
        <v>125.59</v>
      </c>
      <c r="E2021" s="1">
        <v>126.67</v>
      </c>
      <c r="F2021" s="1">
        <v>8624200</v>
      </c>
      <c r="G2021" s="1">
        <v>126.67</v>
      </c>
      <c r="H2021" s="1">
        <f t="shared" si="279"/>
        <v>2.7299999999999898</v>
      </c>
      <c r="I2021" s="9">
        <f t="shared" si="286"/>
        <v>2.1737399474480369E-2</v>
      </c>
      <c r="J2021" s="1">
        <f t="shared" si="287"/>
        <v>0.46999999999999886</v>
      </c>
      <c r="K2021" s="9">
        <f t="shared" si="280"/>
        <v>3.7242472266243967E-3</v>
      </c>
      <c r="L2021" s="1">
        <f t="shared" si="281"/>
        <v>1</v>
      </c>
      <c r="M2021" s="1">
        <f t="shared" si="282"/>
        <v>128.32</v>
      </c>
      <c r="N2021" s="1">
        <f t="shared" si="283"/>
        <v>125.59</v>
      </c>
      <c r="O2021" s="1">
        <f t="shared" si="284"/>
        <v>124.71000000000001</v>
      </c>
      <c r="P2021" s="1">
        <f t="shared" si="285"/>
        <v>63.62755102040817</v>
      </c>
    </row>
    <row r="2022" spans="1:16">
      <c r="A2022" s="2">
        <v>40123</v>
      </c>
      <c r="B2022" s="1">
        <v>123</v>
      </c>
      <c r="C2022" s="1">
        <v>126.98</v>
      </c>
      <c r="D2022" s="1">
        <v>122.67</v>
      </c>
      <c r="E2022" s="1">
        <v>126.2</v>
      </c>
      <c r="F2022" s="1">
        <v>13226000</v>
      </c>
      <c r="G2022" s="1">
        <v>126.2</v>
      </c>
      <c r="H2022" s="1">
        <f t="shared" si="279"/>
        <v>4.3100000000000023</v>
      </c>
      <c r="I2022" s="9">
        <f t="shared" si="286"/>
        <v>3.5134914812097517E-2</v>
      </c>
      <c r="J2022" s="1">
        <f t="shared" si="287"/>
        <v>5.5900000000000034</v>
      </c>
      <c r="K2022" s="9">
        <f t="shared" si="280"/>
        <v>4.6347732360500819E-2</v>
      </c>
      <c r="L2022" s="1">
        <f t="shared" si="281"/>
        <v>1</v>
      </c>
      <c r="M2022" s="1">
        <f t="shared" si="282"/>
        <v>126.98</v>
      </c>
      <c r="N2022" s="1">
        <f t="shared" si="283"/>
        <v>122.67</v>
      </c>
      <c r="O2022" s="1">
        <f t="shared" si="284"/>
        <v>124.24000000000001</v>
      </c>
      <c r="P2022" s="1">
        <f t="shared" si="285"/>
        <v>63.387755102040821</v>
      </c>
    </row>
    <row r="2023" spans="1:16">
      <c r="A2023" s="2">
        <v>40122</v>
      </c>
      <c r="B2023" s="1">
        <v>117.46</v>
      </c>
      <c r="C2023" s="1">
        <v>120.95</v>
      </c>
      <c r="D2023" s="1">
        <v>116.25</v>
      </c>
      <c r="E2023" s="1">
        <v>120.61</v>
      </c>
      <c r="F2023" s="1">
        <v>9086800</v>
      </c>
      <c r="G2023" s="1">
        <v>120.61</v>
      </c>
      <c r="H2023" s="1">
        <f t="shared" si="279"/>
        <v>4.7000000000000028</v>
      </c>
      <c r="I2023" s="9">
        <f t="shared" si="286"/>
        <v>4.0430107526881746E-2</v>
      </c>
      <c r="J2023" s="1">
        <f t="shared" si="287"/>
        <v>3.5100000000000051</v>
      </c>
      <c r="K2023" s="9">
        <f t="shared" si="280"/>
        <v>2.9974380871050428E-2</v>
      </c>
      <c r="L2023" s="1">
        <f t="shared" si="281"/>
        <v>1</v>
      </c>
      <c r="M2023" s="1">
        <f t="shared" si="282"/>
        <v>120.95</v>
      </c>
      <c r="N2023" s="1">
        <f t="shared" si="283"/>
        <v>116.25</v>
      </c>
      <c r="O2023" s="1">
        <f t="shared" si="284"/>
        <v>118.65</v>
      </c>
      <c r="P2023" s="1">
        <f t="shared" si="285"/>
        <v>60.535714285714292</v>
      </c>
    </row>
    <row r="2024" spans="1:16">
      <c r="A2024" s="2">
        <v>40121</v>
      </c>
      <c r="B2024" s="1">
        <v>119</v>
      </c>
      <c r="C2024" s="1">
        <v>119.25</v>
      </c>
      <c r="D2024" s="1">
        <v>116.76</v>
      </c>
      <c r="E2024" s="1">
        <v>117.1</v>
      </c>
      <c r="F2024" s="1">
        <v>7617500</v>
      </c>
      <c r="G2024" s="1">
        <v>117.1</v>
      </c>
      <c r="H2024" s="1">
        <f t="shared" si="279"/>
        <v>2.4899999999999949</v>
      </c>
      <c r="I2024" s="9">
        <f t="shared" si="286"/>
        <v>2.1325796505652576E-2</v>
      </c>
      <c r="J2024" s="1">
        <f t="shared" si="287"/>
        <v>-1.2700000000000102</v>
      </c>
      <c r="K2024" s="9">
        <f t="shared" si="280"/>
        <v>-1.0729069865675511E-2</v>
      </c>
      <c r="L2024" s="1">
        <f t="shared" si="281"/>
        <v>1</v>
      </c>
      <c r="M2024" s="1">
        <f t="shared" si="282"/>
        <v>119.25</v>
      </c>
      <c r="N2024" s="1">
        <f t="shared" si="283"/>
        <v>116.76</v>
      </c>
      <c r="O2024" s="1">
        <f t="shared" si="284"/>
        <v>115.14</v>
      </c>
      <c r="P2024" s="1">
        <f t="shared" si="285"/>
        <v>58.744897959183675</v>
      </c>
    </row>
    <row r="2025" spans="1:16">
      <c r="A2025" s="2">
        <v>40120</v>
      </c>
      <c r="B2025" s="1">
        <v>117.67</v>
      </c>
      <c r="C2025" s="1">
        <v>118.88</v>
      </c>
      <c r="D2025" s="1">
        <v>116.63</v>
      </c>
      <c r="E2025" s="1">
        <v>118.37</v>
      </c>
      <c r="F2025" s="1">
        <v>9478500</v>
      </c>
      <c r="G2025" s="1">
        <v>118.37</v>
      </c>
      <c r="H2025" s="1">
        <f t="shared" si="279"/>
        <v>2.25</v>
      </c>
      <c r="I2025" s="9">
        <f t="shared" si="286"/>
        <v>1.9291777415759239E-2</v>
      </c>
      <c r="J2025" s="1">
        <f t="shared" si="287"/>
        <v>-0.46999999999999886</v>
      </c>
      <c r="K2025" s="9">
        <f t="shared" si="280"/>
        <v>-3.9548973409626294E-3</v>
      </c>
      <c r="L2025" s="1">
        <f t="shared" si="281"/>
        <v>1</v>
      </c>
      <c r="M2025" s="1">
        <f t="shared" si="282"/>
        <v>118.88</v>
      </c>
      <c r="N2025" s="1">
        <f t="shared" si="283"/>
        <v>116.63</v>
      </c>
      <c r="O2025" s="1">
        <f t="shared" si="284"/>
        <v>116.41000000000001</v>
      </c>
      <c r="P2025" s="1">
        <f t="shared" si="285"/>
        <v>59.392857142857146</v>
      </c>
    </row>
    <row r="2026" spans="1:16">
      <c r="A2026" s="2">
        <v>40119</v>
      </c>
      <c r="B2026" s="1">
        <v>118.66</v>
      </c>
      <c r="C2026" s="1">
        <v>119.5</v>
      </c>
      <c r="D2026" s="1">
        <v>116.71</v>
      </c>
      <c r="E2026" s="1">
        <v>118.84</v>
      </c>
      <c r="F2026" s="1">
        <v>11280000</v>
      </c>
      <c r="G2026" s="1">
        <v>118.84</v>
      </c>
      <c r="H2026" s="1">
        <f t="shared" si="279"/>
        <v>2.7900000000000063</v>
      </c>
      <c r="I2026" s="9">
        <f t="shared" si="286"/>
        <v>2.3905406563276551E-2</v>
      </c>
      <c r="J2026" s="1">
        <f t="shared" si="287"/>
        <v>3.0000000000001137E-2</v>
      </c>
      <c r="K2026" s="9">
        <f t="shared" si="280"/>
        <v>2.5250399797997758E-4</v>
      </c>
      <c r="L2026" s="1">
        <f t="shared" si="281"/>
        <v>1</v>
      </c>
      <c r="M2026" s="1">
        <f t="shared" si="282"/>
        <v>119.5</v>
      </c>
      <c r="N2026" s="1">
        <f t="shared" si="283"/>
        <v>116.71</v>
      </c>
      <c r="O2026" s="1">
        <f t="shared" si="284"/>
        <v>116.88000000000001</v>
      </c>
      <c r="P2026" s="1">
        <f t="shared" si="285"/>
        <v>59.632653061224495</v>
      </c>
    </row>
    <row r="2027" spans="1:16">
      <c r="A2027" s="2">
        <v>40116</v>
      </c>
      <c r="B2027" s="1">
        <v>121.97</v>
      </c>
      <c r="C2027" s="1">
        <v>122.9</v>
      </c>
      <c r="D2027" s="1">
        <v>118.21</v>
      </c>
      <c r="E2027" s="1">
        <v>118.81</v>
      </c>
      <c r="F2027" s="1">
        <v>13312200</v>
      </c>
      <c r="G2027" s="1">
        <v>118.81</v>
      </c>
      <c r="H2027" s="1">
        <f t="shared" si="279"/>
        <v>4.6900000000000119</v>
      </c>
      <c r="I2027" s="9">
        <f t="shared" si="286"/>
        <v>3.9675154386261839E-2</v>
      </c>
      <c r="J2027" s="1">
        <f t="shared" si="287"/>
        <v>-3.769999999999996</v>
      </c>
      <c r="K2027" s="9">
        <f t="shared" si="280"/>
        <v>-3.075542502855275E-2</v>
      </c>
      <c r="L2027" s="1">
        <f t="shared" si="281"/>
        <v>1</v>
      </c>
      <c r="M2027" s="1">
        <f t="shared" si="282"/>
        <v>122.9</v>
      </c>
      <c r="N2027" s="1">
        <f t="shared" si="283"/>
        <v>118.21</v>
      </c>
      <c r="O2027" s="1">
        <f t="shared" si="284"/>
        <v>116.85000000000001</v>
      </c>
      <c r="P2027" s="1">
        <f t="shared" si="285"/>
        <v>59.617346938775519</v>
      </c>
    </row>
    <row r="2028" spans="1:16">
      <c r="A2028" s="2">
        <v>40115</v>
      </c>
      <c r="B2028" s="1">
        <v>123.9</v>
      </c>
      <c r="C2028" s="1">
        <v>124.3</v>
      </c>
      <c r="D2028" s="1">
        <v>120.12</v>
      </c>
      <c r="E2028" s="1">
        <v>122.58</v>
      </c>
      <c r="F2028" s="1">
        <v>12821800</v>
      </c>
      <c r="G2028" s="1">
        <v>122.58</v>
      </c>
      <c r="H2028" s="1">
        <f t="shared" si="279"/>
        <v>4.1799999999999926</v>
      </c>
      <c r="I2028" s="9">
        <f t="shared" si="286"/>
        <v>3.4798534798534737E-2</v>
      </c>
      <c r="J2028" s="1">
        <f t="shared" si="287"/>
        <v>0.93999999999999773</v>
      </c>
      <c r="K2028" s="9">
        <f t="shared" si="280"/>
        <v>7.727721144360389E-3</v>
      </c>
      <c r="L2028" s="1">
        <f t="shared" si="281"/>
        <v>1</v>
      </c>
      <c r="M2028" s="1">
        <f t="shared" si="282"/>
        <v>124.3</v>
      </c>
      <c r="N2028" s="1">
        <f t="shared" si="283"/>
        <v>120.12</v>
      </c>
      <c r="O2028" s="1">
        <f t="shared" si="284"/>
        <v>120.62</v>
      </c>
      <c r="P2028" s="1">
        <f t="shared" si="285"/>
        <v>61.540816326530617</v>
      </c>
    </row>
    <row r="2029" spans="1:16">
      <c r="A2029" s="2">
        <v>40114</v>
      </c>
      <c r="B2029" s="1">
        <v>121.57</v>
      </c>
      <c r="C2029" s="1">
        <v>125.12</v>
      </c>
      <c r="D2029" s="1">
        <v>120.76</v>
      </c>
      <c r="E2029" s="1">
        <v>121.64</v>
      </c>
      <c r="F2029" s="1">
        <v>16887700</v>
      </c>
      <c r="G2029" s="1">
        <v>121.64</v>
      </c>
      <c r="H2029" s="1">
        <f t="shared" si="279"/>
        <v>4.3599999999999994</v>
      </c>
      <c r="I2029" s="9">
        <f t="shared" si="286"/>
        <v>3.6104670420669088E-2</v>
      </c>
      <c r="J2029" s="1">
        <f t="shared" si="287"/>
        <v>-0.42999999999999261</v>
      </c>
      <c r="K2029" s="9">
        <f t="shared" si="280"/>
        <v>-3.5225690177766254E-3</v>
      </c>
      <c r="L2029" s="1">
        <f t="shared" si="281"/>
        <v>1</v>
      </c>
      <c r="M2029" s="1">
        <f t="shared" si="282"/>
        <v>125.12</v>
      </c>
      <c r="N2029" s="1">
        <f t="shared" si="283"/>
        <v>120.76</v>
      </c>
      <c r="O2029" s="1">
        <f t="shared" si="284"/>
        <v>119.68</v>
      </c>
      <c r="P2029" s="1">
        <f t="shared" si="285"/>
        <v>61.061224489795926</v>
      </c>
    </row>
    <row r="2030" spans="1:16">
      <c r="A2030" s="2">
        <v>40113</v>
      </c>
      <c r="B2030" s="1">
        <v>122.93</v>
      </c>
      <c r="C2030" s="1">
        <v>124.26</v>
      </c>
      <c r="D2030" s="1">
        <v>119.42</v>
      </c>
      <c r="E2030" s="1">
        <v>122.07</v>
      </c>
      <c r="F2030" s="1">
        <v>20304200</v>
      </c>
      <c r="G2030" s="1">
        <v>122.07</v>
      </c>
      <c r="H2030" s="1">
        <f t="shared" si="279"/>
        <v>4.8400000000000034</v>
      </c>
      <c r="I2030" s="9">
        <f t="shared" si="286"/>
        <v>4.0529224585496591E-2</v>
      </c>
      <c r="J2030" s="1">
        <f t="shared" si="287"/>
        <v>-2.5700000000000074</v>
      </c>
      <c r="K2030" s="9">
        <f t="shared" si="280"/>
        <v>-2.061938382541726E-2</v>
      </c>
      <c r="L2030" s="1">
        <f t="shared" si="281"/>
        <v>1</v>
      </c>
      <c r="M2030" s="1">
        <f t="shared" si="282"/>
        <v>124.26</v>
      </c>
      <c r="N2030" s="1">
        <f t="shared" si="283"/>
        <v>119.42</v>
      </c>
      <c r="O2030" s="1">
        <f t="shared" si="284"/>
        <v>120.11</v>
      </c>
      <c r="P2030" s="1">
        <f t="shared" si="285"/>
        <v>61.280612244897959</v>
      </c>
    </row>
    <row r="2031" spans="1:16">
      <c r="A2031" s="2">
        <v>40112</v>
      </c>
      <c r="B2031" s="1">
        <v>119.21</v>
      </c>
      <c r="C2031" s="1">
        <v>125.68</v>
      </c>
      <c r="D2031" s="1">
        <v>118.49</v>
      </c>
      <c r="E2031" s="1">
        <v>124.64</v>
      </c>
      <c r="F2031" s="1">
        <v>32271200</v>
      </c>
      <c r="G2031" s="1">
        <v>124.64</v>
      </c>
      <c r="H2031" s="1">
        <f t="shared" si="279"/>
        <v>7.1900000000000119</v>
      </c>
      <c r="I2031" s="9">
        <f t="shared" si="286"/>
        <v>6.0680226179424528E-2</v>
      </c>
      <c r="J2031" s="1">
        <f t="shared" si="287"/>
        <v>6.1500000000000057</v>
      </c>
      <c r="K2031" s="9">
        <f t="shared" si="280"/>
        <v>5.1903114186851264E-2</v>
      </c>
      <c r="L2031" s="1">
        <f t="shared" si="281"/>
        <v>1</v>
      </c>
      <c r="M2031" s="1">
        <f t="shared" si="282"/>
        <v>125.68</v>
      </c>
      <c r="N2031" s="1">
        <f t="shared" si="283"/>
        <v>118.49</v>
      </c>
      <c r="O2031" s="1">
        <f t="shared" si="284"/>
        <v>122.68</v>
      </c>
      <c r="P2031" s="1">
        <f t="shared" si="285"/>
        <v>62.591836734693885</v>
      </c>
    </row>
    <row r="2032" spans="1:16">
      <c r="A2032" s="2">
        <v>40109</v>
      </c>
      <c r="B2032" s="1">
        <v>111.05</v>
      </c>
      <c r="C2032" s="1">
        <v>119.65</v>
      </c>
      <c r="D2032" s="1">
        <v>110.62</v>
      </c>
      <c r="E2032" s="1">
        <v>118.49</v>
      </c>
      <c r="F2032" s="1">
        <v>58305800</v>
      </c>
      <c r="G2032" s="1">
        <v>118.49</v>
      </c>
      <c r="H2032" s="1">
        <f t="shared" si="279"/>
        <v>9.0300000000000011</v>
      </c>
      <c r="I2032" s="9">
        <f t="shared" si="286"/>
        <v>8.1630808172120775E-2</v>
      </c>
      <c r="J2032" s="1">
        <f t="shared" si="287"/>
        <v>25.039999999999992</v>
      </c>
      <c r="K2032" s="9">
        <f t="shared" si="280"/>
        <v>0.26795077581594429</v>
      </c>
      <c r="L2032" s="1">
        <f t="shared" si="281"/>
        <v>1</v>
      </c>
      <c r="M2032" s="1">
        <f t="shared" si="282"/>
        <v>119.65</v>
      </c>
      <c r="N2032" s="1">
        <f t="shared" si="283"/>
        <v>110.62</v>
      </c>
      <c r="O2032" s="1">
        <f t="shared" si="284"/>
        <v>116.53</v>
      </c>
      <c r="P2032" s="1">
        <f t="shared" si="285"/>
        <v>59.454081632653065</v>
      </c>
    </row>
    <row r="2033" spans="1:16">
      <c r="A2033" s="2">
        <v>40108</v>
      </c>
      <c r="B2033" s="1">
        <v>93.66</v>
      </c>
      <c r="C2033" s="1">
        <v>94.1</v>
      </c>
      <c r="D2033" s="1">
        <v>91.7</v>
      </c>
      <c r="E2033" s="1">
        <v>93.45</v>
      </c>
      <c r="F2033" s="1">
        <v>16518500</v>
      </c>
      <c r="G2033" s="1">
        <v>93.45</v>
      </c>
      <c r="H2033" s="1">
        <f t="shared" si="279"/>
        <v>2.3999999999999915</v>
      </c>
      <c r="I2033" s="9">
        <f t="shared" si="286"/>
        <v>2.6172300981461193E-2</v>
      </c>
      <c r="J2033" s="1">
        <f t="shared" si="287"/>
        <v>3.0000000000001137E-2</v>
      </c>
      <c r="K2033" s="9">
        <f t="shared" si="280"/>
        <v>3.2113037893385932E-4</v>
      </c>
      <c r="L2033" s="1">
        <f t="shared" si="281"/>
        <v>1</v>
      </c>
      <c r="M2033" s="1">
        <f t="shared" si="282"/>
        <v>94.1</v>
      </c>
      <c r="N2033" s="1">
        <f t="shared" si="283"/>
        <v>91.7</v>
      </c>
      <c r="O2033" s="1">
        <f t="shared" si="284"/>
        <v>91.490000000000009</v>
      </c>
      <c r="P2033" s="1">
        <f t="shared" si="285"/>
        <v>46.678571428571431</v>
      </c>
    </row>
    <row r="2034" spans="1:16">
      <c r="A2034" s="2">
        <v>40107</v>
      </c>
      <c r="B2034" s="1">
        <v>95.27</v>
      </c>
      <c r="C2034" s="1">
        <v>96.63</v>
      </c>
      <c r="D2034" s="1">
        <v>92.91</v>
      </c>
      <c r="E2034" s="1">
        <v>93.42</v>
      </c>
      <c r="F2034" s="1">
        <v>7761200</v>
      </c>
      <c r="G2034" s="1">
        <v>93.42</v>
      </c>
      <c r="H2034" s="1">
        <f t="shared" si="279"/>
        <v>3.7199999999999989</v>
      </c>
      <c r="I2034" s="9">
        <f t="shared" si="286"/>
        <v>4.0038747174685169E-2</v>
      </c>
      <c r="J2034" s="1">
        <f t="shared" si="287"/>
        <v>-1.5600000000000023</v>
      </c>
      <c r="K2034" s="9">
        <f t="shared" si="280"/>
        <v>-1.6424510423247024E-2</v>
      </c>
      <c r="L2034" s="1">
        <f t="shared" si="281"/>
        <v>1</v>
      </c>
      <c r="M2034" s="1">
        <f t="shared" si="282"/>
        <v>96.63</v>
      </c>
      <c r="N2034" s="1">
        <f t="shared" si="283"/>
        <v>92.91</v>
      </c>
      <c r="O2034" s="1">
        <f t="shared" si="284"/>
        <v>91.460000000000008</v>
      </c>
      <c r="P2034" s="1">
        <f t="shared" si="285"/>
        <v>46.663265306122454</v>
      </c>
    </row>
    <row r="2035" spans="1:16">
      <c r="A2035" s="2">
        <v>40106</v>
      </c>
      <c r="B2035" s="1">
        <v>95.91</v>
      </c>
      <c r="C2035" s="1">
        <v>96.1</v>
      </c>
      <c r="D2035" s="1">
        <v>94.27</v>
      </c>
      <c r="E2035" s="1">
        <v>94.98</v>
      </c>
      <c r="F2035" s="1">
        <v>7777600</v>
      </c>
      <c r="G2035" s="1">
        <v>94.98</v>
      </c>
      <c r="H2035" s="1">
        <f t="shared" si="279"/>
        <v>1.8299999999999983</v>
      </c>
      <c r="I2035" s="9">
        <f t="shared" si="286"/>
        <v>1.9412326296807027E-2</v>
      </c>
      <c r="J2035" s="1">
        <f t="shared" si="287"/>
        <v>0.29999999999999716</v>
      </c>
      <c r="K2035" s="9">
        <f t="shared" si="280"/>
        <v>3.1685678073510469E-3</v>
      </c>
      <c r="L2035" s="1">
        <f t="shared" si="281"/>
        <v>1</v>
      </c>
      <c r="M2035" s="1">
        <f t="shared" si="282"/>
        <v>96.1</v>
      </c>
      <c r="N2035" s="1">
        <f t="shared" si="283"/>
        <v>94.27</v>
      </c>
      <c r="O2035" s="1">
        <f t="shared" si="284"/>
        <v>93.02000000000001</v>
      </c>
      <c r="P2035" s="1">
        <f t="shared" si="285"/>
        <v>47.459183673469397</v>
      </c>
    </row>
    <row r="2036" spans="1:16">
      <c r="A2036" s="2">
        <v>40105</v>
      </c>
      <c r="B2036" s="1">
        <v>95.35</v>
      </c>
      <c r="C2036" s="1">
        <v>96.28</v>
      </c>
      <c r="D2036" s="1">
        <v>94.25</v>
      </c>
      <c r="E2036" s="1">
        <v>94.68</v>
      </c>
      <c r="F2036" s="1">
        <v>6017400</v>
      </c>
      <c r="G2036" s="1">
        <v>94.68</v>
      </c>
      <c r="H2036" s="1">
        <f t="shared" si="279"/>
        <v>2.0300000000000011</v>
      </c>
      <c r="I2036" s="9">
        <f t="shared" si="286"/>
        <v>2.1538461538461551E-2</v>
      </c>
      <c r="J2036" s="1">
        <f t="shared" si="287"/>
        <v>-0.63999999999998636</v>
      </c>
      <c r="K2036" s="9">
        <f t="shared" si="280"/>
        <v>-6.7142257658412341E-3</v>
      </c>
      <c r="L2036" s="1">
        <f t="shared" si="281"/>
        <v>1</v>
      </c>
      <c r="M2036" s="1">
        <f t="shared" si="282"/>
        <v>96.28</v>
      </c>
      <c r="N2036" s="1">
        <f t="shared" si="283"/>
        <v>94.25</v>
      </c>
      <c r="O2036" s="1">
        <f t="shared" si="284"/>
        <v>92.720000000000013</v>
      </c>
      <c r="P2036" s="1">
        <f t="shared" si="285"/>
        <v>47.3061224489796</v>
      </c>
    </row>
    <row r="2037" spans="1:16">
      <c r="A2037" s="2">
        <v>40102</v>
      </c>
      <c r="B2037" s="1">
        <v>95.3</v>
      </c>
      <c r="C2037" s="1">
        <v>96.12</v>
      </c>
      <c r="D2037" s="1">
        <v>93.61</v>
      </c>
      <c r="E2037" s="1">
        <v>95.32</v>
      </c>
      <c r="F2037" s="1">
        <v>7038400</v>
      </c>
      <c r="G2037" s="1">
        <v>95.32</v>
      </c>
      <c r="H2037" s="1">
        <f t="shared" si="279"/>
        <v>2.5100000000000051</v>
      </c>
      <c r="I2037" s="9">
        <f t="shared" si="286"/>
        <v>2.6813374639461651E-2</v>
      </c>
      <c r="J2037" s="1">
        <f t="shared" si="287"/>
        <v>-0.69000000000001194</v>
      </c>
      <c r="K2037" s="9">
        <f t="shared" si="280"/>
        <v>-7.186751380064701E-3</v>
      </c>
      <c r="L2037" s="1">
        <f t="shared" si="281"/>
        <v>1</v>
      </c>
      <c r="M2037" s="1">
        <f t="shared" si="282"/>
        <v>96.12</v>
      </c>
      <c r="N2037" s="1">
        <f t="shared" si="283"/>
        <v>93.61</v>
      </c>
      <c r="O2037" s="1">
        <f t="shared" si="284"/>
        <v>93.36</v>
      </c>
      <c r="P2037" s="1">
        <f t="shared" si="285"/>
        <v>47.632653061224488</v>
      </c>
    </row>
    <row r="2038" spans="1:16">
      <c r="A2038" s="2">
        <v>40101</v>
      </c>
      <c r="B2038" s="1">
        <v>95.13</v>
      </c>
      <c r="C2038" s="1">
        <v>97.06</v>
      </c>
      <c r="D2038" s="1">
        <v>95.08</v>
      </c>
      <c r="E2038" s="1">
        <v>96.01</v>
      </c>
      <c r="F2038" s="1">
        <v>6242100</v>
      </c>
      <c r="G2038" s="1">
        <v>96.01</v>
      </c>
      <c r="H2038" s="1">
        <f t="shared" si="279"/>
        <v>1.980000000000004</v>
      </c>
      <c r="I2038" s="9">
        <f t="shared" si="286"/>
        <v>2.0824568784181784E-2</v>
      </c>
      <c r="J2038" s="1">
        <f t="shared" si="287"/>
        <v>-1.4499999999999886</v>
      </c>
      <c r="K2038" s="9">
        <f t="shared" si="280"/>
        <v>-1.487789862507684E-2</v>
      </c>
      <c r="L2038" s="1">
        <f t="shared" si="281"/>
        <v>1</v>
      </c>
      <c r="M2038" s="1">
        <f t="shared" si="282"/>
        <v>97.06</v>
      </c>
      <c r="N2038" s="1">
        <f t="shared" si="283"/>
        <v>95.08</v>
      </c>
      <c r="O2038" s="1">
        <f t="shared" si="284"/>
        <v>94.050000000000011</v>
      </c>
      <c r="P2038" s="1">
        <f t="shared" si="285"/>
        <v>47.984693877551024</v>
      </c>
    </row>
    <row r="2039" spans="1:16">
      <c r="A2039" s="2">
        <v>40100</v>
      </c>
      <c r="B2039" s="1">
        <v>96.22</v>
      </c>
      <c r="C2039" s="1">
        <v>97.82</v>
      </c>
      <c r="D2039" s="1">
        <v>96.02</v>
      </c>
      <c r="E2039" s="1">
        <v>97.46</v>
      </c>
      <c r="F2039" s="1">
        <v>5556800</v>
      </c>
      <c r="G2039" s="1">
        <v>97.46</v>
      </c>
      <c r="H2039" s="1">
        <f t="shared" si="279"/>
        <v>1.7999999999999972</v>
      </c>
      <c r="I2039" s="9">
        <f t="shared" si="286"/>
        <v>1.8746094563632548E-2</v>
      </c>
      <c r="J2039" s="1">
        <f t="shared" si="287"/>
        <v>2.6299999999999955</v>
      </c>
      <c r="K2039" s="9">
        <f t="shared" si="280"/>
        <v>2.7733839502267169E-2</v>
      </c>
      <c r="L2039" s="1">
        <f t="shared" si="281"/>
        <v>1</v>
      </c>
      <c r="M2039" s="1">
        <f t="shared" si="282"/>
        <v>97.82</v>
      </c>
      <c r="N2039" s="1">
        <f t="shared" si="283"/>
        <v>96.02</v>
      </c>
      <c r="O2039" s="1">
        <f t="shared" si="284"/>
        <v>95.5</v>
      </c>
      <c r="P2039" s="1">
        <f t="shared" si="285"/>
        <v>48.724489795918366</v>
      </c>
    </row>
    <row r="2040" spans="1:16">
      <c r="A2040" s="2">
        <v>40099</v>
      </c>
      <c r="B2040" s="1">
        <v>93.83</v>
      </c>
      <c r="C2040" s="1">
        <v>95.25</v>
      </c>
      <c r="D2040" s="1">
        <v>93.68</v>
      </c>
      <c r="E2040" s="1">
        <v>94.83</v>
      </c>
      <c r="F2040" s="1">
        <v>4720000</v>
      </c>
      <c r="G2040" s="1">
        <v>94.83</v>
      </c>
      <c r="H2040" s="1">
        <f t="shared" si="279"/>
        <v>1.5699999999999932</v>
      </c>
      <c r="I2040" s="9">
        <f t="shared" si="286"/>
        <v>1.6759180187873538E-2</v>
      </c>
      <c r="J2040" s="1">
        <f t="shared" si="287"/>
        <v>1.230000000000004</v>
      </c>
      <c r="K2040" s="9">
        <f t="shared" si="280"/>
        <v>1.3141025641025685E-2</v>
      </c>
      <c r="L2040" s="1">
        <f t="shared" si="281"/>
        <v>1</v>
      </c>
      <c r="M2040" s="1">
        <f t="shared" si="282"/>
        <v>95.25</v>
      </c>
      <c r="N2040" s="1">
        <f t="shared" si="283"/>
        <v>93.68</v>
      </c>
      <c r="O2040" s="1">
        <f t="shared" si="284"/>
        <v>92.87</v>
      </c>
      <c r="P2040" s="1">
        <f t="shared" si="285"/>
        <v>47.382653061224495</v>
      </c>
    </row>
    <row r="2041" spans="1:16">
      <c r="A2041" s="2">
        <v>40098</v>
      </c>
      <c r="B2041" s="1">
        <v>96.17</v>
      </c>
      <c r="C2041" s="1">
        <v>96.25</v>
      </c>
      <c r="D2041" s="1">
        <v>93.07</v>
      </c>
      <c r="E2041" s="1">
        <v>93.6</v>
      </c>
      <c r="F2041" s="1">
        <v>5591400</v>
      </c>
      <c r="G2041" s="1">
        <v>93.6</v>
      </c>
      <c r="H2041" s="1">
        <f t="shared" si="279"/>
        <v>3.1800000000000068</v>
      </c>
      <c r="I2041" s="9">
        <f t="shared" si="286"/>
        <v>3.4167830665090868E-2</v>
      </c>
      <c r="J2041" s="1">
        <f t="shared" si="287"/>
        <v>-2.1099999999999994</v>
      </c>
      <c r="K2041" s="9">
        <f t="shared" si="280"/>
        <v>-2.2045763243130286E-2</v>
      </c>
      <c r="L2041" s="1">
        <f t="shared" si="281"/>
        <v>1</v>
      </c>
      <c r="M2041" s="1">
        <f t="shared" si="282"/>
        <v>96.25</v>
      </c>
      <c r="N2041" s="1">
        <f t="shared" si="283"/>
        <v>93.07</v>
      </c>
      <c r="O2041" s="1">
        <f t="shared" si="284"/>
        <v>91.64</v>
      </c>
      <c r="P2041" s="1">
        <f t="shared" si="285"/>
        <v>46.755102040816325</v>
      </c>
    </row>
    <row r="2042" spans="1:16">
      <c r="A2042" s="2">
        <v>40095</v>
      </c>
      <c r="B2042" s="1">
        <v>95</v>
      </c>
      <c r="C2042" s="1">
        <v>95.95</v>
      </c>
      <c r="D2042" s="1">
        <v>94.26</v>
      </c>
      <c r="E2042" s="1">
        <v>95.71</v>
      </c>
      <c r="F2042" s="1">
        <v>4694000</v>
      </c>
      <c r="G2042" s="1">
        <v>95.71</v>
      </c>
      <c r="H2042" s="1">
        <f t="shared" si="279"/>
        <v>1.6899999999999977</v>
      </c>
      <c r="I2042" s="9">
        <f t="shared" si="286"/>
        <v>1.7929132187566282E-2</v>
      </c>
      <c r="J2042" s="1">
        <f t="shared" si="287"/>
        <v>0.48999999999999488</v>
      </c>
      <c r="K2042" s="9">
        <f t="shared" si="280"/>
        <v>5.1459777357697424E-3</v>
      </c>
      <c r="L2042" s="1">
        <f t="shared" si="281"/>
        <v>1</v>
      </c>
      <c r="M2042" s="1">
        <f t="shared" si="282"/>
        <v>95.95</v>
      </c>
      <c r="N2042" s="1">
        <f t="shared" si="283"/>
        <v>94.26</v>
      </c>
      <c r="O2042" s="1">
        <f t="shared" si="284"/>
        <v>93.75</v>
      </c>
      <c r="P2042" s="1">
        <f t="shared" si="285"/>
        <v>47.831632653061227</v>
      </c>
    </row>
    <row r="2043" spans="1:16">
      <c r="A2043" s="2">
        <v>40094</v>
      </c>
      <c r="B2043" s="1">
        <v>94.8</v>
      </c>
      <c r="C2043" s="1">
        <v>96.72</v>
      </c>
      <c r="D2043" s="1">
        <v>94.23</v>
      </c>
      <c r="E2043" s="1">
        <v>95.22</v>
      </c>
      <c r="F2043" s="1">
        <v>9674300</v>
      </c>
      <c r="G2043" s="1">
        <v>95.22</v>
      </c>
      <c r="H2043" s="1">
        <f t="shared" si="279"/>
        <v>2.4899999999999949</v>
      </c>
      <c r="I2043" s="9">
        <f t="shared" si="286"/>
        <v>2.6424705507800007E-2</v>
      </c>
      <c r="J2043" s="1">
        <f t="shared" si="287"/>
        <v>1.25</v>
      </c>
      <c r="K2043" s="9">
        <f t="shared" si="280"/>
        <v>1.3302117697137385E-2</v>
      </c>
      <c r="L2043" s="1">
        <f t="shared" si="281"/>
        <v>1</v>
      </c>
      <c r="M2043" s="1">
        <f t="shared" si="282"/>
        <v>96.72</v>
      </c>
      <c r="N2043" s="1">
        <f t="shared" si="283"/>
        <v>94.23</v>
      </c>
      <c r="O2043" s="1">
        <f t="shared" si="284"/>
        <v>93.26</v>
      </c>
      <c r="P2043" s="1">
        <f t="shared" si="285"/>
        <v>47.581632653061227</v>
      </c>
    </row>
    <row r="2044" spans="1:16">
      <c r="A2044" s="2">
        <v>40093</v>
      </c>
      <c r="B2044" s="1">
        <v>91.5</v>
      </c>
      <c r="C2044" s="1">
        <v>94.48</v>
      </c>
      <c r="D2044" s="1">
        <v>91.15</v>
      </c>
      <c r="E2044" s="1">
        <v>93.97</v>
      </c>
      <c r="F2044" s="1">
        <v>7445100</v>
      </c>
      <c r="G2044" s="1">
        <v>93.97</v>
      </c>
      <c r="H2044" s="1">
        <f t="shared" si="279"/>
        <v>3.3299999999999983</v>
      </c>
      <c r="I2044" s="9">
        <f t="shared" si="286"/>
        <v>3.6533187054306068E-2</v>
      </c>
      <c r="J2044" s="1">
        <f t="shared" si="287"/>
        <v>3.0600000000000023</v>
      </c>
      <c r="K2044" s="9">
        <f t="shared" si="280"/>
        <v>3.3659663403365993E-2</v>
      </c>
      <c r="L2044" s="1">
        <f t="shared" si="281"/>
        <v>1</v>
      </c>
      <c r="M2044" s="1">
        <f t="shared" si="282"/>
        <v>94.48</v>
      </c>
      <c r="N2044" s="1">
        <f t="shared" si="283"/>
        <v>91.15</v>
      </c>
      <c r="O2044" s="1">
        <f t="shared" si="284"/>
        <v>92.01</v>
      </c>
      <c r="P2044" s="1">
        <f t="shared" si="285"/>
        <v>46.943877551020414</v>
      </c>
    </row>
    <row r="2045" spans="1:16">
      <c r="A2045" s="2">
        <v>40092</v>
      </c>
      <c r="B2045" s="1">
        <v>89.33</v>
      </c>
      <c r="C2045" s="1">
        <v>91.08</v>
      </c>
      <c r="D2045" s="1">
        <v>88.4</v>
      </c>
      <c r="E2045" s="1">
        <v>90.91</v>
      </c>
      <c r="F2045" s="1">
        <v>6963700</v>
      </c>
      <c r="G2045" s="1">
        <v>90.91</v>
      </c>
      <c r="H2045" s="1">
        <f t="shared" si="279"/>
        <v>2.6799999999999926</v>
      </c>
      <c r="I2045" s="9">
        <f t="shared" si="286"/>
        <v>3.0316742081447877E-2</v>
      </c>
      <c r="J2045" s="1">
        <f t="shared" si="287"/>
        <v>2.2399999999999949</v>
      </c>
      <c r="K2045" s="9">
        <f t="shared" si="280"/>
        <v>2.5262208187662061E-2</v>
      </c>
      <c r="L2045" s="1">
        <f t="shared" si="281"/>
        <v>1</v>
      </c>
      <c r="M2045" s="1">
        <f t="shared" si="282"/>
        <v>91.08</v>
      </c>
      <c r="N2045" s="1">
        <f t="shared" si="283"/>
        <v>88.4</v>
      </c>
      <c r="O2045" s="1">
        <f t="shared" si="284"/>
        <v>88.95</v>
      </c>
      <c r="P2045" s="1">
        <f t="shared" si="285"/>
        <v>45.382653061224495</v>
      </c>
    </row>
    <row r="2046" spans="1:16">
      <c r="A2046" s="2">
        <v>40091</v>
      </c>
      <c r="B2046" s="1">
        <v>90.25</v>
      </c>
      <c r="C2046" s="1">
        <v>90.93</v>
      </c>
      <c r="D2046" s="1">
        <v>88.27</v>
      </c>
      <c r="E2046" s="1">
        <v>88.67</v>
      </c>
      <c r="F2046" s="1">
        <v>7028500</v>
      </c>
      <c r="G2046" s="1">
        <v>88.67</v>
      </c>
      <c r="H2046" s="1">
        <f t="shared" si="279"/>
        <v>2.6600000000000108</v>
      </c>
      <c r="I2046" s="9">
        <f t="shared" si="286"/>
        <v>3.0134813639968405E-2</v>
      </c>
      <c r="J2046" s="1">
        <f t="shared" si="287"/>
        <v>-1.1799999999999926</v>
      </c>
      <c r="K2046" s="9">
        <f t="shared" si="280"/>
        <v>-1.3132999443516891E-2</v>
      </c>
      <c r="L2046" s="1">
        <f t="shared" si="281"/>
        <v>1</v>
      </c>
      <c r="M2046" s="1">
        <f t="shared" si="282"/>
        <v>90.93</v>
      </c>
      <c r="N2046" s="1">
        <f t="shared" si="283"/>
        <v>88.27</v>
      </c>
      <c r="O2046" s="1">
        <f t="shared" si="284"/>
        <v>86.710000000000008</v>
      </c>
      <c r="P2046" s="1">
        <f t="shared" si="285"/>
        <v>44.239795918367349</v>
      </c>
    </row>
    <row r="2047" spans="1:16">
      <c r="A2047" s="2">
        <v>40088</v>
      </c>
      <c r="B2047" s="1">
        <v>90.05</v>
      </c>
      <c r="C2047" s="1">
        <v>91.14</v>
      </c>
      <c r="D2047" s="1">
        <v>89.58</v>
      </c>
      <c r="E2047" s="1">
        <v>89.85</v>
      </c>
      <c r="F2047" s="1">
        <v>5039400</v>
      </c>
      <c r="G2047" s="1">
        <v>89.85</v>
      </c>
      <c r="H2047" s="1">
        <f t="shared" si="279"/>
        <v>1.5600000000000023</v>
      </c>
      <c r="I2047" s="9">
        <f t="shared" si="286"/>
        <v>1.7414601473543227E-2</v>
      </c>
      <c r="J2047" s="1">
        <f t="shared" si="287"/>
        <v>-1.1900000000000119</v>
      </c>
      <c r="K2047" s="9">
        <f t="shared" si="280"/>
        <v>-1.3071177504393803E-2</v>
      </c>
      <c r="L2047" s="1">
        <f t="shared" si="281"/>
        <v>1</v>
      </c>
      <c r="M2047" s="1">
        <f t="shared" si="282"/>
        <v>91.14</v>
      </c>
      <c r="N2047" s="1">
        <f t="shared" si="283"/>
        <v>89.58</v>
      </c>
      <c r="O2047" s="1">
        <f t="shared" si="284"/>
        <v>87.89</v>
      </c>
      <c r="P2047" s="1">
        <f t="shared" si="285"/>
        <v>44.841836734693878</v>
      </c>
    </row>
    <row r="2048" spans="1:16">
      <c r="A2048" s="2">
        <v>40087</v>
      </c>
      <c r="B2048" s="1">
        <v>92.5</v>
      </c>
      <c r="C2048" s="1">
        <v>92.9</v>
      </c>
      <c r="D2048" s="1">
        <v>90.37</v>
      </c>
      <c r="E2048" s="1">
        <v>91.04</v>
      </c>
      <c r="F2048" s="1">
        <v>6645100</v>
      </c>
      <c r="G2048" s="1">
        <v>91.04</v>
      </c>
      <c r="H2048" s="1">
        <f t="shared" si="279"/>
        <v>2.5300000000000011</v>
      </c>
      <c r="I2048" s="9">
        <f t="shared" si="286"/>
        <v>2.7996016377116312E-2</v>
      </c>
      <c r="J2048" s="1">
        <f t="shared" si="287"/>
        <v>-2.3199999999999932</v>
      </c>
      <c r="K2048" s="9">
        <f t="shared" si="280"/>
        <v>-2.4850042844901384E-2</v>
      </c>
      <c r="L2048" s="1">
        <f t="shared" si="281"/>
        <v>1</v>
      </c>
      <c r="M2048" s="1">
        <f t="shared" si="282"/>
        <v>92.9</v>
      </c>
      <c r="N2048" s="1">
        <f t="shared" si="283"/>
        <v>90.37</v>
      </c>
      <c r="O2048" s="1">
        <f t="shared" si="284"/>
        <v>89.080000000000013</v>
      </c>
      <c r="P2048" s="1">
        <f t="shared" si="285"/>
        <v>45.448979591836739</v>
      </c>
    </row>
    <row r="2049" spans="1:16">
      <c r="A2049" s="2">
        <v>40086</v>
      </c>
      <c r="B2049" s="1">
        <v>92.26</v>
      </c>
      <c r="C2049" s="1">
        <v>94.17</v>
      </c>
      <c r="D2049" s="1">
        <v>91.43</v>
      </c>
      <c r="E2049" s="1">
        <v>93.36</v>
      </c>
      <c r="F2049" s="1">
        <v>8539200</v>
      </c>
      <c r="G2049" s="1">
        <v>93.36</v>
      </c>
      <c r="H2049" s="1">
        <f t="shared" si="279"/>
        <v>2.7399999999999949</v>
      </c>
      <c r="I2049" s="9">
        <f t="shared" si="286"/>
        <v>2.9968281745597666E-2</v>
      </c>
      <c r="J2049" s="1">
        <f t="shared" si="287"/>
        <v>1.6400000000000006</v>
      </c>
      <c r="K2049" s="9">
        <f t="shared" si="280"/>
        <v>1.7880505887483654E-2</v>
      </c>
      <c r="L2049" s="1">
        <f t="shared" si="281"/>
        <v>1</v>
      </c>
      <c r="M2049" s="1">
        <f t="shared" si="282"/>
        <v>94.17</v>
      </c>
      <c r="N2049" s="1">
        <f t="shared" si="283"/>
        <v>91.43</v>
      </c>
      <c r="O2049" s="1">
        <f t="shared" si="284"/>
        <v>91.4</v>
      </c>
      <c r="P2049" s="1">
        <f t="shared" si="285"/>
        <v>46.632653061224495</v>
      </c>
    </row>
    <row r="2050" spans="1:16">
      <c r="A2050" s="2">
        <v>40085</v>
      </c>
      <c r="B2050" s="1">
        <v>91.96</v>
      </c>
      <c r="C2050" s="1">
        <v>92.33</v>
      </c>
      <c r="D2050" s="1">
        <v>90.1</v>
      </c>
      <c r="E2050" s="1">
        <v>91.72</v>
      </c>
      <c r="F2050" s="1">
        <v>4393900</v>
      </c>
      <c r="G2050" s="1">
        <v>91.72</v>
      </c>
      <c r="H2050" s="1">
        <f t="shared" si="279"/>
        <v>2.230000000000004</v>
      </c>
      <c r="I2050" s="9">
        <f t="shared" si="286"/>
        <v>2.4750277469478402E-2</v>
      </c>
      <c r="J2050" s="1">
        <f t="shared" si="287"/>
        <v>-0.48999999999999488</v>
      </c>
      <c r="K2050" s="9">
        <f t="shared" si="280"/>
        <v>-5.3139572714455581E-3</v>
      </c>
      <c r="L2050" s="1">
        <f t="shared" si="281"/>
        <v>1</v>
      </c>
      <c r="M2050" s="1">
        <f t="shared" si="282"/>
        <v>92.33</v>
      </c>
      <c r="N2050" s="1">
        <f t="shared" si="283"/>
        <v>90.1</v>
      </c>
      <c r="O2050" s="1">
        <f t="shared" si="284"/>
        <v>89.76</v>
      </c>
      <c r="P2050" s="1">
        <f t="shared" si="285"/>
        <v>45.795918367346943</v>
      </c>
    </row>
    <row r="2051" spans="1:16">
      <c r="A2051" s="2">
        <v>40084</v>
      </c>
      <c r="B2051" s="1">
        <v>91.04</v>
      </c>
      <c r="C2051" s="1">
        <v>92.81</v>
      </c>
      <c r="D2051" s="1">
        <v>90.6</v>
      </c>
      <c r="E2051" s="1">
        <v>92.21</v>
      </c>
      <c r="F2051" s="1">
        <v>3508000</v>
      </c>
      <c r="G2051" s="1">
        <v>92.21</v>
      </c>
      <c r="H2051" s="1">
        <f t="shared" ref="H2051:H2114" si="288">C2051-D2051</f>
        <v>2.210000000000008</v>
      </c>
      <c r="I2051" s="9">
        <f t="shared" si="286"/>
        <v>2.4392935982340044E-2</v>
      </c>
      <c r="J2051" s="1">
        <f t="shared" si="287"/>
        <v>1.6899999999999977</v>
      </c>
      <c r="K2051" s="9">
        <f t="shared" ref="K2051:K2114" si="289">(G2051-G2052)/G2052</f>
        <v>1.866990720282808E-2</v>
      </c>
      <c r="L2051" s="1">
        <f t="shared" ref="L2051:L2114" si="290">G2051/E2051</f>
        <v>1</v>
      </c>
      <c r="M2051" s="1">
        <f t="shared" ref="M2051:M2114" si="291">L2051*C2051</f>
        <v>92.81</v>
      </c>
      <c r="N2051" s="1">
        <f t="shared" ref="N2051:N2114" si="292">L2051*D2051</f>
        <v>90.6</v>
      </c>
      <c r="O2051" s="1">
        <f t="shared" ref="O2051:O2114" si="293">G2051-$G$5163</f>
        <v>90.25</v>
      </c>
      <c r="P2051" s="1">
        <f t="shared" ref="P2051:P2114" si="294">(G2051-$G$5163)/$G$5163</f>
        <v>46.045918367346943</v>
      </c>
    </row>
    <row r="2052" spans="1:16">
      <c r="A2052" s="2">
        <v>40081</v>
      </c>
      <c r="B2052" s="1">
        <v>91.44</v>
      </c>
      <c r="C2052" s="1">
        <v>92.25</v>
      </c>
      <c r="D2052" s="1">
        <v>89.75</v>
      </c>
      <c r="E2052" s="1">
        <v>90.52</v>
      </c>
      <c r="F2052" s="1">
        <v>4256800</v>
      </c>
      <c r="G2052" s="1">
        <v>90.52</v>
      </c>
      <c r="H2052" s="1">
        <f t="shared" si="288"/>
        <v>2.5</v>
      </c>
      <c r="I2052" s="9">
        <f t="shared" ref="I2052:I2115" si="295">(C2052-D2052)/D2052</f>
        <v>2.7855153203342618E-2</v>
      </c>
      <c r="J2052" s="1">
        <f t="shared" ref="J2052:J2115" si="296">G2052-G2053</f>
        <v>-1.5900000000000034</v>
      </c>
      <c r="K2052" s="9">
        <f t="shared" si="289"/>
        <v>-1.7261969384431693E-2</v>
      </c>
      <c r="L2052" s="1">
        <f t="shared" si="290"/>
        <v>1</v>
      </c>
      <c r="M2052" s="1">
        <f t="shared" si="291"/>
        <v>92.25</v>
      </c>
      <c r="N2052" s="1">
        <f t="shared" si="292"/>
        <v>89.75</v>
      </c>
      <c r="O2052" s="1">
        <f t="shared" si="293"/>
        <v>88.56</v>
      </c>
      <c r="P2052" s="1">
        <f t="shared" si="294"/>
        <v>45.183673469387756</v>
      </c>
    </row>
    <row r="2053" spans="1:16">
      <c r="A2053" s="2">
        <v>40080</v>
      </c>
      <c r="B2053" s="1">
        <v>92</v>
      </c>
      <c r="C2053" s="1">
        <v>92.71</v>
      </c>
      <c r="D2053" s="1">
        <v>90.77</v>
      </c>
      <c r="E2053" s="1">
        <v>92.11</v>
      </c>
      <c r="F2053" s="1">
        <v>5075100</v>
      </c>
      <c r="G2053" s="1">
        <v>92.11</v>
      </c>
      <c r="H2053" s="1">
        <f t="shared" si="288"/>
        <v>1.9399999999999977</v>
      </c>
      <c r="I2053" s="9">
        <f t="shared" si="295"/>
        <v>2.1372700231353948E-2</v>
      </c>
      <c r="J2053" s="1">
        <f t="shared" si="296"/>
        <v>-0.26999999999999602</v>
      </c>
      <c r="K2053" s="9">
        <f t="shared" si="289"/>
        <v>-2.9227105434076212E-3</v>
      </c>
      <c r="L2053" s="1">
        <f t="shared" si="290"/>
        <v>1</v>
      </c>
      <c r="M2053" s="1">
        <f t="shared" si="291"/>
        <v>92.71</v>
      </c>
      <c r="N2053" s="1">
        <f t="shared" si="292"/>
        <v>90.77</v>
      </c>
      <c r="O2053" s="1">
        <f t="shared" si="293"/>
        <v>90.15</v>
      </c>
      <c r="P2053" s="1">
        <f t="shared" si="294"/>
        <v>45.994897959183675</v>
      </c>
    </row>
    <row r="2054" spans="1:16">
      <c r="A2054" s="2">
        <v>40079</v>
      </c>
      <c r="B2054" s="1">
        <v>92.82</v>
      </c>
      <c r="C2054" s="1">
        <v>94.5</v>
      </c>
      <c r="D2054" s="1">
        <v>92.22</v>
      </c>
      <c r="E2054" s="1">
        <v>92.38</v>
      </c>
      <c r="F2054" s="1">
        <v>5685300</v>
      </c>
      <c r="G2054" s="1">
        <v>92.38</v>
      </c>
      <c r="H2054" s="1">
        <f t="shared" si="288"/>
        <v>2.2800000000000011</v>
      </c>
      <c r="I2054" s="9">
        <f t="shared" si="295"/>
        <v>2.4723487312947313E-2</v>
      </c>
      <c r="J2054" s="1">
        <f t="shared" si="296"/>
        <v>-1.3700000000000045</v>
      </c>
      <c r="K2054" s="9">
        <f t="shared" si="289"/>
        <v>-1.4613333333333383E-2</v>
      </c>
      <c r="L2054" s="1">
        <f t="shared" si="290"/>
        <v>1</v>
      </c>
      <c r="M2054" s="1">
        <f t="shared" si="291"/>
        <v>94.5</v>
      </c>
      <c r="N2054" s="1">
        <f t="shared" si="292"/>
        <v>92.22</v>
      </c>
      <c r="O2054" s="1">
        <f t="shared" si="293"/>
        <v>90.42</v>
      </c>
      <c r="P2054" s="1">
        <f t="shared" si="294"/>
        <v>46.132653061224488</v>
      </c>
    </row>
    <row r="2055" spans="1:16">
      <c r="A2055" s="2">
        <v>40078</v>
      </c>
      <c r="B2055" s="1">
        <v>91.46</v>
      </c>
      <c r="C2055" s="1">
        <v>94.19</v>
      </c>
      <c r="D2055" s="1">
        <v>91.1</v>
      </c>
      <c r="E2055" s="1">
        <v>93.75</v>
      </c>
      <c r="F2055" s="1">
        <v>8264900</v>
      </c>
      <c r="G2055" s="1">
        <v>93.75</v>
      </c>
      <c r="H2055" s="1">
        <f t="shared" si="288"/>
        <v>3.0900000000000034</v>
      </c>
      <c r="I2055" s="9">
        <f t="shared" si="295"/>
        <v>3.3918770581778307E-2</v>
      </c>
      <c r="J2055" s="1">
        <f t="shared" si="296"/>
        <v>3.1899999999999977</v>
      </c>
      <c r="K2055" s="9">
        <f t="shared" si="289"/>
        <v>3.5225265017667817E-2</v>
      </c>
      <c r="L2055" s="1">
        <f t="shared" si="290"/>
        <v>1</v>
      </c>
      <c r="M2055" s="1">
        <f t="shared" si="291"/>
        <v>94.19</v>
      </c>
      <c r="N2055" s="1">
        <f t="shared" si="292"/>
        <v>91.1</v>
      </c>
      <c r="O2055" s="1">
        <f t="shared" si="293"/>
        <v>91.79</v>
      </c>
      <c r="P2055" s="1">
        <f t="shared" si="294"/>
        <v>46.831632653061227</v>
      </c>
    </row>
    <row r="2056" spans="1:16">
      <c r="A2056" s="2">
        <v>40077</v>
      </c>
      <c r="B2056" s="1">
        <v>89.69</v>
      </c>
      <c r="C2056" s="1">
        <v>90.76</v>
      </c>
      <c r="D2056" s="1">
        <v>88.48</v>
      </c>
      <c r="E2056" s="1">
        <v>90.56</v>
      </c>
      <c r="F2056" s="1">
        <v>4209300</v>
      </c>
      <c r="G2056" s="1">
        <v>90.56</v>
      </c>
      <c r="H2056" s="1">
        <f t="shared" si="288"/>
        <v>2.2800000000000011</v>
      </c>
      <c r="I2056" s="9">
        <f t="shared" si="295"/>
        <v>2.5768535262206162E-2</v>
      </c>
      <c r="J2056" s="1">
        <f t="shared" si="296"/>
        <v>0.28000000000000114</v>
      </c>
      <c r="K2056" s="9">
        <f t="shared" si="289"/>
        <v>3.1014621178555731E-3</v>
      </c>
      <c r="L2056" s="1">
        <f t="shared" si="290"/>
        <v>1</v>
      </c>
      <c r="M2056" s="1">
        <f t="shared" si="291"/>
        <v>90.76</v>
      </c>
      <c r="N2056" s="1">
        <f t="shared" si="292"/>
        <v>88.48</v>
      </c>
      <c r="O2056" s="1">
        <f t="shared" si="293"/>
        <v>88.600000000000009</v>
      </c>
      <c r="P2056" s="1">
        <f t="shared" si="294"/>
        <v>45.204081632653065</v>
      </c>
    </row>
    <row r="2057" spans="1:16">
      <c r="A2057" s="2">
        <v>40074</v>
      </c>
      <c r="B2057" s="1">
        <v>90.74</v>
      </c>
      <c r="C2057" s="1">
        <v>91</v>
      </c>
      <c r="D2057" s="1">
        <v>89.47</v>
      </c>
      <c r="E2057" s="1">
        <v>90.28</v>
      </c>
      <c r="F2057" s="1">
        <v>6769500</v>
      </c>
      <c r="G2057" s="1">
        <v>90.28</v>
      </c>
      <c r="H2057" s="1">
        <f t="shared" si="288"/>
        <v>1.5300000000000011</v>
      </c>
      <c r="I2057" s="9">
        <f t="shared" si="295"/>
        <v>1.7100704146641346E-2</v>
      </c>
      <c r="J2057" s="1">
        <f t="shared" si="296"/>
        <v>-0.15999999999999659</v>
      </c>
      <c r="K2057" s="9">
        <f t="shared" si="289"/>
        <v>-1.7691287041131866E-3</v>
      </c>
      <c r="L2057" s="1">
        <f t="shared" si="290"/>
        <v>1</v>
      </c>
      <c r="M2057" s="1">
        <f t="shared" si="291"/>
        <v>91</v>
      </c>
      <c r="N2057" s="1">
        <f t="shared" si="292"/>
        <v>89.47</v>
      </c>
      <c r="O2057" s="1">
        <f t="shared" si="293"/>
        <v>88.320000000000007</v>
      </c>
      <c r="P2057" s="1">
        <f t="shared" si="294"/>
        <v>45.061224489795926</v>
      </c>
    </row>
    <row r="2058" spans="1:16">
      <c r="A2058" s="2">
        <v>40073</v>
      </c>
      <c r="B2058" s="1">
        <v>90.75</v>
      </c>
      <c r="C2058" s="1">
        <v>91.19</v>
      </c>
      <c r="D2058" s="1">
        <v>89</v>
      </c>
      <c r="E2058" s="1">
        <v>90.44</v>
      </c>
      <c r="F2058" s="1">
        <v>7872700</v>
      </c>
      <c r="G2058" s="1">
        <v>90.44</v>
      </c>
      <c r="H2058" s="1">
        <f t="shared" si="288"/>
        <v>2.1899999999999977</v>
      </c>
      <c r="I2058" s="9">
        <f t="shared" si="295"/>
        <v>2.4606741573033681E-2</v>
      </c>
      <c r="J2058" s="1">
        <f t="shared" si="296"/>
        <v>-0.26000000000000512</v>
      </c>
      <c r="K2058" s="9">
        <f t="shared" si="289"/>
        <v>-2.8665931642778953E-3</v>
      </c>
      <c r="L2058" s="1">
        <f t="shared" si="290"/>
        <v>1</v>
      </c>
      <c r="M2058" s="1">
        <f t="shared" si="291"/>
        <v>91.19</v>
      </c>
      <c r="N2058" s="1">
        <f t="shared" si="292"/>
        <v>89</v>
      </c>
      <c r="O2058" s="1">
        <f t="shared" si="293"/>
        <v>88.48</v>
      </c>
      <c r="P2058" s="1">
        <f t="shared" si="294"/>
        <v>45.142857142857146</v>
      </c>
    </row>
    <row r="2059" spans="1:16">
      <c r="A2059" s="2">
        <v>40072</v>
      </c>
      <c r="B2059" s="1">
        <v>85.91</v>
      </c>
      <c r="C2059" s="1">
        <v>90.98</v>
      </c>
      <c r="D2059" s="1">
        <v>85.9</v>
      </c>
      <c r="E2059" s="1">
        <v>90.7</v>
      </c>
      <c r="F2059" s="1">
        <v>13114300</v>
      </c>
      <c r="G2059" s="1">
        <v>90.7</v>
      </c>
      <c r="H2059" s="1">
        <f t="shared" si="288"/>
        <v>5.0799999999999983</v>
      </c>
      <c r="I2059" s="9">
        <f t="shared" si="295"/>
        <v>5.9138533178114065E-2</v>
      </c>
      <c r="J2059" s="1">
        <f t="shared" si="296"/>
        <v>7.1500000000000057</v>
      </c>
      <c r="K2059" s="9">
        <f t="shared" si="289"/>
        <v>8.5577498503889959E-2</v>
      </c>
      <c r="L2059" s="1">
        <f t="shared" si="290"/>
        <v>1</v>
      </c>
      <c r="M2059" s="1">
        <f t="shared" si="291"/>
        <v>90.98</v>
      </c>
      <c r="N2059" s="1">
        <f t="shared" si="292"/>
        <v>85.9</v>
      </c>
      <c r="O2059" s="1">
        <f t="shared" si="293"/>
        <v>88.740000000000009</v>
      </c>
      <c r="P2059" s="1">
        <f t="shared" si="294"/>
        <v>45.275510204081641</v>
      </c>
    </row>
    <row r="2060" spans="1:16">
      <c r="A2060" s="2">
        <v>40071</v>
      </c>
      <c r="B2060" s="1">
        <v>84.17</v>
      </c>
      <c r="C2060" s="1">
        <v>84.41</v>
      </c>
      <c r="D2060" s="1">
        <v>82.79</v>
      </c>
      <c r="E2060" s="1">
        <v>83.55</v>
      </c>
      <c r="F2060" s="1">
        <v>4446800</v>
      </c>
      <c r="G2060" s="1">
        <v>83.55</v>
      </c>
      <c r="H2060" s="1">
        <f t="shared" si="288"/>
        <v>1.6199999999999903</v>
      </c>
      <c r="I2060" s="9">
        <f t="shared" si="295"/>
        <v>1.9567580625679312E-2</v>
      </c>
      <c r="J2060" s="1">
        <f t="shared" si="296"/>
        <v>-0.31000000000000227</v>
      </c>
      <c r="K2060" s="9">
        <f t="shared" si="289"/>
        <v>-3.696637252563824E-3</v>
      </c>
      <c r="L2060" s="1">
        <f t="shared" si="290"/>
        <v>1</v>
      </c>
      <c r="M2060" s="1">
        <f t="shared" si="291"/>
        <v>84.41</v>
      </c>
      <c r="N2060" s="1">
        <f t="shared" si="292"/>
        <v>82.79</v>
      </c>
      <c r="O2060" s="1">
        <f t="shared" si="293"/>
        <v>81.59</v>
      </c>
      <c r="P2060" s="1">
        <f t="shared" si="294"/>
        <v>41.627551020408163</v>
      </c>
    </row>
    <row r="2061" spans="1:16">
      <c r="A2061" s="2">
        <v>40070</v>
      </c>
      <c r="B2061" s="1">
        <v>83.81</v>
      </c>
      <c r="C2061" s="1">
        <v>84.57</v>
      </c>
      <c r="D2061" s="1">
        <v>83.46</v>
      </c>
      <c r="E2061" s="1">
        <v>83.86</v>
      </c>
      <c r="F2061" s="1">
        <v>3572000</v>
      </c>
      <c r="G2061" s="1">
        <v>83.86</v>
      </c>
      <c r="H2061" s="1">
        <f t="shared" si="288"/>
        <v>1.1099999999999994</v>
      </c>
      <c r="I2061" s="9">
        <f t="shared" si="295"/>
        <v>1.3299784327821706E-2</v>
      </c>
      <c r="J2061" s="1">
        <f t="shared" si="296"/>
        <v>-0.68000000000000682</v>
      </c>
      <c r="K2061" s="9">
        <f t="shared" si="289"/>
        <v>-8.0435296900876127E-3</v>
      </c>
      <c r="L2061" s="1">
        <f t="shared" si="290"/>
        <v>1</v>
      </c>
      <c r="M2061" s="1">
        <f t="shared" si="291"/>
        <v>84.57</v>
      </c>
      <c r="N2061" s="1">
        <f t="shared" si="292"/>
        <v>83.46</v>
      </c>
      <c r="O2061" s="1">
        <f t="shared" si="293"/>
        <v>81.900000000000006</v>
      </c>
      <c r="P2061" s="1">
        <f t="shared" si="294"/>
        <v>41.785714285714292</v>
      </c>
    </row>
    <row r="2062" spans="1:16">
      <c r="A2062" s="2">
        <v>40067</v>
      </c>
      <c r="B2062" s="1">
        <v>84.44</v>
      </c>
      <c r="C2062" s="1">
        <v>84.9</v>
      </c>
      <c r="D2062" s="1">
        <v>83.76</v>
      </c>
      <c r="E2062" s="1">
        <v>84.54</v>
      </c>
      <c r="F2062" s="1">
        <v>6006900</v>
      </c>
      <c r="G2062" s="1">
        <v>84.54</v>
      </c>
      <c r="H2062" s="1">
        <f t="shared" si="288"/>
        <v>1.1400000000000006</v>
      </c>
      <c r="I2062" s="9">
        <f t="shared" si="295"/>
        <v>1.3610315186246424E-2</v>
      </c>
      <c r="J2062" s="1">
        <f t="shared" si="296"/>
        <v>0.69000000000001194</v>
      </c>
      <c r="K2062" s="9">
        <f t="shared" si="289"/>
        <v>8.2289803220037209E-3</v>
      </c>
      <c r="L2062" s="1">
        <f t="shared" si="290"/>
        <v>1</v>
      </c>
      <c r="M2062" s="1">
        <f t="shared" si="291"/>
        <v>84.9</v>
      </c>
      <c r="N2062" s="1">
        <f t="shared" si="292"/>
        <v>83.76</v>
      </c>
      <c r="O2062" s="1">
        <f t="shared" si="293"/>
        <v>82.580000000000013</v>
      </c>
      <c r="P2062" s="1">
        <f t="shared" si="294"/>
        <v>42.132653061224495</v>
      </c>
    </row>
    <row r="2063" spans="1:16">
      <c r="A2063" s="2">
        <v>40066</v>
      </c>
      <c r="B2063" s="1">
        <v>82.33</v>
      </c>
      <c r="C2063" s="1">
        <v>84.07</v>
      </c>
      <c r="D2063" s="1">
        <v>82.3</v>
      </c>
      <c r="E2063" s="1">
        <v>83.85</v>
      </c>
      <c r="F2063" s="1">
        <v>7023100</v>
      </c>
      <c r="G2063" s="1">
        <v>83.85</v>
      </c>
      <c r="H2063" s="1">
        <f t="shared" si="288"/>
        <v>1.769999999999996</v>
      </c>
      <c r="I2063" s="9">
        <f t="shared" si="295"/>
        <v>2.1506682867557667E-2</v>
      </c>
      <c r="J2063" s="1">
        <f t="shared" si="296"/>
        <v>1.6099999999999994</v>
      </c>
      <c r="K2063" s="9">
        <f t="shared" si="289"/>
        <v>1.957684824902723E-2</v>
      </c>
      <c r="L2063" s="1">
        <f t="shared" si="290"/>
        <v>1</v>
      </c>
      <c r="M2063" s="1">
        <f t="shared" si="291"/>
        <v>84.07</v>
      </c>
      <c r="N2063" s="1">
        <f t="shared" si="292"/>
        <v>82.3</v>
      </c>
      <c r="O2063" s="1">
        <f t="shared" si="293"/>
        <v>81.89</v>
      </c>
      <c r="P2063" s="1">
        <f t="shared" si="294"/>
        <v>41.780612244897959</v>
      </c>
    </row>
    <row r="2064" spans="1:16">
      <c r="A2064" s="2">
        <v>40065</v>
      </c>
      <c r="B2064" s="1">
        <v>80.599999999999994</v>
      </c>
      <c r="C2064" s="1">
        <v>82.63</v>
      </c>
      <c r="D2064" s="1">
        <v>80.5</v>
      </c>
      <c r="E2064" s="1">
        <v>82.24</v>
      </c>
      <c r="F2064" s="1">
        <v>6776200</v>
      </c>
      <c r="G2064" s="1">
        <v>82.24</v>
      </c>
      <c r="H2064" s="1">
        <f t="shared" si="288"/>
        <v>2.1299999999999955</v>
      </c>
      <c r="I2064" s="9">
        <f t="shared" si="295"/>
        <v>2.6459627329192489E-2</v>
      </c>
      <c r="J2064" s="1">
        <f t="shared" si="296"/>
        <v>1.3399999999999892</v>
      </c>
      <c r="K2064" s="9">
        <f t="shared" si="289"/>
        <v>1.6563658838071559E-2</v>
      </c>
      <c r="L2064" s="1">
        <f t="shared" si="290"/>
        <v>1</v>
      </c>
      <c r="M2064" s="1">
        <f t="shared" si="291"/>
        <v>82.63</v>
      </c>
      <c r="N2064" s="1">
        <f t="shared" si="292"/>
        <v>80.5</v>
      </c>
      <c r="O2064" s="1">
        <f t="shared" si="293"/>
        <v>80.28</v>
      </c>
      <c r="P2064" s="1">
        <f t="shared" si="294"/>
        <v>40.95918367346939</v>
      </c>
    </row>
    <row r="2065" spans="1:16">
      <c r="A2065" s="2">
        <v>40064</v>
      </c>
      <c r="B2065" s="1">
        <v>79.86</v>
      </c>
      <c r="C2065" s="1">
        <v>81.040000000000006</v>
      </c>
      <c r="D2065" s="1">
        <v>78.87</v>
      </c>
      <c r="E2065" s="1">
        <v>80.900000000000006</v>
      </c>
      <c r="F2065" s="1">
        <v>7037600</v>
      </c>
      <c r="G2065" s="1">
        <v>80.900000000000006</v>
      </c>
      <c r="H2065" s="1">
        <f t="shared" si="288"/>
        <v>2.1700000000000017</v>
      </c>
      <c r="I2065" s="9">
        <f t="shared" si="295"/>
        <v>2.7513630024090296E-2</v>
      </c>
      <c r="J2065" s="1">
        <f t="shared" si="296"/>
        <v>2.0300000000000011</v>
      </c>
      <c r="K2065" s="9">
        <f t="shared" si="289"/>
        <v>2.5738557119310269E-2</v>
      </c>
      <c r="L2065" s="1">
        <f t="shared" si="290"/>
        <v>1</v>
      </c>
      <c r="M2065" s="1">
        <f t="shared" si="291"/>
        <v>81.040000000000006</v>
      </c>
      <c r="N2065" s="1">
        <f t="shared" si="292"/>
        <v>78.87</v>
      </c>
      <c r="O2065" s="1">
        <f t="shared" si="293"/>
        <v>78.940000000000012</v>
      </c>
      <c r="P2065" s="1">
        <f t="shared" si="294"/>
        <v>40.275510204081641</v>
      </c>
    </row>
    <row r="2066" spans="1:16">
      <c r="A2066" s="2">
        <v>40060</v>
      </c>
      <c r="B2066" s="1">
        <v>78.27</v>
      </c>
      <c r="C2066" s="1">
        <v>79.78</v>
      </c>
      <c r="D2066" s="1">
        <v>77.63</v>
      </c>
      <c r="E2066" s="1">
        <v>78.87</v>
      </c>
      <c r="F2066" s="1">
        <v>4671500</v>
      </c>
      <c r="G2066" s="1">
        <v>78.87</v>
      </c>
      <c r="H2066" s="1">
        <f t="shared" si="288"/>
        <v>2.1500000000000057</v>
      </c>
      <c r="I2066" s="9">
        <f t="shared" si="295"/>
        <v>2.7695478552106221E-2</v>
      </c>
      <c r="J2066" s="1">
        <f t="shared" si="296"/>
        <v>0.4100000000000108</v>
      </c>
      <c r="K2066" s="9">
        <f t="shared" si="289"/>
        <v>5.2255926586797204E-3</v>
      </c>
      <c r="L2066" s="1">
        <f t="shared" si="290"/>
        <v>1</v>
      </c>
      <c r="M2066" s="1">
        <f t="shared" si="291"/>
        <v>79.78</v>
      </c>
      <c r="N2066" s="1">
        <f t="shared" si="292"/>
        <v>77.63</v>
      </c>
      <c r="O2066" s="1">
        <f t="shared" si="293"/>
        <v>76.910000000000011</v>
      </c>
      <c r="P2066" s="1">
        <f t="shared" si="294"/>
        <v>39.239795918367356</v>
      </c>
    </row>
    <row r="2067" spans="1:16">
      <c r="A2067" s="2">
        <v>40059</v>
      </c>
      <c r="B2067" s="1">
        <v>78.39</v>
      </c>
      <c r="C2067" s="1">
        <v>78.959999999999994</v>
      </c>
      <c r="D2067" s="1">
        <v>77.510000000000005</v>
      </c>
      <c r="E2067" s="1">
        <v>78.459999999999994</v>
      </c>
      <c r="F2067" s="1">
        <v>4140200</v>
      </c>
      <c r="G2067" s="1">
        <v>78.459999999999994</v>
      </c>
      <c r="H2067" s="1">
        <f t="shared" si="288"/>
        <v>1.4499999999999886</v>
      </c>
      <c r="I2067" s="9">
        <f t="shared" si="295"/>
        <v>1.8707263578892897E-2</v>
      </c>
      <c r="J2067" s="1">
        <f t="shared" si="296"/>
        <v>0.31999999999999318</v>
      </c>
      <c r="K2067" s="9">
        <f t="shared" si="289"/>
        <v>4.0952137189658715E-3</v>
      </c>
      <c r="L2067" s="1">
        <f t="shared" si="290"/>
        <v>1</v>
      </c>
      <c r="M2067" s="1">
        <f t="shared" si="291"/>
        <v>78.959999999999994</v>
      </c>
      <c r="N2067" s="1">
        <f t="shared" si="292"/>
        <v>77.510000000000005</v>
      </c>
      <c r="O2067" s="1">
        <f t="shared" si="293"/>
        <v>76.5</v>
      </c>
      <c r="P2067" s="1">
        <f t="shared" si="294"/>
        <v>39.030612244897959</v>
      </c>
    </row>
    <row r="2068" spans="1:16">
      <c r="A2068" s="2">
        <v>40058</v>
      </c>
      <c r="B2068" s="1">
        <v>79.040000000000006</v>
      </c>
      <c r="C2068" s="1">
        <v>80.150000000000006</v>
      </c>
      <c r="D2068" s="1">
        <v>77.8</v>
      </c>
      <c r="E2068" s="1">
        <v>78.14</v>
      </c>
      <c r="F2068" s="1">
        <v>6512700</v>
      </c>
      <c r="G2068" s="1">
        <v>78.14</v>
      </c>
      <c r="H2068" s="1">
        <f t="shared" si="288"/>
        <v>2.3500000000000085</v>
      </c>
      <c r="I2068" s="9">
        <f t="shared" si="295"/>
        <v>3.0205655526992399E-2</v>
      </c>
      <c r="J2068" s="1">
        <f t="shared" si="296"/>
        <v>-1.019999999999996</v>
      </c>
      <c r="K2068" s="9">
        <f t="shared" si="289"/>
        <v>-1.2885295603840274E-2</v>
      </c>
      <c r="L2068" s="1">
        <f t="shared" si="290"/>
        <v>1</v>
      </c>
      <c r="M2068" s="1">
        <f t="shared" si="291"/>
        <v>80.150000000000006</v>
      </c>
      <c r="N2068" s="1">
        <f t="shared" si="292"/>
        <v>77.8</v>
      </c>
      <c r="O2068" s="1">
        <f t="shared" si="293"/>
        <v>76.180000000000007</v>
      </c>
      <c r="P2068" s="1">
        <f t="shared" si="294"/>
        <v>38.867346938775512</v>
      </c>
    </row>
    <row r="2069" spans="1:16">
      <c r="A2069" s="2">
        <v>40057</v>
      </c>
      <c r="B2069" s="1">
        <v>80.739999999999995</v>
      </c>
      <c r="C2069" s="1">
        <v>82.42</v>
      </c>
      <c r="D2069" s="1">
        <v>79</v>
      </c>
      <c r="E2069" s="1">
        <v>79.16</v>
      </c>
      <c r="F2069" s="1">
        <v>6245800</v>
      </c>
      <c r="G2069" s="1">
        <v>79.16</v>
      </c>
      <c r="H2069" s="1">
        <f t="shared" si="288"/>
        <v>3.4200000000000017</v>
      </c>
      <c r="I2069" s="9">
        <f t="shared" si="295"/>
        <v>4.329113924050635E-2</v>
      </c>
      <c r="J2069" s="1">
        <f t="shared" si="296"/>
        <v>-2.0300000000000011</v>
      </c>
      <c r="K2069" s="9">
        <f t="shared" si="289"/>
        <v>-2.5003079196945451E-2</v>
      </c>
      <c r="L2069" s="1">
        <f t="shared" si="290"/>
        <v>1</v>
      </c>
      <c r="M2069" s="1">
        <f t="shared" si="291"/>
        <v>82.42</v>
      </c>
      <c r="N2069" s="1">
        <f t="shared" si="292"/>
        <v>79</v>
      </c>
      <c r="O2069" s="1">
        <f t="shared" si="293"/>
        <v>77.2</v>
      </c>
      <c r="P2069" s="1">
        <f t="shared" si="294"/>
        <v>39.387755102040821</v>
      </c>
    </row>
    <row r="2070" spans="1:16">
      <c r="A2070" s="2">
        <v>40056</v>
      </c>
      <c r="B2070" s="1">
        <v>81.93</v>
      </c>
      <c r="C2070" s="1">
        <v>81.95</v>
      </c>
      <c r="D2070" s="1">
        <v>80.349999999999994</v>
      </c>
      <c r="E2070" s="1">
        <v>81.19</v>
      </c>
      <c r="F2070" s="1">
        <v>5263800</v>
      </c>
      <c r="G2070" s="1">
        <v>81.19</v>
      </c>
      <c r="H2070" s="1">
        <f t="shared" si="288"/>
        <v>1.6000000000000085</v>
      </c>
      <c r="I2070" s="9">
        <f t="shared" si="295"/>
        <v>1.9912881144990773E-2</v>
      </c>
      <c r="J2070" s="1">
        <f t="shared" si="296"/>
        <v>-1.5700000000000074</v>
      </c>
      <c r="K2070" s="9">
        <f t="shared" si="289"/>
        <v>-1.8970517158047453E-2</v>
      </c>
      <c r="L2070" s="1">
        <f t="shared" si="290"/>
        <v>1</v>
      </c>
      <c r="M2070" s="1">
        <f t="shared" si="291"/>
        <v>81.95</v>
      </c>
      <c r="N2070" s="1">
        <f t="shared" si="292"/>
        <v>80.349999999999994</v>
      </c>
      <c r="O2070" s="1">
        <f t="shared" si="293"/>
        <v>79.23</v>
      </c>
      <c r="P2070" s="1">
        <f t="shared" si="294"/>
        <v>40.423469387755105</v>
      </c>
    </row>
    <row r="2071" spans="1:16">
      <c r="A2071" s="2">
        <v>40053</v>
      </c>
      <c r="B2071" s="1">
        <v>84.78</v>
      </c>
      <c r="C2071" s="1">
        <v>84.99</v>
      </c>
      <c r="D2071" s="1">
        <v>82.57</v>
      </c>
      <c r="E2071" s="1">
        <v>82.76</v>
      </c>
      <c r="F2071" s="1">
        <v>4620700</v>
      </c>
      <c r="G2071" s="1">
        <v>82.76</v>
      </c>
      <c r="H2071" s="1">
        <f t="shared" si="288"/>
        <v>2.4200000000000017</v>
      </c>
      <c r="I2071" s="9">
        <f t="shared" si="295"/>
        <v>2.9308465544386604E-2</v>
      </c>
      <c r="J2071" s="1">
        <f t="shared" si="296"/>
        <v>-1.5499999999999972</v>
      </c>
      <c r="K2071" s="9">
        <f t="shared" si="289"/>
        <v>-1.838453327007469E-2</v>
      </c>
      <c r="L2071" s="1">
        <f t="shared" si="290"/>
        <v>1</v>
      </c>
      <c r="M2071" s="1">
        <f t="shared" si="291"/>
        <v>84.99</v>
      </c>
      <c r="N2071" s="1">
        <f t="shared" si="292"/>
        <v>82.57</v>
      </c>
      <c r="O2071" s="1">
        <f t="shared" si="293"/>
        <v>80.800000000000011</v>
      </c>
      <c r="P2071" s="1">
        <f t="shared" si="294"/>
        <v>41.224489795918373</v>
      </c>
    </row>
    <row r="2072" spans="1:16">
      <c r="A2072" s="2">
        <v>40052</v>
      </c>
      <c r="B2072" s="1">
        <v>84.01</v>
      </c>
      <c r="C2072" s="1">
        <v>84.85</v>
      </c>
      <c r="D2072" s="1">
        <v>83.14</v>
      </c>
      <c r="E2072" s="1">
        <v>84.31</v>
      </c>
      <c r="F2072" s="1">
        <v>3997700</v>
      </c>
      <c r="G2072" s="1">
        <v>84.31</v>
      </c>
      <c r="H2072" s="1">
        <f t="shared" si="288"/>
        <v>1.7099999999999937</v>
      </c>
      <c r="I2072" s="9">
        <f t="shared" si="295"/>
        <v>2.0567717103680463E-2</v>
      </c>
      <c r="J2072" s="1">
        <f t="shared" si="296"/>
        <v>0.31000000000000227</v>
      </c>
      <c r="K2072" s="9">
        <f t="shared" si="289"/>
        <v>3.6904761904762175E-3</v>
      </c>
      <c r="L2072" s="1">
        <f t="shared" si="290"/>
        <v>1</v>
      </c>
      <c r="M2072" s="1">
        <f t="shared" si="291"/>
        <v>84.85</v>
      </c>
      <c r="N2072" s="1">
        <f t="shared" si="292"/>
        <v>83.14</v>
      </c>
      <c r="O2072" s="1">
        <f t="shared" si="293"/>
        <v>82.350000000000009</v>
      </c>
      <c r="P2072" s="1">
        <f t="shared" si="294"/>
        <v>42.015306122448983</v>
      </c>
    </row>
    <row r="2073" spans="1:16">
      <c r="A2073" s="2">
        <v>40051</v>
      </c>
      <c r="B2073" s="1">
        <v>84.1</v>
      </c>
      <c r="C2073" s="1">
        <v>84.76</v>
      </c>
      <c r="D2073" s="1">
        <v>83.38</v>
      </c>
      <c r="E2073" s="1">
        <v>84</v>
      </c>
      <c r="F2073" s="1">
        <v>3613800</v>
      </c>
      <c r="G2073" s="1">
        <v>84</v>
      </c>
      <c r="H2073" s="1">
        <f t="shared" si="288"/>
        <v>1.3800000000000097</v>
      </c>
      <c r="I2073" s="9">
        <f t="shared" si="295"/>
        <v>1.6550731590309543E-2</v>
      </c>
      <c r="J2073" s="1">
        <f t="shared" si="296"/>
        <v>-0.18999999999999773</v>
      </c>
      <c r="K2073" s="9">
        <f t="shared" si="289"/>
        <v>-2.256800095023135E-3</v>
      </c>
      <c r="L2073" s="1">
        <f t="shared" si="290"/>
        <v>1</v>
      </c>
      <c r="M2073" s="1">
        <f t="shared" si="291"/>
        <v>84.76</v>
      </c>
      <c r="N2073" s="1">
        <f t="shared" si="292"/>
        <v>83.38</v>
      </c>
      <c r="O2073" s="1">
        <f t="shared" si="293"/>
        <v>82.04</v>
      </c>
      <c r="P2073" s="1">
        <f t="shared" si="294"/>
        <v>41.857142857142861</v>
      </c>
    </row>
    <row r="2074" spans="1:16">
      <c r="A2074" s="2">
        <v>40050</v>
      </c>
      <c r="B2074" s="1">
        <v>84.66</v>
      </c>
      <c r="C2074" s="1">
        <v>86.34</v>
      </c>
      <c r="D2074" s="1">
        <v>83.95</v>
      </c>
      <c r="E2074" s="1">
        <v>84.19</v>
      </c>
      <c r="F2074" s="1">
        <v>4791000</v>
      </c>
      <c r="G2074" s="1">
        <v>84.19</v>
      </c>
      <c r="H2074" s="1">
        <f t="shared" si="288"/>
        <v>2.3900000000000006</v>
      </c>
      <c r="I2074" s="9">
        <f t="shared" si="295"/>
        <v>2.846932698034545E-2</v>
      </c>
      <c r="J2074" s="1">
        <f t="shared" si="296"/>
        <v>-0.31000000000000227</v>
      </c>
      <c r="K2074" s="9">
        <f t="shared" si="289"/>
        <v>-3.6686390532544647E-3</v>
      </c>
      <c r="L2074" s="1">
        <f t="shared" si="290"/>
        <v>1</v>
      </c>
      <c r="M2074" s="1">
        <f t="shared" si="291"/>
        <v>86.34</v>
      </c>
      <c r="N2074" s="1">
        <f t="shared" si="292"/>
        <v>83.95</v>
      </c>
      <c r="O2074" s="1">
        <f t="shared" si="293"/>
        <v>82.23</v>
      </c>
      <c r="P2074" s="1">
        <f t="shared" si="294"/>
        <v>41.954081632653065</v>
      </c>
    </row>
    <row r="2075" spans="1:16">
      <c r="A2075" s="2">
        <v>40049</v>
      </c>
      <c r="B2075" s="1">
        <v>85.17</v>
      </c>
      <c r="C2075" s="1">
        <v>85.59</v>
      </c>
      <c r="D2075" s="1">
        <v>84.24</v>
      </c>
      <c r="E2075" s="1">
        <v>84.5</v>
      </c>
      <c r="F2075" s="1">
        <v>4723200</v>
      </c>
      <c r="G2075" s="1">
        <v>84.5</v>
      </c>
      <c r="H2075" s="1">
        <f t="shared" si="288"/>
        <v>1.3500000000000085</v>
      </c>
      <c r="I2075" s="9">
        <f t="shared" si="295"/>
        <v>1.6025641025641128E-2</v>
      </c>
      <c r="J2075" s="1">
        <f t="shared" si="296"/>
        <v>-0.5</v>
      </c>
      <c r="K2075" s="9">
        <f t="shared" si="289"/>
        <v>-5.8823529411764705E-3</v>
      </c>
      <c r="L2075" s="1">
        <f t="shared" si="290"/>
        <v>1</v>
      </c>
      <c r="M2075" s="1">
        <f t="shared" si="291"/>
        <v>85.59</v>
      </c>
      <c r="N2075" s="1">
        <f t="shared" si="292"/>
        <v>84.24</v>
      </c>
      <c r="O2075" s="1">
        <f t="shared" si="293"/>
        <v>82.54</v>
      </c>
      <c r="P2075" s="1">
        <f t="shared" si="294"/>
        <v>42.112244897959187</v>
      </c>
    </row>
    <row r="2076" spans="1:16">
      <c r="A2076" s="2">
        <v>40046</v>
      </c>
      <c r="B2076" s="1">
        <v>84.78</v>
      </c>
      <c r="C2076" s="1">
        <v>85.06</v>
      </c>
      <c r="D2076" s="1">
        <v>83.54</v>
      </c>
      <c r="E2076" s="1">
        <v>85</v>
      </c>
      <c r="F2076" s="1">
        <v>6130700</v>
      </c>
      <c r="G2076" s="1">
        <v>85</v>
      </c>
      <c r="H2076" s="1">
        <f t="shared" si="288"/>
        <v>1.519999999999996</v>
      </c>
      <c r="I2076" s="9">
        <f t="shared" si="295"/>
        <v>1.8194876705769643E-2</v>
      </c>
      <c r="J2076" s="1">
        <f t="shared" si="296"/>
        <v>0.90999999999999659</v>
      </c>
      <c r="K2076" s="9">
        <f t="shared" si="289"/>
        <v>1.0821738613390374E-2</v>
      </c>
      <c r="L2076" s="1">
        <f t="shared" si="290"/>
        <v>1</v>
      </c>
      <c r="M2076" s="1">
        <f t="shared" si="291"/>
        <v>85.06</v>
      </c>
      <c r="N2076" s="1">
        <f t="shared" si="292"/>
        <v>83.54</v>
      </c>
      <c r="O2076" s="1">
        <f t="shared" si="293"/>
        <v>83.04</v>
      </c>
      <c r="P2076" s="1">
        <f t="shared" si="294"/>
        <v>42.367346938775512</v>
      </c>
    </row>
    <row r="2077" spans="1:16">
      <c r="A2077" s="2">
        <v>40045</v>
      </c>
      <c r="B2077" s="1">
        <v>82.98</v>
      </c>
      <c r="C2077" s="1">
        <v>84.35</v>
      </c>
      <c r="D2077" s="1">
        <v>82.66</v>
      </c>
      <c r="E2077" s="1">
        <v>84.09</v>
      </c>
      <c r="F2077" s="1">
        <v>5375000</v>
      </c>
      <c r="G2077" s="1">
        <v>84.09</v>
      </c>
      <c r="H2077" s="1">
        <f t="shared" si="288"/>
        <v>1.6899999999999977</v>
      </c>
      <c r="I2077" s="9">
        <f t="shared" si="295"/>
        <v>2.0445197193322016E-2</v>
      </c>
      <c r="J2077" s="1">
        <f t="shared" si="296"/>
        <v>1.0900000000000034</v>
      </c>
      <c r="K2077" s="9">
        <f t="shared" si="289"/>
        <v>1.3132530120481968E-2</v>
      </c>
      <c r="L2077" s="1">
        <f t="shared" si="290"/>
        <v>1</v>
      </c>
      <c r="M2077" s="1">
        <f t="shared" si="291"/>
        <v>84.35</v>
      </c>
      <c r="N2077" s="1">
        <f t="shared" si="292"/>
        <v>82.66</v>
      </c>
      <c r="O2077" s="1">
        <f t="shared" si="293"/>
        <v>82.13000000000001</v>
      </c>
      <c r="P2077" s="1">
        <f t="shared" si="294"/>
        <v>41.903061224489804</v>
      </c>
    </row>
    <row r="2078" spans="1:16">
      <c r="A2078" s="2">
        <v>40044</v>
      </c>
      <c r="B2078" s="1">
        <v>80.91</v>
      </c>
      <c r="C2078" s="1">
        <v>83</v>
      </c>
      <c r="D2078" s="1">
        <v>80.489999999999995</v>
      </c>
      <c r="E2078" s="1">
        <v>83</v>
      </c>
      <c r="F2078" s="1">
        <v>5170600</v>
      </c>
      <c r="G2078" s="1">
        <v>83</v>
      </c>
      <c r="H2078" s="1">
        <f t="shared" si="288"/>
        <v>2.5100000000000051</v>
      </c>
      <c r="I2078" s="9">
        <f t="shared" si="295"/>
        <v>3.1183998012175491E-2</v>
      </c>
      <c r="J2078" s="1">
        <f t="shared" si="296"/>
        <v>0.87999999999999545</v>
      </c>
      <c r="K2078" s="9">
        <f t="shared" si="289"/>
        <v>1.0716025328787085E-2</v>
      </c>
      <c r="L2078" s="1">
        <f t="shared" si="290"/>
        <v>1</v>
      </c>
      <c r="M2078" s="1">
        <f t="shared" si="291"/>
        <v>83</v>
      </c>
      <c r="N2078" s="1">
        <f t="shared" si="292"/>
        <v>80.489999999999995</v>
      </c>
      <c r="O2078" s="1">
        <f t="shared" si="293"/>
        <v>81.040000000000006</v>
      </c>
      <c r="P2078" s="1">
        <f t="shared" si="294"/>
        <v>41.34693877551021</v>
      </c>
    </row>
    <row r="2079" spans="1:16">
      <c r="A2079" s="2">
        <v>40043</v>
      </c>
      <c r="B2079" s="1">
        <v>81.41</v>
      </c>
      <c r="C2079" s="1">
        <v>82.69</v>
      </c>
      <c r="D2079" s="1">
        <v>80.790000000000006</v>
      </c>
      <c r="E2079" s="1">
        <v>82.12</v>
      </c>
      <c r="F2079" s="1">
        <v>5884400</v>
      </c>
      <c r="G2079" s="1">
        <v>82.12</v>
      </c>
      <c r="H2079" s="1">
        <f t="shared" si="288"/>
        <v>1.8999999999999915</v>
      </c>
      <c r="I2079" s="9">
        <f t="shared" si="295"/>
        <v>2.3517762099269604E-2</v>
      </c>
      <c r="J2079" s="1">
        <f t="shared" si="296"/>
        <v>1.0600000000000023</v>
      </c>
      <c r="K2079" s="9">
        <f t="shared" si="289"/>
        <v>1.3076733283987198E-2</v>
      </c>
      <c r="L2079" s="1">
        <f t="shared" si="290"/>
        <v>1</v>
      </c>
      <c r="M2079" s="1">
        <f t="shared" si="291"/>
        <v>82.69</v>
      </c>
      <c r="N2079" s="1">
        <f t="shared" si="292"/>
        <v>80.790000000000006</v>
      </c>
      <c r="O2079" s="1">
        <f t="shared" si="293"/>
        <v>80.160000000000011</v>
      </c>
      <c r="P2079" s="1">
        <f t="shared" si="294"/>
        <v>40.897959183673478</v>
      </c>
    </row>
    <row r="2080" spans="1:16">
      <c r="A2080" s="2">
        <v>40042</v>
      </c>
      <c r="B2080" s="1">
        <v>81.16</v>
      </c>
      <c r="C2080" s="1">
        <v>81.78</v>
      </c>
      <c r="D2080" s="1">
        <v>80.25</v>
      </c>
      <c r="E2080" s="1">
        <v>81.06</v>
      </c>
      <c r="F2080" s="1">
        <v>6888600</v>
      </c>
      <c r="G2080" s="1">
        <v>81.06</v>
      </c>
      <c r="H2080" s="1">
        <f t="shared" si="288"/>
        <v>1.5300000000000011</v>
      </c>
      <c r="I2080" s="9">
        <f t="shared" si="295"/>
        <v>1.9065420560747677E-2</v>
      </c>
      <c r="J2080" s="1">
        <f t="shared" si="296"/>
        <v>-2.519999999999996</v>
      </c>
      <c r="K2080" s="9">
        <f t="shared" si="289"/>
        <v>-3.0150753768844175E-2</v>
      </c>
      <c r="L2080" s="1">
        <f t="shared" si="290"/>
        <v>1</v>
      </c>
      <c r="M2080" s="1">
        <f t="shared" si="291"/>
        <v>81.78</v>
      </c>
      <c r="N2080" s="1">
        <f t="shared" si="292"/>
        <v>80.25</v>
      </c>
      <c r="O2080" s="1">
        <f t="shared" si="293"/>
        <v>79.100000000000009</v>
      </c>
      <c r="P2080" s="1">
        <f t="shared" si="294"/>
        <v>40.357142857142861</v>
      </c>
    </row>
    <row r="2081" spans="1:16">
      <c r="A2081" s="2">
        <v>40039</v>
      </c>
      <c r="B2081" s="1">
        <v>84.11</v>
      </c>
      <c r="C2081" s="1">
        <v>84.17</v>
      </c>
      <c r="D2081" s="1">
        <v>82.78</v>
      </c>
      <c r="E2081" s="1">
        <v>83.58</v>
      </c>
      <c r="F2081" s="1">
        <v>4924700</v>
      </c>
      <c r="G2081" s="1">
        <v>83.58</v>
      </c>
      <c r="H2081" s="1">
        <f t="shared" si="288"/>
        <v>1.3900000000000006</v>
      </c>
      <c r="I2081" s="9">
        <f t="shared" si="295"/>
        <v>1.6791495530321339E-2</v>
      </c>
      <c r="J2081" s="1">
        <f t="shared" si="296"/>
        <v>-1.019999999999996</v>
      </c>
      <c r="K2081" s="9">
        <f t="shared" si="289"/>
        <v>-1.2056737588652435E-2</v>
      </c>
      <c r="L2081" s="1">
        <f t="shared" si="290"/>
        <v>1</v>
      </c>
      <c r="M2081" s="1">
        <f t="shared" si="291"/>
        <v>84.17</v>
      </c>
      <c r="N2081" s="1">
        <f t="shared" si="292"/>
        <v>82.78</v>
      </c>
      <c r="O2081" s="1">
        <f t="shared" si="293"/>
        <v>81.62</v>
      </c>
      <c r="P2081" s="1">
        <f t="shared" si="294"/>
        <v>41.642857142857146</v>
      </c>
    </row>
    <row r="2082" spans="1:16">
      <c r="A2082" s="2">
        <v>40038</v>
      </c>
      <c r="B2082" s="1">
        <v>85.72</v>
      </c>
      <c r="C2082" s="1">
        <v>86.37</v>
      </c>
      <c r="D2082" s="1">
        <v>84.07</v>
      </c>
      <c r="E2082" s="1">
        <v>84.6</v>
      </c>
      <c r="F2082" s="1">
        <v>5712400</v>
      </c>
      <c r="G2082" s="1">
        <v>84.6</v>
      </c>
      <c r="H2082" s="1">
        <f t="shared" si="288"/>
        <v>2.3000000000000114</v>
      </c>
      <c r="I2082" s="9">
        <f t="shared" si="295"/>
        <v>2.7358153919353059E-2</v>
      </c>
      <c r="J2082" s="1">
        <f t="shared" si="296"/>
        <v>-1.3599999999999994</v>
      </c>
      <c r="K2082" s="9">
        <f t="shared" si="289"/>
        <v>-1.5821312238250344E-2</v>
      </c>
      <c r="L2082" s="1">
        <f t="shared" si="290"/>
        <v>1</v>
      </c>
      <c r="M2082" s="1">
        <f t="shared" si="291"/>
        <v>86.37</v>
      </c>
      <c r="N2082" s="1">
        <f t="shared" si="292"/>
        <v>84.07</v>
      </c>
      <c r="O2082" s="1">
        <f t="shared" si="293"/>
        <v>82.64</v>
      </c>
      <c r="P2082" s="1">
        <f t="shared" si="294"/>
        <v>42.163265306122447</v>
      </c>
    </row>
    <row r="2083" spans="1:16">
      <c r="A2083" s="2">
        <v>40037</v>
      </c>
      <c r="B2083" s="1">
        <v>83.42</v>
      </c>
      <c r="C2083" s="1">
        <v>86.6</v>
      </c>
      <c r="D2083" s="1">
        <v>83.38</v>
      </c>
      <c r="E2083" s="1">
        <v>85.96</v>
      </c>
      <c r="F2083" s="1">
        <v>5619400</v>
      </c>
      <c r="G2083" s="1">
        <v>85.96</v>
      </c>
      <c r="H2083" s="1">
        <f t="shared" si="288"/>
        <v>3.2199999999999989</v>
      </c>
      <c r="I2083" s="9">
        <f t="shared" si="295"/>
        <v>3.8618373710721986E-2</v>
      </c>
      <c r="J2083" s="1">
        <f t="shared" si="296"/>
        <v>2.3999999999999915</v>
      </c>
      <c r="K2083" s="9">
        <f t="shared" si="289"/>
        <v>2.8721876495930963E-2</v>
      </c>
      <c r="L2083" s="1">
        <f t="shared" si="290"/>
        <v>1</v>
      </c>
      <c r="M2083" s="1">
        <f t="shared" si="291"/>
        <v>86.6</v>
      </c>
      <c r="N2083" s="1">
        <f t="shared" si="292"/>
        <v>83.38</v>
      </c>
      <c r="O2083" s="1">
        <f t="shared" si="293"/>
        <v>84</v>
      </c>
      <c r="P2083" s="1">
        <f t="shared" si="294"/>
        <v>42.857142857142861</v>
      </c>
    </row>
    <row r="2084" spans="1:16">
      <c r="A2084" s="2">
        <v>40036</v>
      </c>
      <c r="B2084" s="1">
        <v>83.64</v>
      </c>
      <c r="C2084" s="1">
        <v>84.4</v>
      </c>
      <c r="D2084" s="1">
        <v>82.45</v>
      </c>
      <c r="E2084" s="1">
        <v>83.56</v>
      </c>
      <c r="F2084" s="1">
        <v>5025000</v>
      </c>
      <c r="G2084" s="1">
        <v>83.56</v>
      </c>
      <c r="H2084" s="1">
        <f t="shared" si="288"/>
        <v>1.9500000000000028</v>
      </c>
      <c r="I2084" s="9">
        <f t="shared" si="295"/>
        <v>2.3650697392359039E-2</v>
      </c>
      <c r="J2084" s="1">
        <f t="shared" si="296"/>
        <v>-0.87999999999999545</v>
      </c>
      <c r="K2084" s="9">
        <f t="shared" si="289"/>
        <v>-1.0421601136901888E-2</v>
      </c>
      <c r="L2084" s="1">
        <f t="shared" si="290"/>
        <v>1</v>
      </c>
      <c r="M2084" s="1">
        <f t="shared" si="291"/>
        <v>84.4</v>
      </c>
      <c r="N2084" s="1">
        <f t="shared" si="292"/>
        <v>82.45</v>
      </c>
      <c r="O2084" s="1">
        <f t="shared" si="293"/>
        <v>81.600000000000009</v>
      </c>
      <c r="P2084" s="1">
        <f t="shared" si="294"/>
        <v>41.632653061224495</v>
      </c>
    </row>
    <row r="2085" spans="1:16">
      <c r="A2085" s="2">
        <v>40035</v>
      </c>
      <c r="B2085" s="1">
        <v>85.01</v>
      </c>
      <c r="C2085" s="1">
        <v>85.47</v>
      </c>
      <c r="D2085" s="1">
        <v>83.27</v>
      </c>
      <c r="E2085" s="1">
        <v>84.44</v>
      </c>
      <c r="F2085" s="1">
        <v>4440600</v>
      </c>
      <c r="G2085" s="1">
        <v>84.44</v>
      </c>
      <c r="H2085" s="1">
        <f t="shared" si="288"/>
        <v>2.2000000000000028</v>
      </c>
      <c r="I2085" s="9">
        <f t="shared" si="295"/>
        <v>2.6420079260237816E-2</v>
      </c>
      <c r="J2085" s="1">
        <f t="shared" si="296"/>
        <v>-0.87999999999999545</v>
      </c>
      <c r="K2085" s="9">
        <f t="shared" si="289"/>
        <v>-1.0314111579934311E-2</v>
      </c>
      <c r="L2085" s="1">
        <f t="shared" si="290"/>
        <v>1</v>
      </c>
      <c r="M2085" s="1">
        <f t="shared" si="291"/>
        <v>85.47</v>
      </c>
      <c r="N2085" s="1">
        <f t="shared" si="292"/>
        <v>83.27</v>
      </c>
      <c r="O2085" s="1">
        <f t="shared" si="293"/>
        <v>82.48</v>
      </c>
      <c r="P2085" s="1">
        <f t="shared" si="294"/>
        <v>42.081632653061227</v>
      </c>
    </row>
    <row r="2086" spans="1:16">
      <c r="A2086" s="2">
        <v>40032</v>
      </c>
      <c r="B2086" s="1">
        <v>84.1</v>
      </c>
      <c r="C2086" s="1">
        <v>85.96</v>
      </c>
      <c r="D2086" s="1">
        <v>84.1</v>
      </c>
      <c r="E2086" s="1">
        <v>85.32</v>
      </c>
      <c r="F2086" s="1">
        <v>5628000</v>
      </c>
      <c r="G2086" s="1">
        <v>85.32</v>
      </c>
      <c r="H2086" s="1">
        <f t="shared" si="288"/>
        <v>1.8599999999999994</v>
      </c>
      <c r="I2086" s="9">
        <f t="shared" si="295"/>
        <v>2.2116527942925086E-2</v>
      </c>
      <c r="J2086" s="1">
        <f t="shared" si="296"/>
        <v>0.84999999999999432</v>
      </c>
      <c r="K2086" s="9">
        <f t="shared" si="289"/>
        <v>1.0062744169527576E-2</v>
      </c>
      <c r="L2086" s="1">
        <f t="shared" si="290"/>
        <v>1</v>
      </c>
      <c r="M2086" s="1">
        <f t="shared" si="291"/>
        <v>85.96</v>
      </c>
      <c r="N2086" s="1">
        <f t="shared" si="292"/>
        <v>84.1</v>
      </c>
      <c r="O2086" s="1">
        <f t="shared" si="293"/>
        <v>83.36</v>
      </c>
      <c r="P2086" s="1">
        <f t="shared" si="294"/>
        <v>42.530612244897959</v>
      </c>
    </row>
    <row r="2087" spans="1:16">
      <c r="A2087" s="2">
        <v>40031</v>
      </c>
      <c r="B2087" s="1">
        <v>84.31</v>
      </c>
      <c r="C2087" s="1">
        <v>84.84</v>
      </c>
      <c r="D2087" s="1">
        <v>83.05</v>
      </c>
      <c r="E2087" s="1">
        <v>84.47</v>
      </c>
      <c r="F2087" s="1">
        <v>4693000</v>
      </c>
      <c r="G2087" s="1">
        <v>84.47</v>
      </c>
      <c r="H2087" s="1">
        <f t="shared" si="288"/>
        <v>1.7900000000000063</v>
      </c>
      <c r="I2087" s="9">
        <f t="shared" si="295"/>
        <v>2.1553281155930238E-2</v>
      </c>
      <c r="J2087" s="1">
        <f t="shared" si="296"/>
        <v>0.17999999999999261</v>
      </c>
      <c r="K2087" s="9">
        <f t="shared" si="289"/>
        <v>2.1354846363743339E-3</v>
      </c>
      <c r="L2087" s="1">
        <f t="shared" si="290"/>
        <v>1</v>
      </c>
      <c r="M2087" s="1">
        <f t="shared" si="291"/>
        <v>84.84</v>
      </c>
      <c r="N2087" s="1">
        <f t="shared" si="292"/>
        <v>83.05</v>
      </c>
      <c r="O2087" s="1">
        <f t="shared" si="293"/>
        <v>82.51</v>
      </c>
      <c r="P2087" s="1">
        <f t="shared" si="294"/>
        <v>42.09693877551021</v>
      </c>
    </row>
    <row r="2088" spans="1:16">
      <c r="A2088" s="2">
        <v>40030</v>
      </c>
      <c r="B2088" s="1">
        <v>85.64</v>
      </c>
      <c r="C2088" s="1">
        <v>85.75</v>
      </c>
      <c r="D2088" s="1">
        <v>83.02</v>
      </c>
      <c r="E2088" s="1">
        <v>84.29</v>
      </c>
      <c r="F2088" s="1">
        <v>7279400</v>
      </c>
      <c r="G2088" s="1">
        <v>84.29</v>
      </c>
      <c r="H2088" s="1">
        <f t="shared" si="288"/>
        <v>2.730000000000004</v>
      </c>
      <c r="I2088" s="9">
        <f t="shared" si="295"/>
        <v>3.2883642495784196E-2</v>
      </c>
      <c r="J2088" s="1">
        <f t="shared" si="296"/>
        <v>-1.5099999999999909</v>
      </c>
      <c r="K2088" s="9">
        <f t="shared" si="289"/>
        <v>-1.7599067599067493E-2</v>
      </c>
      <c r="L2088" s="1">
        <f t="shared" si="290"/>
        <v>1</v>
      </c>
      <c r="M2088" s="1">
        <f t="shared" si="291"/>
        <v>85.75</v>
      </c>
      <c r="N2088" s="1">
        <f t="shared" si="292"/>
        <v>83.02</v>
      </c>
      <c r="O2088" s="1">
        <f t="shared" si="293"/>
        <v>82.330000000000013</v>
      </c>
      <c r="P2088" s="1">
        <f t="shared" si="294"/>
        <v>42.005102040816332</v>
      </c>
    </row>
    <row r="2089" spans="1:16">
      <c r="A2089" s="2">
        <v>40029</v>
      </c>
      <c r="B2089" s="1">
        <v>87.48</v>
      </c>
      <c r="C2089" s="1">
        <v>87.48</v>
      </c>
      <c r="D2089" s="1">
        <v>84.93</v>
      </c>
      <c r="E2089" s="1">
        <v>85.8</v>
      </c>
      <c r="F2089" s="1">
        <v>6177900</v>
      </c>
      <c r="G2089" s="1">
        <v>85.8</v>
      </c>
      <c r="H2089" s="1">
        <f t="shared" si="288"/>
        <v>2.5499999999999972</v>
      </c>
      <c r="I2089" s="9">
        <f t="shared" si="295"/>
        <v>3.0024726245143022E-2</v>
      </c>
      <c r="J2089" s="1">
        <f t="shared" si="296"/>
        <v>-1.6400000000000006</v>
      </c>
      <c r="K2089" s="9">
        <f t="shared" si="289"/>
        <v>-1.8755718206770362E-2</v>
      </c>
      <c r="L2089" s="1">
        <f t="shared" si="290"/>
        <v>1</v>
      </c>
      <c r="M2089" s="1">
        <f t="shared" si="291"/>
        <v>87.48</v>
      </c>
      <c r="N2089" s="1">
        <f t="shared" si="292"/>
        <v>84.93</v>
      </c>
      <c r="O2089" s="1">
        <f t="shared" si="293"/>
        <v>83.84</v>
      </c>
      <c r="P2089" s="1">
        <f t="shared" si="294"/>
        <v>42.775510204081634</v>
      </c>
    </row>
    <row r="2090" spans="1:16">
      <c r="A2090" s="2">
        <v>40028</v>
      </c>
      <c r="B2090" s="1">
        <v>86.56</v>
      </c>
      <c r="C2090" s="1">
        <v>88.2</v>
      </c>
      <c r="D2090" s="1">
        <v>86.56</v>
      </c>
      <c r="E2090" s="1">
        <v>87.44</v>
      </c>
      <c r="F2090" s="1">
        <v>6663000</v>
      </c>
      <c r="G2090" s="1">
        <v>87.44</v>
      </c>
      <c r="H2090" s="1">
        <f t="shared" si="288"/>
        <v>1.6400000000000006</v>
      </c>
      <c r="I2090" s="9">
        <f t="shared" si="295"/>
        <v>1.8946395563770802E-2</v>
      </c>
      <c r="J2090" s="1">
        <f t="shared" si="296"/>
        <v>1.6799999999999926</v>
      </c>
      <c r="K2090" s="9">
        <f t="shared" si="289"/>
        <v>1.9589552238805884E-2</v>
      </c>
      <c r="L2090" s="1">
        <f t="shared" si="290"/>
        <v>1</v>
      </c>
      <c r="M2090" s="1">
        <f t="shared" si="291"/>
        <v>88.2</v>
      </c>
      <c r="N2090" s="1">
        <f t="shared" si="292"/>
        <v>86.56</v>
      </c>
      <c r="O2090" s="1">
        <f t="shared" si="293"/>
        <v>85.48</v>
      </c>
      <c r="P2090" s="1">
        <f t="shared" si="294"/>
        <v>43.612244897959187</v>
      </c>
    </row>
    <row r="2091" spans="1:16">
      <c r="A2091" s="2">
        <v>40025</v>
      </c>
      <c r="B2091" s="1">
        <v>85.76</v>
      </c>
      <c r="C2091" s="1">
        <v>86.75</v>
      </c>
      <c r="D2091" s="1">
        <v>84.62</v>
      </c>
      <c r="E2091" s="1">
        <v>85.76</v>
      </c>
      <c r="F2091" s="1">
        <v>5886900</v>
      </c>
      <c r="G2091" s="1">
        <v>85.76</v>
      </c>
      <c r="H2091" s="1">
        <f t="shared" si="288"/>
        <v>2.1299999999999955</v>
      </c>
      <c r="I2091" s="9">
        <f t="shared" si="295"/>
        <v>2.5171354289765958E-2</v>
      </c>
      <c r="J2091" s="1">
        <f t="shared" si="296"/>
        <v>-0.32999999999999829</v>
      </c>
      <c r="K2091" s="9">
        <f t="shared" si="289"/>
        <v>-3.8331978162388001E-3</v>
      </c>
      <c r="L2091" s="1">
        <f t="shared" si="290"/>
        <v>1</v>
      </c>
      <c r="M2091" s="1">
        <f t="shared" si="291"/>
        <v>86.75</v>
      </c>
      <c r="N2091" s="1">
        <f t="shared" si="292"/>
        <v>84.62</v>
      </c>
      <c r="O2091" s="1">
        <f t="shared" si="293"/>
        <v>83.800000000000011</v>
      </c>
      <c r="P2091" s="1">
        <f t="shared" si="294"/>
        <v>42.755102040816332</v>
      </c>
    </row>
    <row r="2092" spans="1:16">
      <c r="A2092" s="2">
        <v>40024</v>
      </c>
      <c r="B2092" s="1">
        <v>85.64</v>
      </c>
      <c r="C2092" s="1">
        <v>87.25</v>
      </c>
      <c r="D2092" s="1">
        <v>85.17</v>
      </c>
      <c r="E2092" s="1">
        <v>86.09</v>
      </c>
      <c r="F2092" s="1">
        <v>7253200</v>
      </c>
      <c r="G2092" s="1">
        <v>86.09</v>
      </c>
      <c r="H2092" s="1">
        <f t="shared" si="288"/>
        <v>2.0799999999999983</v>
      </c>
      <c r="I2092" s="9">
        <f t="shared" si="295"/>
        <v>2.4421744745802491E-2</v>
      </c>
      <c r="J2092" s="1">
        <f t="shared" si="296"/>
        <v>1.75</v>
      </c>
      <c r="K2092" s="9">
        <f t="shared" si="289"/>
        <v>2.074934787763813E-2</v>
      </c>
      <c r="L2092" s="1">
        <f t="shared" si="290"/>
        <v>1</v>
      </c>
      <c r="M2092" s="1">
        <f t="shared" si="291"/>
        <v>87.25</v>
      </c>
      <c r="N2092" s="1">
        <f t="shared" si="292"/>
        <v>85.17</v>
      </c>
      <c r="O2092" s="1">
        <f t="shared" si="293"/>
        <v>84.13000000000001</v>
      </c>
      <c r="P2092" s="1">
        <f t="shared" si="294"/>
        <v>42.923469387755105</v>
      </c>
    </row>
    <row r="2093" spans="1:16">
      <c r="A2093" s="2">
        <v>40023</v>
      </c>
      <c r="B2093" s="1">
        <v>84.47</v>
      </c>
      <c r="C2093" s="1">
        <v>85.5</v>
      </c>
      <c r="D2093" s="1">
        <v>83.52</v>
      </c>
      <c r="E2093" s="1">
        <v>84.34</v>
      </c>
      <c r="F2093" s="1">
        <v>6502900</v>
      </c>
      <c r="G2093" s="1">
        <v>84.34</v>
      </c>
      <c r="H2093" s="1">
        <f t="shared" si="288"/>
        <v>1.980000000000004</v>
      </c>
      <c r="I2093" s="9">
        <f t="shared" si="295"/>
        <v>2.3706896551724185E-2</v>
      </c>
      <c r="J2093" s="1">
        <f t="shared" si="296"/>
        <v>-0.64000000000000057</v>
      </c>
      <c r="K2093" s="9">
        <f t="shared" si="289"/>
        <v>-7.5311838079548188E-3</v>
      </c>
      <c r="L2093" s="1">
        <f t="shared" si="290"/>
        <v>1</v>
      </c>
      <c r="M2093" s="1">
        <f t="shared" si="291"/>
        <v>85.5</v>
      </c>
      <c r="N2093" s="1">
        <f t="shared" si="292"/>
        <v>83.52</v>
      </c>
      <c r="O2093" s="1">
        <f t="shared" si="293"/>
        <v>82.38000000000001</v>
      </c>
      <c r="P2093" s="1">
        <f t="shared" si="294"/>
        <v>42.030612244897966</v>
      </c>
    </row>
    <row r="2094" spans="1:16">
      <c r="A2094" s="2">
        <v>40022</v>
      </c>
      <c r="B2094" s="1">
        <v>83.84</v>
      </c>
      <c r="C2094" s="1">
        <v>85.64</v>
      </c>
      <c r="D2094" s="1">
        <v>82.6</v>
      </c>
      <c r="E2094" s="1">
        <v>84.98</v>
      </c>
      <c r="F2094" s="1">
        <v>8774900</v>
      </c>
      <c r="G2094" s="1">
        <v>84.98</v>
      </c>
      <c r="H2094" s="1">
        <f t="shared" si="288"/>
        <v>3.0400000000000063</v>
      </c>
      <c r="I2094" s="9">
        <f t="shared" si="295"/>
        <v>3.6803874092009761E-2</v>
      </c>
      <c r="J2094" s="1">
        <f t="shared" si="296"/>
        <v>0.74000000000000909</v>
      </c>
      <c r="K2094" s="9">
        <f t="shared" si="289"/>
        <v>8.7844254510922263E-3</v>
      </c>
      <c r="L2094" s="1">
        <f t="shared" si="290"/>
        <v>1</v>
      </c>
      <c r="M2094" s="1">
        <f t="shared" si="291"/>
        <v>85.64</v>
      </c>
      <c r="N2094" s="1">
        <f t="shared" si="292"/>
        <v>82.6</v>
      </c>
      <c r="O2094" s="1">
        <f t="shared" si="293"/>
        <v>83.02000000000001</v>
      </c>
      <c r="P2094" s="1">
        <f t="shared" si="294"/>
        <v>42.357142857142861</v>
      </c>
    </row>
    <row r="2095" spans="1:16">
      <c r="A2095" s="2">
        <v>40021</v>
      </c>
      <c r="B2095" s="1">
        <v>86.24</v>
      </c>
      <c r="C2095" s="1">
        <v>86.49</v>
      </c>
      <c r="D2095" s="1">
        <v>83.56</v>
      </c>
      <c r="E2095" s="1">
        <v>84.24</v>
      </c>
      <c r="F2095" s="1">
        <v>11279300</v>
      </c>
      <c r="G2095" s="1">
        <v>84.24</v>
      </c>
      <c r="H2095" s="1">
        <f t="shared" si="288"/>
        <v>2.9299999999999926</v>
      </c>
      <c r="I2095" s="9">
        <f t="shared" si="295"/>
        <v>3.5064624222115759E-2</v>
      </c>
      <c r="J2095" s="1">
        <f t="shared" si="296"/>
        <v>-2.25</v>
      </c>
      <c r="K2095" s="9">
        <f t="shared" si="289"/>
        <v>-2.6014568158168577E-2</v>
      </c>
      <c r="L2095" s="1">
        <f t="shared" si="290"/>
        <v>1</v>
      </c>
      <c r="M2095" s="1">
        <f t="shared" si="291"/>
        <v>86.49</v>
      </c>
      <c r="N2095" s="1">
        <f t="shared" si="292"/>
        <v>83.56</v>
      </c>
      <c r="O2095" s="1">
        <f t="shared" si="293"/>
        <v>82.28</v>
      </c>
      <c r="P2095" s="1">
        <f t="shared" si="294"/>
        <v>41.979591836734699</v>
      </c>
    </row>
    <row r="2096" spans="1:16">
      <c r="A2096" s="2">
        <v>40018</v>
      </c>
      <c r="B2096" s="1">
        <v>87.6</v>
      </c>
      <c r="C2096" s="1">
        <v>88.9</v>
      </c>
      <c r="D2096" s="1">
        <v>85.5</v>
      </c>
      <c r="E2096" s="1">
        <v>86.49</v>
      </c>
      <c r="F2096" s="1">
        <v>19204600</v>
      </c>
      <c r="G2096" s="1">
        <v>86.49</v>
      </c>
      <c r="H2096" s="1">
        <f t="shared" si="288"/>
        <v>3.4000000000000057</v>
      </c>
      <c r="I2096" s="9">
        <f t="shared" si="295"/>
        <v>3.9766081871345095E-2</v>
      </c>
      <c r="J2096" s="1">
        <f t="shared" si="296"/>
        <v>-7.3800000000000097</v>
      </c>
      <c r="K2096" s="9">
        <f t="shared" si="289"/>
        <v>-7.8619367209971341E-2</v>
      </c>
      <c r="L2096" s="1">
        <f t="shared" si="290"/>
        <v>1</v>
      </c>
      <c r="M2096" s="1">
        <f t="shared" si="291"/>
        <v>88.9</v>
      </c>
      <c r="N2096" s="1">
        <f t="shared" si="292"/>
        <v>85.5</v>
      </c>
      <c r="O2096" s="1">
        <f t="shared" si="293"/>
        <v>84.53</v>
      </c>
      <c r="P2096" s="1">
        <f t="shared" si="294"/>
        <v>43.127551020408163</v>
      </c>
    </row>
    <row r="2097" spans="1:16">
      <c r="A2097" s="2">
        <v>40017</v>
      </c>
      <c r="B2097" s="1">
        <v>89.84</v>
      </c>
      <c r="C2097" s="1">
        <v>94.4</v>
      </c>
      <c r="D2097" s="1">
        <v>89.59</v>
      </c>
      <c r="E2097" s="1">
        <v>93.87</v>
      </c>
      <c r="F2097" s="1">
        <v>19162100</v>
      </c>
      <c r="G2097" s="1">
        <v>93.87</v>
      </c>
      <c r="H2097" s="1">
        <f t="shared" si="288"/>
        <v>4.8100000000000023</v>
      </c>
      <c r="I2097" s="9">
        <f t="shared" si="295"/>
        <v>5.3689027793280525E-2</v>
      </c>
      <c r="J2097" s="1">
        <f t="shared" si="296"/>
        <v>5.0799999999999983</v>
      </c>
      <c r="K2097" s="9">
        <f t="shared" si="289"/>
        <v>5.7213650185831716E-2</v>
      </c>
      <c r="L2097" s="1">
        <f t="shared" si="290"/>
        <v>1</v>
      </c>
      <c r="M2097" s="1">
        <f t="shared" si="291"/>
        <v>94.4</v>
      </c>
      <c r="N2097" s="1">
        <f t="shared" si="292"/>
        <v>89.59</v>
      </c>
      <c r="O2097" s="1">
        <f t="shared" si="293"/>
        <v>91.910000000000011</v>
      </c>
      <c r="P2097" s="1">
        <f t="shared" si="294"/>
        <v>46.892857142857146</v>
      </c>
    </row>
    <row r="2098" spans="1:16">
      <c r="A2098" s="2">
        <v>40016</v>
      </c>
      <c r="B2098" s="1">
        <v>88.65</v>
      </c>
      <c r="C2098" s="1">
        <v>89.23</v>
      </c>
      <c r="D2098" s="1">
        <v>87.78</v>
      </c>
      <c r="E2098" s="1">
        <v>88.79</v>
      </c>
      <c r="F2098" s="1">
        <v>5329600</v>
      </c>
      <c r="G2098" s="1">
        <v>88.79</v>
      </c>
      <c r="H2098" s="1">
        <f t="shared" si="288"/>
        <v>1.4500000000000028</v>
      </c>
      <c r="I2098" s="9">
        <f t="shared" si="295"/>
        <v>1.651856915014813E-2</v>
      </c>
      <c r="J2098" s="1">
        <f t="shared" si="296"/>
        <v>-0.21999999999999886</v>
      </c>
      <c r="K2098" s="9">
        <f t="shared" si="289"/>
        <v>-2.4716324008538237E-3</v>
      </c>
      <c r="L2098" s="1">
        <f t="shared" si="290"/>
        <v>1</v>
      </c>
      <c r="M2098" s="1">
        <f t="shared" si="291"/>
        <v>89.23</v>
      </c>
      <c r="N2098" s="1">
        <f t="shared" si="292"/>
        <v>87.78</v>
      </c>
      <c r="O2098" s="1">
        <f t="shared" si="293"/>
        <v>86.830000000000013</v>
      </c>
      <c r="P2098" s="1">
        <f t="shared" si="294"/>
        <v>44.301020408163275</v>
      </c>
    </row>
    <row r="2099" spans="1:16">
      <c r="A2099" s="2">
        <v>40015</v>
      </c>
      <c r="B2099" s="1">
        <v>88.52</v>
      </c>
      <c r="C2099" s="1">
        <v>89.01</v>
      </c>
      <c r="D2099" s="1">
        <v>87.4</v>
      </c>
      <c r="E2099" s="1">
        <v>89.01</v>
      </c>
      <c r="F2099" s="1">
        <v>7728600</v>
      </c>
      <c r="G2099" s="1">
        <v>89.01</v>
      </c>
      <c r="H2099" s="1">
        <f t="shared" si="288"/>
        <v>1.6099999999999994</v>
      </c>
      <c r="I2099" s="9">
        <f t="shared" si="295"/>
        <v>1.8421052631578939E-2</v>
      </c>
      <c r="J2099" s="1">
        <f t="shared" si="296"/>
        <v>0.78000000000000114</v>
      </c>
      <c r="K2099" s="9">
        <f t="shared" si="289"/>
        <v>8.8405304318259215E-3</v>
      </c>
      <c r="L2099" s="1">
        <f t="shared" si="290"/>
        <v>1</v>
      </c>
      <c r="M2099" s="1">
        <f t="shared" si="291"/>
        <v>89.01</v>
      </c>
      <c r="N2099" s="1">
        <f t="shared" si="292"/>
        <v>87.4</v>
      </c>
      <c r="O2099" s="1">
        <f t="shared" si="293"/>
        <v>87.050000000000011</v>
      </c>
      <c r="P2099" s="1">
        <f t="shared" si="294"/>
        <v>44.413265306122454</v>
      </c>
    </row>
    <row r="2100" spans="1:16">
      <c r="A2100" s="2">
        <v>40014</v>
      </c>
      <c r="B2100" s="1">
        <v>86.27</v>
      </c>
      <c r="C2100" s="1">
        <v>88.88</v>
      </c>
      <c r="D2100" s="1">
        <v>86.26</v>
      </c>
      <c r="E2100" s="1">
        <v>88.23</v>
      </c>
      <c r="F2100" s="1">
        <v>6056600</v>
      </c>
      <c r="G2100" s="1">
        <v>88.23</v>
      </c>
      <c r="H2100" s="1">
        <f t="shared" si="288"/>
        <v>2.6199999999999903</v>
      </c>
      <c r="I2100" s="9">
        <f t="shared" si="295"/>
        <v>3.0373290053327038E-2</v>
      </c>
      <c r="J2100" s="1">
        <f t="shared" si="296"/>
        <v>2.3800000000000097</v>
      </c>
      <c r="K2100" s="9">
        <f t="shared" si="289"/>
        <v>2.7722772277227838E-2</v>
      </c>
      <c r="L2100" s="1">
        <f t="shared" si="290"/>
        <v>1</v>
      </c>
      <c r="M2100" s="1">
        <f t="shared" si="291"/>
        <v>88.88</v>
      </c>
      <c r="N2100" s="1">
        <f t="shared" si="292"/>
        <v>86.26</v>
      </c>
      <c r="O2100" s="1">
        <f t="shared" si="293"/>
        <v>86.27000000000001</v>
      </c>
      <c r="P2100" s="1">
        <f t="shared" si="294"/>
        <v>44.015306122448983</v>
      </c>
    </row>
    <row r="2101" spans="1:16">
      <c r="A2101" s="2">
        <v>40011</v>
      </c>
      <c r="B2101" s="1">
        <v>85.8</v>
      </c>
      <c r="C2101" s="1">
        <v>86.5</v>
      </c>
      <c r="D2101" s="1">
        <v>85.2</v>
      </c>
      <c r="E2101" s="1">
        <v>85.85</v>
      </c>
      <c r="F2101" s="1">
        <v>5051600</v>
      </c>
      <c r="G2101" s="1">
        <v>85.85</v>
      </c>
      <c r="H2101" s="1">
        <f t="shared" si="288"/>
        <v>1.2999999999999972</v>
      </c>
      <c r="I2101" s="9">
        <f t="shared" si="295"/>
        <v>1.5258215962441282E-2</v>
      </c>
      <c r="J2101" s="1">
        <f t="shared" si="296"/>
        <v>-0.26000000000000512</v>
      </c>
      <c r="K2101" s="9">
        <f t="shared" si="289"/>
        <v>-3.0193937986297192E-3</v>
      </c>
      <c r="L2101" s="1">
        <f t="shared" si="290"/>
        <v>1</v>
      </c>
      <c r="M2101" s="1">
        <f t="shared" si="291"/>
        <v>86.5</v>
      </c>
      <c r="N2101" s="1">
        <f t="shared" si="292"/>
        <v>85.2</v>
      </c>
      <c r="O2101" s="1">
        <f t="shared" si="293"/>
        <v>83.89</v>
      </c>
      <c r="P2101" s="1">
        <f t="shared" si="294"/>
        <v>42.801020408163268</v>
      </c>
    </row>
    <row r="2102" spans="1:16">
      <c r="A2102" s="2">
        <v>40010</v>
      </c>
      <c r="B2102" s="1">
        <v>84.42</v>
      </c>
      <c r="C2102" s="1">
        <v>86.24</v>
      </c>
      <c r="D2102" s="1">
        <v>83.72</v>
      </c>
      <c r="E2102" s="1">
        <v>86.11</v>
      </c>
      <c r="F2102" s="1">
        <v>5361900</v>
      </c>
      <c r="G2102" s="1">
        <v>86.11</v>
      </c>
      <c r="H2102" s="1">
        <f t="shared" si="288"/>
        <v>2.519999999999996</v>
      </c>
      <c r="I2102" s="9">
        <f t="shared" si="295"/>
        <v>3.0100334448160487E-2</v>
      </c>
      <c r="J2102" s="1">
        <f t="shared" si="296"/>
        <v>1.5600000000000023</v>
      </c>
      <c r="K2102" s="9">
        <f t="shared" si="289"/>
        <v>1.8450620934358394E-2</v>
      </c>
      <c r="L2102" s="1">
        <f t="shared" si="290"/>
        <v>1</v>
      </c>
      <c r="M2102" s="1">
        <f t="shared" si="291"/>
        <v>86.24</v>
      </c>
      <c r="N2102" s="1">
        <f t="shared" si="292"/>
        <v>83.72</v>
      </c>
      <c r="O2102" s="1">
        <f t="shared" si="293"/>
        <v>84.15</v>
      </c>
      <c r="P2102" s="1">
        <f t="shared" si="294"/>
        <v>42.933673469387756</v>
      </c>
    </row>
    <row r="2103" spans="1:16">
      <c r="A2103" s="2">
        <v>40009</v>
      </c>
      <c r="B2103" s="1">
        <v>83</v>
      </c>
      <c r="C2103" s="1">
        <v>84.64</v>
      </c>
      <c r="D2103" s="1">
        <v>82.78</v>
      </c>
      <c r="E2103" s="1">
        <v>84.55</v>
      </c>
      <c r="F2103" s="1">
        <v>6339000</v>
      </c>
      <c r="G2103" s="1">
        <v>84.55</v>
      </c>
      <c r="H2103" s="1">
        <f t="shared" si="288"/>
        <v>1.8599999999999994</v>
      </c>
      <c r="I2103" s="9">
        <f t="shared" si="295"/>
        <v>2.2469195457840051E-2</v>
      </c>
      <c r="J2103" s="1">
        <f t="shared" si="296"/>
        <v>2.5999999999999943</v>
      </c>
      <c r="K2103" s="9">
        <f t="shared" si="289"/>
        <v>3.172666259914575E-2</v>
      </c>
      <c r="L2103" s="1">
        <f t="shared" si="290"/>
        <v>1</v>
      </c>
      <c r="M2103" s="1">
        <f t="shared" si="291"/>
        <v>84.64</v>
      </c>
      <c r="N2103" s="1">
        <f t="shared" si="292"/>
        <v>82.78</v>
      </c>
      <c r="O2103" s="1">
        <f t="shared" si="293"/>
        <v>82.59</v>
      </c>
      <c r="P2103" s="1">
        <f t="shared" si="294"/>
        <v>42.137755102040821</v>
      </c>
    </row>
    <row r="2104" spans="1:16">
      <c r="A2104" s="2">
        <v>40008</v>
      </c>
      <c r="B2104" s="1">
        <v>81.48</v>
      </c>
      <c r="C2104" s="1">
        <v>82.42</v>
      </c>
      <c r="D2104" s="1">
        <v>80.42</v>
      </c>
      <c r="E2104" s="1">
        <v>81.95</v>
      </c>
      <c r="F2104" s="1">
        <v>4543600</v>
      </c>
      <c r="G2104" s="1">
        <v>81.95</v>
      </c>
      <c r="H2104" s="1">
        <f t="shared" si="288"/>
        <v>2</v>
      </c>
      <c r="I2104" s="9">
        <f t="shared" si="295"/>
        <v>2.4869435463814971E-2</v>
      </c>
      <c r="J2104" s="1">
        <f t="shared" si="296"/>
        <v>0.48000000000000398</v>
      </c>
      <c r="K2104" s="9">
        <f t="shared" si="289"/>
        <v>5.891739290536443E-3</v>
      </c>
      <c r="L2104" s="1">
        <f t="shared" si="290"/>
        <v>1</v>
      </c>
      <c r="M2104" s="1">
        <f t="shared" si="291"/>
        <v>82.42</v>
      </c>
      <c r="N2104" s="1">
        <f t="shared" si="292"/>
        <v>80.42</v>
      </c>
      <c r="O2104" s="1">
        <f t="shared" si="293"/>
        <v>79.990000000000009</v>
      </c>
      <c r="P2104" s="1">
        <f t="shared" si="294"/>
        <v>40.811224489795926</v>
      </c>
    </row>
    <row r="2105" spans="1:16">
      <c r="A2105" s="2">
        <v>40007</v>
      </c>
      <c r="B2105" s="1">
        <v>78.069999999999993</v>
      </c>
      <c r="C2105" s="1">
        <v>81.650000000000006</v>
      </c>
      <c r="D2105" s="1">
        <v>78.010000000000005</v>
      </c>
      <c r="E2105" s="1">
        <v>81.47</v>
      </c>
      <c r="F2105" s="1">
        <v>8050200</v>
      </c>
      <c r="G2105" s="1">
        <v>81.47</v>
      </c>
      <c r="H2105" s="1">
        <f t="shared" si="288"/>
        <v>3.6400000000000006</v>
      </c>
      <c r="I2105" s="9">
        <f t="shared" si="295"/>
        <v>4.6660684527624667E-2</v>
      </c>
      <c r="J2105" s="1">
        <f t="shared" si="296"/>
        <v>3.8400000000000034</v>
      </c>
      <c r="K2105" s="9">
        <f t="shared" si="289"/>
        <v>4.9465412855854742E-2</v>
      </c>
      <c r="L2105" s="1">
        <f t="shared" si="290"/>
        <v>1</v>
      </c>
      <c r="M2105" s="1">
        <f t="shared" si="291"/>
        <v>81.650000000000006</v>
      </c>
      <c r="N2105" s="1">
        <f t="shared" si="292"/>
        <v>78.010000000000005</v>
      </c>
      <c r="O2105" s="1">
        <f t="shared" si="293"/>
        <v>79.510000000000005</v>
      </c>
      <c r="P2105" s="1">
        <f t="shared" si="294"/>
        <v>40.566326530612251</v>
      </c>
    </row>
    <row r="2106" spans="1:16">
      <c r="A2106" s="2">
        <v>40004</v>
      </c>
      <c r="B2106" s="1">
        <v>77.52</v>
      </c>
      <c r="C2106" s="1">
        <v>78.819999999999993</v>
      </c>
      <c r="D2106" s="1">
        <v>76.17</v>
      </c>
      <c r="E2106" s="1">
        <v>77.63</v>
      </c>
      <c r="F2106" s="1">
        <v>5976100</v>
      </c>
      <c r="G2106" s="1">
        <v>77.63</v>
      </c>
      <c r="H2106" s="1">
        <f t="shared" si="288"/>
        <v>2.6499999999999915</v>
      </c>
      <c r="I2106" s="9">
        <f t="shared" si="295"/>
        <v>3.4790599973742828E-2</v>
      </c>
      <c r="J2106" s="1">
        <f t="shared" si="296"/>
        <v>-0.46999999999999886</v>
      </c>
      <c r="K2106" s="9">
        <f t="shared" si="289"/>
        <v>-6.0179257362355815E-3</v>
      </c>
      <c r="L2106" s="1">
        <f t="shared" si="290"/>
        <v>1</v>
      </c>
      <c r="M2106" s="1">
        <f t="shared" si="291"/>
        <v>78.819999999999993</v>
      </c>
      <c r="N2106" s="1">
        <f t="shared" si="292"/>
        <v>76.17</v>
      </c>
      <c r="O2106" s="1">
        <f t="shared" si="293"/>
        <v>75.67</v>
      </c>
      <c r="P2106" s="1">
        <f t="shared" si="294"/>
        <v>38.607142857142861</v>
      </c>
    </row>
    <row r="2107" spans="1:16">
      <c r="A2107" s="2">
        <v>40003</v>
      </c>
      <c r="B2107" s="1">
        <v>78.25</v>
      </c>
      <c r="C2107" s="1">
        <v>78.540000000000006</v>
      </c>
      <c r="D2107" s="1">
        <v>76.819999999999993</v>
      </c>
      <c r="E2107" s="1">
        <v>78.099999999999994</v>
      </c>
      <c r="F2107" s="1">
        <v>6359500</v>
      </c>
      <c r="G2107" s="1">
        <v>78.099999999999994</v>
      </c>
      <c r="H2107" s="1">
        <f t="shared" si="288"/>
        <v>1.7200000000000131</v>
      </c>
      <c r="I2107" s="9">
        <f t="shared" si="295"/>
        <v>2.2390002603488848E-2</v>
      </c>
      <c r="J2107" s="1">
        <f t="shared" si="296"/>
        <v>0.73999999999999488</v>
      </c>
      <c r="K2107" s="9">
        <f t="shared" si="289"/>
        <v>9.5656670113753225E-3</v>
      </c>
      <c r="L2107" s="1">
        <f t="shared" si="290"/>
        <v>1</v>
      </c>
      <c r="M2107" s="1">
        <f t="shared" si="291"/>
        <v>78.540000000000006</v>
      </c>
      <c r="N2107" s="1">
        <f t="shared" si="292"/>
        <v>76.819999999999993</v>
      </c>
      <c r="O2107" s="1">
        <f t="shared" si="293"/>
        <v>76.14</v>
      </c>
      <c r="P2107" s="1">
        <f t="shared" si="294"/>
        <v>38.846938775510203</v>
      </c>
    </row>
    <row r="2108" spans="1:16">
      <c r="A2108" s="2">
        <v>40002</v>
      </c>
      <c r="B2108" s="1">
        <v>76.459999999999994</v>
      </c>
      <c r="C2108" s="1">
        <v>77.930000000000007</v>
      </c>
      <c r="D2108" s="1">
        <v>75.7</v>
      </c>
      <c r="E2108" s="1">
        <v>77.36</v>
      </c>
      <c r="F2108" s="1">
        <v>8540700</v>
      </c>
      <c r="G2108" s="1">
        <v>77.36</v>
      </c>
      <c r="H2108" s="1">
        <f t="shared" si="288"/>
        <v>2.230000000000004</v>
      </c>
      <c r="I2108" s="9">
        <f t="shared" si="295"/>
        <v>2.9458388375165175E-2</v>
      </c>
      <c r="J2108" s="1">
        <f t="shared" si="296"/>
        <v>1.730000000000004</v>
      </c>
      <c r="K2108" s="9">
        <f t="shared" si="289"/>
        <v>2.2874520692846807E-2</v>
      </c>
      <c r="L2108" s="1">
        <f t="shared" si="290"/>
        <v>1</v>
      </c>
      <c r="M2108" s="1">
        <f t="shared" si="291"/>
        <v>77.930000000000007</v>
      </c>
      <c r="N2108" s="1">
        <f t="shared" si="292"/>
        <v>75.7</v>
      </c>
      <c r="O2108" s="1">
        <f t="shared" si="293"/>
        <v>75.400000000000006</v>
      </c>
      <c r="P2108" s="1">
        <f t="shared" si="294"/>
        <v>38.469387755102048</v>
      </c>
    </row>
    <row r="2109" spans="1:16">
      <c r="A2109" s="2">
        <v>40001</v>
      </c>
      <c r="B2109" s="1">
        <v>78.53</v>
      </c>
      <c r="C2109" s="1">
        <v>78.69</v>
      </c>
      <c r="D2109" s="1">
        <v>75.41</v>
      </c>
      <c r="E2109" s="1">
        <v>75.63</v>
      </c>
      <c r="F2109" s="1">
        <v>6491500</v>
      </c>
      <c r="G2109" s="1">
        <v>75.63</v>
      </c>
      <c r="H2109" s="1">
        <f t="shared" si="288"/>
        <v>3.2800000000000011</v>
      </c>
      <c r="I2109" s="9">
        <f t="shared" si="295"/>
        <v>4.3495557618353019E-2</v>
      </c>
      <c r="J2109" s="1">
        <f t="shared" si="296"/>
        <v>-2.4699999999999989</v>
      </c>
      <c r="K2109" s="9">
        <f t="shared" si="289"/>
        <v>-3.1626120358514712E-2</v>
      </c>
      <c r="L2109" s="1">
        <f t="shared" si="290"/>
        <v>1</v>
      </c>
      <c r="M2109" s="1">
        <f t="shared" si="291"/>
        <v>78.69</v>
      </c>
      <c r="N2109" s="1">
        <f t="shared" si="292"/>
        <v>75.41</v>
      </c>
      <c r="O2109" s="1">
        <f t="shared" si="293"/>
        <v>73.67</v>
      </c>
      <c r="P2109" s="1">
        <f t="shared" si="294"/>
        <v>37.586734693877553</v>
      </c>
    </row>
    <row r="2110" spans="1:16">
      <c r="A2110" s="2">
        <v>40000</v>
      </c>
      <c r="B2110" s="1">
        <v>78.45</v>
      </c>
      <c r="C2110" s="1">
        <v>78.89</v>
      </c>
      <c r="D2110" s="1">
        <v>76.540000000000006</v>
      </c>
      <c r="E2110" s="1">
        <v>78.099999999999994</v>
      </c>
      <c r="F2110" s="1">
        <v>7368800</v>
      </c>
      <c r="G2110" s="1">
        <v>78.099999999999994</v>
      </c>
      <c r="H2110" s="1">
        <f t="shared" si="288"/>
        <v>2.3499999999999943</v>
      </c>
      <c r="I2110" s="9">
        <f t="shared" si="295"/>
        <v>3.0702900444212099E-2</v>
      </c>
      <c r="J2110" s="1">
        <f t="shared" si="296"/>
        <v>-1.2199999999999989</v>
      </c>
      <c r="K2110" s="9">
        <f t="shared" si="289"/>
        <v>-1.5380736258194642E-2</v>
      </c>
      <c r="L2110" s="1">
        <f t="shared" si="290"/>
        <v>1</v>
      </c>
      <c r="M2110" s="1">
        <f t="shared" si="291"/>
        <v>78.89</v>
      </c>
      <c r="N2110" s="1">
        <f t="shared" si="292"/>
        <v>76.540000000000006</v>
      </c>
      <c r="O2110" s="1">
        <f t="shared" si="293"/>
        <v>76.14</v>
      </c>
      <c r="P2110" s="1">
        <f t="shared" si="294"/>
        <v>38.846938775510203</v>
      </c>
    </row>
    <row r="2111" spans="1:16">
      <c r="A2111" s="2">
        <v>39996</v>
      </c>
      <c r="B2111" s="1">
        <v>81.11</v>
      </c>
      <c r="C2111" s="1">
        <v>81.37</v>
      </c>
      <c r="D2111" s="1">
        <v>78.510000000000005</v>
      </c>
      <c r="E2111" s="1">
        <v>79.319999999999993</v>
      </c>
      <c r="F2111" s="1">
        <v>7218600</v>
      </c>
      <c r="G2111" s="1">
        <v>79.319999999999993</v>
      </c>
      <c r="H2111" s="1">
        <f t="shared" si="288"/>
        <v>2.8599999999999994</v>
      </c>
      <c r="I2111" s="9">
        <f t="shared" si="295"/>
        <v>3.6428480448350516E-2</v>
      </c>
      <c r="J2111" s="1">
        <f t="shared" si="296"/>
        <v>-2.2800000000000011</v>
      </c>
      <c r="K2111" s="9">
        <f t="shared" si="289"/>
        <v>-2.7941176470588251E-2</v>
      </c>
      <c r="L2111" s="1">
        <f t="shared" si="290"/>
        <v>1</v>
      </c>
      <c r="M2111" s="1">
        <f t="shared" si="291"/>
        <v>81.37</v>
      </c>
      <c r="N2111" s="1">
        <f t="shared" si="292"/>
        <v>78.510000000000005</v>
      </c>
      <c r="O2111" s="1">
        <f t="shared" si="293"/>
        <v>77.36</v>
      </c>
      <c r="P2111" s="1">
        <f t="shared" si="294"/>
        <v>39.469387755102041</v>
      </c>
    </row>
    <row r="2112" spans="1:16">
      <c r="A2112" s="2">
        <v>39995</v>
      </c>
      <c r="B2112" s="1">
        <v>84.42</v>
      </c>
      <c r="C2112" s="1">
        <v>84.5</v>
      </c>
      <c r="D2112" s="1">
        <v>81.37</v>
      </c>
      <c r="E2112" s="1">
        <v>81.599999999999994</v>
      </c>
      <c r="F2112" s="1">
        <v>6981200</v>
      </c>
      <c r="G2112" s="1">
        <v>81.599999999999994</v>
      </c>
      <c r="H2112" s="1">
        <f t="shared" si="288"/>
        <v>3.1299999999999955</v>
      </c>
      <c r="I2112" s="9">
        <f t="shared" si="295"/>
        <v>3.8466265208307669E-2</v>
      </c>
      <c r="J2112" s="1">
        <f t="shared" si="296"/>
        <v>-2.0600000000000023</v>
      </c>
      <c r="K2112" s="9">
        <f t="shared" si="289"/>
        <v>-2.4623475974181238E-2</v>
      </c>
      <c r="L2112" s="1">
        <f t="shared" si="290"/>
        <v>1</v>
      </c>
      <c r="M2112" s="1">
        <f t="shared" si="291"/>
        <v>84.5</v>
      </c>
      <c r="N2112" s="1">
        <f t="shared" si="292"/>
        <v>81.37</v>
      </c>
      <c r="O2112" s="1">
        <f t="shared" si="293"/>
        <v>79.64</v>
      </c>
      <c r="P2112" s="1">
        <f t="shared" si="294"/>
        <v>40.632653061224488</v>
      </c>
    </row>
    <row r="2113" spans="1:16">
      <c r="A2113" s="2">
        <v>39994</v>
      </c>
      <c r="B2113" s="1">
        <v>83.62</v>
      </c>
      <c r="C2113" s="1">
        <v>84.92</v>
      </c>
      <c r="D2113" s="1">
        <v>82.47</v>
      </c>
      <c r="E2113" s="1">
        <v>83.66</v>
      </c>
      <c r="F2113" s="1">
        <v>7984800</v>
      </c>
      <c r="G2113" s="1">
        <v>83.66</v>
      </c>
      <c r="H2113" s="1">
        <f t="shared" si="288"/>
        <v>2.4500000000000028</v>
      </c>
      <c r="I2113" s="9">
        <f t="shared" si="295"/>
        <v>2.9707772523341856E-2</v>
      </c>
      <c r="J2113" s="1">
        <f t="shared" si="296"/>
        <v>0.62999999999999545</v>
      </c>
      <c r="K2113" s="9">
        <f t="shared" si="289"/>
        <v>7.5876189329157585E-3</v>
      </c>
      <c r="L2113" s="1">
        <f t="shared" si="290"/>
        <v>1</v>
      </c>
      <c r="M2113" s="1">
        <f t="shared" si="291"/>
        <v>84.92</v>
      </c>
      <c r="N2113" s="1">
        <f t="shared" si="292"/>
        <v>82.47</v>
      </c>
      <c r="O2113" s="1">
        <f t="shared" si="293"/>
        <v>81.7</v>
      </c>
      <c r="P2113" s="1">
        <f t="shared" si="294"/>
        <v>41.683673469387756</v>
      </c>
    </row>
    <row r="2114" spans="1:16">
      <c r="A2114" s="2">
        <v>39993</v>
      </c>
      <c r="B2114" s="1">
        <v>83.87</v>
      </c>
      <c r="C2114" s="1">
        <v>84.2</v>
      </c>
      <c r="D2114" s="1">
        <v>82.41</v>
      </c>
      <c r="E2114" s="1">
        <v>83.03</v>
      </c>
      <c r="F2114" s="1">
        <v>6270300</v>
      </c>
      <c r="G2114" s="1">
        <v>83.03</v>
      </c>
      <c r="H2114" s="1">
        <f t="shared" si="288"/>
        <v>1.7900000000000063</v>
      </c>
      <c r="I2114" s="9">
        <f t="shared" si="295"/>
        <v>2.1720664967843785E-2</v>
      </c>
      <c r="J2114" s="1">
        <f t="shared" si="296"/>
        <v>-0.84999999999999432</v>
      </c>
      <c r="K2114" s="9">
        <f t="shared" si="289"/>
        <v>-1.0133524082021868E-2</v>
      </c>
      <c r="L2114" s="1">
        <f t="shared" si="290"/>
        <v>1</v>
      </c>
      <c r="M2114" s="1">
        <f t="shared" si="291"/>
        <v>84.2</v>
      </c>
      <c r="N2114" s="1">
        <f t="shared" si="292"/>
        <v>82.41</v>
      </c>
      <c r="O2114" s="1">
        <f t="shared" si="293"/>
        <v>81.070000000000007</v>
      </c>
      <c r="P2114" s="1">
        <f t="shared" si="294"/>
        <v>41.362244897959187</v>
      </c>
    </row>
    <row r="2115" spans="1:16">
      <c r="A2115" s="2">
        <v>39990</v>
      </c>
      <c r="B2115" s="1">
        <v>81.900000000000006</v>
      </c>
      <c r="C2115" s="1">
        <v>84.14</v>
      </c>
      <c r="D2115" s="1">
        <v>81.13</v>
      </c>
      <c r="E2115" s="1">
        <v>83.88</v>
      </c>
      <c r="F2115" s="1">
        <v>8775300</v>
      </c>
      <c r="G2115" s="1">
        <v>83.88</v>
      </c>
      <c r="H2115" s="1">
        <f t="shared" ref="H2115:H2178" si="297">C2115-D2115</f>
        <v>3.0100000000000051</v>
      </c>
      <c r="I2115" s="9">
        <f t="shared" si="295"/>
        <v>3.710094909404666E-2</v>
      </c>
      <c r="J2115" s="1">
        <f t="shared" si="296"/>
        <v>1.6799999999999926</v>
      </c>
      <c r="K2115" s="9">
        <f t="shared" ref="K2115:K2178" si="298">(G2115-G2116)/G2116</f>
        <v>2.0437956204379472E-2</v>
      </c>
      <c r="L2115" s="1">
        <f t="shared" ref="L2115:L2178" si="299">G2115/E2115</f>
        <v>1</v>
      </c>
      <c r="M2115" s="1">
        <f t="shared" ref="M2115:M2178" si="300">L2115*C2115</f>
        <v>84.14</v>
      </c>
      <c r="N2115" s="1">
        <f t="shared" ref="N2115:N2178" si="301">L2115*D2115</f>
        <v>81.13</v>
      </c>
      <c r="O2115" s="1">
        <f t="shared" ref="O2115:O2178" si="302">G2115-$G$5163</f>
        <v>81.92</v>
      </c>
      <c r="P2115" s="1">
        <f t="shared" ref="P2115:P2178" si="303">(G2115-$G$5163)/$G$5163</f>
        <v>41.795918367346943</v>
      </c>
    </row>
    <row r="2116" spans="1:16">
      <c r="A2116" s="2">
        <v>39989</v>
      </c>
      <c r="B2116" s="1">
        <v>79.099999999999994</v>
      </c>
      <c r="C2116" s="1">
        <v>82.23</v>
      </c>
      <c r="D2116" s="1">
        <v>79.03</v>
      </c>
      <c r="E2116" s="1">
        <v>82.2</v>
      </c>
      <c r="F2116" s="1">
        <v>7360400</v>
      </c>
      <c r="G2116" s="1">
        <v>82.2</v>
      </c>
      <c r="H2116" s="1">
        <f t="shared" si="297"/>
        <v>3.2000000000000028</v>
      </c>
      <c r="I2116" s="9">
        <f t="shared" ref="I2116:I2179" si="304">(C2116-D2116)/D2116</f>
        <v>4.0490952802733175E-2</v>
      </c>
      <c r="J2116" s="1">
        <f t="shared" ref="J2116:J2179" si="305">G2116-G2117</f>
        <v>2.9300000000000068</v>
      </c>
      <c r="K2116" s="9">
        <f t="shared" si="298"/>
        <v>3.6962280812413359E-2</v>
      </c>
      <c r="L2116" s="1">
        <f t="shared" si="299"/>
        <v>1</v>
      </c>
      <c r="M2116" s="1">
        <f t="shared" si="300"/>
        <v>82.23</v>
      </c>
      <c r="N2116" s="1">
        <f t="shared" si="301"/>
        <v>79.03</v>
      </c>
      <c r="O2116" s="1">
        <f t="shared" si="302"/>
        <v>80.240000000000009</v>
      </c>
      <c r="P2116" s="1">
        <f t="shared" si="303"/>
        <v>40.938775510204088</v>
      </c>
    </row>
    <row r="2117" spans="1:16">
      <c r="A2117" s="2">
        <v>39988</v>
      </c>
      <c r="B2117" s="1">
        <v>78</v>
      </c>
      <c r="C2117" s="1">
        <v>80.53</v>
      </c>
      <c r="D2117" s="1">
        <v>77.8</v>
      </c>
      <c r="E2117" s="1">
        <v>79.27</v>
      </c>
      <c r="F2117" s="1">
        <v>6081400</v>
      </c>
      <c r="G2117" s="1">
        <v>79.27</v>
      </c>
      <c r="H2117" s="1">
        <f t="shared" si="297"/>
        <v>2.730000000000004</v>
      </c>
      <c r="I2117" s="9">
        <f t="shared" si="304"/>
        <v>3.5089974293059177E-2</v>
      </c>
      <c r="J2117" s="1">
        <f t="shared" si="305"/>
        <v>1.5899999999999892</v>
      </c>
      <c r="K2117" s="9">
        <f t="shared" si="298"/>
        <v>2.0468589083419014E-2</v>
      </c>
      <c r="L2117" s="1">
        <f t="shared" si="299"/>
        <v>1</v>
      </c>
      <c r="M2117" s="1">
        <f t="shared" si="300"/>
        <v>80.53</v>
      </c>
      <c r="N2117" s="1">
        <f t="shared" si="301"/>
        <v>77.8</v>
      </c>
      <c r="O2117" s="1">
        <f t="shared" si="302"/>
        <v>77.31</v>
      </c>
      <c r="P2117" s="1">
        <f t="shared" si="303"/>
        <v>39.443877551020407</v>
      </c>
    </row>
    <row r="2118" spans="1:16">
      <c r="A2118" s="2">
        <v>39987</v>
      </c>
      <c r="B2118" s="1">
        <v>78.97</v>
      </c>
      <c r="C2118" s="1">
        <v>79.099999999999994</v>
      </c>
      <c r="D2118" s="1">
        <v>76.25</v>
      </c>
      <c r="E2118" s="1">
        <v>77.680000000000007</v>
      </c>
      <c r="F2118" s="1">
        <v>7415500</v>
      </c>
      <c r="G2118" s="1">
        <v>77.680000000000007</v>
      </c>
      <c r="H2118" s="1">
        <f t="shared" si="297"/>
        <v>2.8499999999999943</v>
      </c>
      <c r="I2118" s="9">
        <f t="shared" si="304"/>
        <v>3.7377049180327797E-2</v>
      </c>
      <c r="J2118" s="1">
        <f t="shared" si="305"/>
        <v>-1.4699999999999989</v>
      </c>
      <c r="K2118" s="9">
        <f t="shared" si="298"/>
        <v>-1.8572331017056208E-2</v>
      </c>
      <c r="L2118" s="1">
        <f t="shared" si="299"/>
        <v>1</v>
      </c>
      <c r="M2118" s="1">
        <f t="shared" si="300"/>
        <v>79.099999999999994</v>
      </c>
      <c r="N2118" s="1">
        <f t="shared" si="301"/>
        <v>76.25</v>
      </c>
      <c r="O2118" s="1">
        <f t="shared" si="302"/>
        <v>75.720000000000013</v>
      </c>
      <c r="P2118" s="1">
        <f t="shared" si="303"/>
        <v>38.632653061224495</v>
      </c>
    </row>
    <row r="2119" spans="1:16">
      <c r="A2119" s="2">
        <v>39986</v>
      </c>
      <c r="B2119" s="1">
        <v>82.41</v>
      </c>
      <c r="C2119" s="1">
        <v>82.43</v>
      </c>
      <c r="D2119" s="1">
        <v>78.56</v>
      </c>
      <c r="E2119" s="1">
        <v>79.150000000000006</v>
      </c>
      <c r="F2119" s="1">
        <v>9744400</v>
      </c>
      <c r="G2119" s="1">
        <v>79.150000000000006</v>
      </c>
      <c r="H2119" s="1">
        <f t="shared" si="297"/>
        <v>3.8700000000000045</v>
      </c>
      <c r="I2119" s="9">
        <f t="shared" si="304"/>
        <v>4.9261710794297406E-2</v>
      </c>
      <c r="J2119" s="1">
        <f t="shared" si="305"/>
        <v>-3.8099999999999881</v>
      </c>
      <c r="K2119" s="9">
        <f t="shared" si="298"/>
        <v>-4.5925747348119432E-2</v>
      </c>
      <c r="L2119" s="1">
        <f t="shared" si="299"/>
        <v>1</v>
      </c>
      <c r="M2119" s="1">
        <f t="shared" si="300"/>
        <v>82.43</v>
      </c>
      <c r="N2119" s="1">
        <f t="shared" si="301"/>
        <v>78.56</v>
      </c>
      <c r="O2119" s="1">
        <f t="shared" si="302"/>
        <v>77.190000000000012</v>
      </c>
      <c r="P2119" s="1">
        <f t="shared" si="303"/>
        <v>39.382653061224495</v>
      </c>
    </row>
    <row r="2120" spans="1:16">
      <c r="A2120" s="2">
        <v>39983</v>
      </c>
      <c r="B2120" s="1">
        <v>82.15</v>
      </c>
      <c r="C2120" s="1">
        <v>83.46</v>
      </c>
      <c r="D2120" s="1">
        <v>81.5</v>
      </c>
      <c r="E2120" s="1">
        <v>82.96</v>
      </c>
      <c r="F2120" s="1">
        <v>5438200</v>
      </c>
      <c r="G2120" s="1">
        <v>82.96</v>
      </c>
      <c r="H2120" s="1">
        <f t="shared" si="297"/>
        <v>1.9599999999999937</v>
      </c>
      <c r="I2120" s="9">
        <f t="shared" si="304"/>
        <v>2.404907975460115E-2</v>
      </c>
      <c r="J2120" s="1">
        <f t="shared" si="305"/>
        <v>1.3599999999999994</v>
      </c>
      <c r="K2120" s="9">
        <f t="shared" si="298"/>
        <v>1.6666666666666659E-2</v>
      </c>
      <c r="L2120" s="1">
        <f t="shared" si="299"/>
        <v>1</v>
      </c>
      <c r="M2120" s="1">
        <f t="shared" si="300"/>
        <v>83.46</v>
      </c>
      <c r="N2120" s="1">
        <f t="shared" si="301"/>
        <v>81.5</v>
      </c>
      <c r="O2120" s="1">
        <f t="shared" si="302"/>
        <v>81</v>
      </c>
      <c r="P2120" s="1">
        <f t="shared" si="303"/>
        <v>41.326530612244902</v>
      </c>
    </row>
    <row r="2121" spans="1:16">
      <c r="A2121" s="2">
        <v>39982</v>
      </c>
      <c r="B2121" s="1">
        <v>82.81</v>
      </c>
      <c r="C2121" s="1">
        <v>82.95</v>
      </c>
      <c r="D2121" s="1">
        <v>81</v>
      </c>
      <c r="E2121" s="1">
        <v>81.599999999999994</v>
      </c>
      <c r="F2121" s="1">
        <v>5453100</v>
      </c>
      <c r="G2121" s="1">
        <v>81.599999999999994</v>
      </c>
      <c r="H2121" s="1">
        <f t="shared" si="297"/>
        <v>1.9500000000000028</v>
      </c>
      <c r="I2121" s="9">
        <f t="shared" si="304"/>
        <v>2.4074074074074109E-2</v>
      </c>
      <c r="J2121" s="1">
        <f t="shared" si="305"/>
        <v>-1.0500000000000114</v>
      </c>
      <c r="K2121" s="9">
        <f t="shared" si="298"/>
        <v>-1.2704174228675274E-2</v>
      </c>
      <c r="L2121" s="1">
        <f t="shared" si="299"/>
        <v>1</v>
      </c>
      <c r="M2121" s="1">
        <f t="shared" si="300"/>
        <v>82.95</v>
      </c>
      <c r="N2121" s="1">
        <f t="shared" si="301"/>
        <v>81</v>
      </c>
      <c r="O2121" s="1">
        <f t="shared" si="302"/>
        <v>79.64</v>
      </c>
      <c r="P2121" s="1">
        <f t="shared" si="303"/>
        <v>40.632653061224488</v>
      </c>
    </row>
    <row r="2122" spans="1:16">
      <c r="A2122" s="2">
        <v>39981</v>
      </c>
      <c r="B2122" s="1">
        <v>82.5</v>
      </c>
      <c r="C2122" s="1">
        <v>84.3</v>
      </c>
      <c r="D2122" s="1">
        <v>80.64</v>
      </c>
      <c r="E2122" s="1">
        <v>82.65</v>
      </c>
      <c r="F2122" s="1">
        <v>7785100</v>
      </c>
      <c r="G2122" s="1">
        <v>82.65</v>
      </c>
      <c r="H2122" s="1">
        <f t="shared" si="297"/>
        <v>3.6599999999999966</v>
      </c>
      <c r="I2122" s="9">
        <f t="shared" si="304"/>
        <v>4.5386904761904719E-2</v>
      </c>
      <c r="J2122" s="1">
        <f t="shared" si="305"/>
        <v>0.5</v>
      </c>
      <c r="K2122" s="9">
        <f t="shared" si="298"/>
        <v>6.0864272671941567E-3</v>
      </c>
      <c r="L2122" s="1">
        <f t="shared" si="299"/>
        <v>1</v>
      </c>
      <c r="M2122" s="1">
        <f t="shared" si="300"/>
        <v>84.3</v>
      </c>
      <c r="N2122" s="1">
        <f t="shared" si="301"/>
        <v>80.64</v>
      </c>
      <c r="O2122" s="1">
        <f t="shared" si="302"/>
        <v>80.690000000000012</v>
      </c>
      <c r="P2122" s="1">
        <f t="shared" si="303"/>
        <v>41.16836734693878</v>
      </c>
    </row>
    <row r="2123" spans="1:16">
      <c r="A2123" s="2">
        <v>39980</v>
      </c>
      <c r="B2123" s="1">
        <v>83.7</v>
      </c>
      <c r="C2123" s="1">
        <v>83.95</v>
      </c>
      <c r="D2123" s="1">
        <v>81.28</v>
      </c>
      <c r="E2123" s="1">
        <v>82.15</v>
      </c>
      <c r="F2123" s="1">
        <v>5465800</v>
      </c>
      <c r="G2123" s="1">
        <v>82.15</v>
      </c>
      <c r="H2123" s="1">
        <f t="shared" si="297"/>
        <v>2.6700000000000017</v>
      </c>
      <c r="I2123" s="9">
        <f t="shared" si="304"/>
        <v>3.2849409448818916E-2</v>
      </c>
      <c r="J2123" s="1">
        <f t="shared" si="305"/>
        <v>-1.0300000000000011</v>
      </c>
      <c r="K2123" s="9">
        <f t="shared" si="298"/>
        <v>-1.2382784323154617E-2</v>
      </c>
      <c r="L2123" s="1">
        <f t="shared" si="299"/>
        <v>1</v>
      </c>
      <c r="M2123" s="1">
        <f t="shared" si="300"/>
        <v>83.95</v>
      </c>
      <c r="N2123" s="1">
        <f t="shared" si="301"/>
        <v>81.28</v>
      </c>
      <c r="O2123" s="1">
        <f t="shared" si="302"/>
        <v>80.190000000000012</v>
      </c>
      <c r="P2123" s="1">
        <f t="shared" si="303"/>
        <v>40.913265306122454</v>
      </c>
    </row>
    <row r="2124" spans="1:16">
      <c r="A2124" s="2">
        <v>39979</v>
      </c>
      <c r="B2124" s="1">
        <v>82.83</v>
      </c>
      <c r="C2124" s="1">
        <v>83.3</v>
      </c>
      <c r="D2124" s="1">
        <v>81</v>
      </c>
      <c r="E2124" s="1">
        <v>83.18</v>
      </c>
      <c r="F2124" s="1">
        <v>5401800</v>
      </c>
      <c r="G2124" s="1">
        <v>83.18</v>
      </c>
      <c r="H2124" s="1">
        <f t="shared" si="297"/>
        <v>2.2999999999999972</v>
      </c>
      <c r="I2124" s="9">
        <f t="shared" si="304"/>
        <v>2.8395061728395028E-2</v>
      </c>
      <c r="J2124" s="1">
        <f t="shared" si="305"/>
        <v>-0.89999999999999147</v>
      </c>
      <c r="K2124" s="9">
        <f t="shared" si="298"/>
        <v>-1.0704091341579347E-2</v>
      </c>
      <c r="L2124" s="1">
        <f t="shared" si="299"/>
        <v>1</v>
      </c>
      <c r="M2124" s="1">
        <f t="shared" si="300"/>
        <v>83.3</v>
      </c>
      <c r="N2124" s="1">
        <f t="shared" si="301"/>
        <v>81</v>
      </c>
      <c r="O2124" s="1">
        <f t="shared" si="302"/>
        <v>81.220000000000013</v>
      </c>
      <c r="P2124" s="1">
        <f t="shared" si="303"/>
        <v>41.438775510204088</v>
      </c>
    </row>
    <row r="2125" spans="1:16">
      <c r="A2125" s="2">
        <v>39976</v>
      </c>
      <c r="B2125" s="1">
        <v>85.03</v>
      </c>
      <c r="C2125" s="1">
        <v>85.2</v>
      </c>
      <c r="D2125" s="1">
        <v>82.01</v>
      </c>
      <c r="E2125" s="1">
        <v>84.08</v>
      </c>
      <c r="F2125" s="1">
        <v>6223000</v>
      </c>
      <c r="G2125" s="1">
        <v>84.08</v>
      </c>
      <c r="H2125" s="1">
        <f t="shared" si="297"/>
        <v>3.1899999999999977</v>
      </c>
      <c r="I2125" s="9">
        <f t="shared" si="304"/>
        <v>3.8897695402999602E-2</v>
      </c>
      <c r="J2125" s="1">
        <f t="shared" si="305"/>
        <v>-1.6099999999999994</v>
      </c>
      <c r="K2125" s="9">
        <f t="shared" si="298"/>
        <v>-1.8788656786089385E-2</v>
      </c>
      <c r="L2125" s="1">
        <f t="shared" si="299"/>
        <v>1</v>
      </c>
      <c r="M2125" s="1">
        <f t="shared" si="300"/>
        <v>85.2</v>
      </c>
      <c r="N2125" s="1">
        <f t="shared" si="301"/>
        <v>82.01</v>
      </c>
      <c r="O2125" s="1">
        <f t="shared" si="302"/>
        <v>82.12</v>
      </c>
      <c r="P2125" s="1">
        <f t="shared" si="303"/>
        <v>41.897959183673471</v>
      </c>
    </row>
    <row r="2126" spans="1:16">
      <c r="A2126" s="2">
        <v>39975</v>
      </c>
      <c r="B2126" s="1">
        <v>86.3</v>
      </c>
      <c r="C2126" s="1">
        <v>87.49</v>
      </c>
      <c r="D2126" s="1">
        <v>85.05</v>
      </c>
      <c r="E2126" s="1">
        <v>85.69</v>
      </c>
      <c r="F2126" s="1">
        <v>5009700</v>
      </c>
      <c r="G2126" s="1">
        <v>85.69</v>
      </c>
      <c r="H2126" s="1">
        <f t="shared" si="297"/>
        <v>2.4399999999999977</v>
      </c>
      <c r="I2126" s="9">
        <f t="shared" si="304"/>
        <v>2.8689006466784218E-2</v>
      </c>
      <c r="J2126" s="1">
        <f t="shared" si="305"/>
        <v>-0.90000000000000568</v>
      </c>
      <c r="K2126" s="9">
        <f t="shared" si="298"/>
        <v>-1.0393809908765511E-2</v>
      </c>
      <c r="L2126" s="1">
        <f t="shared" si="299"/>
        <v>1</v>
      </c>
      <c r="M2126" s="1">
        <f t="shared" si="300"/>
        <v>87.49</v>
      </c>
      <c r="N2126" s="1">
        <f t="shared" si="301"/>
        <v>85.05</v>
      </c>
      <c r="O2126" s="1">
        <f t="shared" si="302"/>
        <v>83.73</v>
      </c>
      <c r="P2126" s="1">
        <f t="shared" si="303"/>
        <v>42.719387755102041</v>
      </c>
    </row>
    <row r="2127" spans="1:16">
      <c r="A2127" s="2">
        <v>39974</v>
      </c>
      <c r="B2127" s="1">
        <v>87.58</v>
      </c>
      <c r="C2127" s="1">
        <v>88.56</v>
      </c>
      <c r="D2127" s="1">
        <v>84.83</v>
      </c>
      <c r="E2127" s="1">
        <v>86.59</v>
      </c>
      <c r="F2127" s="1">
        <v>6073600</v>
      </c>
      <c r="G2127" s="1">
        <v>86.59</v>
      </c>
      <c r="H2127" s="1">
        <f t="shared" si="297"/>
        <v>3.730000000000004</v>
      </c>
      <c r="I2127" s="9">
        <f t="shared" si="304"/>
        <v>4.3970293528232986E-2</v>
      </c>
      <c r="J2127" s="1">
        <f t="shared" si="305"/>
        <v>-0.48999999999999488</v>
      </c>
      <c r="K2127" s="9">
        <f t="shared" si="298"/>
        <v>-5.627009646302192E-3</v>
      </c>
      <c r="L2127" s="1">
        <f t="shared" si="299"/>
        <v>1</v>
      </c>
      <c r="M2127" s="1">
        <f t="shared" si="300"/>
        <v>88.56</v>
      </c>
      <c r="N2127" s="1">
        <f t="shared" si="301"/>
        <v>84.83</v>
      </c>
      <c r="O2127" s="1">
        <f t="shared" si="302"/>
        <v>84.63000000000001</v>
      </c>
      <c r="P2127" s="1">
        <f t="shared" si="303"/>
        <v>43.178571428571438</v>
      </c>
    </row>
    <row r="2128" spans="1:16">
      <c r="A2128" s="2">
        <v>39973</v>
      </c>
      <c r="B2128" s="1">
        <v>86.93</v>
      </c>
      <c r="C2128" s="1">
        <v>87.67</v>
      </c>
      <c r="D2128" s="1">
        <v>86.17</v>
      </c>
      <c r="E2128" s="1">
        <v>87.08</v>
      </c>
      <c r="F2128" s="1">
        <v>4475100</v>
      </c>
      <c r="G2128" s="1">
        <v>87.08</v>
      </c>
      <c r="H2128" s="1">
        <f t="shared" si="297"/>
        <v>1.5</v>
      </c>
      <c r="I2128" s="9">
        <f t="shared" si="304"/>
        <v>1.7407450388766392E-2</v>
      </c>
      <c r="J2128" s="1">
        <f t="shared" si="305"/>
        <v>0.71999999999999886</v>
      </c>
      <c r="K2128" s="9">
        <f t="shared" si="298"/>
        <v>8.337193144974513E-3</v>
      </c>
      <c r="L2128" s="1">
        <f t="shared" si="299"/>
        <v>1</v>
      </c>
      <c r="M2128" s="1">
        <f t="shared" si="300"/>
        <v>87.67</v>
      </c>
      <c r="N2128" s="1">
        <f t="shared" si="301"/>
        <v>86.17</v>
      </c>
      <c r="O2128" s="1">
        <f t="shared" si="302"/>
        <v>85.12</v>
      </c>
      <c r="P2128" s="1">
        <f t="shared" si="303"/>
        <v>43.428571428571431</v>
      </c>
    </row>
    <row r="2129" spans="1:16">
      <c r="A2129" s="2">
        <v>39972</v>
      </c>
      <c r="B2129" s="1">
        <v>86.75</v>
      </c>
      <c r="C2129" s="1">
        <v>87.18</v>
      </c>
      <c r="D2129" s="1">
        <v>85.11</v>
      </c>
      <c r="E2129" s="1">
        <v>86.36</v>
      </c>
      <c r="F2129" s="1">
        <v>5602100</v>
      </c>
      <c r="G2129" s="1">
        <v>86.36</v>
      </c>
      <c r="H2129" s="1">
        <f t="shared" si="297"/>
        <v>2.0700000000000074</v>
      </c>
      <c r="I2129" s="9">
        <f t="shared" si="304"/>
        <v>2.4321466337680734E-2</v>
      </c>
      <c r="J2129" s="1">
        <f t="shared" si="305"/>
        <v>-1.2000000000000028</v>
      </c>
      <c r="K2129" s="9">
        <f t="shared" si="298"/>
        <v>-1.3704888076747405E-2</v>
      </c>
      <c r="L2129" s="1">
        <f t="shared" si="299"/>
        <v>1</v>
      </c>
      <c r="M2129" s="1">
        <f t="shared" si="300"/>
        <v>87.18</v>
      </c>
      <c r="N2129" s="1">
        <f t="shared" si="301"/>
        <v>85.11</v>
      </c>
      <c r="O2129" s="1">
        <f t="shared" si="302"/>
        <v>84.4</v>
      </c>
      <c r="P2129" s="1">
        <f t="shared" si="303"/>
        <v>43.061224489795919</v>
      </c>
    </row>
    <row r="2130" spans="1:16">
      <c r="A2130" s="2">
        <v>39969</v>
      </c>
      <c r="B2130" s="1">
        <v>86.29</v>
      </c>
      <c r="C2130" s="1">
        <v>87.95</v>
      </c>
      <c r="D2130" s="1">
        <v>85.3</v>
      </c>
      <c r="E2130" s="1">
        <v>87.56</v>
      </c>
      <c r="F2130" s="1">
        <v>8263500</v>
      </c>
      <c r="G2130" s="1">
        <v>87.56</v>
      </c>
      <c r="H2130" s="1">
        <f t="shared" si="297"/>
        <v>2.6500000000000057</v>
      </c>
      <c r="I2130" s="9">
        <f t="shared" si="304"/>
        <v>3.1066822977725742E-2</v>
      </c>
      <c r="J2130" s="1">
        <f t="shared" si="305"/>
        <v>2.0400000000000063</v>
      </c>
      <c r="K2130" s="9">
        <f t="shared" si="298"/>
        <v>2.3854069223573509E-2</v>
      </c>
      <c r="L2130" s="1">
        <f t="shared" si="299"/>
        <v>1</v>
      </c>
      <c r="M2130" s="1">
        <f t="shared" si="300"/>
        <v>87.95</v>
      </c>
      <c r="N2130" s="1">
        <f t="shared" si="301"/>
        <v>85.3</v>
      </c>
      <c r="O2130" s="1">
        <f t="shared" si="302"/>
        <v>85.600000000000009</v>
      </c>
      <c r="P2130" s="1">
        <f t="shared" si="303"/>
        <v>43.673469387755105</v>
      </c>
    </row>
    <row r="2131" spans="1:16">
      <c r="A2131" s="2">
        <v>39968</v>
      </c>
      <c r="B2131" s="1">
        <v>85.42</v>
      </c>
      <c r="C2131" s="1">
        <v>86.4</v>
      </c>
      <c r="D2131" s="1">
        <v>84.57</v>
      </c>
      <c r="E2131" s="1">
        <v>85.52</v>
      </c>
      <c r="F2131" s="1">
        <v>5465400</v>
      </c>
      <c r="G2131" s="1">
        <v>85.52</v>
      </c>
      <c r="H2131" s="1">
        <f t="shared" si="297"/>
        <v>1.8300000000000125</v>
      </c>
      <c r="I2131" s="9">
        <f t="shared" si="304"/>
        <v>2.1638879035118987E-2</v>
      </c>
      <c r="J2131" s="1">
        <f t="shared" si="305"/>
        <v>-0.1600000000000108</v>
      </c>
      <c r="K2131" s="9">
        <f t="shared" si="298"/>
        <v>-1.8674136321196403E-3</v>
      </c>
      <c r="L2131" s="1">
        <f t="shared" si="299"/>
        <v>1</v>
      </c>
      <c r="M2131" s="1">
        <f t="shared" si="300"/>
        <v>86.4</v>
      </c>
      <c r="N2131" s="1">
        <f t="shared" si="301"/>
        <v>84.57</v>
      </c>
      <c r="O2131" s="1">
        <f t="shared" si="302"/>
        <v>83.56</v>
      </c>
      <c r="P2131" s="1">
        <f t="shared" si="303"/>
        <v>42.632653061224495</v>
      </c>
    </row>
    <row r="2132" spans="1:16">
      <c r="A2132" s="2">
        <v>39967</v>
      </c>
      <c r="B2132" s="1">
        <v>83.31</v>
      </c>
      <c r="C2132" s="1">
        <v>85.71</v>
      </c>
      <c r="D2132" s="1">
        <v>83.13</v>
      </c>
      <c r="E2132" s="1">
        <v>85.68</v>
      </c>
      <c r="F2132" s="1">
        <v>7603400</v>
      </c>
      <c r="G2132" s="1">
        <v>85.68</v>
      </c>
      <c r="H2132" s="1">
        <f t="shared" si="297"/>
        <v>2.5799999999999983</v>
      </c>
      <c r="I2132" s="9">
        <f t="shared" si="304"/>
        <v>3.1035727174305285E-2</v>
      </c>
      <c r="J2132" s="1">
        <f t="shared" si="305"/>
        <v>0.75</v>
      </c>
      <c r="K2132" s="9">
        <f t="shared" si="298"/>
        <v>8.8308018368067811E-3</v>
      </c>
      <c r="L2132" s="1">
        <f t="shared" si="299"/>
        <v>1</v>
      </c>
      <c r="M2132" s="1">
        <f t="shared" si="300"/>
        <v>85.71</v>
      </c>
      <c r="N2132" s="1">
        <f t="shared" si="301"/>
        <v>83.13</v>
      </c>
      <c r="O2132" s="1">
        <f t="shared" si="302"/>
        <v>83.720000000000013</v>
      </c>
      <c r="P2132" s="1">
        <f t="shared" si="303"/>
        <v>42.714285714285722</v>
      </c>
    </row>
    <row r="2133" spans="1:16">
      <c r="A2133" s="2">
        <v>39966</v>
      </c>
      <c r="B2133" s="1">
        <v>82.42</v>
      </c>
      <c r="C2133" s="1">
        <v>85.45</v>
      </c>
      <c r="D2133" s="1">
        <v>82.1</v>
      </c>
      <c r="E2133" s="1">
        <v>84.93</v>
      </c>
      <c r="F2133" s="1">
        <v>9397000</v>
      </c>
      <c r="G2133" s="1">
        <v>84.93</v>
      </c>
      <c r="H2133" s="1">
        <f t="shared" si="297"/>
        <v>3.3500000000000085</v>
      </c>
      <c r="I2133" s="9">
        <f t="shared" si="304"/>
        <v>4.0803897685749192E-2</v>
      </c>
      <c r="J2133" s="1">
        <f t="shared" si="305"/>
        <v>1.8800000000000097</v>
      </c>
      <c r="K2133" s="9">
        <f t="shared" si="298"/>
        <v>2.2636965683323417E-2</v>
      </c>
      <c r="L2133" s="1">
        <f t="shared" si="299"/>
        <v>1</v>
      </c>
      <c r="M2133" s="1">
        <f t="shared" si="300"/>
        <v>85.45</v>
      </c>
      <c r="N2133" s="1">
        <f t="shared" si="301"/>
        <v>82.1</v>
      </c>
      <c r="O2133" s="1">
        <f t="shared" si="302"/>
        <v>82.970000000000013</v>
      </c>
      <c r="P2133" s="1">
        <f t="shared" si="303"/>
        <v>42.331632653061234</v>
      </c>
    </row>
    <row r="2134" spans="1:16">
      <c r="A2134" s="2">
        <v>39965</v>
      </c>
      <c r="B2134" s="1">
        <v>78.209999999999994</v>
      </c>
      <c r="C2134" s="1">
        <v>84.8</v>
      </c>
      <c r="D2134" s="1">
        <v>77.489999999999995</v>
      </c>
      <c r="E2134" s="1">
        <v>83.05</v>
      </c>
      <c r="F2134" s="1">
        <v>10796500</v>
      </c>
      <c r="G2134" s="1">
        <v>83.05</v>
      </c>
      <c r="H2134" s="1">
        <f t="shared" si="297"/>
        <v>7.3100000000000023</v>
      </c>
      <c r="I2134" s="9">
        <f t="shared" si="304"/>
        <v>9.4334752871338273E-2</v>
      </c>
      <c r="J2134" s="1">
        <f t="shared" si="305"/>
        <v>5.0600000000000023</v>
      </c>
      <c r="K2134" s="9">
        <f t="shared" si="298"/>
        <v>6.4880112834978881E-2</v>
      </c>
      <c r="L2134" s="1">
        <f t="shared" si="299"/>
        <v>1</v>
      </c>
      <c r="M2134" s="1">
        <f t="shared" si="300"/>
        <v>84.8</v>
      </c>
      <c r="N2134" s="1">
        <f t="shared" si="301"/>
        <v>77.489999999999995</v>
      </c>
      <c r="O2134" s="1">
        <f t="shared" si="302"/>
        <v>81.09</v>
      </c>
      <c r="P2134" s="1">
        <f t="shared" si="303"/>
        <v>41.372448979591837</v>
      </c>
    </row>
    <row r="2135" spans="1:16">
      <c r="A2135" s="2">
        <v>39962</v>
      </c>
      <c r="B2135" s="1">
        <v>77.72</v>
      </c>
      <c r="C2135" s="1">
        <v>78.010000000000005</v>
      </c>
      <c r="D2135" s="1">
        <v>76.400000000000006</v>
      </c>
      <c r="E2135" s="1">
        <v>77.989999999999995</v>
      </c>
      <c r="F2135" s="1">
        <v>5072200</v>
      </c>
      <c r="G2135" s="1">
        <v>77.989999999999995</v>
      </c>
      <c r="H2135" s="1">
        <f t="shared" si="297"/>
        <v>1.6099999999999994</v>
      </c>
      <c r="I2135" s="9">
        <f t="shared" si="304"/>
        <v>2.1073298429319362E-2</v>
      </c>
      <c r="J2135" s="1">
        <f t="shared" si="305"/>
        <v>0.3399999999999892</v>
      </c>
      <c r="K2135" s="9">
        <f t="shared" si="298"/>
        <v>4.3786220218929705E-3</v>
      </c>
      <c r="L2135" s="1">
        <f t="shared" si="299"/>
        <v>1</v>
      </c>
      <c r="M2135" s="1">
        <f t="shared" si="300"/>
        <v>78.010000000000005</v>
      </c>
      <c r="N2135" s="1">
        <f t="shared" si="301"/>
        <v>76.400000000000006</v>
      </c>
      <c r="O2135" s="1">
        <f t="shared" si="302"/>
        <v>76.03</v>
      </c>
      <c r="P2135" s="1">
        <f t="shared" si="303"/>
        <v>38.79081632653061</v>
      </c>
    </row>
    <row r="2136" spans="1:16">
      <c r="A2136" s="2">
        <v>39961</v>
      </c>
      <c r="B2136" s="1">
        <v>77.7</v>
      </c>
      <c r="C2136" s="1">
        <v>79.099999999999994</v>
      </c>
      <c r="D2136" s="1">
        <v>75.88</v>
      </c>
      <c r="E2136" s="1">
        <v>77.650000000000006</v>
      </c>
      <c r="F2136" s="1">
        <v>4943100</v>
      </c>
      <c r="G2136" s="1">
        <v>77.650000000000006</v>
      </c>
      <c r="H2136" s="1">
        <f t="shared" si="297"/>
        <v>3.2199999999999989</v>
      </c>
      <c r="I2136" s="9">
        <f t="shared" si="304"/>
        <v>4.243542435424353E-2</v>
      </c>
      <c r="J2136" s="1">
        <f t="shared" si="305"/>
        <v>0.55000000000001137</v>
      </c>
      <c r="K2136" s="9">
        <f t="shared" si="298"/>
        <v>7.1335927367057253E-3</v>
      </c>
      <c r="L2136" s="1">
        <f t="shared" si="299"/>
        <v>1</v>
      </c>
      <c r="M2136" s="1">
        <f t="shared" si="300"/>
        <v>79.099999999999994</v>
      </c>
      <c r="N2136" s="1">
        <f t="shared" si="301"/>
        <v>75.88</v>
      </c>
      <c r="O2136" s="1">
        <f t="shared" si="302"/>
        <v>75.690000000000012</v>
      </c>
      <c r="P2136" s="1">
        <f t="shared" si="303"/>
        <v>38.617346938775519</v>
      </c>
    </row>
    <row r="2137" spans="1:16">
      <c r="A2137" s="2">
        <v>39960</v>
      </c>
      <c r="B2137" s="1">
        <v>78.510000000000005</v>
      </c>
      <c r="C2137" s="1">
        <v>79.5</v>
      </c>
      <c r="D2137" s="1">
        <v>76.75</v>
      </c>
      <c r="E2137" s="1">
        <v>77.099999999999994</v>
      </c>
      <c r="F2137" s="1">
        <v>5567100</v>
      </c>
      <c r="G2137" s="1">
        <v>77.099999999999994</v>
      </c>
      <c r="H2137" s="1">
        <f t="shared" si="297"/>
        <v>2.75</v>
      </c>
      <c r="I2137" s="9">
        <f t="shared" si="304"/>
        <v>3.5830618892508145E-2</v>
      </c>
      <c r="J2137" s="1">
        <f t="shared" si="305"/>
        <v>-1.2900000000000063</v>
      </c>
      <c r="K2137" s="9">
        <f t="shared" si="298"/>
        <v>-1.6456180635285193E-2</v>
      </c>
      <c r="L2137" s="1">
        <f t="shared" si="299"/>
        <v>1</v>
      </c>
      <c r="M2137" s="1">
        <f t="shared" si="300"/>
        <v>79.5</v>
      </c>
      <c r="N2137" s="1">
        <f t="shared" si="301"/>
        <v>76.75</v>
      </c>
      <c r="O2137" s="1">
        <f t="shared" si="302"/>
        <v>75.14</v>
      </c>
      <c r="P2137" s="1">
        <f t="shared" si="303"/>
        <v>38.336734693877553</v>
      </c>
    </row>
    <row r="2138" spans="1:16">
      <c r="A2138" s="2">
        <v>39959</v>
      </c>
      <c r="B2138" s="1">
        <v>75.03</v>
      </c>
      <c r="C2138" s="1">
        <v>78.48</v>
      </c>
      <c r="D2138" s="1">
        <v>74.55</v>
      </c>
      <c r="E2138" s="1">
        <v>78.39</v>
      </c>
      <c r="F2138" s="1">
        <v>6699600</v>
      </c>
      <c r="G2138" s="1">
        <v>78.39</v>
      </c>
      <c r="H2138" s="1">
        <f t="shared" si="297"/>
        <v>3.9300000000000068</v>
      </c>
      <c r="I2138" s="9">
        <f t="shared" si="304"/>
        <v>5.2716297786720413E-2</v>
      </c>
      <c r="J2138" s="1">
        <f t="shared" si="305"/>
        <v>2.75</v>
      </c>
      <c r="K2138" s="9">
        <f t="shared" si="298"/>
        <v>3.6356425171866734E-2</v>
      </c>
      <c r="L2138" s="1">
        <f t="shared" si="299"/>
        <v>1</v>
      </c>
      <c r="M2138" s="1">
        <f t="shared" si="300"/>
        <v>78.48</v>
      </c>
      <c r="N2138" s="1">
        <f t="shared" si="301"/>
        <v>74.55</v>
      </c>
      <c r="O2138" s="1">
        <f t="shared" si="302"/>
        <v>76.430000000000007</v>
      </c>
      <c r="P2138" s="1">
        <f t="shared" si="303"/>
        <v>38.994897959183675</v>
      </c>
    </row>
    <row r="2139" spans="1:16">
      <c r="A2139" s="2">
        <v>39955</v>
      </c>
      <c r="B2139" s="1">
        <v>76.099999999999994</v>
      </c>
      <c r="C2139" s="1">
        <v>77.040000000000006</v>
      </c>
      <c r="D2139" s="1">
        <v>75.02</v>
      </c>
      <c r="E2139" s="1">
        <v>75.64</v>
      </c>
      <c r="F2139" s="1">
        <v>3484700</v>
      </c>
      <c r="G2139" s="1">
        <v>75.64</v>
      </c>
      <c r="H2139" s="1">
        <f t="shared" si="297"/>
        <v>2.0200000000000102</v>
      </c>
      <c r="I2139" s="9">
        <f t="shared" si="304"/>
        <v>2.6926153025859909E-2</v>
      </c>
      <c r="J2139" s="1">
        <f t="shared" si="305"/>
        <v>-0.31999999999999318</v>
      </c>
      <c r="K2139" s="9">
        <f t="shared" si="298"/>
        <v>-4.2127435492363505E-3</v>
      </c>
      <c r="L2139" s="1">
        <f t="shared" si="299"/>
        <v>1</v>
      </c>
      <c r="M2139" s="1">
        <f t="shared" si="300"/>
        <v>77.040000000000006</v>
      </c>
      <c r="N2139" s="1">
        <f t="shared" si="301"/>
        <v>75.02</v>
      </c>
      <c r="O2139" s="1">
        <f t="shared" si="302"/>
        <v>73.680000000000007</v>
      </c>
      <c r="P2139" s="1">
        <f t="shared" si="303"/>
        <v>37.591836734693885</v>
      </c>
    </row>
    <row r="2140" spans="1:16">
      <c r="A2140" s="2">
        <v>39954</v>
      </c>
      <c r="B2140" s="1">
        <v>76.75</v>
      </c>
      <c r="C2140" s="1">
        <v>77.97</v>
      </c>
      <c r="D2140" s="1">
        <v>75.400000000000006</v>
      </c>
      <c r="E2140" s="1">
        <v>75.959999999999994</v>
      </c>
      <c r="F2140" s="1">
        <v>5640500</v>
      </c>
      <c r="G2140" s="1">
        <v>75.959999999999994</v>
      </c>
      <c r="H2140" s="1">
        <f t="shared" si="297"/>
        <v>2.5699999999999932</v>
      </c>
      <c r="I2140" s="9">
        <f t="shared" si="304"/>
        <v>3.4084880636604684E-2</v>
      </c>
      <c r="J2140" s="1">
        <f t="shared" si="305"/>
        <v>-2.0100000000000051</v>
      </c>
      <c r="K2140" s="9">
        <f t="shared" si="298"/>
        <v>-2.5779145825317495E-2</v>
      </c>
      <c r="L2140" s="1">
        <f t="shared" si="299"/>
        <v>1</v>
      </c>
      <c r="M2140" s="1">
        <f t="shared" si="300"/>
        <v>77.97</v>
      </c>
      <c r="N2140" s="1">
        <f t="shared" si="301"/>
        <v>75.400000000000006</v>
      </c>
      <c r="O2140" s="1">
        <f t="shared" si="302"/>
        <v>74</v>
      </c>
      <c r="P2140" s="1">
        <f t="shared" si="303"/>
        <v>37.755102040816325</v>
      </c>
    </row>
    <row r="2141" spans="1:16">
      <c r="A2141" s="2">
        <v>39953</v>
      </c>
      <c r="B2141" s="1">
        <v>78.5</v>
      </c>
      <c r="C2141" s="1">
        <v>81.11</v>
      </c>
      <c r="D2141" s="1">
        <v>77.42</v>
      </c>
      <c r="E2141" s="1">
        <v>77.97</v>
      </c>
      <c r="F2141" s="1">
        <v>7351000</v>
      </c>
      <c r="G2141" s="1">
        <v>77.97</v>
      </c>
      <c r="H2141" s="1">
        <f t="shared" si="297"/>
        <v>3.6899999999999977</v>
      </c>
      <c r="I2141" s="9">
        <f t="shared" si="304"/>
        <v>4.7662102815809841E-2</v>
      </c>
      <c r="J2141" s="1">
        <f t="shared" si="305"/>
        <v>9.9999999999994316E-2</v>
      </c>
      <c r="K2141" s="9">
        <f t="shared" si="298"/>
        <v>1.2841916013868538E-3</v>
      </c>
      <c r="L2141" s="1">
        <f t="shared" si="299"/>
        <v>1</v>
      </c>
      <c r="M2141" s="1">
        <f t="shared" si="300"/>
        <v>81.11</v>
      </c>
      <c r="N2141" s="1">
        <f t="shared" si="301"/>
        <v>77.42</v>
      </c>
      <c r="O2141" s="1">
        <f t="shared" si="302"/>
        <v>76.010000000000005</v>
      </c>
      <c r="P2141" s="1">
        <f t="shared" si="303"/>
        <v>38.780612244897959</v>
      </c>
    </row>
    <row r="2142" spans="1:16">
      <c r="A2142" s="2">
        <v>39952</v>
      </c>
      <c r="B2142" s="1">
        <v>75.430000000000007</v>
      </c>
      <c r="C2142" s="1">
        <v>78.959999999999994</v>
      </c>
      <c r="D2142" s="1">
        <v>75.12</v>
      </c>
      <c r="E2142" s="1">
        <v>77.87</v>
      </c>
      <c r="F2142" s="1">
        <v>8028900</v>
      </c>
      <c r="G2142" s="1">
        <v>77.87</v>
      </c>
      <c r="H2142" s="1">
        <f t="shared" si="297"/>
        <v>3.8399999999999892</v>
      </c>
      <c r="I2142" s="9">
        <f t="shared" si="304"/>
        <v>5.111821086261966E-2</v>
      </c>
      <c r="J2142" s="1">
        <f t="shared" si="305"/>
        <v>1.9200000000000017</v>
      </c>
      <c r="K2142" s="9">
        <f t="shared" si="298"/>
        <v>2.5279789335088895E-2</v>
      </c>
      <c r="L2142" s="1">
        <f t="shared" si="299"/>
        <v>1</v>
      </c>
      <c r="M2142" s="1">
        <f t="shared" si="300"/>
        <v>78.959999999999994</v>
      </c>
      <c r="N2142" s="1">
        <f t="shared" si="301"/>
        <v>75.12</v>
      </c>
      <c r="O2142" s="1">
        <f t="shared" si="302"/>
        <v>75.910000000000011</v>
      </c>
      <c r="P2142" s="1">
        <f t="shared" si="303"/>
        <v>38.729591836734699</v>
      </c>
    </row>
    <row r="2143" spans="1:16">
      <c r="A2143" s="2">
        <v>39951</v>
      </c>
      <c r="B2143" s="1">
        <v>73.959999999999994</v>
      </c>
      <c r="C2143" s="1">
        <v>75.959999999999994</v>
      </c>
      <c r="D2143" s="1">
        <v>73.099999999999994</v>
      </c>
      <c r="E2143" s="1">
        <v>75.95</v>
      </c>
      <c r="F2143" s="1">
        <v>6829100</v>
      </c>
      <c r="G2143" s="1">
        <v>75.95</v>
      </c>
      <c r="H2143" s="1">
        <f t="shared" si="297"/>
        <v>2.8599999999999994</v>
      </c>
      <c r="I2143" s="9">
        <f t="shared" si="304"/>
        <v>3.912448700410396E-2</v>
      </c>
      <c r="J2143" s="1">
        <f t="shared" si="305"/>
        <v>2.3500000000000085</v>
      </c>
      <c r="K2143" s="9">
        <f t="shared" si="298"/>
        <v>3.1929347826087077E-2</v>
      </c>
      <c r="L2143" s="1">
        <f t="shared" si="299"/>
        <v>1</v>
      </c>
      <c r="M2143" s="1">
        <f t="shared" si="300"/>
        <v>75.959999999999994</v>
      </c>
      <c r="N2143" s="1">
        <f t="shared" si="301"/>
        <v>73.099999999999994</v>
      </c>
      <c r="O2143" s="1">
        <f t="shared" si="302"/>
        <v>73.990000000000009</v>
      </c>
      <c r="P2143" s="1">
        <f t="shared" si="303"/>
        <v>37.750000000000007</v>
      </c>
    </row>
    <row r="2144" spans="1:16">
      <c r="A2144" s="2">
        <v>39948</v>
      </c>
      <c r="B2144" s="1">
        <v>74.540000000000006</v>
      </c>
      <c r="C2144" s="1">
        <v>76.209999999999994</v>
      </c>
      <c r="D2144" s="1">
        <v>73.42</v>
      </c>
      <c r="E2144" s="1">
        <v>73.599999999999994</v>
      </c>
      <c r="F2144" s="1">
        <v>8011700</v>
      </c>
      <c r="G2144" s="1">
        <v>73.599999999999994</v>
      </c>
      <c r="H2144" s="1">
        <f t="shared" si="297"/>
        <v>2.789999999999992</v>
      </c>
      <c r="I2144" s="9">
        <f t="shared" si="304"/>
        <v>3.8000544810678182E-2</v>
      </c>
      <c r="J2144" s="1">
        <f t="shared" si="305"/>
        <v>-1.5100000000000051</v>
      </c>
      <c r="K2144" s="9">
        <f t="shared" si="298"/>
        <v>-2.0103847690054653E-2</v>
      </c>
      <c r="L2144" s="1">
        <f t="shared" si="299"/>
        <v>1</v>
      </c>
      <c r="M2144" s="1">
        <f t="shared" si="300"/>
        <v>76.209999999999994</v>
      </c>
      <c r="N2144" s="1">
        <f t="shared" si="301"/>
        <v>73.42</v>
      </c>
      <c r="O2144" s="1">
        <f t="shared" si="302"/>
        <v>71.64</v>
      </c>
      <c r="P2144" s="1">
        <f t="shared" si="303"/>
        <v>36.551020408163268</v>
      </c>
    </row>
    <row r="2145" spans="1:16">
      <c r="A2145" s="2">
        <v>39947</v>
      </c>
      <c r="B2145" s="1">
        <v>73.790000000000006</v>
      </c>
      <c r="C2145" s="1">
        <v>76.06</v>
      </c>
      <c r="D2145" s="1">
        <v>73.31</v>
      </c>
      <c r="E2145" s="1">
        <v>75.11</v>
      </c>
      <c r="F2145" s="1">
        <v>9343600</v>
      </c>
      <c r="G2145" s="1">
        <v>75.11</v>
      </c>
      <c r="H2145" s="1">
        <f t="shared" si="297"/>
        <v>2.75</v>
      </c>
      <c r="I2145" s="9">
        <f t="shared" si="304"/>
        <v>3.7511935615877776E-2</v>
      </c>
      <c r="J2145" s="1">
        <f t="shared" si="305"/>
        <v>0.92000000000000171</v>
      </c>
      <c r="K2145" s="9">
        <f t="shared" si="298"/>
        <v>1.2400593071842591E-2</v>
      </c>
      <c r="L2145" s="1">
        <f t="shared" si="299"/>
        <v>1</v>
      </c>
      <c r="M2145" s="1">
        <f t="shared" si="300"/>
        <v>76.06</v>
      </c>
      <c r="N2145" s="1">
        <f t="shared" si="301"/>
        <v>73.31</v>
      </c>
      <c r="O2145" s="1">
        <f t="shared" si="302"/>
        <v>73.150000000000006</v>
      </c>
      <c r="P2145" s="1">
        <f t="shared" si="303"/>
        <v>37.321428571428577</v>
      </c>
    </row>
    <row r="2146" spans="1:16">
      <c r="A2146" s="2">
        <v>39946</v>
      </c>
      <c r="B2146" s="1">
        <v>76.25</v>
      </c>
      <c r="C2146" s="1">
        <v>76.650000000000006</v>
      </c>
      <c r="D2146" s="1">
        <v>74.010000000000005</v>
      </c>
      <c r="E2146" s="1">
        <v>74.19</v>
      </c>
      <c r="F2146" s="1">
        <v>8770500</v>
      </c>
      <c r="G2146" s="1">
        <v>74.19</v>
      </c>
      <c r="H2146" s="1">
        <f t="shared" si="297"/>
        <v>2.6400000000000006</v>
      </c>
      <c r="I2146" s="9">
        <f t="shared" si="304"/>
        <v>3.5670855289825706E-2</v>
      </c>
      <c r="J2146" s="1">
        <f t="shared" si="305"/>
        <v>-3.7400000000000091</v>
      </c>
      <c r="K2146" s="9">
        <f t="shared" si="298"/>
        <v>-4.7991787501604113E-2</v>
      </c>
      <c r="L2146" s="1">
        <f t="shared" si="299"/>
        <v>1</v>
      </c>
      <c r="M2146" s="1">
        <f t="shared" si="300"/>
        <v>76.650000000000006</v>
      </c>
      <c r="N2146" s="1">
        <f t="shared" si="301"/>
        <v>74.010000000000005</v>
      </c>
      <c r="O2146" s="1">
        <f t="shared" si="302"/>
        <v>72.23</v>
      </c>
      <c r="P2146" s="1">
        <f t="shared" si="303"/>
        <v>36.852040816326536</v>
      </c>
    </row>
    <row r="2147" spans="1:16">
      <c r="A2147" s="2">
        <v>39945</v>
      </c>
      <c r="B2147" s="1">
        <v>78.7</v>
      </c>
      <c r="C2147" s="1">
        <v>78.97</v>
      </c>
      <c r="D2147" s="1">
        <v>76.53</v>
      </c>
      <c r="E2147" s="1">
        <v>77.930000000000007</v>
      </c>
      <c r="F2147" s="1">
        <v>5548700</v>
      </c>
      <c r="G2147" s="1">
        <v>77.930000000000007</v>
      </c>
      <c r="H2147" s="1">
        <f t="shared" si="297"/>
        <v>2.4399999999999977</v>
      </c>
      <c r="I2147" s="9">
        <f t="shared" si="304"/>
        <v>3.1882921730040474E-2</v>
      </c>
      <c r="J2147" s="1">
        <f t="shared" si="305"/>
        <v>-0.67999999999999261</v>
      </c>
      <c r="K2147" s="9">
        <f t="shared" si="298"/>
        <v>-8.6502989441545938E-3</v>
      </c>
      <c r="L2147" s="1">
        <f t="shared" si="299"/>
        <v>1</v>
      </c>
      <c r="M2147" s="1">
        <f t="shared" si="300"/>
        <v>78.97</v>
      </c>
      <c r="N2147" s="1">
        <f t="shared" si="301"/>
        <v>76.53</v>
      </c>
      <c r="O2147" s="1">
        <f t="shared" si="302"/>
        <v>75.970000000000013</v>
      </c>
      <c r="P2147" s="1">
        <f t="shared" si="303"/>
        <v>38.760204081632658</v>
      </c>
    </row>
    <row r="2148" spans="1:16">
      <c r="A2148" s="2">
        <v>39944</v>
      </c>
      <c r="B2148" s="1">
        <v>76.8</v>
      </c>
      <c r="C2148" s="1">
        <v>79.849999999999994</v>
      </c>
      <c r="D2148" s="1">
        <v>76.010000000000005</v>
      </c>
      <c r="E2148" s="1">
        <v>78.61</v>
      </c>
      <c r="F2148" s="1">
        <v>6872300</v>
      </c>
      <c r="G2148" s="1">
        <v>78.61</v>
      </c>
      <c r="H2148" s="1">
        <f t="shared" si="297"/>
        <v>3.8399999999999892</v>
      </c>
      <c r="I2148" s="9">
        <f t="shared" si="304"/>
        <v>5.0519668464675552E-2</v>
      </c>
      <c r="J2148" s="1">
        <f t="shared" si="305"/>
        <v>0.65999999999999659</v>
      </c>
      <c r="K2148" s="9">
        <f t="shared" si="298"/>
        <v>8.4669660038485771E-3</v>
      </c>
      <c r="L2148" s="1">
        <f t="shared" si="299"/>
        <v>1</v>
      </c>
      <c r="M2148" s="1">
        <f t="shared" si="300"/>
        <v>79.849999999999994</v>
      </c>
      <c r="N2148" s="1">
        <f t="shared" si="301"/>
        <v>76.010000000000005</v>
      </c>
      <c r="O2148" s="1">
        <f t="shared" si="302"/>
        <v>76.650000000000006</v>
      </c>
      <c r="P2148" s="1">
        <f t="shared" si="303"/>
        <v>39.107142857142861</v>
      </c>
    </row>
    <row r="2149" spans="1:16">
      <c r="A2149" s="2">
        <v>39941</v>
      </c>
      <c r="B2149" s="1">
        <v>79.69</v>
      </c>
      <c r="C2149" s="1">
        <v>80.23</v>
      </c>
      <c r="D2149" s="1">
        <v>76.31</v>
      </c>
      <c r="E2149" s="1">
        <v>77.95</v>
      </c>
      <c r="F2149" s="1">
        <v>8193000</v>
      </c>
      <c r="G2149" s="1">
        <v>77.95</v>
      </c>
      <c r="H2149" s="1">
        <f t="shared" si="297"/>
        <v>3.9200000000000017</v>
      </c>
      <c r="I2149" s="9">
        <f t="shared" si="304"/>
        <v>5.1369414231424472E-2</v>
      </c>
      <c r="J2149" s="1">
        <f t="shared" si="305"/>
        <v>-1.3299999999999983</v>
      </c>
      <c r="K2149" s="9">
        <f t="shared" si="298"/>
        <v>-1.6775983854692207E-2</v>
      </c>
      <c r="L2149" s="1">
        <f t="shared" si="299"/>
        <v>1</v>
      </c>
      <c r="M2149" s="1">
        <f t="shared" si="300"/>
        <v>80.23</v>
      </c>
      <c r="N2149" s="1">
        <f t="shared" si="301"/>
        <v>76.31</v>
      </c>
      <c r="O2149" s="1">
        <f t="shared" si="302"/>
        <v>75.990000000000009</v>
      </c>
      <c r="P2149" s="1">
        <f t="shared" si="303"/>
        <v>38.770408163265309</v>
      </c>
    </row>
    <row r="2150" spans="1:16">
      <c r="A2150" s="2">
        <v>39940</v>
      </c>
      <c r="B2150" s="1">
        <v>82.73</v>
      </c>
      <c r="C2150" s="1">
        <v>82.75</v>
      </c>
      <c r="D2150" s="1">
        <v>77.88</v>
      </c>
      <c r="E2150" s="1">
        <v>79.28</v>
      </c>
      <c r="F2150" s="1">
        <v>9632100</v>
      </c>
      <c r="G2150" s="1">
        <v>79.28</v>
      </c>
      <c r="H2150" s="1">
        <f t="shared" si="297"/>
        <v>4.8700000000000045</v>
      </c>
      <c r="I2150" s="9">
        <f t="shared" si="304"/>
        <v>6.2532100667693949E-2</v>
      </c>
      <c r="J2150" s="1">
        <f t="shared" si="305"/>
        <v>-2.7099999999999937</v>
      </c>
      <c r="K2150" s="9">
        <f t="shared" si="298"/>
        <v>-3.3052811318453397E-2</v>
      </c>
      <c r="L2150" s="1">
        <f t="shared" si="299"/>
        <v>1</v>
      </c>
      <c r="M2150" s="1">
        <f t="shared" si="300"/>
        <v>82.75</v>
      </c>
      <c r="N2150" s="1">
        <f t="shared" si="301"/>
        <v>77.88</v>
      </c>
      <c r="O2150" s="1">
        <f t="shared" si="302"/>
        <v>77.320000000000007</v>
      </c>
      <c r="P2150" s="1">
        <f t="shared" si="303"/>
        <v>39.448979591836739</v>
      </c>
    </row>
    <row r="2151" spans="1:16">
      <c r="A2151" s="2">
        <v>39939</v>
      </c>
      <c r="B2151" s="1">
        <v>82.88</v>
      </c>
      <c r="C2151" s="1">
        <v>83.6</v>
      </c>
      <c r="D2151" s="1">
        <v>79.66</v>
      </c>
      <c r="E2151" s="1">
        <v>81.99</v>
      </c>
      <c r="F2151" s="1">
        <v>8604000</v>
      </c>
      <c r="G2151" s="1">
        <v>81.99</v>
      </c>
      <c r="H2151" s="1">
        <f t="shared" si="297"/>
        <v>3.9399999999999977</v>
      </c>
      <c r="I2151" s="9">
        <f t="shared" si="304"/>
        <v>4.9460205874968591E-2</v>
      </c>
      <c r="J2151" s="1">
        <f t="shared" si="305"/>
        <v>8.99999999999892E-2</v>
      </c>
      <c r="K2151" s="9">
        <f t="shared" si="298"/>
        <v>1.0989010989009671E-3</v>
      </c>
      <c r="L2151" s="1">
        <f t="shared" si="299"/>
        <v>1</v>
      </c>
      <c r="M2151" s="1">
        <f t="shared" si="300"/>
        <v>83.6</v>
      </c>
      <c r="N2151" s="1">
        <f t="shared" si="301"/>
        <v>79.66</v>
      </c>
      <c r="O2151" s="1">
        <f t="shared" si="302"/>
        <v>80.03</v>
      </c>
      <c r="P2151" s="1">
        <f t="shared" si="303"/>
        <v>40.831632653061227</v>
      </c>
    </row>
    <row r="2152" spans="1:16">
      <c r="A2152" s="2">
        <v>39938</v>
      </c>
      <c r="B2152" s="1">
        <v>81.010000000000005</v>
      </c>
      <c r="C2152" s="1">
        <v>82</v>
      </c>
      <c r="D2152" s="1">
        <v>80.19</v>
      </c>
      <c r="E2152" s="1">
        <v>81.900000000000006</v>
      </c>
      <c r="F2152" s="1">
        <v>5870300</v>
      </c>
      <c r="G2152" s="1">
        <v>81.900000000000006</v>
      </c>
      <c r="H2152" s="1">
        <f t="shared" si="297"/>
        <v>1.8100000000000023</v>
      </c>
      <c r="I2152" s="9">
        <f t="shared" si="304"/>
        <v>2.257139294176334E-2</v>
      </c>
      <c r="J2152" s="1">
        <f t="shared" si="305"/>
        <v>2.1300000000000097</v>
      </c>
      <c r="K2152" s="9">
        <f t="shared" si="298"/>
        <v>2.6701767581797792E-2</v>
      </c>
      <c r="L2152" s="1">
        <f t="shared" si="299"/>
        <v>1</v>
      </c>
      <c r="M2152" s="1">
        <f t="shared" si="300"/>
        <v>82</v>
      </c>
      <c r="N2152" s="1">
        <f t="shared" si="301"/>
        <v>80.19</v>
      </c>
      <c r="O2152" s="1">
        <f t="shared" si="302"/>
        <v>79.940000000000012</v>
      </c>
      <c r="P2152" s="1">
        <f t="shared" si="303"/>
        <v>40.785714285714292</v>
      </c>
    </row>
    <row r="2153" spans="1:16">
      <c r="A2153" s="2">
        <v>39937</v>
      </c>
      <c r="B2153" s="1">
        <v>80.260000000000005</v>
      </c>
      <c r="C2153" s="1">
        <v>81.349999999999994</v>
      </c>
      <c r="D2153" s="1">
        <v>78.849999999999994</v>
      </c>
      <c r="E2153" s="1">
        <v>79.77</v>
      </c>
      <c r="F2153" s="1">
        <v>7019300</v>
      </c>
      <c r="G2153" s="1">
        <v>79.77</v>
      </c>
      <c r="H2153" s="1">
        <f t="shared" si="297"/>
        <v>2.5</v>
      </c>
      <c r="I2153" s="9">
        <f t="shared" si="304"/>
        <v>3.1705770450221944E-2</v>
      </c>
      <c r="J2153" s="1">
        <f t="shared" si="305"/>
        <v>0.81000000000000227</v>
      </c>
      <c r="K2153" s="9">
        <f t="shared" si="298"/>
        <v>1.0258358662614011E-2</v>
      </c>
      <c r="L2153" s="1">
        <f t="shared" si="299"/>
        <v>1</v>
      </c>
      <c r="M2153" s="1">
        <f t="shared" si="300"/>
        <v>81.349999999999994</v>
      </c>
      <c r="N2153" s="1">
        <f t="shared" si="301"/>
        <v>78.849999999999994</v>
      </c>
      <c r="O2153" s="1">
        <f t="shared" si="302"/>
        <v>77.81</v>
      </c>
      <c r="P2153" s="1">
        <f t="shared" si="303"/>
        <v>39.698979591836739</v>
      </c>
    </row>
    <row r="2154" spans="1:16">
      <c r="A2154" s="2">
        <v>39934</v>
      </c>
      <c r="B2154" s="1">
        <v>80.38</v>
      </c>
      <c r="C2154" s="1">
        <v>80.38</v>
      </c>
      <c r="D2154" s="1">
        <v>77.849999999999994</v>
      </c>
      <c r="E2154" s="1">
        <v>78.959999999999994</v>
      </c>
      <c r="F2154" s="1">
        <v>6121700</v>
      </c>
      <c r="G2154" s="1">
        <v>78.959999999999994</v>
      </c>
      <c r="H2154" s="1">
        <f t="shared" si="297"/>
        <v>2.5300000000000011</v>
      </c>
      <c r="I2154" s="9">
        <f t="shared" si="304"/>
        <v>3.249839434810535E-2</v>
      </c>
      <c r="J2154" s="1">
        <f t="shared" si="305"/>
        <v>-1.5600000000000023</v>
      </c>
      <c r="K2154" s="9">
        <f t="shared" si="298"/>
        <v>-1.9374068554396454E-2</v>
      </c>
      <c r="L2154" s="1">
        <f t="shared" si="299"/>
        <v>1</v>
      </c>
      <c r="M2154" s="1">
        <f t="shared" si="300"/>
        <v>80.38</v>
      </c>
      <c r="N2154" s="1">
        <f t="shared" si="301"/>
        <v>77.849999999999994</v>
      </c>
      <c r="O2154" s="1">
        <f t="shared" si="302"/>
        <v>77</v>
      </c>
      <c r="P2154" s="1">
        <f t="shared" si="303"/>
        <v>39.285714285714285</v>
      </c>
    </row>
    <row r="2155" spans="1:16">
      <c r="A2155" s="2">
        <v>39933</v>
      </c>
      <c r="B2155" s="1">
        <v>80.930000000000007</v>
      </c>
      <c r="C2155" s="1">
        <v>82.67</v>
      </c>
      <c r="D2155" s="1">
        <v>79.89</v>
      </c>
      <c r="E2155" s="1">
        <v>80.52</v>
      </c>
      <c r="F2155" s="1">
        <v>8537600</v>
      </c>
      <c r="G2155" s="1">
        <v>80.52</v>
      </c>
      <c r="H2155" s="1">
        <f t="shared" si="297"/>
        <v>2.7800000000000011</v>
      </c>
      <c r="I2155" s="9">
        <f t="shared" si="304"/>
        <v>3.4797847039679572E-2</v>
      </c>
      <c r="J2155" s="1">
        <f t="shared" si="305"/>
        <v>0.72999999999998977</v>
      </c>
      <c r="K2155" s="9">
        <f t="shared" si="298"/>
        <v>9.1490161674394003E-3</v>
      </c>
      <c r="L2155" s="1">
        <f t="shared" si="299"/>
        <v>1</v>
      </c>
      <c r="M2155" s="1">
        <f t="shared" si="300"/>
        <v>82.67</v>
      </c>
      <c r="N2155" s="1">
        <f t="shared" si="301"/>
        <v>79.89</v>
      </c>
      <c r="O2155" s="1">
        <f t="shared" si="302"/>
        <v>78.56</v>
      </c>
      <c r="P2155" s="1">
        <f t="shared" si="303"/>
        <v>40.081632653061227</v>
      </c>
    </row>
    <row r="2156" spans="1:16">
      <c r="A2156" s="2">
        <v>39932</v>
      </c>
      <c r="B2156" s="1">
        <v>82.99</v>
      </c>
      <c r="C2156" s="1">
        <v>82.99</v>
      </c>
      <c r="D2156" s="1">
        <v>79.260000000000005</v>
      </c>
      <c r="E2156" s="1">
        <v>79.790000000000006</v>
      </c>
      <c r="F2156" s="1">
        <v>9735100</v>
      </c>
      <c r="G2156" s="1">
        <v>79.790000000000006</v>
      </c>
      <c r="H2156" s="1">
        <f t="shared" si="297"/>
        <v>3.7299999999999898</v>
      </c>
      <c r="I2156" s="9">
        <f t="shared" si="304"/>
        <v>4.7060307847590077E-2</v>
      </c>
      <c r="J2156" s="1">
        <f t="shared" si="305"/>
        <v>-2.6099999999999994</v>
      </c>
      <c r="K2156" s="9">
        <f t="shared" si="298"/>
        <v>-3.167475728155339E-2</v>
      </c>
      <c r="L2156" s="1">
        <f t="shared" si="299"/>
        <v>1</v>
      </c>
      <c r="M2156" s="1">
        <f t="shared" si="300"/>
        <v>82.99</v>
      </c>
      <c r="N2156" s="1">
        <f t="shared" si="301"/>
        <v>79.260000000000005</v>
      </c>
      <c r="O2156" s="1">
        <f t="shared" si="302"/>
        <v>77.830000000000013</v>
      </c>
      <c r="P2156" s="1">
        <f t="shared" si="303"/>
        <v>39.709183673469397</v>
      </c>
    </row>
    <row r="2157" spans="1:16">
      <c r="A2157" s="2">
        <v>39931</v>
      </c>
      <c r="B2157" s="1">
        <v>82.68</v>
      </c>
      <c r="C2157" s="1">
        <v>85.35</v>
      </c>
      <c r="D2157" s="1">
        <v>82.4</v>
      </c>
      <c r="E2157" s="1">
        <v>82.4</v>
      </c>
      <c r="F2157" s="1">
        <v>7924000</v>
      </c>
      <c r="G2157" s="1">
        <v>82.4</v>
      </c>
      <c r="H2157" s="1">
        <f t="shared" si="297"/>
        <v>2.9499999999999886</v>
      </c>
      <c r="I2157" s="9">
        <f t="shared" si="304"/>
        <v>3.5800970873786267E-2</v>
      </c>
      <c r="J2157" s="1">
        <f t="shared" si="305"/>
        <v>-0.71999999999999886</v>
      </c>
      <c r="K2157" s="9">
        <f t="shared" si="298"/>
        <v>-8.6621751684311694E-3</v>
      </c>
      <c r="L2157" s="1">
        <f t="shared" si="299"/>
        <v>1</v>
      </c>
      <c r="M2157" s="1">
        <f t="shared" si="300"/>
        <v>85.35</v>
      </c>
      <c r="N2157" s="1">
        <f t="shared" si="301"/>
        <v>82.4</v>
      </c>
      <c r="O2157" s="1">
        <f t="shared" si="302"/>
        <v>80.440000000000012</v>
      </c>
      <c r="P2157" s="1">
        <f t="shared" si="303"/>
        <v>41.040816326530617</v>
      </c>
    </row>
    <row r="2158" spans="1:16">
      <c r="A2158" s="2">
        <v>39930</v>
      </c>
      <c r="B2158" s="1">
        <v>83.88</v>
      </c>
      <c r="C2158" s="1">
        <v>84.98</v>
      </c>
      <c r="D2158" s="1">
        <v>82.21</v>
      </c>
      <c r="E2158" s="1">
        <v>83.12</v>
      </c>
      <c r="F2158" s="1">
        <v>9705900</v>
      </c>
      <c r="G2158" s="1">
        <v>83.12</v>
      </c>
      <c r="H2158" s="1">
        <f t="shared" si="297"/>
        <v>2.7700000000000102</v>
      </c>
      <c r="I2158" s="9">
        <f t="shared" si="304"/>
        <v>3.369419778615753E-2</v>
      </c>
      <c r="J2158" s="1">
        <f t="shared" si="305"/>
        <v>-1.3399999999999892</v>
      </c>
      <c r="K2158" s="9">
        <f t="shared" si="298"/>
        <v>-1.5865498460809722E-2</v>
      </c>
      <c r="L2158" s="1">
        <f t="shared" si="299"/>
        <v>1</v>
      </c>
      <c r="M2158" s="1">
        <f t="shared" si="300"/>
        <v>84.98</v>
      </c>
      <c r="N2158" s="1">
        <f t="shared" si="301"/>
        <v>82.21</v>
      </c>
      <c r="O2158" s="1">
        <f t="shared" si="302"/>
        <v>81.160000000000011</v>
      </c>
      <c r="P2158" s="1">
        <f t="shared" si="303"/>
        <v>41.408163265306129</v>
      </c>
    </row>
    <row r="2159" spans="1:16">
      <c r="A2159" s="2">
        <v>39927</v>
      </c>
      <c r="B2159" s="1">
        <v>82.03</v>
      </c>
      <c r="C2159" s="1">
        <v>86.68</v>
      </c>
      <c r="D2159" s="1">
        <v>80.73</v>
      </c>
      <c r="E2159" s="1">
        <v>84.46</v>
      </c>
      <c r="F2159" s="1">
        <v>23484300</v>
      </c>
      <c r="G2159" s="1">
        <v>84.46</v>
      </c>
      <c r="H2159" s="1">
        <f t="shared" si="297"/>
        <v>5.9500000000000028</v>
      </c>
      <c r="I2159" s="9">
        <f t="shared" si="304"/>
        <v>7.3702465006812865E-2</v>
      </c>
      <c r="J2159" s="1">
        <f t="shared" si="305"/>
        <v>3.8499999999999943</v>
      </c>
      <c r="K2159" s="9">
        <f t="shared" si="298"/>
        <v>4.7760823719141476E-2</v>
      </c>
      <c r="L2159" s="1">
        <f t="shared" si="299"/>
        <v>1</v>
      </c>
      <c r="M2159" s="1">
        <f t="shared" si="300"/>
        <v>86.68</v>
      </c>
      <c r="N2159" s="1">
        <f t="shared" si="301"/>
        <v>80.73</v>
      </c>
      <c r="O2159" s="1">
        <f t="shared" si="302"/>
        <v>82.5</v>
      </c>
      <c r="P2159" s="1">
        <f t="shared" si="303"/>
        <v>42.091836734693878</v>
      </c>
    </row>
    <row r="2160" spans="1:16">
      <c r="A2160" s="2">
        <v>39926</v>
      </c>
      <c r="B2160" s="1">
        <v>81.33</v>
      </c>
      <c r="C2160" s="1">
        <v>82.06</v>
      </c>
      <c r="D2160" s="1">
        <v>79.08</v>
      </c>
      <c r="E2160" s="1">
        <v>80.61</v>
      </c>
      <c r="F2160" s="1">
        <v>16187700</v>
      </c>
      <c r="G2160" s="1">
        <v>80.61</v>
      </c>
      <c r="H2160" s="1">
        <f t="shared" si="297"/>
        <v>2.980000000000004</v>
      </c>
      <c r="I2160" s="9">
        <f t="shared" si="304"/>
        <v>3.7683358624178098E-2</v>
      </c>
      <c r="J2160" s="1">
        <f t="shared" si="305"/>
        <v>1.4099999999999966</v>
      </c>
      <c r="K2160" s="9">
        <f t="shared" si="298"/>
        <v>1.7803030303030258E-2</v>
      </c>
      <c r="L2160" s="1">
        <f t="shared" si="299"/>
        <v>1</v>
      </c>
      <c r="M2160" s="1">
        <f t="shared" si="300"/>
        <v>82.06</v>
      </c>
      <c r="N2160" s="1">
        <f t="shared" si="301"/>
        <v>79.08</v>
      </c>
      <c r="O2160" s="1">
        <f t="shared" si="302"/>
        <v>78.650000000000006</v>
      </c>
      <c r="P2160" s="1">
        <f t="shared" si="303"/>
        <v>40.12755102040817</v>
      </c>
    </row>
    <row r="2161" spans="1:16">
      <c r="A2161" s="2">
        <v>39925</v>
      </c>
      <c r="B2161" s="1">
        <v>78.17</v>
      </c>
      <c r="C2161" s="1">
        <v>82.18</v>
      </c>
      <c r="D2161" s="1">
        <v>77.81</v>
      </c>
      <c r="E2161" s="1">
        <v>79.2</v>
      </c>
      <c r="F2161" s="1">
        <v>8775500</v>
      </c>
      <c r="G2161" s="1">
        <v>79.2</v>
      </c>
      <c r="H2161" s="1">
        <f t="shared" si="297"/>
        <v>4.3700000000000045</v>
      </c>
      <c r="I2161" s="9">
        <f t="shared" si="304"/>
        <v>5.6162446986248608E-2</v>
      </c>
      <c r="J2161" s="1">
        <f t="shared" si="305"/>
        <v>0.46000000000000796</v>
      </c>
      <c r="K2161" s="9">
        <f t="shared" si="298"/>
        <v>5.8420116840234692E-3</v>
      </c>
      <c r="L2161" s="1">
        <f t="shared" si="299"/>
        <v>1</v>
      </c>
      <c r="M2161" s="1">
        <f t="shared" si="300"/>
        <v>82.18</v>
      </c>
      <c r="N2161" s="1">
        <f t="shared" si="301"/>
        <v>77.81</v>
      </c>
      <c r="O2161" s="1">
        <f t="shared" si="302"/>
        <v>77.240000000000009</v>
      </c>
      <c r="P2161" s="1">
        <f t="shared" si="303"/>
        <v>39.408163265306129</v>
      </c>
    </row>
    <row r="2162" spans="1:16">
      <c r="A2162" s="2">
        <v>39924</v>
      </c>
      <c r="B2162" s="1">
        <v>77.33</v>
      </c>
      <c r="C2162" s="1">
        <v>79.099999999999994</v>
      </c>
      <c r="D2162" s="1">
        <v>77.290000000000006</v>
      </c>
      <c r="E2162" s="1">
        <v>78.739999999999995</v>
      </c>
      <c r="F2162" s="1">
        <v>7162200</v>
      </c>
      <c r="G2162" s="1">
        <v>78.739999999999995</v>
      </c>
      <c r="H2162" s="1">
        <f t="shared" si="297"/>
        <v>1.8099999999999881</v>
      </c>
      <c r="I2162" s="9">
        <f t="shared" si="304"/>
        <v>2.3418294734118099E-2</v>
      </c>
      <c r="J2162" s="1">
        <f t="shared" si="305"/>
        <v>1.1700000000000017</v>
      </c>
      <c r="K2162" s="9">
        <f t="shared" si="298"/>
        <v>1.5083150702591232E-2</v>
      </c>
      <c r="L2162" s="1">
        <f t="shared" si="299"/>
        <v>1</v>
      </c>
      <c r="M2162" s="1">
        <f t="shared" si="300"/>
        <v>79.099999999999994</v>
      </c>
      <c r="N2162" s="1">
        <f t="shared" si="301"/>
        <v>77.290000000000006</v>
      </c>
      <c r="O2162" s="1">
        <f t="shared" si="302"/>
        <v>76.78</v>
      </c>
      <c r="P2162" s="1">
        <f t="shared" si="303"/>
        <v>39.173469387755105</v>
      </c>
    </row>
    <row r="2163" spans="1:16">
      <c r="A2163" s="2">
        <v>39923</v>
      </c>
      <c r="B2163" s="1">
        <v>78.44</v>
      </c>
      <c r="C2163" s="1">
        <v>79.790000000000006</v>
      </c>
      <c r="D2163" s="1">
        <v>76.83</v>
      </c>
      <c r="E2163" s="1">
        <v>77.569999999999993</v>
      </c>
      <c r="F2163" s="1">
        <v>8686900</v>
      </c>
      <c r="G2163" s="1">
        <v>77.569999999999993</v>
      </c>
      <c r="H2163" s="1">
        <f t="shared" si="297"/>
        <v>2.960000000000008</v>
      </c>
      <c r="I2163" s="9">
        <f t="shared" si="304"/>
        <v>3.8526617206820359E-2</v>
      </c>
      <c r="J2163" s="1">
        <f t="shared" si="305"/>
        <v>-0.48000000000000398</v>
      </c>
      <c r="K2163" s="9">
        <f t="shared" si="298"/>
        <v>-6.1499039077514929E-3</v>
      </c>
      <c r="L2163" s="1">
        <f t="shared" si="299"/>
        <v>1</v>
      </c>
      <c r="M2163" s="1">
        <f t="shared" si="300"/>
        <v>79.790000000000006</v>
      </c>
      <c r="N2163" s="1">
        <f t="shared" si="301"/>
        <v>76.83</v>
      </c>
      <c r="O2163" s="1">
        <f t="shared" si="302"/>
        <v>75.61</v>
      </c>
      <c r="P2163" s="1">
        <f t="shared" si="303"/>
        <v>38.576530612244902</v>
      </c>
    </row>
    <row r="2164" spans="1:16">
      <c r="A2164" s="2">
        <v>39920</v>
      </c>
      <c r="B2164" s="1">
        <v>76.78</v>
      </c>
      <c r="C2164" s="1">
        <v>78.72</v>
      </c>
      <c r="D2164" s="1">
        <v>75.88</v>
      </c>
      <c r="E2164" s="1">
        <v>78.05</v>
      </c>
      <c r="F2164" s="1">
        <v>7426000</v>
      </c>
      <c r="G2164" s="1">
        <v>78.05</v>
      </c>
      <c r="H2164" s="1">
        <f t="shared" si="297"/>
        <v>2.8400000000000034</v>
      </c>
      <c r="I2164" s="9">
        <f t="shared" si="304"/>
        <v>3.7427517132314229E-2</v>
      </c>
      <c r="J2164" s="1">
        <f t="shared" si="305"/>
        <v>0.79999999999999716</v>
      </c>
      <c r="K2164" s="9">
        <f t="shared" si="298"/>
        <v>1.0355987055016145E-2</v>
      </c>
      <c r="L2164" s="1">
        <f t="shared" si="299"/>
        <v>1</v>
      </c>
      <c r="M2164" s="1">
        <f t="shared" si="300"/>
        <v>78.72</v>
      </c>
      <c r="N2164" s="1">
        <f t="shared" si="301"/>
        <v>75.88</v>
      </c>
      <c r="O2164" s="1">
        <f t="shared" si="302"/>
        <v>76.09</v>
      </c>
      <c r="P2164" s="1">
        <f t="shared" si="303"/>
        <v>38.821428571428577</v>
      </c>
    </row>
    <row r="2165" spans="1:16">
      <c r="A2165" s="2">
        <v>39919</v>
      </c>
      <c r="B2165" s="1">
        <v>75.33</v>
      </c>
      <c r="C2165" s="1">
        <v>77.48</v>
      </c>
      <c r="D2165" s="1">
        <v>75.16</v>
      </c>
      <c r="E2165" s="1">
        <v>77.25</v>
      </c>
      <c r="F2165" s="1">
        <v>7467800</v>
      </c>
      <c r="G2165" s="1">
        <v>77.25</v>
      </c>
      <c r="H2165" s="1">
        <f t="shared" si="297"/>
        <v>2.3200000000000074</v>
      </c>
      <c r="I2165" s="9">
        <f t="shared" si="304"/>
        <v>3.0867482703565825E-2</v>
      </c>
      <c r="J2165" s="1">
        <f t="shared" si="305"/>
        <v>2.5400000000000063</v>
      </c>
      <c r="K2165" s="9">
        <f t="shared" si="298"/>
        <v>3.399812608753857E-2</v>
      </c>
      <c r="L2165" s="1">
        <f t="shared" si="299"/>
        <v>1</v>
      </c>
      <c r="M2165" s="1">
        <f t="shared" si="300"/>
        <v>77.48</v>
      </c>
      <c r="N2165" s="1">
        <f t="shared" si="301"/>
        <v>75.16</v>
      </c>
      <c r="O2165" s="1">
        <f t="shared" si="302"/>
        <v>75.290000000000006</v>
      </c>
      <c r="P2165" s="1">
        <f t="shared" si="303"/>
        <v>38.413265306122454</v>
      </c>
    </row>
    <row r="2166" spans="1:16">
      <c r="A2166" s="2">
        <v>39918</v>
      </c>
      <c r="B2166" s="1">
        <v>75.5</v>
      </c>
      <c r="C2166" s="1">
        <v>75.81</v>
      </c>
      <c r="D2166" s="1">
        <v>73.510000000000005</v>
      </c>
      <c r="E2166" s="1">
        <v>74.709999999999994</v>
      </c>
      <c r="F2166" s="1">
        <v>9412800</v>
      </c>
      <c r="G2166" s="1">
        <v>74.709999999999994</v>
      </c>
      <c r="H2166" s="1">
        <f t="shared" si="297"/>
        <v>2.2999999999999972</v>
      </c>
      <c r="I2166" s="9">
        <f t="shared" si="304"/>
        <v>3.1288260100666536E-2</v>
      </c>
      <c r="J2166" s="1">
        <f t="shared" si="305"/>
        <v>-2.5100000000000051</v>
      </c>
      <c r="K2166" s="9">
        <f t="shared" si="298"/>
        <v>-3.2504532504532571E-2</v>
      </c>
      <c r="L2166" s="1">
        <f t="shared" si="299"/>
        <v>1</v>
      </c>
      <c r="M2166" s="1">
        <f t="shared" si="300"/>
        <v>75.81</v>
      </c>
      <c r="N2166" s="1">
        <f t="shared" si="301"/>
        <v>73.510000000000005</v>
      </c>
      <c r="O2166" s="1">
        <f t="shared" si="302"/>
        <v>72.75</v>
      </c>
      <c r="P2166" s="1">
        <f t="shared" si="303"/>
        <v>37.117346938775512</v>
      </c>
    </row>
    <row r="2167" spans="1:16">
      <c r="A2167" s="2">
        <v>39917</v>
      </c>
      <c r="B2167" s="1">
        <v>78</v>
      </c>
      <c r="C2167" s="1">
        <v>79.459999999999994</v>
      </c>
      <c r="D2167" s="1">
        <v>76.94</v>
      </c>
      <c r="E2167" s="1">
        <v>77.22</v>
      </c>
      <c r="F2167" s="1">
        <v>6160400</v>
      </c>
      <c r="G2167" s="1">
        <v>77.22</v>
      </c>
      <c r="H2167" s="1">
        <f t="shared" si="297"/>
        <v>2.519999999999996</v>
      </c>
      <c r="I2167" s="9">
        <f t="shared" si="304"/>
        <v>3.27527943852352E-2</v>
      </c>
      <c r="J2167" s="1">
        <f t="shared" si="305"/>
        <v>-1.7199999999999989</v>
      </c>
      <c r="K2167" s="9">
        <f t="shared" si="298"/>
        <v>-2.1788700278692664E-2</v>
      </c>
      <c r="L2167" s="1">
        <f t="shared" si="299"/>
        <v>1</v>
      </c>
      <c r="M2167" s="1">
        <f t="shared" si="300"/>
        <v>79.459999999999994</v>
      </c>
      <c r="N2167" s="1">
        <f t="shared" si="301"/>
        <v>76.94</v>
      </c>
      <c r="O2167" s="1">
        <f t="shared" si="302"/>
        <v>75.260000000000005</v>
      </c>
      <c r="P2167" s="1">
        <f t="shared" si="303"/>
        <v>38.397959183673471</v>
      </c>
    </row>
    <row r="2168" spans="1:16">
      <c r="A2168" s="2">
        <v>39916</v>
      </c>
      <c r="B2168" s="1">
        <v>79.84</v>
      </c>
      <c r="C2168" s="1">
        <v>79.97</v>
      </c>
      <c r="D2168" s="1">
        <v>77.849999999999994</v>
      </c>
      <c r="E2168" s="1">
        <v>78.94</v>
      </c>
      <c r="F2168" s="1">
        <v>6212200</v>
      </c>
      <c r="G2168" s="1">
        <v>78.94</v>
      </c>
      <c r="H2168" s="1">
        <f t="shared" si="297"/>
        <v>2.1200000000000045</v>
      </c>
      <c r="I2168" s="9">
        <f t="shared" si="304"/>
        <v>2.7231856133590297E-2</v>
      </c>
      <c r="J2168" s="1">
        <f t="shared" si="305"/>
        <v>-0.82999999999999829</v>
      </c>
      <c r="K2168" s="9">
        <f t="shared" si="298"/>
        <v>-1.0404914128118319E-2</v>
      </c>
      <c r="L2168" s="1">
        <f t="shared" si="299"/>
        <v>1</v>
      </c>
      <c r="M2168" s="1">
        <f t="shared" si="300"/>
        <v>79.97</v>
      </c>
      <c r="N2168" s="1">
        <f t="shared" si="301"/>
        <v>77.849999999999994</v>
      </c>
      <c r="O2168" s="1">
        <f t="shared" si="302"/>
        <v>76.98</v>
      </c>
      <c r="P2168" s="1">
        <f t="shared" si="303"/>
        <v>39.275510204081634</v>
      </c>
    </row>
    <row r="2169" spans="1:16">
      <c r="A2169" s="2">
        <v>39912</v>
      </c>
      <c r="B2169" s="1">
        <v>77.510000000000005</v>
      </c>
      <c r="C2169" s="1">
        <v>80</v>
      </c>
      <c r="D2169" s="1">
        <v>77.260000000000005</v>
      </c>
      <c r="E2169" s="1">
        <v>79.77</v>
      </c>
      <c r="F2169" s="1">
        <v>7082300</v>
      </c>
      <c r="G2169" s="1">
        <v>79.77</v>
      </c>
      <c r="H2169" s="1">
        <f t="shared" si="297"/>
        <v>2.7399999999999949</v>
      </c>
      <c r="I2169" s="9">
        <f t="shared" si="304"/>
        <v>3.546466476831471E-2</v>
      </c>
      <c r="J2169" s="1">
        <f t="shared" si="305"/>
        <v>2.789999999999992</v>
      </c>
      <c r="K2169" s="9">
        <f t="shared" si="298"/>
        <v>3.6243180046765286E-2</v>
      </c>
      <c r="L2169" s="1">
        <f t="shared" si="299"/>
        <v>1</v>
      </c>
      <c r="M2169" s="1">
        <f t="shared" si="300"/>
        <v>80</v>
      </c>
      <c r="N2169" s="1">
        <f t="shared" si="301"/>
        <v>77.260000000000005</v>
      </c>
      <c r="O2169" s="1">
        <f t="shared" si="302"/>
        <v>77.81</v>
      </c>
      <c r="P2169" s="1">
        <f t="shared" si="303"/>
        <v>39.698979591836739</v>
      </c>
    </row>
    <row r="2170" spans="1:16">
      <c r="A2170" s="2">
        <v>39911</v>
      </c>
      <c r="B2170" s="1">
        <v>75.930000000000007</v>
      </c>
      <c r="C2170" s="1">
        <v>77.11</v>
      </c>
      <c r="D2170" s="1">
        <v>74.569999999999993</v>
      </c>
      <c r="E2170" s="1">
        <v>76.98</v>
      </c>
      <c r="F2170" s="1">
        <v>5653000</v>
      </c>
      <c r="G2170" s="1">
        <v>76.98</v>
      </c>
      <c r="H2170" s="1">
        <f t="shared" si="297"/>
        <v>2.5400000000000063</v>
      </c>
      <c r="I2170" s="9">
        <f t="shared" si="304"/>
        <v>3.4061955209870008E-2</v>
      </c>
      <c r="J2170" s="1">
        <f t="shared" si="305"/>
        <v>1.4699999999999989</v>
      </c>
      <c r="K2170" s="9">
        <f t="shared" si="298"/>
        <v>1.9467620182757234E-2</v>
      </c>
      <c r="L2170" s="1">
        <f t="shared" si="299"/>
        <v>1</v>
      </c>
      <c r="M2170" s="1">
        <f t="shared" si="300"/>
        <v>77.11</v>
      </c>
      <c r="N2170" s="1">
        <f t="shared" si="301"/>
        <v>74.569999999999993</v>
      </c>
      <c r="O2170" s="1">
        <f t="shared" si="302"/>
        <v>75.02000000000001</v>
      </c>
      <c r="P2170" s="1">
        <f t="shared" si="303"/>
        <v>38.275510204081641</v>
      </c>
    </row>
    <row r="2171" spans="1:16">
      <c r="A2171" s="2">
        <v>39910</v>
      </c>
      <c r="B2171" s="1">
        <v>76.97</v>
      </c>
      <c r="C2171" s="1">
        <v>77.08</v>
      </c>
      <c r="D2171" s="1">
        <v>74.88</v>
      </c>
      <c r="E2171" s="1">
        <v>75.510000000000005</v>
      </c>
      <c r="F2171" s="1">
        <v>5748800</v>
      </c>
      <c r="G2171" s="1">
        <v>75.510000000000005</v>
      </c>
      <c r="H2171" s="1">
        <f t="shared" si="297"/>
        <v>2.2000000000000028</v>
      </c>
      <c r="I2171" s="9">
        <f t="shared" si="304"/>
        <v>2.9380341880341922E-2</v>
      </c>
      <c r="J2171" s="1">
        <f t="shared" si="305"/>
        <v>-2.4799999999999898</v>
      </c>
      <c r="K2171" s="9">
        <f t="shared" si="298"/>
        <v>-3.1798948583151555E-2</v>
      </c>
      <c r="L2171" s="1">
        <f t="shared" si="299"/>
        <v>1</v>
      </c>
      <c r="M2171" s="1">
        <f t="shared" si="300"/>
        <v>77.08</v>
      </c>
      <c r="N2171" s="1">
        <f t="shared" si="301"/>
        <v>74.88</v>
      </c>
      <c r="O2171" s="1">
        <f t="shared" si="302"/>
        <v>73.550000000000011</v>
      </c>
      <c r="P2171" s="1">
        <f t="shared" si="303"/>
        <v>37.525510204081641</v>
      </c>
    </row>
    <row r="2172" spans="1:16">
      <c r="A2172" s="2">
        <v>39909</v>
      </c>
      <c r="B2172" s="1">
        <v>77.260000000000005</v>
      </c>
      <c r="C2172" s="1">
        <v>78.36</v>
      </c>
      <c r="D2172" s="1">
        <v>76</v>
      </c>
      <c r="E2172" s="1">
        <v>77.989999999999995</v>
      </c>
      <c r="F2172" s="1">
        <v>5751300</v>
      </c>
      <c r="G2172" s="1">
        <v>77.989999999999995</v>
      </c>
      <c r="H2172" s="1">
        <f t="shared" si="297"/>
        <v>2.3599999999999994</v>
      </c>
      <c r="I2172" s="9">
        <f t="shared" si="304"/>
        <v>3.1052631578947359E-2</v>
      </c>
      <c r="J2172" s="1">
        <f t="shared" si="305"/>
        <v>-0.18000000000000682</v>
      </c>
      <c r="K2172" s="9">
        <f t="shared" si="298"/>
        <v>-2.3026736599719433E-3</v>
      </c>
      <c r="L2172" s="1">
        <f t="shared" si="299"/>
        <v>1</v>
      </c>
      <c r="M2172" s="1">
        <f t="shared" si="300"/>
        <v>78.36</v>
      </c>
      <c r="N2172" s="1">
        <f t="shared" si="301"/>
        <v>76</v>
      </c>
      <c r="O2172" s="1">
        <f t="shared" si="302"/>
        <v>76.03</v>
      </c>
      <c r="P2172" s="1">
        <f t="shared" si="303"/>
        <v>38.79081632653061</v>
      </c>
    </row>
    <row r="2173" spans="1:16">
      <c r="A2173" s="2">
        <v>39906</v>
      </c>
      <c r="B2173" s="1">
        <v>76.42</v>
      </c>
      <c r="C2173" s="1">
        <v>78.319999999999993</v>
      </c>
      <c r="D2173" s="1">
        <v>75.5</v>
      </c>
      <c r="E2173" s="1">
        <v>78.17</v>
      </c>
      <c r="F2173" s="1">
        <v>5809900</v>
      </c>
      <c r="G2173" s="1">
        <v>78.17</v>
      </c>
      <c r="H2173" s="1">
        <f t="shared" si="297"/>
        <v>2.8199999999999932</v>
      </c>
      <c r="I2173" s="9">
        <f t="shared" si="304"/>
        <v>3.7350993377483356E-2</v>
      </c>
      <c r="J2173" s="1">
        <f t="shared" si="305"/>
        <v>1.8299999999999983</v>
      </c>
      <c r="K2173" s="9">
        <f t="shared" si="298"/>
        <v>2.3971705527901468E-2</v>
      </c>
      <c r="L2173" s="1">
        <f t="shared" si="299"/>
        <v>1</v>
      </c>
      <c r="M2173" s="1">
        <f t="shared" si="300"/>
        <v>78.319999999999993</v>
      </c>
      <c r="N2173" s="1">
        <f t="shared" si="301"/>
        <v>75.5</v>
      </c>
      <c r="O2173" s="1">
        <f t="shared" si="302"/>
        <v>76.210000000000008</v>
      </c>
      <c r="P2173" s="1">
        <f t="shared" si="303"/>
        <v>38.882653061224495</v>
      </c>
    </row>
    <row r="2174" spans="1:16">
      <c r="A2174" s="2">
        <v>39905</v>
      </c>
      <c r="B2174" s="1">
        <v>73.63</v>
      </c>
      <c r="C2174" s="1">
        <v>77.239999999999995</v>
      </c>
      <c r="D2174" s="1">
        <v>73.44</v>
      </c>
      <c r="E2174" s="1">
        <v>76.34</v>
      </c>
      <c r="F2174" s="1">
        <v>11066900</v>
      </c>
      <c r="G2174" s="1">
        <v>76.34</v>
      </c>
      <c r="H2174" s="1">
        <f t="shared" si="297"/>
        <v>3.7999999999999972</v>
      </c>
      <c r="I2174" s="9">
        <f t="shared" si="304"/>
        <v>5.1742919389978173E-2</v>
      </c>
      <c r="J2174" s="1">
        <f t="shared" si="305"/>
        <v>2.8400000000000034</v>
      </c>
      <c r="K2174" s="9">
        <f t="shared" si="298"/>
        <v>3.8639455782312974E-2</v>
      </c>
      <c r="L2174" s="1">
        <f t="shared" si="299"/>
        <v>1</v>
      </c>
      <c r="M2174" s="1">
        <f t="shared" si="300"/>
        <v>77.239999999999995</v>
      </c>
      <c r="N2174" s="1">
        <f t="shared" si="301"/>
        <v>73.44</v>
      </c>
      <c r="O2174" s="1">
        <f t="shared" si="302"/>
        <v>74.38000000000001</v>
      </c>
      <c r="P2174" s="1">
        <f t="shared" si="303"/>
        <v>37.948979591836739</v>
      </c>
    </row>
    <row r="2175" spans="1:16">
      <c r="A2175" s="2">
        <v>39904</v>
      </c>
      <c r="B2175" s="1">
        <v>73.02</v>
      </c>
      <c r="C2175" s="1">
        <v>75.09</v>
      </c>
      <c r="D2175" s="1">
        <v>71.709999999999994</v>
      </c>
      <c r="E2175" s="1">
        <v>73.5</v>
      </c>
      <c r="F2175" s="1">
        <v>7041400</v>
      </c>
      <c r="G2175" s="1">
        <v>73.5</v>
      </c>
      <c r="H2175" s="1">
        <f t="shared" si="297"/>
        <v>3.3800000000000097</v>
      </c>
      <c r="I2175" s="9">
        <f t="shared" si="304"/>
        <v>4.7134290893878258E-2</v>
      </c>
      <c r="J2175" s="1">
        <f t="shared" si="305"/>
        <v>6.0000000000002274E-2</v>
      </c>
      <c r="K2175" s="9">
        <f t="shared" si="298"/>
        <v>8.1699346405231861E-4</v>
      </c>
      <c r="L2175" s="1">
        <f t="shared" si="299"/>
        <v>1</v>
      </c>
      <c r="M2175" s="1">
        <f t="shared" si="300"/>
        <v>75.09</v>
      </c>
      <c r="N2175" s="1">
        <f t="shared" si="301"/>
        <v>71.709999999999994</v>
      </c>
      <c r="O2175" s="1">
        <f t="shared" si="302"/>
        <v>71.540000000000006</v>
      </c>
      <c r="P2175" s="1">
        <f t="shared" si="303"/>
        <v>36.500000000000007</v>
      </c>
    </row>
    <row r="2176" spans="1:16">
      <c r="A2176" s="2">
        <v>39903</v>
      </c>
      <c r="B2176" s="1">
        <v>72.61</v>
      </c>
      <c r="C2176" s="1">
        <v>74.5</v>
      </c>
      <c r="D2176" s="1">
        <v>72.12</v>
      </c>
      <c r="E2176" s="1">
        <v>73.44</v>
      </c>
      <c r="F2176" s="1">
        <v>8918200</v>
      </c>
      <c r="G2176" s="1">
        <v>73.44</v>
      </c>
      <c r="H2176" s="1">
        <f t="shared" si="297"/>
        <v>2.3799999999999955</v>
      </c>
      <c r="I2176" s="9">
        <f t="shared" si="304"/>
        <v>3.3000554631170208E-2</v>
      </c>
      <c r="J2176" s="1">
        <f t="shared" si="305"/>
        <v>2</v>
      </c>
      <c r="K2176" s="9">
        <f t="shared" si="298"/>
        <v>2.7995520716685332E-2</v>
      </c>
      <c r="L2176" s="1">
        <f t="shared" si="299"/>
        <v>1</v>
      </c>
      <c r="M2176" s="1">
        <f t="shared" si="300"/>
        <v>74.5</v>
      </c>
      <c r="N2176" s="1">
        <f t="shared" si="301"/>
        <v>72.12</v>
      </c>
      <c r="O2176" s="1">
        <f t="shared" si="302"/>
        <v>71.48</v>
      </c>
      <c r="P2176" s="1">
        <f t="shared" si="303"/>
        <v>36.469387755102041</v>
      </c>
    </row>
    <row r="2177" spans="1:16">
      <c r="A2177" s="2">
        <v>39902</v>
      </c>
      <c r="B2177" s="1">
        <v>70.400000000000006</v>
      </c>
      <c r="C2177" s="1">
        <v>71.67</v>
      </c>
      <c r="D2177" s="1">
        <v>69.75</v>
      </c>
      <c r="E2177" s="1">
        <v>71.44</v>
      </c>
      <c r="F2177" s="1">
        <v>8373100</v>
      </c>
      <c r="G2177" s="1">
        <v>71.44</v>
      </c>
      <c r="H2177" s="1">
        <f t="shared" si="297"/>
        <v>1.9200000000000017</v>
      </c>
      <c r="I2177" s="9">
        <f t="shared" si="304"/>
        <v>2.7526881720430132E-2</v>
      </c>
      <c r="J2177" s="1">
        <f t="shared" si="305"/>
        <v>0.92000000000000171</v>
      </c>
      <c r="K2177" s="9">
        <f t="shared" si="298"/>
        <v>1.3045944412932527E-2</v>
      </c>
      <c r="L2177" s="1">
        <f t="shared" si="299"/>
        <v>1</v>
      </c>
      <c r="M2177" s="1">
        <f t="shared" si="300"/>
        <v>71.67</v>
      </c>
      <c r="N2177" s="1">
        <f t="shared" si="301"/>
        <v>69.75</v>
      </c>
      <c r="O2177" s="1">
        <f t="shared" si="302"/>
        <v>69.48</v>
      </c>
      <c r="P2177" s="1">
        <f t="shared" si="303"/>
        <v>35.448979591836739</v>
      </c>
    </row>
    <row r="2178" spans="1:16">
      <c r="A2178" s="2">
        <v>39899</v>
      </c>
      <c r="B2178" s="1">
        <v>71.61</v>
      </c>
      <c r="C2178" s="1">
        <v>72.290000000000006</v>
      </c>
      <c r="D2178" s="1">
        <v>70.099999999999994</v>
      </c>
      <c r="E2178" s="1">
        <v>70.52</v>
      </c>
      <c r="F2178" s="1">
        <v>8568800</v>
      </c>
      <c r="G2178" s="1">
        <v>70.52</v>
      </c>
      <c r="H2178" s="1">
        <f t="shared" si="297"/>
        <v>2.1900000000000119</v>
      </c>
      <c r="I2178" s="9">
        <f t="shared" si="304"/>
        <v>3.1241084165478061E-2</v>
      </c>
      <c r="J2178" s="1">
        <f t="shared" si="305"/>
        <v>-3.1700000000000017</v>
      </c>
      <c r="K2178" s="9">
        <f t="shared" si="298"/>
        <v>-4.3018048581897159E-2</v>
      </c>
      <c r="L2178" s="1">
        <f t="shared" si="299"/>
        <v>1</v>
      </c>
      <c r="M2178" s="1">
        <f t="shared" si="300"/>
        <v>72.290000000000006</v>
      </c>
      <c r="N2178" s="1">
        <f t="shared" si="301"/>
        <v>70.099999999999994</v>
      </c>
      <c r="O2178" s="1">
        <f t="shared" si="302"/>
        <v>68.56</v>
      </c>
      <c r="P2178" s="1">
        <f t="shared" si="303"/>
        <v>34.979591836734699</v>
      </c>
    </row>
    <row r="2179" spans="1:16">
      <c r="A2179" s="2">
        <v>39898</v>
      </c>
      <c r="B2179" s="1">
        <v>73.47</v>
      </c>
      <c r="C2179" s="1">
        <v>74.98</v>
      </c>
      <c r="D2179" s="1">
        <v>72.64</v>
      </c>
      <c r="E2179" s="1">
        <v>73.69</v>
      </c>
      <c r="F2179" s="1">
        <v>6657700</v>
      </c>
      <c r="G2179" s="1">
        <v>73.69</v>
      </c>
      <c r="H2179" s="1">
        <f t="shared" ref="H2179:H2242" si="306">C2179-D2179</f>
        <v>2.3400000000000034</v>
      </c>
      <c r="I2179" s="9">
        <f t="shared" si="304"/>
        <v>3.2213656387665247E-2</v>
      </c>
      <c r="J2179" s="1">
        <f t="shared" si="305"/>
        <v>1.289999999999992</v>
      </c>
      <c r="K2179" s="9">
        <f t="shared" ref="K2179:K2242" si="307">(G2179-G2180)/G2180</f>
        <v>1.7817679558010939E-2</v>
      </c>
      <c r="L2179" s="1">
        <f t="shared" ref="L2179:L2242" si="308">G2179/E2179</f>
        <v>1</v>
      </c>
      <c r="M2179" s="1">
        <f t="shared" ref="M2179:M2242" si="309">L2179*C2179</f>
        <v>74.98</v>
      </c>
      <c r="N2179" s="1">
        <f t="shared" ref="N2179:N2242" si="310">L2179*D2179</f>
        <v>72.64</v>
      </c>
      <c r="O2179" s="1">
        <f t="shared" ref="O2179:O2242" si="311">G2179-$G$5163</f>
        <v>71.73</v>
      </c>
      <c r="P2179" s="1">
        <f t="shared" ref="P2179:P2242" si="312">(G2179-$G$5163)/$G$5163</f>
        <v>36.596938775510203</v>
      </c>
    </row>
    <row r="2180" spans="1:16">
      <c r="A2180" s="2">
        <v>39897</v>
      </c>
      <c r="B2180" s="1">
        <v>73.09</v>
      </c>
      <c r="C2180" s="1">
        <v>73.95</v>
      </c>
      <c r="D2180" s="1">
        <v>69.84</v>
      </c>
      <c r="E2180" s="1">
        <v>72.400000000000006</v>
      </c>
      <c r="F2180" s="1">
        <v>7895600</v>
      </c>
      <c r="G2180" s="1">
        <v>72.400000000000006</v>
      </c>
      <c r="H2180" s="1">
        <f t="shared" si="306"/>
        <v>4.1099999999999994</v>
      </c>
      <c r="I2180" s="9">
        <f t="shared" ref="I2180:I2243" si="313">(C2180-D2180)/D2180</f>
        <v>5.8848797250859099E-2</v>
      </c>
      <c r="J2180" s="1">
        <f t="shared" ref="J2180:J2243" si="314">G2180-G2181</f>
        <v>-0.40999999999999659</v>
      </c>
      <c r="K2180" s="9">
        <f t="shared" si="307"/>
        <v>-5.6310946298584888E-3</v>
      </c>
      <c r="L2180" s="1">
        <f t="shared" si="308"/>
        <v>1</v>
      </c>
      <c r="M2180" s="1">
        <f t="shared" si="309"/>
        <v>73.95</v>
      </c>
      <c r="N2180" s="1">
        <f t="shared" si="310"/>
        <v>69.84</v>
      </c>
      <c r="O2180" s="1">
        <f t="shared" si="311"/>
        <v>70.440000000000012</v>
      </c>
      <c r="P2180" s="1">
        <f t="shared" si="312"/>
        <v>35.938775510204088</v>
      </c>
    </row>
    <row r="2181" spans="1:16">
      <c r="A2181" s="2">
        <v>39896</v>
      </c>
      <c r="B2181" s="1">
        <v>74.849999999999994</v>
      </c>
      <c r="C2181" s="1">
        <v>75</v>
      </c>
      <c r="D2181" s="1">
        <v>72.31</v>
      </c>
      <c r="E2181" s="1">
        <v>72.81</v>
      </c>
      <c r="F2181" s="1">
        <v>7457900</v>
      </c>
      <c r="G2181" s="1">
        <v>72.81</v>
      </c>
      <c r="H2181" s="1">
        <f t="shared" si="306"/>
        <v>2.6899999999999977</v>
      </c>
      <c r="I2181" s="9">
        <f t="shared" si="313"/>
        <v>3.7200940395519258E-2</v>
      </c>
      <c r="J2181" s="1">
        <f t="shared" si="314"/>
        <v>-2.769999999999996</v>
      </c>
      <c r="K2181" s="9">
        <f t="shared" si="307"/>
        <v>-3.6649907382905481E-2</v>
      </c>
      <c r="L2181" s="1">
        <f t="shared" si="308"/>
        <v>1</v>
      </c>
      <c r="M2181" s="1">
        <f t="shared" si="309"/>
        <v>75</v>
      </c>
      <c r="N2181" s="1">
        <f t="shared" si="310"/>
        <v>72.31</v>
      </c>
      <c r="O2181" s="1">
        <f t="shared" si="311"/>
        <v>70.850000000000009</v>
      </c>
      <c r="P2181" s="1">
        <f t="shared" si="312"/>
        <v>36.147959183673471</v>
      </c>
    </row>
    <row r="2182" spans="1:16">
      <c r="A2182" s="2">
        <v>39895</v>
      </c>
      <c r="B2182" s="1">
        <v>71.36</v>
      </c>
      <c r="C2182" s="1">
        <v>75.61</v>
      </c>
      <c r="D2182" s="1">
        <v>70.7</v>
      </c>
      <c r="E2182" s="1">
        <v>75.58</v>
      </c>
      <c r="F2182" s="1">
        <v>8612400</v>
      </c>
      <c r="G2182" s="1">
        <v>75.58</v>
      </c>
      <c r="H2182" s="1">
        <f t="shared" si="306"/>
        <v>4.9099999999999966</v>
      </c>
      <c r="I2182" s="9">
        <f t="shared" si="313"/>
        <v>6.9448373408769401E-2</v>
      </c>
      <c r="J2182" s="1">
        <f t="shared" si="314"/>
        <v>5.6200000000000045</v>
      </c>
      <c r="K2182" s="9">
        <f t="shared" si="307"/>
        <v>8.0331618067467192E-2</v>
      </c>
      <c r="L2182" s="1">
        <f t="shared" si="308"/>
        <v>1</v>
      </c>
      <c r="M2182" s="1">
        <f t="shared" si="309"/>
        <v>75.61</v>
      </c>
      <c r="N2182" s="1">
        <f t="shared" si="310"/>
        <v>70.7</v>
      </c>
      <c r="O2182" s="1">
        <f t="shared" si="311"/>
        <v>73.62</v>
      </c>
      <c r="P2182" s="1">
        <f t="shared" si="312"/>
        <v>37.561224489795919</v>
      </c>
    </row>
    <row r="2183" spans="1:16">
      <c r="A2183" s="2">
        <v>39892</v>
      </c>
      <c r="B2183" s="1">
        <v>70.39</v>
      </c>
      <c r="C2183" s="1">
        <v>70.89</v>
      </c>
      <c r="D2183" s="1">
        <v>69.08</v>
      </c>
      <c r="E2183" s="1">
        <v>69.959999999999994</v>
      </c>
      <c r="F2183" s="1">
        <v>8468100</v>
      </c>
      <c r="G2183" s="1">
        <v>69.959999999999994</v>
      </c>
      <c r="H2183" s="1">
        <f t="shared" si="306"/>
        <v>1.8100000000000023</v>
      </c>
      <c r="I2183" s="9">
        <f t="shared" si="313"/>
        <v>2.6201505500868593E-2</v>
      </c>
      <c r="J2183" s="1">
        <f t="shared" si="314"/>
        <v>-0.14000000000000057</v>
      </c>
      <c r="K2183" s="9">
        <f t="shared" si="307"/>
        <v>-1.9971469329529328E-3</v>
      </c>
      <c r="L2183" s="1">
        <f t="shared" si="308"/>
        <v>1</v>
      </c>
      <c r="M2183" s="1">
        <f t="shared" si="309"/>
        <v>70.89</v>
      </c>
      <c r="N2183" s="1">
        <f t="shared" si="310"/>
        <v>69.08</v>
      </c>
      <c r="O2183" s="1">
        <f t="shared" si="311"/>
        <v>68</v>
      </c>
      <c r="P2183" s="1">
        <f t="shared" si="312"/>
        <v>34.693877551020407</v>
      </c>
    </row>
    <row r="2184" spans="1:16">
      <c r="A2184" s="2">
        <v>39891</v>
      </c>
      <c r="B2184" s="1">
        <v>71.400000000000006</v>
      </c>
      <c r="C2184" s="1">
        <v>71.91</v>
      </c>
      <c r="D2184" s="1">
        <v>69.239999999999995</v>
      </c>
      <c r="E2184" s="1">
        <v>70.099999999999994</v>
      </c>
      <c r="F2184" s="1">
        <v>8819100</v>
      </c>
      <c r="G2184" s="1">
        <v>70.099999999999994</v>
      </c>
      <c r="H2184" s="1">
        <f t="shared" si="306"/>
        <v>2.6700000000000017</v>
      </c>
      <c r="I2184" s="9">
        <f t="shared" si="313"/>
        <v>3.8561525129982697E-2</v>
      </c>
      <c r="J2184" s="1">
        <f t="shared" si="314"/>
        <v>-1.1500000000000057</v>
      </c>
      <c r="K2184" s="9">
        <f t="shared" si="307"/>
        <v>-1.6140350877193062E-2</v>
      </c>
      <c r="L2184" s="1">
        <f t="shared" si="308"/>
        <v>1</v>
      </c>
      <c r="M2184" s="1">
        <f t="shared" si="309"/>
        <v>71.91</v>
      </c>
      <c r="N2184" s="1">
        <f t="shared" si="310"/>
        <v>69.239999999999995</v>
      </c>
      <c r="O2184" s="1">
        <f t="shared" si="311"/>
        <v>68.14</v>
      </c>
      <c r="P2184" s="1">
        <f t="shared" si="312"/>
        <v>34.765306122448983</v>
      </c>
    </row>
    <row r="2185" spans="1:16">
      <c r="A2185" s="2">
        <v>39890</v>
      </c>
      <c r="B2185" s="1">
        <v>70.97</v>
      </c>
      <c r="C2185" s="1">
        <v>73.91</v>
      </c>
      <c r="D2185" s="1">
        <v>70.13</v>
      </c>
      <c r="E2185" s="1">
        <v>71.25</v>
      </c>
      <c r="F2185" s="1">
        <v>10401700</v>
      </c>
      <c r="G2185" s="1">
        <v>71.25</v>
      </c>
      <c r="H2185" s="1">
        <f t="shared" si="306"/>
        <v>3.7800000000000011</v>
      </c>
      <c r="I2185" s="9">
        <f t="shared" si="313"/>
        <v>5.3899900185370046E-2</v>
      </c>
      <c r="J2185" s="1">
        <f t="shared" si="314"/>
        <v>-9.9999999999994316E-2</v>
      </c>
      <c r="K2185" s="9">
        <f t="shared" si="307"/>
        <v>-1.4015416958653723E-3</v>
      </c>
      <c r="L2185" s="1">
        <f t="shared" si="308"/>
        <v>1</v>
      </c>
      <c r="M2185" s="1">
        <f t="shared" si="309"/>
        <v>73.91</v>
      </c>
      <c r="N2185" s="1">
        <f t="shared" si="310"/>
        <v>70.13</v>
      </c>
      <c r="O2185" s="1">
        <f t="shared" si="311"/>
        <v>69.290000000000006</v>
      </c>
      <c r="P2185" s="1">
        <f t="shared" si="312"/>
        <v>35.352040816326536</v>
      </c>
    </row>
    <row r="2186" spans="1:16">
      <c r="A2186" s="2">
        <v>39889</v>
      </c>
      <c r="B2186" s="1">
        <v>67.37</v>
      </c>
      <c r="C2186" s="1">
        <v>71.709999999999994</v>
      </c>
      <c r="D2186" s="1">
        <v>67</v>
      </c>
      <c r="E2186" s="1">
        <v>71.349999999999994</v>
      </c>
      <c r="F2186" s="1">
        <v>11902800</v>
      </c>
      <c r="G2186" s="1">
        <v>71.349999999999994</v>
      </c>
      <c r="H2186" s="1">
        <f t="shared" si="306"/>
        <v>4.7099999999999937</v>
      </c>
      <c r="I2186" s="9">
        <f t="shared" si="313"/>
        <v>7.0298507462686469E-2</v>
      </c>
      <c r="J2186" s="1">
        <f t="shared" si="314"/>
        <v>4.3699999999999903</v>
      </c>
      <c r="K2186" s="9">
        <f t="shared" si="307"/>
        <v>6.5243356225738874E-2</v>
      </c>
      <c r="L2186" s="1">
        <f t="shared" si="308"/>
        <v>1</v>
      </c>
      <c r="M2186" s="1">
        <f t="shared" si="309"/>
        <v>71.709999999999994</v>
      </c>
      <c r="N2186" s="1">
        <f t="shared" si="310"/>
        <v>67</v>
      </c>
      <c r="O2186" s="1">
        <f t="shared" si="311"/>
        <v>69.39</v>
      </c>
      <c r="P2186" s="1">
        <f t="shared" si="312"/>
        <v>35.403061224489797</v>
      </c>
    </row>
    <row r="2187" spans="1:16">
      <c r="A2187" s="2">
        <v>39888</v>
      </c>
      <c r="B2187" s="1">
        <v>68.56</v>
      </c>
      <c r="C2187" s="1">
        <v>69.290000000000006</v>
      </c>
      <c r="D2187" s="1">
        <v>66.680000000000007</v>
      </c>
      <c r="E2187" s="1">
        <v>66.98</v>
      </c>
      <c r="F2187" s="1">
        <v>9437300</v>
      </c>
      <c r="G2187" s="1">
        <v>66.98</v>
      </c>
      <c r="H2187" s="1">
        <f t="shared" si="306"/>
        <v>2.6099999999999994</v>
      </c>
      <c r="I2187" s="9">
        <f t="shared" si="313"/>
        <v>3.9142171565686848E-2</v>
      </c>
      <c r="J2187" s="1">
        <f t="shared" si="314"/>
        <v>-1.6499999999999915</v>
      </c>
      <c r="K2187" s="9">
        <f t="shared" si="307"/>
        <v>-2.4041964155616956E-2</v>
      </c>
      <c r="L2187" s="1">
        <f t="shared" si="308"/>
        <v>1</v>
      </c>
      <c r="M2187" s="1">
        <f t="shared" si="309"/>
        <v>69.290000000000006</v>
      </c>
      <c r="N2187" s="1">
        <f t="shared" si="310"/>
        <v>66.680000000000007</v>
      </c>
      <c r="O2187" s="1">
        <f t="shared" si="311"/>
        <v>65.02000000000001</v>
      </c>
      <c r="P2187" s="1">
        <f t="shared" si="312"/>
        <v>33.173469387755105</v>
      </c>
    </row>
    <row r="2188" spans="1:16">
      <c r="A2188" s="2">
        <v>39885</v>
      </c>
      <c r="B2188" s="1">
        <v>69.64</v>
      </c>
      <c r="C2188" s="1">
        <v>69.739999999999995</v>
      </c>
      <c r="D2188" s="1">
        <v>67.53</v>
      </c>
      <c r="E2188" s="1">
        <v>68.63</v>
      </c>
      <c r="F2188" s="1">
        <v>8903400</v>
      </c>
      <c r="G2188" s="1">
        <v>68.63</v>
      </c>
      <c r="H2188" s="1">
        <f t="shared" si="306"/>
        <v>2.2099999999999937</v>
      </c>
      <c r="I2188" s="9">
        <f t="shared" si="313"/>
        <v>3.2726195764845159E-2</v>
      </c>
      <c r="J2188" s="1">
        <f t="shared" si="314"/>
        <v>-0.95000000000000284</v>
      </c>
      <c r="K2188" s="9">
        <f t="shared" si="307"/>
        <v>-1.3653348663409066E-2</v>
      </c>
      <c r="L2188" s="1">
        <f t="shared" si="308"/>
        <v>1</v>
      </c>
      <c r="M2188" s="1">
        <f t="shared" si="309"/>
        <v>69.739999999999995</v>
      </c>
      <c r="N2188" s="1">
        <f t="shared" si="310"/>
        <v>67.53</v>
      </c>
      <c r="O2188" s="1">
        <f t="shared" si="311"/>
        <v>66.67</v>
      </c>
      <c r="P2188" s="1">
        <f t="shared" si="312"/>
        <v>34.015306122448983</v>
      </c>
    </row>
    <row r="2189" spans="1:16">
      <c r="A2189" s="2">
        <v>39884</v>
      </c>
      <c r="B2189" s="1">
        <v>68.349999999999994</v>
      </c>
      <c r="C2189" s="1">
        <v>69.87</v>
      </c>
      <c r="D2189" s="1">
        <v>67.25</v>
      </c>
      <c r="E2189" s="1">
        <v>69.58</v>
      </c>
      <c r="F2189" s="1">
        <v>11348900</v>
      </c>
      <c r="G2189" s="1">
        <v>69.58</v>
      </c>
      <c r="H2189" s="1">
        <f t="shared" si="306"/>
        <v>2.6200000000000045</v>
      </c>
      <c r="I2189" s="9">
        <f t="shared" si="313"/>
        <v>3.8959107806691519E-2</v>
      </c>
      <c r="J2189" s="1">
        <f t="shared" si="314"/>
        <v>1.039999999999992</v>
      </c>
      <c r="K2189" s="9">
        <f t="shared" si="307"/>
        <v>1.5173621243069623E-2</v>
      </c>
      <c r="L2189" s="1">
        <f t="shared" si="308"/>
        <v>1</v>
      </c>
      <c r="M2189" s="1">
        <f t="shared" si="309"/>
        <v>69.87</v>
      </c>
      <c r="N2189" s="1">
        <f t="shared" si="310"/>
        <v>67.25</v>
      </c>
      <c r="O2189" s="1">
        <f t="shared" si="311"/>
        <v>67.62</v>
      </c>
      <c r="P2189" s="1">
        <f t="shared" si="312"/>
        <v>34.5</v>
      </c>
    </row>
    <row r="2190" spans="1:16">
      <c r="A2190" s="2">
        <v>39883</v>
      </c>
      <c r="B2190" s="1">
        <v>66.239999999999995</v>
      </c>
      <c r="C2190" s="1">
        <v>69.37</v>
      </c>
      <c r="D2190" s="1">
        <v>65.27</v>
      </c>
      <c r="E2190" s="1">
        <v>68.540000000000006</v>
      </c>
      <c r="F2190" s="1">
        <v>13881700</v>
      </c>
      <c r="G2190" s="1">
        <v>68.540000000000006</v>
      </c>
      <c r="H2190" s="1">
        <f t="shared" si="306"/>
        <v>4.1000000000000085</v>
      </c>
      <c r="I2190" s="9">
        <f t="shared" si="313"/>
        <v>6.2815995097288316E-2</v>
      </c>
      <c r="J2190" s="1">
        <f t="shared" si="314"/>
        <v>2.8300000000000125</v>
      </c>
      <c r="K2190" s="9">
        <f t="shared" si="307"/>
        <v>4.3068026175620347E-2</v>
      </c>
      <c r="L2190" s="1">
        <f t="shared" si="308"/>
        <v>1</v>
      </c>
      <c r="M2190" s="1">
        <f t="shared" si="309"/>
        <v>69.37</v>
      </c>
      <c r="N2190" s="1">
        <f t="shared" si="310"/>
        <v>65.27</v>
      </c>
      <c r="O2190" s="1">
        <f t="shared" si="311"/>
        <v>66.580000000000013</v>
      </c>
      <c r="P2190" s="1">
        <f t="shared" si="312"/>
        <v>33.969387755102048</v>
      </c>
    </row>
    <row r="2191" spans="1:16">
      <c r="A2191" s="2">
        <v>39882</v>
      </c>
      <c r="B2191" s="1">
        <v>62.49</v>
      </c>
      <c r="C2191" s="1">
        <v>65.900000000000006</v>
      </c>
      <c r="D2191" s="1">
        <v>61.78</v>
      </c>
      <c r="E2191" s="1">
        <v>65.709999999999994</v>
      </c>
      <c r="F2191" s="1">
        <v>15435700</v>
      </c>
      <c r="G2191" s="1">
        <v>65.709999999999994</v>
      </c>
      <c r="H2191" s="1">
        <f t="shared" si="306"/>
        <v>4.1200000000000045</v>
      </c>
      <c r="I2191" s="9">
        <f t="shared" si="313"/>
        <v>6.6688248624150279E-2</v>
      </c>
      <c r="J2191" s="1">
        <f t="shared" si="314"/>
        <v>5.2199999999999918</v>
      </c>
      <c r="K2191" s="9">
        <f t="shared" si="307"/>
        <v>8.6295255414117894E-2</v>
      </c>
      <c r="L2191" s="1">
        <f t="shared" si="308"/>
        <v>1</v>
      </c>
      <c r="M2191" s="1">
        <f t="shared" si="309"/>
        <v>65.900000000000006</v>
      </c>
      <c r="N2191" s="1">
        <f t="shared" si="310"/>
        <v>61.78</v>
      </c>
      <c r="O2191" s="1">
        <f t="shared" si="311"/>
        <v>63.749999999999993</v>
      </c>
      <c r="P2191" s="1">
        <f t="shared" si="312"/>
        <v>32.525510204081627</v>
      </c>
    </row>
    <row r="2192" spans="1:16">
      <c r="A2192" s="2">
        <v>39881</v>
      </c>
      <c r="B2192" s="1">
        <v>62.2</v>
      </c>
      <c r="C2192" s="1">
        <v>64.03</v>
      </c>
      <c r="D2192" s="1">
        <v>60.15</v>
      </c>
      <c r="E2192" s="1">
        <v>60.49</v>
      </c>
      <c r="F2192" s="1">
        <v>13561400</v>
      </c>
      <c r="G2192" s="1">
        <v>60.49</v>
      </c>
      <c r="H2192" s="1">
        <f t="shared" si="306"/>
        <v>3.8800000000000026</v>
      </c>
      <c r="I2192" s="9">
        <f t="shared" si="313"/>
        <v>6.4505403158769792E-2</v>
      </c>
      <c r="J2192" s="1">
        <f t="shared" si="314"/>
        <v>-1.1999999999999957</v>
      </c>
      <c r="K2192" s="9">
        <f t="shared" si="307"/>
        <v>-1.945209920570588E-2</v>
      </c>
      <c r="L2192" s="1">
        <f t="shared" si="308"/>
        <v>1</v>
      </c>
      <c r="M2192" s="1">
        <f t="shared" si="309"/>
        <v>64.03</v>
      </c>
      <c r="N2192" s="1">
        <f t="shared" si="310"/>
        <v>60.15</v>
      </c>
      <c r="O2192" s="1">
        <f t="shared" si="311"/>
        <v>58.53</v>
      </c>
      <c r="P2192" s="1">
        <f t="shared" si="312"/>
        <v>29.862244897959183</v>
      </c>
    </row>
    <row r="2193" spans="1:16">
      <c r="A2193" s="2">
        <v>39878</v>
      </c>
      <c r="B2193" s="1">
        <v>65.2</v>
      </c>
      <c r="C2193" s="1">
        <v>65.5</v>
      </c>
      <c r="D2193" s="1">
        <v>59.82</v>
      </c>
      <c r="E2193" s="1">
        <v>61.69</v>
      </c>
      <c r="F2193" s="1">
        <v>15093800</v>
      </c>
      <c r="G2193" s="1">
        <v>61.69</v>
      </c>
      <c r="H2193" s="1">
        <f t="shared" si="306"/>
        <v>5.68</v>
      </c>
      <c r="I2193" s="9">
        <f t="shared" si="313"/>
        <v>9.495152123035773E-2</v>
      </c>
      <c r="J2193" s="1">
        <f t="shared" si="314"/>
        <v>-3.0799999999999983</v>
      </c>
      <c r="K2193" s="9">
        <f t="shared" si="307"/>
        <v>-4.7552879419484308E-2</v>
      </c>
      <c r="L2193" s="1">
        <f t="shared" si="308"/>
        <v>1</v>
      </c>
      <c r="M2193" s="1">
        <f t="shared" si="309"/>
        <v>65.5</v>
      </c>
      <c r="N2193" s="1">
        <f t="shared" si="310"/>
        <v>59.82</v>
      </c>
      <c r="O2193" s="1">
        <f t="shared" si="311"/>
        <v>59.73</v>
      </c>
      <c r="P2193" s="1">
        <f t="shared" si="312"/>
        <v>30.474489795918366</v>
      </c>
    </row>
    <row r="2194" spans="1:16">
      <c r="A2194" s="2">
        <v>39877</v>
      </c>
      <c r="B2194" s="1">
        <v>64.12</v>
      </c>
      <c r="C2194" s="1">
        <v>65.8</v>
      </c>
      <c r="D2194" s="1">
        <v>63.6</v>
      </c>
      <c r="E2194" s="1">
        <v>64.77</v>
      </c>
      <c r="F2194" s="1">
        <v>11770300</v>
      </c>
      <c r="G2194" s="1">
        <v>64.77</v>
      </c>
      <c r="H2194" s="1">
        <f t="shared" si="306"/>
        <v>2.1999999999999957</v>
      </c>
      <c r="I2194" s="9">
        <f t="shared" si="313"/>
        <v>3.4591194968553389E-2</v>
      </c>
      <c r="J2194" s="1">
        <f t="shared" si="314"/>
        <v>-4.0000000000006253E-2</v>
      </c>
      <c r="K2194" s="9">
        <f t="shared" si="307"/>
        <v>-6.1718870544678677E-4</v>
      </c>
      <c r="L2194" s="1">
        <f t="shared" si="308"/>
        <v>1</v>
      </c>
      <c r="M2194" s="1">
        <f t="shared" si="309"/>
        <v>65.8</v>
      </c>
      <c r="N2194" s="1">
        <f t="shared" si="310"/>
        <v>63.6</v>
      </c>
      <c r="O2194" s="1">
        <f t="shared" si="311"/>
        <v>62.809999999999995</v>
      </c>
      <c r="P2194" s="1">
        <f t="shared" si="312"/>
        <v>32.045918367346935</v>
      </c>
    </row>
    <row r="2195" spans="1:16">
      <c r="A2195" s="2">
        <v>39876</v>
      </c>
      <c r="B2195" s="1">
        <v>62.8</v>
      </c>
      <c r="C2195" s="1">
        <v>65.790000000000006</v>
      </c>
      <c r="D2195" s="1">
        <v>62.4</v>
      </c>
      <c r="E2195" s="1">
        <v>64.81</v>
      </c>
      <c r="F2195" s="1">
        <v>11960900</v>
      </c>
      <c r="G2195" s="1">
        <v>64.81</v>
      </c>
      <c r="H2195" s="1">
        <f t="shared" si="306"/>
        <v>3.3900000000000077</v>
      </c>
      <c r="I2195" s="9">
        <f t="shared" si="313"/>
        <v>5.4326923076923203E-2</v>
      </c>
      <c r="J2195" s="1">
        <f t="shared" si="314"/>
        <v>3.1099999999999994</v>
      </c>
      <c r="K2195" s="9">
        <f t="shared" si="307"/>
        <v>5.0405186385737426E-2</v>
      </c>
      <c r="L2195" s="1">
        <f t="shared" si="308"/>
        <v>1</v>
      </c>
      <c r="M2195" s="1">
        <f t="shared" si="309"/>
        <v>65.790000000000006</v>
      </c>
      <c r="N2195" s="1">
        <f t="shared" si="310"/>
        <v>62.4</v>
      </c>
      <c r="O2195" s="1">
        <f t="shared" si="311"/>
        <v>62.85</v>
      </c>
      <c r="P2195" s="1">
        <f t="shared" si="312"/>
        <v>32.066326530612244</v>
      </c>
    </row>
    <row r="2196" spans="1:16">
      <c r="A2196" s="2">
        <v>39875</v>
      </c>
      <c r="B2196" s="1">
        <v>62.75</v>
      </c>
      <c r="C2196" s="1">
        <v>63.29</v>
      </c>
      <c r="D2196" s="1">
        <v>61.3</v>
      </c>
      <c r="E2196" s="1">
        <v>61.7</v>
      </c>
      <c r="F2196" s="1">
        <v>9691600</v>
      </c>
      <c r="G2196" s="1">
        <v>61.7</v>
      </c>
      <c r="H2196" s="1">
        <f t="shared" si="306"/>
        <v>1.990000000000002</v>
      </c>
      <c r="I2196" s="9">
        <f t="shared" si="313"/>
        <v>3.2463295269168059E-2</v>
      </c>
      <c r="J2196" s="1">
        <f t="shared" si="314"/>
        <v>-0.28999999999999915</v>
      </c>
      <c r="K2196" s="9">
        <f t="shared" si="307"/>
        <v>-4.6781738990159562E-3</v>
      </c>
      <c r="L2196" s="1">
        <f t="shared" si="308"/>
        <v>1</v>
      </c>
      <c r="M2196" s="1">
        <f t="shared" si="309"/>
        <v>63.29</v>
      </c>
      <c r="N2196" s="1">
        <f t="shared" si="310"/>
        <v>61.3</v>
      </c>
      <c r="O2196" s="1">
        <f t="shared" si="311"/>
        <v>59.74</v>
      </c>
      <c r="P2196" s="1">
        <f t="shared" si="312"/>
        <v>30.479591836734695</v>
      </c>
    </row>
    <row r="2197" spans="1:16">
      <c r="A2197" s="2">
        <v>39874</v>
      </c>
      <c r="B2197" s="1">
        <v>63.94</v>
      </c>
      <c r="C2197" s="1">
        <v>65.52</v>
      </c>
      <c r="D2197" s="1">
        <v>61.51</v>
      </c>
      <c r="E2197" s="1">
        <v>61.99</v>
      </c>
      <c r="F2197" s="1">
        <v>10511900</v>
      </c>
      <c r="G2197" s="1">
        <v>61.99</v>
      </c>
      <c r="H2197" s="1">
        <f t="shared" si="306"/>
        <v>4.009999999999998</v>
      </c>
      <c r="I2197" s="9">
        <f t="shared" si="313"/>
        <v>6.51926516013656E-2</v>
      </c>
      <c r="J2197" s="1">
        <f t="shared" si="314"/>
        <v>-2.8000000000000043</v>
      </c>
      <c r="K2197" s="9">
        <f t="shared" si="307"/>
        <v>-4.321654576323513E-2</v>
      </c>
      <c r="L2197" s="1">
        <f t="shared" si="308"/>
        <v>1</v>
      </c>
      <c r="M2197" s="1">
        <f t="shared" si="309"/>
        <v>65.52</v>
      </c>
      <c r="N2197" s="1">
        <f t="shared" si="310"/>
        <v>61.51</v>
      </c>
      <c r="O2197" s="1">
        <f t="shared" si="311"/>
        <v>60.03</v>
      </c>
      <c r="P2197" s="1">
        <f t="shared" si="312"/>
        <v>30.627551020408163</v>
      </c>
    </row>
    <row r="2198" spans="1:16">
      <c r="A2198" s="2">
        <v>39871</v>
      </c>
      <c r="B2198" s="1">
        <v>61.26</v>
      </c>
      <c r="C2198" s="1">
        <v>65.08</v>
      </c>
      <c r="D2198" s="1">
        <v>60.94</v>
      </c>
      <c r="E2198" s="1">
        <v>64.790000000000006</v>
      </c>
      <c r="F2198" s="1">
        <v>11488300</v>
      </c>
      <c r="G2198" s="1">
        <v>64.790000000000006</v>
      </c>
      <c r="H2198" s="1">
        <f t="shared" si="306"/>
        <v>4.1400000000000006</v>
      </c>
      <c r="I2198" s="9">
        <f t="shared" si="313"/>
        <v>6.7935674433869386E-2</v>
      </c>
      <c r="J2198" s="1">
        <f t="shared" si="314"/>
        <v>2.4500000000000028</v>
      </c>
      <c r="K2198" s="9">
        <f t="shared" si="307"/>
        <v>3.9300609560474861E-2</v>
      </c>
      <c r="L2198" s="1">
        <f t="shared" si="308"/>
        <v>1</v>
      </c>
      <c r="M2198" s="1">
        <f t="shared" si="309"/>
        <v>65.08</v>
      </c>
      <c r="N2198" s="1">
        <f t="shared" si="310"/>
        <v>60.94</v>
      </c>
      <c r="O2198" s="1">
        <f t="shared" si="311"/>
        <v>62.830000000000005</v>
      </c>
      <c r="P2198" s="1">
        <f t="shared" si="312"/>
        <v>32.056122448979593</v>
      </c>
    </row>
    <row r="2199" spans="1:16">
      <c r="A2199" s="2">
        <v>39870</v>
      </c>
      <c r="B2199" s="1">
        <v>64.12</v>
      </c>
      <c r="C2199" s="1">
        <v>64.73</v>
      </c>
      <c r="D2199" s="1">
        <v>62.34</v>
      </c>
      <c r="E2199" s="1">
        <v>62.34</v>
      </c>
      <c r="F2199" s="1">
        <v>7275300</v>
      </c>
      <c r="G2199" s="1">
        <v>62.34</v>
      </c>
      <c r="H2199" s="1">
        <f t="shared" si="306"/>
        <v>2.3900000000000006</v>
      </c>
      <c r="I2199" s="9">
        <f t="shared" si="313"/>
        <v>3.8338145652871358E-2</v>
      </c>
      <c r="J2199" s="1">
        <f t="shared" si="314"/>
        <v>-1.3699999999999974</v>
      </c>
      <c r="K2199" s="9">
        <f t="shared" si="307"/>
        <v>-2.1503688588918497E-2</v>
      </c>
      <c r="L2199" s="1">
        <f t="shared" si="308"/>
        <v>1</v>
      </c>
      <c r="M2199" s="1">
        <f t="shared" si="309"/>
        <v>64.73</v>
      </c>
      <c r="N2199" s="1">
        <f t="shared" si="310"/>
        <v>62.34</v>
      </c>
      <c r="O2199" s="1">
        <f t="shared" si="311"/>
        <v>60.38</v>
      </c>
      <c r="P2199" s="1">
        <f t="shared" si="312"/>
        <v>30.806122448979593</v>
      </c>
    </row>
    <row r="2200" spans="1:16">
      <c r="A2200" s="2">
        <v>39869</v>
      </c>
      <c r="B2200" s="1">
        <v>64.900000000000006</v>
      </c>
      <c r="C2200" s="1">
        <v>65.75</v>
      </c>
      <c r="D2200" s="1">
        <v>62.82</v>
      </c>
      <c r="E2200" s="1">
        <v>63.71</v>
      </c>
      <c r="F2200" s="1">
        <v>9122100</v>
      </c>
      <c r="G2200" s="1">
        <v>63.71</v>
      </c>
      <c r="H2200" s="1">
        <f t="shared" si="306"/>
        <v>2.9299999999999997</v>
      </c>
      <c r="I2200" s="9">
        <f t="shared" si="313"/>
        <v>4.6641197070996496E-2</v>
      </c>
      <c r="J2200" s="1">
        <f t="shared" si="314"/>
        <v>-1.8899999999999935</v>
      </c>
      <c r="K2200" s="9">
        <f t="shared" si="307"/>
        <v>-2.8810975609756002E-2</v>
      </c>
      <c r="L2200" s="1">
        <f t="shared" si="308"/>
        <v>1</v>
      </c>
      <c r="M2200" s="1">
        <f t="shared" si="309"/>
        <v>65.75</v>
      </c>
      <c r="N2200" s="1">
        <f t="shared" si="310"/>
        <v>62.82</v>
      </c>
      <c r="O2200" s="1">
        <f t="shared" si="311"/>
        <v>61.75</v>
      </c>
      <c r="P2200" s="1">
        <f t="shared" si="312"/>
        <v>31.505102040816325</v>
      </c>
    </row>
    <row r="2201" spans="1:16">
      <c r="A2201" s="2">
        <v>39868</v>
      </c>
      <c r="B2201" s="1">
        <v>61.97</v>
      </c>
      <c r="C2201" s="1">
        <v>66.099999999999994</v>
      </c>
      <c r="D2201" s="1">
        <v>61.89</v>
      </c>
      <c r="E2201" s="1">
        <v>65.599999999999994</v>
      </c>
      <c r="F2201" s="1">
        <v>10271400</v>
      </c>
      <c r="G2201" s="1">
        <v>65.599999999999994</v>
      </c>
      <c r="H2201" s="1">
        <f t="shared" si="306"/>
        <v>4.2099999999999937</v>
      </c>
      <c r="I2201" s="9">
        <f t="shared" si="313"/>
        <v>6.8023913394732488E-2</v>
      </c>
      <c r="J2201" s="1">
        <f t="shared" si="314"/>
        <v>3.8899999999999935</v>
      </c>
      <c r="K2201" s="9">
        <f t="shared" si="307"/>
        <v>6.3036784961918543E-2</v>
      </c>
      <c r="L2201" s="1">
        <f t="shared" si="308"/>
        <v>1</v>
      </c>
      <c r="M2201" s="1">
        <f t="shared" si="309"/>
        <v>66.099999999999994</v>
      </c>
      <c r="N2201" s="1">
        <f t="shared" si="310"/>
        <v>61.89</v>
      </c>
      <c r="O2201" s="1">
        <f t="shared" si="311"/>
        <v>63.639999999999993</v>
      </c>
      <c r="P2201" s="1">
        <f t="shared" si="312"/>
        <v>32.469387755102041</v>
      </c>
    </row>
    <row r="2202" spans="1:16">
      <c r="A2202" s="2">
        <v>39867</v>
      </c>
      <c r="B2202" s="1">
        <v>64.16</v>
      </c>
      <c r="C2202" s="1">
        <v>64.91</v>
      </c>
      <c r="D2202" s="1">
        <v>61.52</v>
      </c>
      <c r="E2202" s="1">
        <v>61.71</v>
      </c>
      <c r="F2202" s="1">
        <v>7336000</v>
      </c>
      <c r="G2202" s="1">
        <v>61.71</v>
      </c>
      <c r="H2202" s="1">
        <f t="shared" si="306"/>
        <v>3.3899999999999935</v>
      </c>
      <c r="I2202" s="9">
        <f t="shared" si="313"/>
        <v>5.5104031209362699E-2</v>
      </c>
      <c r="J2202" s="1">
        <f t="shared" si="314"/>
        <v>-2.1499999999999986</v>
      </c>
      <c r="K2202" s="9">
        <f t="shared" si="307"/>
        <v>-3.3667397431882219E-2</v>
      </c>
      <c r="L2202" s="1">
        <f t="shared" si="308"/>
        <v>1</v>
      </c>
      <c r="M2202" s="1">
        <f t="shared" si="309"/>
        <v>64.91</v>
      </c>
      <c r="N2202" s="1">
        <f t="shared" si="310"/>
        <v>61.52</v>
      </c>
      <c r="O2202" s="1">
        <f t="shared" si="311"/>
        <v>59.75</v>
      </c>
      <c r="P2202" s="1">
        <f t="shared" si="312"/>
        <v>30.48469387755102</v>
      </c>
    </row>
    <row r="2203" spans="1:16">
      <c r="A2203" s="2">
        <v>39864</v>
      </c>
      <c r="B2203" s="1">
        <v>61.07</v>
      </c>
      <c r="C2203" s="1">
        <v>64.150000000000006</v>
      </c>
      <c r="D2203" s="1">
        <v>60.84</v>
      </c>
      <c r="E2203" s="1">
        <v>63.86</v>
      </c>
      <c r="F2203" s="1">
        <v>9354500</v>
      </c>
      <c r="G2203" s="1">
        <v>63.86</v>
      </c>
      <c r="H2203" s="1">
        <f t="shared" si="306"/>
        <v>3.3100000000000023</v>
      </c>
      <c r="I2203" s="9">
        <f t="shared" si="313"/>
        <v>5.4404996712689058E-2</v>
      </c>
      <c r="J2203" s="1">
        <f t="shared" si="314"/>
        <v>1.9099999999999966</v>
      </c>
      <c r="K2203" s="9">
        <f t="shared" si="307"/>
        <v>3.0831315577078234E-2</v>
      </c>
      <c r="L2203" s="1">
        <f t="shared" si="308"/>
        <v>1</v>
      </c>
      <c r="M2203" s="1">
        <f t="shared" si="309"/>
        <v>64.150000000000006</v>
      </c>
      <c r="N2203" s="1">
        <f t="shared" si="310"/>
        <v>60.84</v>
      </c>
      <c r="O2203" s="1">
        <f t="shared" si="311"/>
        <v>61.9</v>
      </c>
      <c r="P2203" s="1">
        <f t="shared" si="312"/>
        <v>31.581632653061224</v>
      </c>
    </row>
    <row r="2204" spans="1:16">
      <c r="A2204" s="2">
        <v>39863</v>
      </c>
      <c r="B2204" s="1">
        <v>62.84</v>
      </c>
      <c r="C2204" s="1">
        <v>64.180000000000007</v>
      </c>
      <c r="D2204" s="1">
        <v>61.67</v>
      </c>
      <c r="E2204" s="1">
        <v>61.95</v>
      </c>
      <c r="F2204" s="1">
        <v>6768900</v>
      </c>
      <c r="G2204" s="1">
        <v>61.95</v>
      </c>
      <c r="H2204" s="1">
        <f t="shared" si="306"/>
        <v>2.5100000000000051</v>
      </c>
      <c r="I2204" s="9">
        <f t="shared" si="313"/>
        <v>4.0700502675531137E-2</v>
      </c>
      <c r="J2204" s="1">
        <f t="shared" si="314"/>
        <v>-0.39999999999999858</v>
      </c>
      <c r="K2204" s="9">
        <f t="shared" si="307"/>
        <v>-6.4153969526864248E-3</v>
      </c>
      <c r="L2204" s="1">
        <f t="shared" si="308"/>
        <v>1</v>
      </c>
      <c r="M2204" s="1">
        <f t="shared" si="309"/>
        <v>64.180000000000007</v>
      </c>
      <c r="N2204" s="1">
        <f t="shared" si="310"/>
        <v>61.67</v>
      </c>
      <c r="O2204" s="1">
        <f t="shared" si="311"/>
        <v>59.99</v>
      </c>
      <c r="P2204" s="1">
        <f t="shared" si="312"/>
        <v>30.607142857142858</v>
      </c>
    </row>
    <row r="2205" spans="1:16">
      <c r="A2205" s="2">
        <v>39862</v>
      </c>
      <c r="B2205" s="1">
        <v>62.27</v>
      </c>
      <c r="C2205" s="1">
        <v>62.78</v>
      </c>
      <c r="D2205" s="1">
        <v>60.52</v>
      </c>
      <c r="E2205" s="1">
        <v>62.35</v>
      </c>
      <c r="F2205" s="1">
        <v>7366000</v>
      </c>
      <c r="G2205" s="1">
        <v>62.35</v>
      </c>
      <c r="H2205" s="1">
        <f t="shared" si="306"/>
        <v>2.259999999999998</v>
      </c>
      <c r="I2205" s="9">
        <f t="shared" si="313"/>
        <v>3.7343027098479809E-2</v>
      </c>
      <c r="J2205" s="1">
        <f t="shared" si="314"/>
        <v>0.67999999999999972</v>
      </c>
      <c r="K2205" s="9">
        <f t="shared" si="307"/>
        <v>1.1026431003729523E-2</v>
      </c>
      <c r="L2205" s="1">
        <f t="shared" si="308"/>
        <v>1</v>
      </c>
      <c r="M2205" s="1">
        <f t="shared" si="309"/>
        <v>62.78</v>
      </c>
      <c r="N2205" s="1">
        <f t="shared" si="310"/>
        <v>60.52</v>
      </c>
      <c r="O2205" s="1">
        <f t="shared" si="311"/>
        <v>60.39</v>
      </c>
      <c r="P2205" s="1">
        <f t="shared" si="312"/>
        <v>30.811224489795919</v>
      </c>
    </row>
    <row r="2206" spans="1:16">
      <c r="A2206" s="2">
        <v>39861</v>
      </c>
      <c r="B2206" s="1">
        <v>61.67</v>
      </c>
      <c r="C2206" s="1">
        <v>62.65</v>
      </c>
      <c r="D2206" s="1">
        <v>61.18</v>
      </c>
      <c r="E2206" s="1">
        <v>61.67</v>
      </c>
      <c r="F2206" s="1">
        <v>7126100</v>
      </c>
      <c r="G2206" s="1">
        <v>61.67</v>
      </c>
      <c r="H2206" s="1">
        <f t="shared" si="306"/>
        <v>1.4699999999999989</v>
      </c>
      <c r="I2206" s="9">
        <f t="shared" si="313"/>
        <v>2.4027459954233391E-2</v>
      </c>
      <c r="J2206" s="1">
        <f t="shared" si="314"/>
        <v>-1.5899999999999963</v>
      </c>
      <c r="K2206" s="9">
        <f t="shared" si="307"/>
        <v>-2.5134366108125139E-2</v>
      </c>
      <c r="L2206" s="1">
        <f t="shared" si="308"/>
        <v>1</v>
      </c>
      <c r="M2206" s="1">
        <f t="shared" si="309"/>
        <v>62.65</v>
      </c>
      <c r="N2206" s="1">
        <f t="shared" si="310"/>
        <v>61.18</v>
      </c>
      <c r="O2206" s="1">
        <f t="shared" si="311"/>
        <v>59.71</v>
      </c>
      <c r="P2206" s="1">
        <f t="shared" si="312"/>
        <v>30.464285714285715</v>
      </c>
    </row>
    <row r="2207" spans="1:16">
      <c r="A2207" s="2">
        <v>39857</v>
      </c>
      <c r="B2207" s="1">
        <v>63.97</v>
      </c>
      <c r="C2207" s="1">
        <v>64.680000000000007</v>
      </c>
      <c r="D2207" s="1">
        <v>62.87</v>
      </c>
      <c r="E2207" s="1">
        <v>63.26</v>
      </c>
      <c r="F2207" s="1">
        <v>4130900</v>
      </c>
      <c r="G2207" s="1">
        <v>63.26</v>
      </c>
      <c r="H2207" s="1">
        <f t="shared" si="306"/>
        <v>1.8100000000000094</v>
      </c>
      <c r="I2207" s="9">
        <f t="shared" si="313"/>
        <v>2.8789565770637973E-2</v>
      </c>
      <c r="J2207" s="1">
        <f t="shared" si="314"/>
        <v>-0.70000000000000284</v>
      </c>
      <c r="K2207" s="9">
        <f t="shared" si="307"/>
        <v>-1.0944340212632939E-2</v>
      </c>
      <c r="L2207" s="1">
        <f t="shared" si="308"/>
        <v>1</v>
      </c>
      <c r="M2207" s="1">
        <f t="shared" si="309"/>
        <v>64.680000000000007</v>
      </c>
      <c r="N2207" s="1">
        <f t="shared" si="310"/>
        <v>62.87</v>
      </c>
      <c r="O2207" s="1">
        <f t="shared" si="311"/>
        <v>61.3</v>
      </c>
      <c r="P2207" s="1">
        <f t="shared" si="312"/>
        <v>31.27551020408163</v>
      </c>
    </row>
    <row r="2208" spans="1:16">
      <c r="A2208" s="2">
        <v>39856</v>
      </c>
      <c r="B2208" s="1">
        <v>63.25</v>
      </c>
      <c r="C2208" s="1">
        <v>64.25</v>
      </c>
      <c r="D2208" s="1">
        <v>61.71</v>
      </c>
      <c r="E2208" s="1">
        <v>63.96</v>
      </c>
      <c r="F2208" s="1">
        <v>8095500</v>
      </c>
      <c r="G2208" s="1">
        <v>63.96</v>
      </c>
      <c r="H2208" s="1">
        <f t="shared" si="306"/>
        <v>2.5399999999999991</v>
      </c>
      <c r="I2208" s="9">
        <f t="shared" si="313"/>
        <v>4.1160265759196228E-2</v>
      </c>
      <c r="J2208" s="1">
        <f t="shared" si="314"/>
        <v>-0.38999999999999346</v>
      </c>
      <c r="K2208" s="9">
        <f t="shared" si="307"/>
        <v>-6.06060606060596E-3</v>
      </c>
      <c r="L2208" s="1">
        <f t="shared" si="308"/>
        <v>1</v>
      </c>
      <c r="M2208" s="1">
        <f t="shared" si="309"/>
        <v>64.25</v>
      </c>
      <c r="N2208" s="1">
        <f t="shared" si="310"/>
        <v>61.71</v>
      </c>
      <c r="O2208" s="1">
        <f t="shared" si="311"/>
        <v>62</v>
      </c>
      <c r="P2208" s="1">
        <f t="shared" si="312"/>
        <v>31.632653061224492</v>
      </c>
    </row>
    <row r="2209" spans="1:16">
      <c r="A2209" s="2">
        <v>39855</v>
      </c>
      <c r="B2209" s="1">
        <v>63.1</v>
      </c>
      <c r="C2209" s="1">
        <v>64.900000000000006</v>
      </c>
      <c r="D2209" s="1">
        <v>62.25</v>
      </c>
      <c r="E2209" s="1">
        <v>64.349999999999994</v>
      </c>
      <c r="F2209" s="1">
        <v>8347300</v>
      </c>
      <c r="G2209" s="1">
        <v>64.349999999999994</v>
      </c>
      <c r="H2209" s="1">
        <f t="shared" si="306"/>
        <v>2.6500000000000057</v>
      </c>
      <c r="I2209" s="9">
        <f t="shared" si="313"/>
        <v>4.257028112449808E-2</v>
      </c>
      <c r="J2209" s="1">
        <f t="shared" si="314"/>
        <v>1.039999999999992</v>
      </c>
      <c r="K2209" s="9">
        <f t="shared" si="307"/>
        <v>1.642710472279248E-2</v>
      </c>
      <c r="L2209" s="1">
        <f t="shared" si="308"/>
        <v>1</v>
      </c>
      <c r="M2209" s="1">
        <f t="shared" si="309"/>
        <v>64.900000000000006</v>
      </c>
      <c r="N2209" s="1">
        <f t="shared" si="310"/>
        <v>62.25</v>
      </c>
      <c r="O2209" s="1">
        <f t="shared" si="311"/>
        <v>62.389999999999993</v>
      </c>
      <c r="P2209" s="1">
        <f t="shared" si="312"/>
        <v>31.83163265306122</v>
      </c>
    </row>
    <row r="2210" spans="1:16">
      <c r="A2210" s="2">
        <v>39854</v>
      </c>
      <c r="B2210" s="1">
        <v>66.150000000000006</v>
      </c>
      <c r="C2210" s="1">
        <v>67.23</v>
      </c>
      <c r="D2210" s="1">
        <v>63.07</v>
      </c>
      <c r="E2210" s="1">
        <v>63.31</v>
      </c>
      <c r="F2210" s="1">
        <v>10700600</v>
      </c>
      <c r="G2210" s="1">
        <v>63.31</v>
      </c>
      <c r="H2210" s="1">
        <f t="shared" si="306"/>
        <v>4.1600000000000037</v>
      </c>
      <c r="I2210" s="9">
        <f t="shared" si="313"/>
        <v>6.5958458855240265E-2</v>
      </c>
      <c r="J2210" s="1">
        <f t="shared" si="314"/>
        <v>-3.3999999999999915</v>
      </c>
      <c r="K2210" s="9">
        <f t="shared" si="307"/>
        <v>-5.09668715335031E-2</v>
      </c>
      <c r="L2210" s="1">
        <f t="shared" si="308"/>
        <v>1</v>
      </c>
      <c r="M2210" s="1">
        <f t="shared" si="309"/>
        <v>67.23</v>
      </c>
      <c r="N2210" s="1">
        <f t="shared" si="310"/>
        <v>63.07</v>
      </c>
      <c r="O2210" s="1">
        <f t="shared" si="311"/>
        <v>61.35</v>
      </c>
      <c r="P2210" s="1">
        <f t="shared" si="312"/>
        <v>31.301020408163268</v>
      </c>
    </row>
    <row r="2211" spans="1:16">
      <c r="A2211" s="2">
        <v>39853</v>
      </c>
      <c r="B2211" s="1">
        <v>66.56</v>
      </c>
      <c r="C2211" s="1">
        <v>67.36</v>
      </c>
      <c r="D2211" s="1">
        <v>65.38</v>
      </c>
      <c r="E2211" s="1">
        <v>66.709999999999994</v>
      </c>
      <c r="F2211" s="1">
        <v>9437600</v>
      </c>
      <c r="G2211" s="1">
        <v>66.709999999999994</v>
      </c>
      <c r="H2211" s="1">
        <f t="shared" si="306"/>
        <v>1.980000000000004</v>
      </c>
      <c r="I2211" s="9">
        <f t="shared" si="313"/>
        <v>3.0284490669929706E-2</v>
      </c>
      <c r="J2211" s="1">
        <f t="shared" si="314"/>
        <v>0.15999999999999659</v>
      </c>
      <c r="K2211" s="9">
        <f t="shared" si="307"/>
        <v>2.4042073628849979E-3</v>
      </c>
      <c r="L2211" s="1">
        <f t="shared" si="308"/>
        <v>1</v>
      </c>
      <c r="M2211" s="1">
        <f t="shared" si="309"/>
        <v>67.36</v>
      </c>
      <c r="N2211" s="1">
        <f t="shared" si="310"/>
        <v>65.38</v>
      </c>
      <c r="O2211" s="1">
        <f t="shared" si="311"/>
        <v>64.75</v>
      </c>
      <c r="P2211" s="1">
        <f t="shared" si="312"/>
        <v>33.035714285714285</v>
      </c>
    </row>
    <row r="2212" spans="1:16">
      <c r="A2212" s="2">
        <v>39850</v>
      </c>
      <c r="B2212" s="1">
        <v>63.18</v>
      </c>
      <c r="C2212" s="1">
        <v>67</v>
      </c>
      <c r="D2212" s="1">
        <v>63.18</v>
      </c>
      <c r="E2212" s="1">
        <v>66.55</v>
      </c>
      <c r="F2212" s="1">
        <v>12044900</v>
      </c>
      <c r="G2212" s="1">
        <v>66.55</v>
      </c>
      <c r="H2212" s="1">
        <f t="shared" si="306"/>
        <v>3.8200000000000003</v>
      </c>
      <c r="I2212" s="9">
        <f t="shared" si="313"/>
        <v>6.0462171573282687E-2</v>
      </c>
      <c r="J2212" s="1">
        <f t="shared" si="314"/>
        <v>3.3699999999999974</v>
      </c>
      <c r="K2212" s="9">
        <f t="shared" si="307"/>
        <v>5.3339664450775523E-2</v>
      </c>
      <c r="L2212" s="1">
        <f t="shared" si="308"/>
        <v>1</v>
      </c>
      <c r="M2212" s="1">
        <f t="shared" si="309"/>
        <v>67</v>
      </c>
      <c r="N2212" s="1">
        <f t="shared" si="310"/>
        <v>63.18</v>
      </c>
      <c r="O2212" s="1">
        <f t="shared" si="311"/>
        <v>64.59</v>
      </c>
      <c r="P2212" s="1">
        <f t="shared" si="312"/>
        <v>32.954081632653065</v>
      </c>
    </row>
    <row r="2213" spans="1:16">
      <c r="A2213" s="2">
        <v>39849</v>
      </c>
      <c r="B2213" s="1">
        <v>61.15</v>
      </c>
      <c r="C2213" s="1">
        <v>63.81</v>
      </c>
      <c r="D2213" s="1">
        <v>60.63</v>
      </c>
      <c r="E2213" s="1">
        <v>63.18</v>
      </c>
      <c r="F2213" s="1">
        <v>10169600</v>
      </c>
      <c r="G2213" s="1">
        <v>63.18</v>
      </c>
      <c r="H2213" s="1">
        <f t="shared" si="306"/>
        <v>3.1799999999999997</v>
      </c>
      <c r="I2213" s="9">
        <f t="shared" si="313"/>
        <v>5.2449282533399304E-2</v>
      </c>
      <c r="J2213" s="1">
        <f t="shared" si="314"/>
        <v>2.1199999999999974</v>
      </c>
      <c r="K2213" s="9">
        <f t="shared" si="307"/>
        <v>3.4719947592531893E-2</v>
      </c>
      <c r="L2213" s="1">
        <f t="shared" si="308"/>
        <v>1</v>
      </c>
      <c r="M2213" s="1">
        <f t="shared" si="309"/>
        <v>63.81</v>
      </c>
      <c r="N2213" s="1">
        <f t="shared" si="310"/>
        <v>60.63</v>
      </c>
      <c r="O2213" s="1">
        <f t="shared" si="311"/>
        <v>61.22</v>
      </c>
      <c r="P2213" s="1">
        <f t="shared" si="312"/>
        <v>31.23469387755102</v>
      </c>
    </row>
    <row r="2214" spans="1:16">
      <c r="A2214" s="2">
        <v>39848</v>
      </c>
      <c r="B2214" s="1">
        <v>63.38</v>
      </c>
      <c r="C2214" s="1">
        <v>63.44</v>
      </c>
      <c r="D2214" s="1">
        <v>60.83</v>
      </c>
      <c r="E2214" s="1">
        <v>61.06</v>
      </c>
      <c r="F2214" s="1">
        <v>13726300</v>
      </c>
      <c r="G2214" s="1">
        <v>61.06</v>
      </c>
      <c r="H2214" s="1">
        <f t="shared" si="306"/>
        <v>2.6099999999999994</v>
      </c>
      <c r="I2214" s="9">
        <f t="shared" si="313"/>
        <v>4.2906460627979606E-2</v>
      </c>
      <c r="J2214" s="1">
        <f t="shared" si="314"/>
        <v>-2.5300000000000011</v>
      </c>
      <c r="K2214" s="9">
        <f t="shared" si="307"/>
        <v>-3.9786129894637534E-2</v>
      </c>
      <c r="L2214" s="1">
        <f t="shared" si="308"/>
        <v>1</v>
      </c>
      <c r="M2214" s="1">
        <f t="shared" si="309"/>
        <v>63.44</v>
      </c>
      <c r="N2214" s="1">
        <f t="shared" si="310"/>
        <v>60.83</v>
      </c>
      <c r="O2214" s="1">
        <f t="shared" si="311"/>
        <v>59.1</v>
      </c>
      <c r="P2214" s="1">
        <f t="shared" si="312"/>
        <v>30.153061224489797</v>
      </c>
    </row>
    <row r="2215" spans="1:16">
      <c r="A2215" s="2">
        <v>39847</v>
      </c>
      <c r="B2215" s="1">
        <v>60.87</v>
      </c>
      <c r="C2215" s="1">
        <v>64.2</v>
      </c>
      <c r="D2215" s="1">
        <v>60</v>
      </c>
      <c r="E2215" s="1">
        <v>63.59</v>
      </c>
      <c r="F2215" s="1">
        <v>14694600</v>
      </c>
      <c r="G2215" s="1">
        <v>63.59</v>
      </c>
      <c r="H2215" s="1">
        <f t="shared" si="306"/>
        <v>4.2000000000000028</v>
      </c>
      <c r="I2215" s="9">
        <f t="shared" si="313"/>
        <v>7.0000000000000048E-2</v>
      </c>
      <c r="J2215" s="1">
        <f t="shared" si="314"/>
        <v>2.4400000000000048</v>
      </c>
      <c r="K2215" s="9">
        <f t="shared" si="307"/>
        <v>3.990188062142281E-2</v>
      </c>
      <c r="L2215" s="1">
        <f t="shared" si="308"/>
        <v>1</v>
      </c>
      <c r="M2215" s="1">
        <f t="shared" si="309"/>
        <v>64.2</v>
      </c>
      <c r="N2215" s="1">
        <f t="shared" si="310"/>
        <v>60</v>
      </c>
      <c r="O2215" s="1">
        <f t="shared" si="311"/>
        <v>61.63</v>
      </c>
      <c r="P2215" s="1">
        <f t="shared" si="312"/>
        <v>31.44387755102041</v>
      </c>
    </row>
    <row r="2216" spans="1:16">
      <c r="A2216" s="2">
        <v>39846</v>
      </c>
      <c r="B2216" s="1">
        <v>58.57</v>
      </c>
      <c r="C2216" s="1">
        <v>62</v>
      </c>
      <c r="D2216" s="1">
        <v>58.13</v>
      </c>
      <c r="E2216" s="1">
        <v>61.15</v>
      </c>
      <c r="F2216" s="1">
        <v>19324300</v>
      </c>
      <c r="G2216" s="1">
        <v>61.15</v>
      </c>
      <c r="H2216" s="1">
        <f t="shared" si="306"/>
        <v>3.8699999999999974</v>
      </c>
      <c r="I2216" s="9">
        <f t="shared" si="313"/>
        <v>6.657491828659895E-2</v>
      </c>
      <c r="J2216" s="1">
        <f t="shared" si="314"/>
        <v>2.3299999999999983</v>
      </c>
      <c r="K2216" s="9">
        <f t="shared" si="307"/>
        <v>3.9612376742604524E-2</v>
      </c>
      <c r="L2216" s="1">
        <f t="shared" si="308"/>
        <v>1</v>
      </c>
      <c r="M2216" s="1">
        <f t="shared" si="309"/>
        <v>62</v>
      </c>
      <c r="N2216" s="1">
        <f t="shared" si="310"/>
        <v>58.13</v>
      </c>
      <c r="O2216" s="1">
        <f t="shared" si="311"/>
        <v>59.19</v>
      </c>
      <c r="P2216" s="1">
        <f t="shared" si="312"/>
        <v>30.198979591836736</v>
      </c>
    </row>
    <row r="2217" spans="1:16">
      <c r="A2217" s="2">
        <v>39843</v>
      </c>
      <c r="B2217" s="1">
        <v>57.36</v>
      </c>
      <c r="C2217" s="1">
        <v>59.74</v>
      </c>
      <c r="D2217" s="1">
        <v>57.24</v>
      </c>
      <c r="E2217" s="1">
        <v>58.82</v>
      </c>
      <c r="F2217" s="1">
        <v>39783100</v>
      </c>
      <c r="G2217" s="1">
        <v>58.82</v>
      </c>
      <c r="H2217" s="1">
        <f t="shared" si="306"/>
        <v>2.5</v>
      </c>
      <c r="I2217" s="9">
        <f t="shared" si="313"/>
        <v>4.3675751222921035E-2</v>
      </c>
      <c r="J2217" s="1">
        <f t="shared" si="314"/>
        <v>8.82</v>
      </c>
      <c r="K2217" s="9">
        <f t="shared" si="307"/>
        <v>0.1764</v>
      </c>
      <c r="L2217" s="1">
        <f t="shared" si="308"/>
        <v>1</v>
      </c>
      <c r="M2217" s="1">
        <f t="shared" si="309"/>
        <v>59.74</v>
      </c>
      <c r="N2217" s="1">
        <f t="shared" si="310"/>
        <v>57.24</v>
      </c>
      <c r="O2217" s="1">
        <f t="shared" si="311"/>
        <v>56.86</v>
      </c>
      <c r="P2217" s="1">
        <f t="shared" si="312"/>
        <v>29.010204081632654</v>
      </c>
    </row>
    <row r="2218" spans="1:16">
      <c r="A2218" s="2">
        <v>39842</v>
      </c>
      <c r="B2218" s="1">
        <v>49.96</v>
      </c>
      <c r="C2218" s="1">
        <v>51.85</v>
      </c>
      <c r="D2218" s="1">
        <v>49.14</v>
      </c>
      <c r="E2218" s="1">
        <v>50</v>
      </c>
      <c r="F2218" s="1">
        <v>17966800</v>
      </c>
      <c r="G2218" s="1">
        <v>50</v>
      </c>
      <c r="H2218" s="1">
        <f t="shared" si="306"/>
        <v>2.7100000000000009</v>
      </c>
      <c r="I2218" s="9">
        <f t="shared" si="313"/>
        <v>5.5148555148555163E-2</v>
      </c>
      <c r="J2218" s="1">
        <f t="shared" si="314"/>
        <v>-0.35999999999999943</v>
      </c>
      <c r="K2218" s="9">
        <f t="shared" si="307"/>
        <v>-7.148530579825247E-3</v>
      </c>
      <c r="L2218" s="1">
        <f t="shared" si="308"/>
        <v>1</v>
      </c>
      <c r="M2218" s="1">
        <f t="shared" si="309"/>
        <v>51.85</v>
      </c>
      <c r="N2218" s="1">
        <f t="shared" si="310"/>
        <v>49.14</v>
      </c>
      <c r="O2218" s="1">
        <f t="shared" si="311"/>
        <v>48.04</v>
      </c>
      <c r="P2218" s="1">
        <f t="shared" si="312"/>
        <v>24.510204081632654</v>
      </c>
    </row>
    <row r="2219" spans="1:16">
      <c r="A2219" s="2">
        <v>39841</v>
      </c>
      <c r="B2219" s="1">
        <v>49.72</v>
      </c>
      <c r="C2219" s="1">
        <v>51.49</v>
      </c>
      <c r="D2219" s="1">
        <v>48.97</v>
      </c>
      <c r="E2219" s="1">
        <v>50.36</v>
      </c>
      <c r="F2219" s="1">
        <v>8056600</v>
      </c>
      <c r="G2219" s="1">
        <v>50.36</v>
      </c>
      <c r="H2219" s="1">
        <f t="shared" si="306"/>
        <v>2.5200000000000031</v>
      </c>
      <c r="I2219" s="9">
        <f t="shared" si="313"/>
        <v>5.1460077598529774E-2</v>
      </c>
      <c r="J2219" s="1">
        <f t="shared" si="314"/>
        <v>1.9200000000000017</v>
      </c>
      <c r="K2219" s="9">
        <f t="shared" si="307"/>
        <v>3.9636663914120601E-2</v>
      </c>
      <c r="L2219" s="1">
        <f t="shared" si="308"/>
        <v>1</v>
      </c>
      <c r="M2219" s="1">
        <f t="shared" si="309"/>
        <v>51.49</v>
      </c>
      <c r="N2219" s="1">
        <f t="shared" si="310"/>
        <v>48.97</v>
      </c>
      <c r="O2219" s="1">
        <f t="shared" si="311"/>
        <v>48.4</v>
      </c>
      <c r="P2219" s="1">
        <f t="shared" si="312"/>
        <v>24.693877551020407</v>
      </c>
    </row>
    <row r="2220" spans="1:16">
      <c r="A2220" s="2">
        <v>39840</v>
      </c>
      <c r="B2220" s="1">
        <v>49.3</v>
      </c>
      <c r="C2220" s="1">
        <v>50.42</v>
      </c>
      <c r="D2220" s="1">
        <v>47.72</v>
      </c>
      <c r="E2220" s="1">
        <v>48.44</v>
      </c>
      <c r="F2220" s="1">
        <v>8738200</v>
      </c>
      <c r="G2220" s="1">
        <v>48.44</v>
      </c>
      <c r="H2220" s="1">
        <f t="shared" si="306"/>
        <v>2.7000000000000028</v>
      </c>
      <c r="I2220" s="9">
        <f t="shared" si="313"/>
        <v>5.6580050293378099E-2</v>
      </c>
      <c r="J2220" s="1">
        <f t="shared" si="314"/>
        <v>-1.1900000000000048</v>
      </c>
      <c r="K2220" s="9">
        <f t="shared" si="307"/>
        <v>-2.3977433004231406E-2</v>
      </c>
      <c r="L2220" s="1">
        <f t="shared" si="308"/>
        <v>1</v>
      </c>
      <c r="M2220" s="1">
        <f t="shared" si="309"/>
        <v>50.42</v>
      </c>
      <c r="N2220" s="1">
        <f t="shared" si="310"/>
        <v>47.72</v>
      </c>
      <c r="O2220" s="1">
        <f t="shared" si="311"/>
        <v>46.48</v>
      </c>
      <c r="P2220" s="1">
        <f t="shared" si="312"/>
        <v>23.714285714285712</v>
      </c>
    </row>
    <row r="2221" spans="1:16">
      <c r="A2221" s="2">
        <v>39839</v>
      </c>
      <c r="B2221" s="1">
        <v>50.18</v>
      </c>
      <c r="C2221" s="1">
        <v>50.89</v>
      </c>
      <c r="D2221" s="1">
        <v>48.52</v>
      </c>
      <c r="E2221" s="1">
        <v>49.63</v>
      </c>
      <c r="F2221" s="1">
        <v>7155700</v>
      </c>
      <c r="G2221" s="1">
        <v>49.63</v>
      </c>
      <c r="H2221" s="1">
        <f t="shared" si="306"/>
        <v>2.3699999999999974</v>
      </c>
      <c r="I2221" s="9">
        <f t="shared" si="313"/>
        <v>4.8845836768342893E-2</v>
      </c>
      <c r="J2221" s="1">
        <f t="shared" si="314"/>
        <v>-1</v>
      </c>
      <c r="K2221" s="9">
        <f t="shared" si="307"/>
        <v>-1.975113569030219E-2</v>
      </c>
      <c r="L2221" s="1">
        <f t="shared" si="308"/>
        <v>1</v>
      </c>
      <c r="M2221" s="1">
        <f t="shared" si="309"/>
        <v>50.89</v>
      </c>
      <c r="N2221" s="1">
        <f t="shared" si="310"/>
        <v>48.52</v>
      </c>
      <c r="O2221" s="1">
        <f t="shared" si="311"/>
        <v>47.67</v>
      </c>
      <c r="P2221" s="1">
        <f t="shared" si="312"/>
        <v>24.321428571428573</v>
      </c>
    </row>
    <row r="2222" spans="1:16">
      <c r="A2222" s="2">
        <v>39836</v>
      </c>
      <c r="B2222" s="1">
        <v>48.9</v>
      </c>
      <c r="C2222" s="1">
        <v>51.42</v>
      </c>
      <c r="D2222" s="1">
        <v>48.45</v>
      </c>
      <c r="E2222" s="1">
        <v>50.63</v>
      </c>
      <c r="F2222" s="1">
        <v>5793300</v>
      </c>
      <c r="G2222" s="1">
        <v>50.63</v>
      </c>
      <c r="H2222" s="1">
        <f t="shared" si="306"/>
        <v>2.9699999999999989</v>
      </c>
      <c r="I2222" s="9">
        <f t="shared" si="313"/>
        <v>6.1300309597523195E-2</v>
      </c>
      <c r="J2222" s="1">
        <f t="shared" si="314"/>
        <v>0.69000000000000483</v>
      </c>
      <c r="K2222" s="9">
        <f t="shared" si="307"/>
        <v>1.3816579895875147E-2</v>
      </c>
      <c r="L2222" s="1">
        <f t="shared" si="308"/>
        <v>1</v>
      </c>
      <c r="M2222" s="1">
        <f t="shared" si="309"/>
        <v>51.42</v>
      </c>
      <c r="N2222" s="1">
        <f t="shared" si="310"/>
        <v>48.45</v>
      </c>
      <c r="O2222" s="1">
        <f t="shared" si="311"/>
        <v>48.67</v>
      </c>
      <c r="P2222" s="1">
        <f t="shared" si="312"/>
        <v>24.831632653061227</v>
      </c>
    </row>
    <row r="2223" spans="1:16">
      <c r="A2223" s="2">
        <v>39835</v>
      </c>
      <c r="B2223" s="1">
        <v>49.42</v>
      </c>
      <c r="C2223" s="1">
        <v>50.88</v>
      </c>
      <c r="D2223" s="1">
        <v>48.26</v>
      </c>
      <c r="E2223" s="1">
        <v>49.94</v>
      </c>
      <c r="F2223" s="1">
        <v>7133300</v>
      </c>
      <c r="G2223" s="1">
        <v>49.94</v>
      </c>
      <c r="H2223" s="1">
        <f t="shared" si="306"/>
        <v>2.6200000000000045</v>
      </c>
      <c r="I2223" s="9">
        <f t="shared" si="313"/>
        <v>5.4289266473269884E-2</v>
      </c>
      <c r="J2223" s="1">
        <f t="shared" si="314"/>
        <v>-0.60000000000000142</v>
      </c>
      <c r="K2223" s="9">
        <f t="shared" si="307"/>
        <v>-1.1871784724970349E-2</v>
      </c>
      <c r="L2223" s="1">
        <f t="shared" si="308"/>
        <v>1</v>
      </c>
      <c r="M2223" s="1">
        <f t="shared" si="309"/>
        <v>50.88</v>
      </c>
      <c r="N2223" s="1">
        <f t="shared" si="310"/>
        <v>48.26</v>
      </c>
      <c r="O2223" s="1">
        <f t="shared" si="311"/>
        <v>47.98</v>
      </c>
      <c r="P2223" s="1">
        <f t="shared" si="312"/>
        <v>24.479591836734691</v>
      </c>
    </row>
    <row r="2224" spans="1:16">
      <c r="A2224" s="2">
        <v>39834</v>
      </c>
      <c r="B2224" s="1">
        <v>49.31</v>
      </c>
      <c r="C2224" s="1">
        <v>50.69</v>
      </c>
      <c r="D2224" s="1">
        <v>48.25</v>
      </c>
      <c r="E2224" s="1">
        <v>50.54</v>
      </c>
      <c r="F2224" s="1">
        <v>5829500</v>
      </c>
      <c r="G2224" s="1">
        <v>50.54</v>
      </c>
      <c r="H2224" s="1">
        <f t="shared" si="306"/>
        <v>2.4399999999999977</v>
      </c>
      <c r="I2224" s="9">
        <f t="shared" si="313"/>
        <v>5.0569948186528449E-2</v>
      </c>
      <c r="J2224" s="1">
        <f t="shared" si="314"/>
        <v>2.1000000000000014</v>
      </c>
      <c r="K2224" s="9">
        <f t="shared" si="307"/>
        <v>4.3352601156069398E-2</v>
      </c>
      <c r="L2224" s="1">
        <f t="shared" si="308"/>
        <v>1</v>
      </c>
      <c r="M2224" s="1">
        <f t="shared" si="309"/>
        <v>50.69</v>
      </c>
      <c r="N2224" s="1">
        <f t="shared" si="310"/>
        <v>48.25</v>
      </c>
      <c r="O2224" s="1">
        <f t="shared" si="311"/>
        <v>48.58</v>
      </c>
      <c r="P2224" s="1">
        <f t="shared" si="312"/>
        <v>24.785714285714285</v>
      </c>
    </row>
    <row r="2225" spans="1:16">
      <c r="A2225" s="2">
        <v>39833</v>
      </c>
      <c r="B2225" s="1">
        <v>50.75</v>
      </c>
      <c r="C2225" s="1">
        <v>51.7</v>
      </c>
      <c r="D2225" s="1">
        <v>48.27</v>
      </c>
      <c r="E2225" s="1">
        <v>48.44</v>
      </c>
      <c r="F2225" s="1">
        <v>6767200</v>
      </c>
      <c r="G2225" s="1">
        <v>48.44</v>
      </c>
      <c r="H2225" s="1">
        <f t="shared" si="306"/>
        <v>3.4299999999999997</v>
      </c>
      <c r="I2225" s="9">
        <f t="shared" si="313"/>
        <v>7.1058628547752217E-2</v>
      </c>
      <c r="J2225" s="1">
        <f t="shared" si="314"/>
        <v>-3.1500000000000057</v>
      </c>
      <c r="K2225" s="9">
        <f t="shared" si="307"/>
        <v>-6.1058344640434296E-2</v>
      </c>
      <c r="L2225" s="1">
        <f t="shared" si="308"/>
        <v>1</v>
      </c>
      <c r="M2225" s="1">
        <f t="shared" si="309"/>
        <v>51.7</v>
      </c>
      <c r="N2225" s="1">
        <f t="shared" si="310"/>
        <v>48.27</v>
      </c>
      <c r="O2225" s="1">
        <f t="shared" si="311"/>
        <v>46.48</v>
      </c>
      <c r="P2225" s="1">
        <f t="shared" si="312"/>
        <v>23.714285714285712</v>
      </c>
    </row>
    <row r="2226" spans="1:16">
      <c r="A2226" s="2">
        <v>39829</v>
      </c>
      <c r="B2226" s="1">
        <v>51.8</v>
      </c>
      <c r="C2226" s="1">
        <v>52.33</v>
      </c>
      <c r="D2226" s="1">
        <v>49.53</v>
      </c>
      <c r="E2226" s="1">
        <v>51.59</v>
      </c>
      <c r="F2226" s="1">
        <v>8258200</v>
      </c>
      <c r="G2226" s="1">
        <v>51.59</v>
      </c>
      <c r="H2226" s="1">
        <f t="shared" si="306"/>
        <v>2.7999999999999972</v>
      </c>
      <c r="I2226" s="9">
        <f t="shared" si="313"/>
        <v>5.6531395114072222E-2</v>
      </c>
      <c r="J2226" s="1">
        <f t="shared" si="314"/>
        <v>0.15000000000000568</v>
      </c>
      <c r="K2226" s="9">
        <f t="shared" si="307"/>
        <v>2.9160186625195508E-3</v>
      </c>
      <c r="L2226" s="1">
        <f t="shared" si="308"/>
        <v>1</v>
      </c>
      <c r="M2226" s="1">
        <f t="shared" si="309"/>
        <v>52.33</v>
      </c>
      <c r="N2226" s="1">
        <f t="shared" si="310"/>
        <v>49.53</v>
      </c>
      <c r="O2226" s="1">
        <f t="shared" si="311"/>
        <v>49.63</v>
      </c>
      <c r="P2226" s="1">
        <f t="shared" si="312"/>
        <v>25.321428571428573</v>
      </c>
    </row>
    <row r="2227" spans="1:16">
      <c r="A2227" s="2">
        <v>39828</v>
      </c>
      <c r="B2227" s="1">
        <v>48.56</v>
      </c>
      <c r="C2227" s="1">
        <v>52.23</v>
      </c>
      <c r="D2227" s="1">
        <v>47.63</v>
      </c>
      <c r="E2227" s="1">
        <v>51.44</v>
      </c>
      <c r="F2227" s="1">
        <v>11617300</v>
      </c>
      <c r="G2227" s="1">
        <v>51.44</v>
      </c>
      <c r="H2227" s="1">
        <f t="shared" si="306"/>
        <v>4.5999999999999943</v>
      </c>
      <c r="I2227" s="9">
        <f t="shared" si="313"/>
        <v>9.6577787108964808E-2</v>
      </c>
      <c r="J2227" s="1">
        <f t="shared" si="314"/>
        <v>2.9499999999999957</v>
      </c>
      <c r="K2227" s="9">
        <f t="shared" si="307"/>
        <v>6.0837286038358335E-2</v>
      </c>
      <c r="L2227" s="1">
        <f t="shared" si="308"/>
        <v>1</v>
      </c>
      <c r="M2227" s="1">
        <f t="shared" si="309"/>
        <v>52.23</v>
      </c>
      <c r="N2227" s="1">
        <f t="shared" si="310"/>
        <v>47.63</v>
      </c>
      <c r="O2227" s="1">
        <f t="shared" si="311"/>
        <v>49.48</v>
      </c>
      <c r="P2227" s="1">
        <f t="shared" si="312"/>
        <v>25.244897959183671</v>
      </c>
    </row>
    <row r="2228" spans="1:16">
      <c r="A2228" s="2">
        <v>39827</v>
      </c>
      <c r="B2228" s="1">
        <v>50.1</v>
      </c>
      <c r="C2228" s="1">
        <v>50.1</v>
      </c>
      <c r="D2228" s="1">
        <v>48.14</v>
      </c>
      <c r="E2228" s="1">
        <v>48.49</v>
      </c>
      <c r="F2228" s="1">
        <v>10442600</v>
      </c>
      <c r="G2228" s="1">
        <v>48.49</v>
      </c>
      <c r="H2228" s="1">
        <f t="shared" si="306"/>
        <v>1.9600000000000009</v>
      </c>
      <c r="I2228" s="9">
        <f t="shared" si="313"/>
        <v>4.0714582467802261E-2</v>
      </c>
      <c r="J2228" s="1">
        <f t="shared" si="314"/>
        <v>-2.9600000000000009</v>
      </c>
      <c r="K2228" s="9">
        <f t="shared" si="307"/>
        <v>-5.7531584062196321E-2</v>
      </c>
      <c r="L2228" s="1">
        <f t="shared" si="308"/>
        <v>1</v>
      </c>
      <c r="M2228" s="1">
        <f t="shared" si="309"/>
        <v>50.1</v>
      </c>
      <c r="N2228" s="1">
        <f t="shared" si="310"/>
        <v>48.14</v>
      </c>
      <c r="O2228" s="1">
        <f t="shared" si="311"/>
        <v>46.53</v>
      </c>
      <c r="P2228" s="1">
        <f t="shared" si="312"/>
        <v>23.739795918367349</v>
      </c>
    </row>
    <row r="2229" spans="1:16">
      <c r="A2229" s="2">
        <v>39826</v>
      </c>
      <c r="B2229" s="1">
        <v>50.96</v>
      </c>
      <c r="C2229" s="1">
        <v>53.29</v>
      </c>
      <c r="D2229" s="1">
        <v>50.75</v>
      </c>
      <c r="E2229" s="1">
        <v>51.45</v>
      </c>
      <c r="F2229" s="1">
        <v>7883200</v>
      </c>
      <c r="G2229" s="1">
        <v>51.45</v>
      </c>
      <c r="H2229" s="1">
        <f t="shared" si="306"/>
        <v>2.5399999999999991</v>
      </c>
      <c r="I2229" s="9">
        <f t="shared" si="313"/>
        <v>5.0049261083743829E-2</v>
      </c>
      <c r="J2229" s="1">
        <f t="shared" si="314"/>
        <v>-0.46999999999999886</v>
      </c>
      <c r="K2229" s="9">
        <f t="shared" si="307"/>
        <v>-9.0523882896764024E-3</v>
      </c>
      <c r="L2229" s="1">
        <f t="shared" si="308"/>
        <v>1</v>
      </c>
      <c r="M2229" s="1">
        <f t="shared" si="309"/>
        <v>53.29</v>
      </c>
      <c r="N2229" s="1">
        <f t="shared" si="310"/>
        <v>50.75</v>
      </c>
      <c r="O2229" s="1">
        <f t="shared" si="311"/>
        <v>49.49</v>
      </c>
      <c r="P2229" s="1">
        <f t="shared" si="312"/>
        <v>25.25</v>
      </c>
    </row>
    <row r="2230" spans="1:16">
      <c r="A2230" s="2">
        <v>39825</v>
      </c>
      <c r="B2230" s="1">
        <v>54.12</v>
      </c>
      <c r="C2230" s="1">
        <v>54.3</v>
      </c>
      <c r="D2230" s="1">
        <v>50.87</v>
      </c>
      <c r="E2230" s="1">
        <v>51.92</v>
      </c>
      <c r="F2230" s="1">
        <v>9556300</v>
      </c>
      <c r="G2230" s="1">
        <v>51.92</v>
      </c>
      <c r="H2230" s="1">
        <f t="shared" si="306"/>
        <v>3.4299999999999997</v>
      </c>
      <c r="I2230" s="9">
        <f t="shared" si="313"/>
        <v>6.7426774130135633E-2</v>
      </c>
      <c r="J2230" s="1">
        <f t="shared" si="314"/>
        <v>-3.5899999999999963</v>
      </c>
      <c r="K2230" s="9">
        <f t="shared" si="307"/>
        <v>-6.4673031886146579E-2</v>
      </c>
      <c r="L2230" s="1">
        <f t="shared" si="308"/>
        <v>1</v>
      </c>
      <c r="M2230" s="1">
        <f t="shared" si="309"/>
        <v>54.3</v>
      </c>
      <c r="N2230" s="1">
        <f t="shared" si="310"/>
        <v>50.87</v>
      </c>
      <c r="O2230" s="1">
        <f t="shared" si="311"/>
        <v>49.96</v>
      </c>
      <c r="P2230" s="1">
        <f t="shared" si="312"/>
        <v>25.489795918367349</v>
      </c>
    </row>
    <row r="2231" spans="1:16">
      <c r="A2231" s="2">
        <v>39822</v>
      </c>
      <c r="B2231" s="1">
        <v>56.92</v>
      </c>
      <c r="C2231" s="1">
        <v>57</v>
      </c>
      <c r="D2231" s="1">
        <v>54.7</v>
      </c>
      <c r="E2231" s="1">
        <v>55.51</v>
      </c>
      <c r="F2231" s="1">
        <v>6684100</v>
      </c>
      <c r="G2231" s="1">
        <v>55.51</v>
      </c>
      <c r="H2231" s="1">
        <f t="shared" si="306"/>
        <v>2.2999999999999972</v>
      </c>
      <c r="I2231" s="9">
        <f t="shared" si="313"/>
        <v>4.2047531992687334E-2</v>
      </c>
      <c r="J2231" s="1">
        <f t="shared" si="314"/>
        <v>-1.6499999999999986</v>
      </c>
      <c r="K2231" s="9">
        <f t="shared" si="307"/>
        <v>-2.8866340097970587E-2</v>
      </c>
      <c r="L2231" s="1">
        <f t="shared" si="308"/>
        <v>1</v>
      </c>
      <c r="M2231" s="1">
        <f t="shared" si="309"/>
        <v>57</v>
      </c>
      <c r="N2231" s="1">
        <f t="shared" si="310"/>
        <v>54.7</v>
      </c>
      <c r="O2231" s="1">
        <f t="shared" si="311"/>
        <v>53.55</v>
      </c>
      <c r="P2231" s="1">
        <f t="shared" si="312"/>
        <v>27.321428571428569</v>
      </c>
    </row>
    <row r="2232" spans="1:16">
      <c r="A2232" s="2">
        <v>39821</v>
      </c>
      <c r="B2232" s="1">
        <v>54.99</v>
      </c>
      <c r="C2232" s="1">
        <v>57.32</v>
      </c>
      <c r="D2232" s="1">
        <v>54.58</v>
      </c>
      <c r="E2232" s="1">
        <v>57.16</v>
      </c>
      <c r="F2232" s="1">
        <v>6577900</v>
      </c>
      <c r="G2232" s="1">
        <v>57.16</v>
      </c>
      <c r="H2232" s="1">
        <f t="shared" si="306"/>
        <v>2.740000000000002</v>
      </c>
      <c r="I2232" s="9">
        <f t="shared" si="313"/>
        <v>5.0201539025284028E-2</v>
      </c>
      <c r="J2232" s="1">
        <f t="shared" si="314"/>
        <v>0.95999999999999375</v>
      </c>
      <c r="K2232" s="9">
        <f t="shared" si="307"/>
        <v>1.7081850533807716E-2</v>
      </c>
      <c r="L2232" s="1">
        <f t="shared" si="308"/>
        <v>1</v>
      </c>
      <c r="M2232" s="1">
        <f t="shared" si="309"/>
        <v>57.32</v>
      </c>
      <c r="N2232" s="1">
        <f t="shared" si="310"/>
        <v>54.58</v>
      </c>
      <c r="O2232" s="1">
        <f t="shared" si="311"/>
        <v>55.199999999999996</v>
      </c>
      <c r="P2232" s="1">
        <f t="shared" si="312"/>
        <v>28.163265306122447</v>
      </c>
    </row>
    <row r="2233" spans="1:16">
      <c r="A2233" s="2">
        <v>39820</v>
      </c>
      <c r="B2233" s="1">
        <v>56.29</v>
      </c>
      <c r="C2233" s="1">
        <v>56.95</v>
      </c>
      <c r="D2233" s="1">
        <v>55.35</v>
      </c>
      <c r="E2233" s="1">
        <v>56.2</v>
      </c>
      <c r="F2233" s="1">
        <v>7942700</v>
      </c>
      <c r="G2233" s="1">
        <v>56.2</v>
      </c>
      <c r="H2233" s="1">
        <f t="shared" si="306"/>
        <v>1.6000000000000014</v>
      </c>
      <c r="I2233" s="9">
        <f t="shared" si="313"/>
        <v>2.8906955736224055E-2</v>
      </c>
      <c r="J2233" s="1">
        <f t="shared" si="314"/>
        <v>-1.1599999999999966</v>
      </c>
      <c r="K2233" s="9">
        <f t="shared" si="307"/>
        <v>-2.0223152022315144E-2</v>
      </c>
      <c r="L2233" s="1">
        <f t="shared" si="308"/>
        <v>1</v>
      </c>
      <c r="M2233" s="1">
        <f t="shared" si="309"/>
        <v>56.95</v>
      </c>
      <c r="N2233" s="1">
        <f t="shared" si="310"/>
        <v>55.35</v>
      </c>
      <c r="O2233" s="1">
        <f t="shared" si="311"/>
        <v>54.24</v>
      </c>
      <c r="P2233" s="1">
        <f t="shared" si="312"/>
        <v>27.673469387755105</v>
      </c>
    </row>
    <row r="2234" spans="1:16">
      <c r="A2234" s="2">
        <v>39819</v>
      </c>
      <c r="B2234" s="1">
        <v>54.55</v>
      </c>
      <c r="C2234" s="1">
        <v>58.22</v>
      </c>
      <c r="D2234" s="1">
        <v>53.75</v>
      </c>
      <c r="E2234" s="1">
        <v>57.36</v>
      </c>
      <c r="F2234" s="1">
        <v>11080100</v>
      </c>
      <c r="G2234" s="1">
        <v>57.36</v>
      </c>
      <c r="H2234" s="1">
        <f t="shared" si="306"/>
        <v>4.4699999999999989</v>
      </c>
      <c r="I2234" s="9">
        <f t="shared" si="313"/>
        <v>8.3162790697674391E-2</v>
      </c>
      <c r="J2234" s="1">
        <f t="shared" si="314"/>
        <v>3.2999999999999972</v>
      </c>
      <c r="K2234" s="9">
        <f t="shared" si="307"/>
        <v>6.1043285238623693E-2</v>
      </c>
      <c r="L2234" s="1">
        <f t="shared" si="308"/>
        <v>1</v>
      </c>
      <c r="M2234" s="1">
        <f t="shared" si="309"/>
        <v>58.22</v>
      </c>
      <c r="N2234" s="1">
        <f t="shared" si="310"/>
        <v>53.75</v>
      </c>
      <c r="O2234" s="1">
        <f t="shared" si="311"/>
        <v>55.4</v>
      </c>
      <c r="P2234" s="1">
        <f t="shared" si="312"/>
        <v>28.26530612244898</v>
      </c>
    </row>
    <row r="2235" spans="1:16">
      <c r="A2235" s="2">
        <v>39818</v>
      </c>
      <c r="B2235" s="1">
        <v>55.73</v>
      </c>
      <c r="C2235" s="1">
        <v>55.74</v>
      </c>
      <c r="D2235" s="1">
        <v>53.03</v>
      </c>
      <c r="E2235" s="1">
        <v>54.06</v>
      </c>
      <c r="F2235" s="1">
        <v>9509800</v>
      </c>
      <c r="G2235" s="1">
        <v>54.06</v>
      </c>
      <c r="H2235" s="1">
        <f t="shared" si="306"/>
        <v>2.7100000000000009</v>
      </c>
      <c r="I2235" s="9">
        <f t="shared" si="313"/>
        <v>5.110314916085236E-2</v>
      </c>
      <c r="J2235" s="1">
        <f t="shared" si="314"/>
        <v>-0.29999999999999716</v>
      </c>
      <c r="K2235" s="9">
        <f t="shared" si="307"/>
        <v>-5.5187637969094398E-3</v>
      </c>
      <c r="L2235" s="1">
        <f t="shared" si="308"/>
        <v>1</v>
      </c>
      <c r="M2235" s="1">
        <f t="shared" si="309"/>
        <v>55.74</v>
      </c>
      <c r="N2235" s="1">
        <f t="shared" si="310"/>
        <v>53.03</v>
      </c>
      <c r="O2235" s="1">
        <f t="shared" si="311"/>
        <v>52.1</v>
      </c>
      <c r="P2235" s="1">
        <f t="shared" si="312"/>
        <v>26.581632653061227</v>
      </c>
    </row>
    <row r="2236" spans="1:16">
      <c r="A2236" s="2">
        <v>39815</v>
      </c>
      <c r="B2236" s="1">
        <v>51.35</v>
      </c>
      <c r="C2236" s="1">
        <v>54.53</v>
      </c>
      <c r="D2236" s="1">
        <v>51.07</v>
      </c>
      <c r="E2236" s="1">
        <v>54.36</v>
      </c>
      <c r="F2236" s="1">
        <v>7296400</v>
      </c>
      <c r="G2236" s="1">
        <v>54.36</v>
      </c>
      <c r="H2236" s="1">
        <f t="shared" si="306"/>
        <v>3.4600000000000009</v>
      </c>
      <c r="I2236" s="9">
        <f t="shared" si="313"/>
        <v>6.7750146857254764E-2</v>
      </c>
      <c r="J2236" s="1">
        <f t="shared" si="314"/>
        <v>3.0799999999999983</v>
      </c>
      <c r="K2236" s="9">
        <f t="shared" si="307"/>
        <v>6.0062402496099808E-2</v>
      </c>
      <c r="L2236" s="1">
        <f t="shared" si="308"/>
        <v>1</v>
      </c>
      <c r="M2236" s="1">
        <f t="shared" si="309"/>
        <v>54.53</v>
      </c>
      <c r="N2236" s="1">
        <f t="shared" si="310"/>
        <v>51.07</v>
      </c>
      <c r="O2236" s="1">
        <f t="shared" si="311"/>
        <v>52.4</v>
      </c>
      <c r="P2236" s="1">
        <f t="shared" si="312"/>
        <v>26.73469387755102</v>
      </c>
    </row>
    <row r="2237" spans="1:16">
      <c r="A2237" s="2">
        <v>39813</v>
      </c>
      <c r="B2237" s="1">
        <v>50.74</v>
      </c>
      <c r="C2237" s="1">
        <v>51.69</v>
      </c>
      <c r="D2237" s="1">
        <v>49.91</v>
      </c>
      <c r="E2237" s="1">
        <v>51.28</v>
      </c>
      <c r="F2237" s="1">
        <v>7792200</v>
      </c>
      <c r="G2237" s="1">
        <v>51.28</v>
      </c>
      <c r="H2237" s="1">
        <f t="shared" si="306"/>
        <v>1.7800000000000011</v>
      </c>
      <c r="I2237" s="9">
        <f t="shared" si="313"/>
        <v>3.5664195551993613E-2</v>
      </c>
      <c r="J2237" s="1">
        <f t="shared" si="314"/>
        <v>0.52000000000000313</v>
      </c>
      <c r="K2237" s="9">
        <f t="shared" si="307"/>
        <v>1.0244286840031583E-2</v>
      </c>
      <c r="L2237" s="1">
        <f t="shared" si="308"/>
        <v>1</v>
      </c>
      <c r="M2237" s="1">
        <f t="shared" si="309"/>
        <v>51.69</v>
      </c>
      <c r="N2237" s="1">
        <f t="shared" si="310"/>
        <v>49.91</v>
      </c>
      <c r="O2237" s="1">
        <f t="shared" si="311"/>
        <v>49.32</v>
      </c>
      <c r="P2237" s="1">
        <f t="shared" si="312"/>
        <v>25.163265306122451</v>
      </c>
    </row>
    <row r="2238" spans="1:16">
      <c r="A2238" s="2">
        <v>39812</v>
      </c>
      <c r="B2238" s="1">
        <v>49.51</v>
      </c>
      <c r="C2238" s="1">
        <v>51.21</v>
      </c>
      <c r="D2238" s="1">
        <v>48.74</v>
      </c>
      <c r="E2238" s="1">
        <v>50.76</v>
      </c>
      <c r="F2238" s="1">
        <v>6601300</v>
      </c>
      <c r="G2238" s="1">
        <v>50.76</v>
      </c>
      <c r="H2238" s="1">
        <f t="shared" si="306"/>
        <v>2.4699999999999989</v>
      </c>
      <c r="I2238" s="9">
        <f t="shared" si="313"/>
        <v>5.067706196142796E-2</v>
      </c>
      <c r="J2238" s="1">
        <f t="shared" si="314"/>
        <v>1.3599999999999994</v>
      </c>
      <c r="K2238" s="9">
        <f t="shared" si="307"/>
        <v>2.7530364372469626E-2</v>
      </c>
      <c r="L2238" s="1">
        <f t="shared" si="308"/>
        <v>1</v>
      </c>
      <c r="M2238" s="1">
        <f t="shared" si="309"/>
        <v>51.21</v>
      </c>
      <c r="N2238" s="1">
        <f t="shared" si="310"/>
        <v>48.74</v>
      </c>
      <c r="O2238" s="1">
        <f t="shared" si="311"/>
        <v>48.8</v>
      </c>
      <c r="P2238" s="1">
        <f t="shared" si="312"/>
        <v>24.897959183673468</v>
      </c>
    </row>
    <row r="2239" spans="1:16">
      <c r="A2239" s="2">
        <v>39811</v>
      </c>
      <c r="B2239" s="1">
        <v>51.43</v>
      </c>
      <c r="C2239" s="1">
        <v>51.77</v>
      </c>
      <c r="D2239" s="1">
        <v>48.56</v>
      </c>
      <c r="E2239" s="1">
        <v>49.4</v>
      </c>
      <c r="F2239" s="1">
        <v>6507900</v>
      </c>
      <c r="G2239" s="1">
        <v>49.4</v>
      </c>
      <c r="H2239" s="1">
        <f t="shared" si="306"/>
        <v>3.2100000000000009</v>
      </c>
      <c r="I2239" s="9">
        <f t="shared" si="313"/>
        <v>6.6103789126853385E-2</v>
      </c>
      <c r="J2239" s="1">
        <f t="shared" si="314"/>
        <v>-2.3800000000000026</v>
      </c>
      <c r="K2239" s="9">
        <f t="shared" si="307"/>
        <v>-4.596369254538437E-2</v>
      </c>
      <c r="L2239" s="1">
        <f t="shared" si="308"/>
        <v>1</v>
      </c>
      <c r="M2239" s="1">
        <f t="shared" si="309"/>
        <v>51.77</v>
      </c>
      <c r="N2239" s="1">
        <f t="shared" si="310"/>
        <v>48.56</v>
      </c>
      <c r="O2239" s="1">
        <f t="shared" si="311"/>
        <v>47.44</v>
      </c>
      <c r="P2239" s="1">
        <f t="shared" si="312"/>
        <v>24.204081632653061</v>
      </c>
    </row>
    <row r="2240" spans="1:16">
      <c r="A2240" s="2">
        <v>39808</v>
      </c>
      <c r="B2240" s="1">
        <v>53.79</v>
      </c>
      <c r="C2240" s="1">
        <v>53.95</v>
      </c>
      <c r="D2240" s="1">
        <v>51.55</v>
      </c>
      <c r="E2240" s="1">
        <v>51.78</v>
      </c>
      <c r="F2240" s="1">
        <v>6847300</v>
      </c>
      <c r="G2240" s="1">
        <v>51.78</v>
      </c>
      <c r="H2240" s="1">
        <f t="shared" si="306"/>
        <v>2.4000000000000057</v>
      </c>
      <c r="I2240" s="9">
        <f t="shared" si="313"/>
        <v>4.6556741028128144E-2</v>
      </c>
      <c r="J2240" s="1">
        <f t="shared" si="314"/>
        <v>0.34000000000000341</v>
      </c>
      <c r="K2240" s="9">
        <f t="shared" si="307"/>
        <v>6.6096423017107976E-3</v>
      </c>
      <c r="L2240" s="1">
        <f t="shared" si="308"/>
        <v>1</v>
      </c>
      <c r="M2240" s="1">
        <f t="shared" si="309"/>
        <v>53.95</v>
      </c>
      <c r="N2240" s="1">
        <f t="shared" si="310"/>
        <v>51.55</v>
      </c>
      <c r="O2240" s="1">
        <f t="shared" si="311"/>
        <v>49.82</v>
      </c>
      <c r="P2240" s="1">
        <f t="shared" si="312"/>
        <v>25.418367346938776</v>
      </c>
    </row>
    <row r="2241" spans="1:16">
      <c r="A2241" s="2">
        <v>39806</v>
      </c>
      <c r="B2241" s="1">
        <v>51.66</v>
      </c>
      <c r="C2241" s="1">
        <v>51.95</v>
      </c>
      <c r="D2241" s="1">
        <v>51.01</v>
      </c>
      <c r="E2241" s="1">
        <v>51.44</v>
      </c>
      <c r="F2241" s="1">
        <v>1645500</v>
      </c>
      <c r="G2241" s="1">
        <v>51.44</v>
      </c>
      <c r="H2241" s="1">
        <f t="shared" si="306"/>
        <v>0.94000000000000483</v>
      </c>
      <c r="I2241" s="9">
        <f t="shared" si="313"/>
        <v>1.8427759262889726E-2</v>
      </c>
      <c r="J2241" s="1">
        <f t="shared" si="314"/>
        <v>0.35999999999999943</v>
      </c>
      <c r="K2241" s="9">
        <f t="shared" si="307"/>
        <v>7.047768206734523E-3</v>
      </c>
      <c r="L2241" s="1">
        <f t="shared" si="308"/>
        <v>1</v>
      </c>
      <c r="M2241" s="1">
        <f t="shared" si="309"/>
        <v>51.95</v>
      </c>
      <c r="N2241" s="1">
        <f t="shared" si="310"/>
        <v>51.01</v>
      </c>
      <c r="O2241" s="1">
        <f t="shared" si="311"/>
        <v>49.48</v>
      </c>
      <c r="P2241" s="1">
        <f t="shared" si="312"/>
        <v>25.244897959183671</v>
      </c>
    </row>
    <row r="2242" spans="1:16">
      <c r="A2242" s="2">
        <v>39805</v>
      </c>
      <c r="B2242" s="1">
        <v>50.12</v>
      </c>
      <c r="C2242" s="1">
        <v>51.61</v>
      </c>
      <c r="D2242" s="1">
        <v>50.12</v>
      </c>
      <c r="E2242" s="1">
        <v>51.08</v>
      </c>
      <c r="F2242" s="1">
        <v>5845400</v>
      </c>
      <c r="G2242" s="1">
        <v>51.08</v>
      </c>
      <c r="H2242" s="1">
        <f t="shared" si="306"/>
        <v>1.490000000000002</v>
      </c>
      <c r="I2242" s="9">
        <f t="shared" si="313"/>
        <v>2.9728651237031167E-2</v>
      </c>
      <c r="J2242" s="1">
        <f t="shared" si="314"/>
        <v>1.2399999999999949</v>
      </c>
      <c r="K2242" s="9">
        <f t="shared" si="307"/>
        <v>2.4879614767255111E-2</v>
      </c>
      <c r="L2242" s="1">
        <f t="shared" si="308"/>
        <v>1</v>
      </c>
      <c r="M2242" s="1">
        <f t="shared" si="309"/>
        <v>51.61</v>
      </c>
      <c r="N2242" s="1">
        <f t="shared" si="310"/>
        <v>50.12</v>
      </c>
      <c r="O2242" s="1">
        <f t="shared" si="311"/>
        <v>49.12</v>
      </c>
      <c r="P2242" s="1">
        <f t="shared" si="312"/>
        <v>25.061224489795919</v>
      </c>
    </row>
    <row r="2243" spans="1:16">
      <c r="A2243" s="2">
        <v>39804</v>
      </c>
      <c r="B2243" s="1">
        <v>51.6</v>
      </c>
      <c r="C2243" s="1">
        <v>52.15</v>
      </c>
      <c r="D2243" s="1">
        <v>48.47</v>
      </c>
      <c r="E2243" s="1">
        <v>49.84</v>
      </c>
      <c r="F2243" s="1">
        <v>8925000</v>
      </c>
      <c r="G2243" s="1">
        <v>49.84</v>
      </c>
      <c r="H2243" s="1">
        <f t="shared" ref="H2243:H2306" si="315">C2243-D2243</f>
        <v>3.6799999999999997</v>
      </c>
      <c r="I2243" s="9">
        <f t="shared" si="313"/>
        <v>7.5923251495770575E-2</v>
      </c>
      <c r="J2243" s="1">
        <f t="shared" si="314"/>
        <v>-1.7199999999999989</v>
      </c>
      <c r="K2243" s="9">
        <f t="shared" ref="K2243:K2306" si="316">(G2243-G2244)/G2244</f>
        <v>-3.3359193173002302E-2</v>
      </c>
      <c r="L2243" s="1">
        <f t="shared" ref="L2243:L2306" si="317">G2243/E2243</f>
        <v>1</v>
      </c>
      <c r="M2243" s="1">
        <f t="shared" ref="M2243:M2306" si="318">L2243*C2243</f>
        <v>52.15</v>
      </c>
      <c r="N2243" s="1">
        <f t="shared" ref="N2243:N2306" si="319">L2243*D2243</f>
        <v>48.47</v>
      </c>
      <c r="O2243" s="1">
        <f t="shared" ref="O2243:O2306" si="320">G2243-$G$5163</f>
        <v>47.88</v>
      </c>
      <c r="P2243" s="1">
        <f t="shared" ref="P2243:P2306" si="321">(G2243-$G$5163)/$G$5163</f>
        <v>24.428571428571431</v>
      </c>
    </row>
    <row r="2244" spans="1:16">
      <c r="A2244" s="2">
        <v>39801</v>
      </c>
      <c r="B2244" s="1">
        <v>51.59</v>
      </c>
      <c r="C2244" s="1">
        <v>52.99</v>
      </c>
      <c r="D2244" s="1">
        <v>50.92</v>
      </c>
      <c r="E2244" s="1">
        <v>51.56</v>
      </c>
      <c r="F2244" s="1">
        <v>10963200</v>
      </c>
      <c r="G2244" s="1">
        <v>51.56</v>
      </c>
      <c r="H2244" s="1">
        <f t="shared" si="315"/>
        <v>2.0700000000000003</v>
      </c>
      <c r="I2244" s="9">
        <f t="shared" ref="I2244:I2307" si="322">(C2244-D2244)/D2244</f>
        <v>4.0652003142183819E-2</v>
      </c>
      <c r="J2244" s="1">
        <f t="shared" ref="J2244:J2307" si="323">G2244-G2245</f>
        <v>-0.51999999999999602</v>
      </c>
      <c r="K2244" s="9">
        <f t="shared" si="316"/>
        <v>-9.9846390168970046E-3</v>
      </c>
      <c r="L2244" s="1">
        <f t="shared" si="317"/>
        <v>1</v>
      </c>
      <c r="M2244" s="1">
        <f t="shared" si="318"/>
        <v>52.99</v>
      </c>
      <c r="N2244" s="1">
        <f t="shared" si="319"/>
        <v>50.92</v>
      </c>
      <c r="O2244" s="1">
        <f t="shared" si="320"/>
        <v>49.6</v>
      </c>
      <c r="P2244" s="1">
        <f t="shared" si="321"/>
        <v>25.306122448979593</v>
      </c>
    </row>
    <row r="2245" spans="1:16">
      <c r="A2245" s="2">
        <v>39800</v>
      </c>
      <c r="B2245" s="1">
        <v>53</v>
      </c>
      <c r="C2245" s="1">
        <v>54.85</v>
      </c>
      <c r="D2245" s="1">
        <v>51.2</v>
      </c>
      <c r="E2245" s="1">
        <v>52.08</v>
      </c>
      <c r="F2245" s="1">
        <v>7518100</v>
      </c>
      <c r="G2245" s="1">
        <v>52.08</v>
      </c>
      <c r="H2245" s="1">
        <f t="shared" si="315"/>
        <v>3.6499999999999986</v>
      </c>
      <c r="I2245" s="9">
        <f t="shared" si="322"/>
        <v>7.1289062499999972E-2</v>
      </c>
      <c r="J2245" s="1">
        <f t="shared" si="323"/>
        <v>-1.1000000000000014</v>
      </c>
      <c r="K2245" s="9">
        <f t="shared" si="316"/>
        <v>-2.0684467845054559E-2</v>
      </c>
      <c r="L2245" s="1">
        <f t="shared" si="317"/>
        <v>1</v>
      </c>
      <c r="M2245" s="1">
        <f t="shared" si="318"/>
        <v>54.85</v>
      </c>
      <c r="N2245" s="1">
        <f t="shared" si="319"/>
        <v>51.2</v>
      </c>
      <c r="O2245" s="1">
        <f t="shared" si="320"/>
        <v>50.12</v>
      </c>
      <c r="P2245" s="1">
        <f t="shared" si="321"/>
        <v>25.571428571428569</v>
      </c>
    </row>
    <row r="2246" spans="1:16">
      <c r="A2246" s="2">
        <v>39799</v>
      </c>
      <c r="B2246" s="1">
        <v>52.26</v>
      </c>
      <c r="C2246" s="1">
        <v>54.77</v>
      </c>
      <c r="D2246" s="1">
        <v>51.53</v>
      </c>
      <c r="E2246" s="1">
        <v>53.18</v>
      </c>
      <c r="F2246" s="1">
        <v>9183100</v>
      </c>
      <c r="G2246" s="1">
        <v>53.18</v>
      </c>
      <c r="H2246" s="1">
        <f t="shared" si="315"/>
        <v>3.240000000000002</v>
      </c>
      <c r="I2246" s="9">
        <f t="shared" si="322"/>
        <v>6.2875994566272117E-2</v>
      </c>
      <c r="J2246" s="1">
        <f t="shared" si="323"/>
        <v>0.54999999999999716</v>
      </c>
      <c r="K2246" s="9">
        <f t="shared" si="316"/>
        <v>1.0450313509405227E-2</v>
      </c>
      <c r="L2246" s="1">
        <f t="shared" si="317"/>
        <v>1</v>
      </c>
      <c r="M2246" s="1">
        <f t="shared" si="318"/>
        <v>54.77</v>
      </c>
      <c r="N2246" s="1">
        <f t="shared" si="319"/>
        <v>51.53</v>
      </c>
      <c r="O2246" s="1">
        <f t="shared" si="320"/>
        <v>51.22</v>
      </c>
      <c r="P2246" s="1">
        <f t="shared" si="321"/>
        <v>26.132653061224488</v>
      </c>
    </row>
    <row r="2247" spans="1:16">
      <c r="A2247" s="2">
        <v>39798</v>
      </c>
      <c r="B2247" s="1">
        <v>49.62</v>
      </c>
      <c r="C2247" s="1">
        <v>52.96</v>
      </c>
      <c r="D2247" s="1">
        <v>49.29</v>
      </c>
      <c r="E2247" s="1">
        <v>52.63</v>
      </c>
      <c r="F2247" s="1">
        <v>8862900</v>
      </c>
      <c r="G2247" s="1">
        <v>52.63</v>
      </c>
      <c r="H2247" s="1">
        <f t="shared" si="315"/>
        <v>3.6700000000000017</v>
      </c>
      <c r="I2247" s="9">
        <f t="shared" si="322"/>
        <v>7.4457293568675226E-2</v>
      </c>
      <c r="J2247" s="1">
        <f t="shared" si="323"/>
        <v>3.7800000000000011</v>
      </c>
      <c r="K2247" s="9">
        <f t="shared" si="316"/>
        <v>7.7379733879222132E-2</v>
      </c>
      <c r="L2247" s="1">
        <f t="shared" si="317"/>
        <v>1</v>
      </c>
      <c r="M2247" s="1">
        <f t="shared" si="318"/>
        <v>52.96</v>
      </c>
      <c r="N2247" s="1">
        <f t="shared" si="319"/>
        <v>49.29</v>
      </c>
      <c r="O2247" s="1">
        <f t="shared" si="320"/>
        <v>50.67</v>
      </c>
      <c r="P2247" s="1">
        <f t="shared" si="321"/>
        <v>25.852040816326532</v>
      </c>
    </row>
    <row r="2248" spans="1:16">
      <c r="A2248" s="2">
        <v>39797</v>
      </c>
      <c r="B2248" s="1">
        <v>50.65</v>
      </c>
      <c r="C2248" s="1">
        <v>50.95</v>
      </c>
      <c r="D2248" s="1">
        <v>48.15</v>
      </c>
      <c r="E2248" s="1">
        <v>48.85</v>
      </c>
      <c r="F2248" s="1">
        <v>7285400</v>
      </c>
      <c r="G2248" s="1">
        <v>48.85</v>
      </c>
      <c r="H2248" s="1">
        <f t="shared" si="315"/>
        <v>2.8000000000000043</v>
      </c>
      <c r="I2248" s="9">
        <f t="shared" si="322"/>
        <v>5.8151609553478804E-2</v>
      </c>
      <c r="J2248" s="1">
        <f t="shared" si="323"/>
        <v>-2.3999999999999986</v>
      </c>
      <c r="K2248" s="9">
        <f t="shared" si="316"/>
        <v>-4.6829268292682899E-2</v>
      </c>
      <c r="L2248" s="1">
        <f t="shared" si="317"/>
        <v>1</v>
      </c>
      <c r="M2248" s="1">
        <f t="shared" si="318"/>
        <v>50.95</v>
      </c>
      <c r="N2248" s="1">
        <f t="shared" si="319"/>
        <v>48.15</v>
      </c>
      <c r="O2248" s="1">
        <f t="shared" si="320"/>
        <v>46.89</v>
      </c>
      <c r="P2248" s="1">
        <f t="shared" si="321"/>
        <v>23.923469387755102</v>
      </c>
    </row>
    <row r="2249" spans="1:16">
      <c r="A2249" s="2">
        <v>39794</v>
      </c>
      <c r="B2249" s="1">
        <v>47.52</v>
      </c>
      <c r="C2249" s="1">
        <v>51.38</v>
      </c>
      <c r="D2249" s="1">
        <v>47.52</v>
      </c>
      <c r="E2249" s="1">
        <v>51.25</v>
      </c>
      <c r="F2249" s="1">
        <v>8664800</v>
      </c>
      <c r="G2249" s="1">
        <v>51.25</v>
      </c>
      <c r="H2249" s="1">
        <f t="shared" si="315"/>
        <v>3.8599999999999994</v>
      </c>
      <c r="I2249" s="9">
        <f t="shared" si="322"/>
        <v>8.1228956228956206E-2</v>
      </c>
      <c r="J2249" s="1">
        <f t="shared" si="323"/>
        <v>3</v>
      </c>
      <c r="K2249" s="9">
        <f t="shared" si="316"/>
        <v>6.2176165803108807E-2</v>
      </c>
      <c r="L2249" s="1">
        <f t="shared" si="317"/>
        <v>1</v>
      </c>
      <c r="M2249" s="1">
        <f t="shared" si="318"/>
        <v>51.38</v>
      </c>
      <c r="N2249" s="1">
        <f t="shared" si="319"/>
        <v>47.52</v>
      </c>
      <c r="O2249" s="1">
        <f t="shared" si="320"/>
        <v>49.29</v>
      </c>
      <c r="P2249" s="1">
        <f t="shared" si="321"/>
        <v>25.147959183673468</v>
      </c>
    </row>
    <row r="2250" spans="1:16">
      <c r="A2250" s="2">
        <v>39793</v>
      </c>
      <c r="B2250" s="1">
        <v>49.33</v>
      </c>
      <c r="C2250" s="1">
        <v>50.49</v>
      </c>
      <c r="D2250" s="1">
        <v>48.17</v>
      </c>
      <c r="E2250" s="1">
        <v>48.25</v>
      </c>
      <c r="F2250" s="1">
        <v>7583600</v>
      </c>
      <c r="G2250" s="1">
        <v>48.25</v>
      </c>
      <c r="H2250" s="1">
        <f t="shared" si="315"/>
        <v>2.3200000000000003</v>
      </c>
      <c r="I2250" s="9">
        <f t="shared" si="322"/>
        <v>4.8162756902636501E-2</v>
      </c>
      <c r="J2250" s="1">
        <f t="shared" si="323"/>
        <v>-1.4500000000000028</v>
      </c>
      <c r="K2250" s="9">
        <f t="shared" si="316"/>
        <v>-2.9175050301810921E-2</v>
      </c>
      <c r="L2250" s="1">
        <f t="shared" si="317"/>
        <v>1</v>
      </c>
      <c r="M2250" s="1">
        <f t="shared" si="318"/>
        <v>50.49</v>
      </c>
      <c r="N2250" s="1">
        <f t="shared" si="319"/>
        <v>48.17</v>
      </c>
      <c r="O2250" s="1">
        <f t="shared" si="320"/>
        <v>46.29</v>
      </c>
      <c r="P2250" s="1">
        <f t="shared" si="321"/>
        <v>23.617346938775512</v>
      </c>
    </row>
    <row r="2251" spans="1:16">
      <c r="A2251" s="2">
        <v>39792</v>
      </c>
      <c r="B2251" s="1">
        <v>51.46</v>
      </c>
      <c r="C2251" s="1">
        <v>51.5</v>
      </c>
      <c r="D2251" s="1">
        <v>48.34</v>
      </c>
      <c r="E2251" s="1">
        <v>49.7</v>
      </c>
      <c r="F2251" s="1">
        <v>7753800</v>
      </c>
      <c r="G2251" s="1">
        <v>49.7</v>
      </c>
      <c r="H2251" s="1">
        <f t="shared" si="315"/>
        <v>3.1599999999999966</v>
      </c>
      <c r="I2251" s="9">
        <f t="shared" si="322"/>
        <v>6.5370293752585781E-2</v>
      </c>
      <c r="J2251" s="1">
        <f t="shared" si="323"/>
        <v>-1.5499999999999972</v>
      </c>
      <c r="K2251" s="9">
        <f t="shared" si="316"/>
        <v>-3.0243902439024334E-2</v>
      </c>
      <c r="L2251" s="1">
        <f t="shared" si="317"/>
        <v>1</v>
      </c>
      <c r="M2251" s="1">
        <f t="shared" si="318"/>
        <v>51.5</v>
      </c>
      <c r="N2251" s="1">
        <f t="shared" si="319"/>
        <v>48.34</v>
      </c>
      <c r="O2251" s="1">
        <f t="shared" si="320"/>
        <v>47.74</v>
      </c>
      <c r="P2251" s="1">
        <f t="shared" si="321"/>
        <v>24.357142857142858</v>
      </c>
    </row>
    <row r="2252" spans="1:16">
      <c r="A2252" s="2">
        <v>39791</v>
      </c>
      <c r="B2252" s="1">
        <v>49.81</v>
      </c>
      <c r="C2252" s="1">
        <v>54.48</v>
      </c>
      <c r="D2252" s="1">
        <v>49.7</v>
      </c>
      <c r="E2252" s="1">
        <v>51.25</v>
      </c>
      <c r="F2252" s="1">
        <v>13314800</v>
      </c>
      <c r="G2252" s="1">
        <v>51.25</v>
      </c>
      <c r="H2252" s="1">
        <f t="shared" si="315"/>
        <v>4.779999999999994</v>
      </c>
      <c r="I2252" s="9">
        <f t="shared" si="322"/>
        <v>9.6177062374245351E-2</v>
      </c>
      <c r="J2252" s="1">
        <f t="shared" si="323"/>
        <v>-0.15999999999999659</v>
      </c>
      <c r="K2252" s="9">
        <f t="shared" si="316"/>
        <v>-3.1122349737404513E-3</v>
      </c>
      <c r="L2252" s="1">
        <f t="shared" si="317"/>
        <v>1</v>
      </c>
      <c r="M2252" s="1">
        <f t="shared" si="318"/>
        <v>54.48</v>
      </c>
      <c r="N2252" s="1">
        <f t="shared" si="319"/>
        <v>49.7</v>
      </c>
      <c r="O2252" s="1">
        <f t="shared" si="320"/>
        <v>49.29</v>
      </c>
      <c r="P2252" s="1">
        <f t="shared" si="321"/>
        <v>25.147959183673468</v>
      </c>
    </row>
    <row r="2253" spans="1:16">
      <c r="A2253" s="2">
        <v>39790</v>
      </c>
      <c r="B2253" s="1">
        <v>49.15</v>
      </c>
      <c r="C2253" s="1">
        <v>52.14</v>
      </c>
      <c r="D2253" s="1">
        <v>47.36</v>
      </c>
      <c r="E2253" s="1">
        <v>51.41</v>
      </c>
      <c r="F2253" s="1">
        <v>10940700</v>
      </c>
      <c r="G2253" s="1">
        <v>51.41</v>
      </c>
      <c r="H2253" s="1">
        <f t="shared" si="315"/>
        <v>4.7800000000000011</v>
      </c>
      <c r="I2253" s="9">
        <f t="shared" si="322"/>
        <v>0.10092905405405408</v>
      </c>
      <c r="J2253" s="1">
        <f t="shared" si="323"/>
        <v>3.1499999999999986</v>
      </c>
      <c r="K2253" s="9">
        <f t="shared" si="316"/>
        <v>6.5271446332366326E-2</v>
      </c>
      <c r="L2253" s="1">
        <f t="shared" si="317"/>
        <v>1</v>
      </c>
      <c r="M2253" s="1">
        <f t="shared" si="318"/>
        <v>52.14</v>
      </c>
      <c r="N2253" s="1">
        <f t="shared" si="319"/>
        <v>47.36</v>
      </c>
      <c r="O2253" s="1">
        <f t="shared" si="320"/>
        <v>49.449999999999996</v>
      </c>
      <c r="P2253" s="1">
        <f t="shared" si="321"/>
        <v>25.229591836734691</v>
      </c>
    </row>
    <row r="2254" spans="1:16">
      <c r="A2254" s="2">
        <v>39787</v>
      </c>
      <c r="B2254" s="1">
        <v>45.89</v>
      </c>
      <c r="C2254" s="1">
        <v>48.49</v>
      </c>
      <c r="D2254" s="1">
        <v>43.3</v>
      </c>
      <c r="E2254" s="1">
        <v>48.26</v>
      </c>
      <c r="F2254" s="1">
        <v>14608800</v>
      </c>
      <c r="G2254" s="1">
        <v>48.26</v>
      </c>
      <c r="H2254" s="1">
        <f t="shared" si="315"/>
        <v>5.1900000000000048</v>
      </c>
      <c r="I2254" s="9">
        <f t="shared" si="322"/>
        <v>0.11986143187066986</v>
      </c>
      <c r="J2254" s="1">
        <f t="shared" si="323"/>
        <v>0.93999999999999773</v>
      </c>
      <c r="K2254" s="9">
        <f t="shared" si="316"/>
        <v>1.9864750633981354E-2</v>
      </c>
      <c r="L2254" s="1">
        <f t="shared" si="317"/>
        <v>1</v>
      </c>
      <c r="M2254" s="1">
        <f t="shared" si="318"/>
        <v>48.49</v>
      </c>
      <c r="N2254" s="1">
        <f t="shared" si="319"/>
        <v>43.3</v>
      </c>
      <c r="O2254" s="1">
        <f t="shared" si="320"/>
        <v>46.3</v>
      </c>
      <c r="P2254" s="1">
        <f t="shared" si="321"/>
        <v>23.622448979591837</v>
      </c>
    </row>
    <row r="2255" spans="1:16">
      <c r="A2255" s="2">
        <v>39786</v>
      </c>
      <c r="B2255" s="1">
        <v>45.94</v>
      </c>
      <c r="C2255" s="1">
        <v>50.5</v>
      </c>
      <c r="D2255" s="1">
        <v>45.75</v>
      </c>
      <c r="E2255" s="1">
        <v>47.32</v>
      </c>
      <c r="F2255" s="1">
        <v>19782300</v>
      </c>
      <c r="G2255" s="1">
        <v>47.32</v>
      </c>
      <c r="H2255" s="1">
        <f t="shared" si="315"/>
        <v>4.75</v>
      </c>
      <c r="I2255" s="9">
        <f t="shared" si="322"/>
        <v>0.10382513661202186</v>
      </c>
      <c r="J2255" s="1">
        <f t="shared" si="323"/>
        <v>2.1099999999999994</v>
      </c>
      <c r="K2255" s="9">
        <f t="shared" si="316"/>
        <v>4.6671090466710891E-2</v>
      </c>
      <c r="L2255" s="1">
        <f t="shared" si="317"/>
        <v>1</v>
      </c>
      <c r="M2255" s="1">
        <f t="shared" si="318"/>
        <v>50.5</v>
      </c>
      <c r="N2255" s="1">
        <f t="shared" si="319"/>
        <v>45.75</v>
      </c>
      <c r="O2255" s="1">
        <f t="shared" si="320"/>
        <v>45.36</v>
      </c>
      <c r="P2255" s="1">
        <f t="shared" si="321"/>
        <v>23.142857142857142</v>
      </c>
    </row>
    <row r="2256" spans="1:16">
      <c r="A2256" s="2">
        <v>39785</v>
      </c>
      <c r="B2256" s="1">
        <v>40.159999999999997</v>
      </c>
      <c r="C2256" s="1">
        <v>45.88</v>
      </c>
      <c r="D2256" s="1">
        <v>40.049999999999997</v>
      </c>
      <c r="E2256" s="1">
        <v>45.21</v>
      </c>
      <c r="F2256" s="1">
        <v>15675600</v>
      </c>
      <c r="G2256" s="1">
        <v>45.21</v>
      </c>
      <c r="H2256" s="1">
        <f t="shared" si="315"/>
        <v>5.8300000000000054</v>
      </c>
      <c r="I2256" s="9">
        <f t="shared" si="322"/>
        <v>0.14556803995006257</v>
      </c>
      <c r="J2256" s="1">
        <f t="shared" si="323"/>
        <v>4.0200000000000031</v>
      </c>
      <c r="K2256" s="9">
        <f t="shared" si="316"/>
        <v>9.7596504005826742E-2</v>
      </c>
      <c r="L2256" s="1">
        <f t="shared" si="317"/>
        <v>1</v>
      </c>
      <c r="M2256" s="1">
        <f t="shared" si="318"/>
        <v>45.88</v>
      </c>
      <c r="N2256" s="1">
        <f t="shared" si="319"/>
        <v>40.049999999999997</v>
      </c>
      <c r="O2256" s="1">
        <f t="shared" si="320"/>
        <v>43.25</v>
      </c>
      <c r="P2256" s="1">
        <f t="shared" si="321"/>
        <v>22.066326530612244</v>
      </c>
    </row>
    <row r="2257" spans="1:16">
      <c r="A2257" s="2">
        <v>39784</v>
      </c>
      <c r="B2257" s="1">
        <v>41.39</v>
      </c>
      <c r="C2257" s="1">
        <v>41.71</v>
      </c>
      <c r="D2257" s="1">
        <v>38.82</v>
      </c>
      <c r="E2257" s="1">
        <v>41.19</v>
      </c>
      <c r="F2257" s="1">
        <v>8713700</v>
      </c>
      <c r="G2257" s="1">
        <v>41.19</v>
      </c>
      <c r="H2257" s="1">
        <f t="shared" si="315"/>
        <v>2.8900000000000006</v>
      </c>
      <c r="I2257" s="9">
        <f t="shared" si="322"/>
        <v>7.4446161772282346E-2</v>
      </c>
      <c r="J2257" s="1">
        <f t="shared" si="323"/>
        <v>0.71999999999999886</v>
      </c>
      <c r="K2257" s="9">
        <f t="shared" si="316"/>
        <v>1.7790956263899156E-2</v>
      </c>
      <c r="L2257" s="1">
        <f t="shared" si="317"/>
        <v>1</v>
      </c>
      <c r="M2257" s="1">
        <f t="shared" si="318"/>
        <v>41.71</v>
      </c>
      <c r="N2257" s="1">
        <f t="shared" si="319"/>
        <v>38.82</v>
      </c>
      <c r="O2257" s="1">
        <f t="shared" si="320"/>
        <v>39.229999999999997</v>
      </c>
      <c r="P2257" s="1">
        <f t="shared" si="321"/>
        <v>20.01530612244898</v>
      </c>
    </row>
    <row r="2258" spans="1:16">
      <c r="A2258" s="2">
        <v>39783</v>
      </c>
      <c r="B2258" s="1">
        <v>42</v>
      </c>
      <c r="C2258" s="1">
        <v>43.26</v>
      </c>
      <c r="D2258" s="1">
        <v>40.380000000000003</v>
      </c>
      <c r="E2258" s="1">
        <v>40.47</v>
      </c>
      <c r="F2258" s="1">
        <v>11178900</v>
      </c>
      <c r="G2258" s="1">
        <v>40.47</v>
      </c>
      <c r="H2258" s="1">
        <f t="shared" si="315"/>
        <v>2.8799999999999955</v>
      </c>
      <c r="I2258" s="9">
        <f t="shared" si="322"/>
        <v>7.1322436849925591E-2</v>
      </c>
      <c r="J2258" s="1">
        <f t="shared" si="323"/>
        <v>-2.230000000000004</v>
      </c>
      <c r="K2258" s="9">
        <f t="shared" si="316"/>
        <v>-5.2224824355971984E-2</v>
      </c>
      <c r="L2258" s="1">
        <f t="shared" si="317"/>
        <v>1</v>
      </c>
      <c r="M2258" s="1">
        <f t="shared" si="318"/>
        <v>43.26</v>
      </c>
      <c r="N2258" s="1">
        <f t="shared" si="319"/>
        <v>40.380000000000003</v>
      </c>
      <c r="O2258" s="1">
        <f t="shared" si="320"/>
        <v>38.51</v>
      </c>
      <c r="P2258" s="1">
        <f t="shared" si="321"/>
        <v>19.647959183673468</v>
      </c>
    </row>
    <row r="2259" spans="1:16">
      <c r="A2259" s="2">
        <v>39780</v>
      </c>
      <c r="B2259" s="1">
        <v>44.03</v>
      </c>
      <c r="C2259" s="1">
        <v>44.1</v>
      </c>
      <c r="D2259" s="1">
        <v>42.22</v>
      </c>
      <c r="E2259" s="1">
        <v>42.7</v>
      </c>
      <c r="F2259" s="1">
        <v>3481000</v>
      </c>
      <c r="G2259" s="1">
        <v>42.7</v>
      </c>
      <c r="H2259" s="1">
        <f t="shared" si="315"/>
        <v>1.8800000000000026</v>
      </c>
      <c r="I2259" s="9">
        <f t="shared" si="322"/>
        <v>4.4528659403126544E-2</v>
      </c>
      <c r="J2259" s="1">
        <f t="shared" si="323"/>
        <v>-1.259999999999998</v>
      </c>
      <c r="K2259" s="9">
        <f t="shared" si="316"/>
        <v>-2.8662420382165561E-2</v>
      </c>
      <c r="L2259" s="1">
        <f t="shared" si="317"/>
        <v>1</v>
      </c>
      <c r="M2259" s="1">
        <f t="shared" si="318"/>
        <v>44.1</v>
      </c>
      <c r="N2259" s="1">
        <f t="shared" si="319"/>
        <v>42.22</v>
      </c>
      <c r="O2259" s="1">
        <f t="shared" si="320"/>
        <v>40.74</v>
      </c>
      <c r="P2259" s="1">
        <f t="shared" si="321"/>
        <v>20.785714285714288</v>
      </c>
    </row>
    <row r="2260" spans="1:16">
      <c r="A2260" s="2">
        <v>39778</v>
      </c>
      <c r="B2260" s="1">
        <v>40.869999999999997</v>
      </c>
      <c r="C2260" s="1">
        <v>44</v>
      </c>
      <c r="D2260" s="1">
        <v>40.29</v>
      </c>
      <c r="E2260" s="1">
        <v>43.96</v>
      </c>
      <c r="F2260" s="1">
        <v>13439700</v>
      </c>
      <c r="G2260" s="1">
        <v>43.96</v>
      </c>
      <c r="H2260" s="1">
        <f t="shared" si="315"/>
        <v>3.7100000000000009</v>
      </c>
      <c r="I2260" s="9">
        <f t="shared" si="322"/>
        <v>9.2082402581285708E-2</v>
      </c>
      <c r="J2260" s="1">
        <f t="shared" si="323"/>
        <v>1.7700000000000031</v>
      </c>
      <c r="K2260" s="9">
        <f t="shared" si="316"/>
        <v>4.195306944773651E-2</v>
      </c>
      <c r="L2260" s="1">
        <f t="shared" si="317"/>
        <v>1</v>
      </c>
      <c r="M2260" s="1">
        <f t="shared" si="318"/>
        <v>44</v>
      </c>
      <c r="N2260" s="1">
        <f t="shared" si="319"/>
        <v>40.29</v>
      </c>
      <c r="O2260" s="1">
        <f t="shared" si="320"/>
        <v>42</v>
      </c>
      <c r="P2260" s="1">
        <f t="shared" si="321"/>
        <v>21.428571428571431</v>
      </c>
    </row>
    <row r="2261" spans="1:16">
      <c r="A2261" s="2">
        <v>39777</v>
      </c>
      <c r="B2261" s="1">
        <v>42.09</v>
      </c>
      <c r="C2261" s="1">
        <v>42.89</v>
      </c>
      <c r="D2261" s="1">
        <v>39.61</v>
      </c>
      <c r="E2261" s="1">
        <v>42.19</v>
      </c>
      <c r="F2261" s="1">
        <v>13015000</v>
      </c>
      <c r="G2261" s="1">
        <v>42.19</v>
      </c>
      <c r="H2261" s="1">
        <f t="shared" si="315"/>
        <v>3.2800000000000011</v>
      </c>
      <c r="I2261" s="9">
        <f t="shared" si="322"/>
        <v>8.2807371875788974E-2</v>
      </c>
      <c r="J2261" s="1">
        <f t="shared" si="323"/>
        <v>-0.31000000000000227</v>
      </c>
      <c r="K2261" s="9">
        <f t="shared" si="316"/>
        <v>-7.2941176470588771E-3</v>
      </c>
      <c r="L2261" s="1">
        <f t="shared" si="317"/>
        <v>1</v>
      </c>
      <c r="M2261" s="1">
        <f t="shared" si="318"/>
        <v>42.89</v>
      </c>
      <c r="N2261" s="1">
        <f t="shared" si="319"/>
        <v>39.61</v>
      </c>
      <c r="O2261" s="1">
        <f t="shared" si="320"/>
        <v>40.229999999999997</v>
      </c>
      <c r="P2261" s="1">
        <f t="shared" si="321"/>
        <v>20.52551020408163</v>
      </c>
    </row>
    <row r="2262" spans="1:16">
      <c r="A2262" s="2">
        <v>39776</v>
      </c>
      <c r="B2262" s="1">
        <v>38.79</v>
      </c>
      <c r="C2262" s="1">
        <v>43.44</v>
      </c>
      <c r="D2262" s="1">
        <v>38.700000000000003</v>
      </c>
      <c r="E2262" s="1">
        <v>42.5</v>
      </c>
      <c r="F2262" s="1">
        <v>14549700</v>
      </c>
      <c r="G2262" s="1">
        <v>42.5</v>
      </c>
      <c r="H2262" s="1">
        <f t="shared" si="315"/>
        <v>4.7399999999999949</v>
      </c>
      <c r="I2262" s="9">
        <f t="shared" si="322"/>
        <v>0.12248062015503862</v>
      </c>
      <c r="J2262" s="1">
        <f t="shared" si="323"/>
        <v>4.6300000000000026</v>
      </c>
      <c r="K2262" s="9">
        <f t="shared" si="316"/>
        <v>0.12226036440454192</v>
      </c>
      <c r="L2262" s="1">
        <f t="shared" si="317"/>
        <v>1</v>
      </c>
      <c r="M2262" s="1">
        <f t="shared" si="318"/>
        <v>43.44</v>
      </c>
      <c r="N2262" s="1">
        <f t="shared" si="319"/>
        <v>38.700000000000003</v>
      </c>
      <c r="O2262" s="1">
        <f t="shared" si="320"/>
        <v>40.54</v>
      </c>
      <c r="P2262" s="1">
        <f t="shared" si="321"/>
        <v>20.683673469387756</v>
      </c>
    </row>
    <row r="2263" spans="1:16">
      <c r="A2263" s="2">
        <v>39773</v>
      </c>
      <c r="B2263" s="1">
        <v>36.39</v>
      </c>
      <c r="C2263" s="1">
        <v>39</v>
      </c>
      <c r="D2263" s="1">
        <v>35.72</v>
      </c>
      <c r="E2263" s="1">
        <v>37.869999999999997</v>
      </c>
      <c r="F2263" s="1">
        <v>15042700</v>
      </c>
      <c r="G2263" s="1">
        <v>37.869999999999997</v>
      </c>
      <c r="H2263" s="1">
        <f t="shared" si="315"/>
        <v>3.2800000000000011</v>
      </c>
      <c r="I2263" s="9">
        <f t="shared" si="322"/>
        <v>9.1825307950727922E-2</v>
      </c>
      <c r="J2263" s="1">
        <f t="shared" si="323"/>
        <v>2.8399999999999963</v>
      </c>
      <c r="K2263" s="9">
        <f t="shared" si="316"/>
        <v>8.107336568655428E-2</v>
      </c>
      <c r="L2263" s="1">
        <f t="shared" si="317"/>
        <v>1</v>
      </c>
      <c r="M2263" s="1">
        <f t="shared" si="318"/>
        <v>39</v>
      </c>
      <c r="N2263" s="1">
        <f t="shared" si="319"/>
        <v>35.72</v>
      </c>
      <c r="O2263" s="1">
        <f t="shared" si="320"/>
        <v>35.909999999999997</v>
      </c>
      <c r="P2263" s="1">
        <f t="shared" si="321"/>
        <v>18.321428571428569</v>
      </c>
    </row>
    <row r="2264" spans="1:16">
      <c r="A2264" s="2">
        <v>39772</v>
      </c>
      <c r="B2264" s="1">
        <v>35.29</v>
      </c>
      <c r="C2264" s="1">
        <v>39.72</v>
      </c>
      <c r="D2264" s="1">
        <v>34.68</v>
      </c>
      <c r="E2264" s="1">
        <v>35.03</v>
      </c>
      <c r="F2264" s="1">
        <v>18423900</v>
      </c>
      <c r="G2264" s="1">
        <v>35.03</v>
      </c>
      <c r="H2264" s="1">
        <f t="shared" si="315"/>
        <v>5.0399999999999991</v>
      </c>
      <c r="I2264" s="9">
        <f t="shared" si="322"/>
        <v>0.14532871972318337</v>
      </c>
      <c r="J2264" s="1">
        <f t="shared" si="323"/>
        <v>-0.81000000000000227</v>
      </c>
      <c r="K2264" s="9">
        <f t="shared" si="316"/>
        <v>-2.2600446428571491E-2</v>
      </c>
      <c r="L2264" s="1">
        <f t="shared" si="317"/>
        <v>1</v>
      </c>
      <c r="M2264" s="1">
        <f t="shared" si="318"/>
        <v>39.72</v>
      </c>
      <c r="N2264" s="1">
        <f t="shared" si="319"/>
        <v>34.68</v>
      </c>
      <c r="O2264" s="1">
        <f t="shared" si="320"/>
        <v>33.07</v>
      </c>
      <c r="P2264" s="1">
        <f t="shared" si="321"/>
        <v>16.872448979591837</v>
      </c>
    </row>
    <row r="2265" spans="1:16">
      <c r="A2265" s="2">
        <v>39771</v>
      </c>
      <c r="B2265" s="1">
        <v>37.97</v>
      </c>
      <c r="C2265" s="1">
        <v>39</v>
      </c>
      <c r="D2265" s="1">
        <v>35.75</v>
      </c>
      <c r="E2265" s="1">
        <v>35.840000000000003</v>
      </c>
      <c r="F2265" s="1">
        <v>12521100</v>
      </c>
      <c r="G2265" s="1">
        <v>35.840000000000003</v>
      </c>
      <c r="H2265" s="1">
        <f t="shared" si="315"/>
        <v>3.25</v>
      </c>
      <c r="I2265" s="9">
        <f t="shared" si="322"/>
        <v>9.0909090909090912E-2</v>
      </c>
      <c r="J2265" s="1">
        <f t="shared" si="323"/>
        <v>-2.5999999999999943</v>
      </c>
      <c r="K2265" s="9">
        <f t="shared" si="316"/>
        <v>-6.7637877211238151E-2</v>
      </c>
      <c r="L2265" s="1">
        <f t="shared" si="317"/>
        <v>1</v>
      </c>
      <c r="M2265" s="1">
        <f t="shared" si="318"/>
        <v>39</v>
      </c>
      <c r="N2265" s="1">
        <f t="shared" si="319"/>
        <v>35.75</v>
      </c>
      <c r="O2265" s="1">
        <f t="shared" si="320"/>
        <v>33.880000000000003</v>
      </c>
      <c r="P2265" s="1">
        <f t="shared" si="321"/>
        <v>17.285714285714288</v>
      </c>
    </row>
    <row r="2266" spans="1:16">
      <c r="A2266" s="2">
        <v>39770</v>
      </c>
      <c r="B2266" s="1">
        <v>39.729999999999997</v>
      </c>
      <c r="C2266" s="1">
        <v>40.659999999999997</v>
      </c>
      <c r="D2266" s="1">
        <v>36.08</v>
      </c>
      <c r="E2266" s="1">
        <v>38.44</v>
      </c>
      <c r="F2266" s="1">
        <v>15049200</v>
      </c>
      <c r="G2266" s="1">
        <v>38.44</v>
      </c>
      <c r="H2266" s="1">
        <f t="shared" si="315"/>
        <v>4.5799999999999983</v>
      </c>
      <c r="I2266" s="9">
        <f t="shared" si="322"/>
        <v>0.12694013303769397</v>
      </c>
      <c r="J2266" s="1">
        <f t="shared" si="323"/>
        <v>-1.25</v>
      </c>
      <c r="K2266" s="9">
        <f t="shared" si="316"/>
        <v>-3.1494079113126731E-2</v>
      </c>
      <c r="L2266" s="1">
        <f t="shared" si="317"/>
        <v>1</v>
      </c>
      <c r="M2266" s="1">
        <f t="shared" si="318"/>
        <v>40.659999999999997</v>
      </c>
      <c r="N2266" s="1">
        <f t="shared" si="319"/>
        <v>36.08</v>
      </c>
      <c r="O2266" s="1">
        <f t="shared" si="320"/>
        <v>36.479999999999997</v>
      </c>
      <c r="P2266" s="1">
        <f t="shared" si="321"/>
        <v>18.612244897959183</v>
      </c>
    </row>
    <row r="2267" spans="1:16">
      <c r="A2267" s="2">
        <v>39769</v>
      </c>
      <c r="B2267" s="1">
        <v>39.909999999999997</v>
      </c>
      <c r="C2267" s="1">
        <v>41.26</v>
      </c>
      <c r="D2267" s="1">
        <v>39.07</v>
      </c>
      <c r="E2267" s="1">
        <v>39.69</v>
      </c>
      <c r="F2267" s="1">
        <v>10711800</v>
      </c>
      <c r="G2267" s="1">
        <v>39.69</v>
      </c>
      <c r="H2267" s="1">
        <f t="shared" si="315"/>
        <v>2.1899999999999977</v>
      </c>
      <c r="I2267" s="9">
        <f t="shared" si="322"/>
        <v>5.6053237778346497E-2</v>
      </c>
      <c r="J2267" s="1">
        <f t="shared" si="323"/>
        <v>-2.0600000000000023</v>
      </c>
      <c r="K2267" s="9">
        <f t="shared" si="316"/>
        <v>-4.9341317365269519E-2</v>
      </c>
      <c r="L2267" s="1">
        <f t="shared" si="317"/>
        <v>1</v>
      </c>
      <c r="M2267" s="1">
        <f t="shared" si="318"/>
        <v>41.26</v>
      </c>
      <c r="N2267" s="1">
        <f t="shared" si="319"/>
        <v>39.07</v>
      </c>
      <c r="O2267" s="1">
        <f t="shared" si="320"/>
        <v>37.729999999999997</v>
      </c>
      <c r="P2267" s="1">
        <f t="shared" si="321"/>
        <v>19.25</v>
      </c>
    </row>
    <row r="2268" spans="1:16">
      <c r="A2268" s="2">
        <v>39766</v>
      </c>
      <c r="B2268" s="1">
        <v>43.61</v>
      </c>
      <c r="C2268" s="1">
        <v>44.5</v>
      </c>
      <c r="D2268" s="1">
        <v>41.5</v>
      </c>
      <c r="E2268" s="1">
        <v>41.75</v>
      </c>
      <c r="F2268" s="1">
        <v>11949700</v>
      </c>
      <c r="G2268" s="1">
        <v>41.75</v>
      </c>
      <c r="H2268" s="1">
        <f t="shared" si="315"/>
        <v>3</v>
      </c>
      <c r="I2268" s="9">
        <f t="shared" si="322"/>
        <v>7.2289156626506021E-2</v>
      </c>
      <c r="J2268" s="1">
        <f t="shared" si="323"/>
        <v>-3.1799999999999997</v>
      </c>
      <c r="K2268" s="9">
        <f t="shared" si="316"/>
        <v>-7.0776763854885377E-2</v>
      </c>
      <c r="L2268" s="1">
        <f t="shared" si="317"/>
        <v>1</v>
      </c>
      <c r="M2268" s="1">
        <f t="shared" si="318"/>
        <v>44.5</v>
      </c>
      <c r="N2268" s="1">
        <f t="shared" si="319"/>
        <v>41.5</v>
      </c>
      <c r="O2268" s="1">
        <f t="shared" si="320"/>
        <v>39.79</v>
      </c>
      <c r="P2268" s="1">
        <f t="shared" si="321"/>
        <v>20.301020408163264</v>
      </c>
    </row>
    <row r="2269" spans="1:16">
      <c r="A2269" s="2">
        <v>39765</v>
      </c>
      <c r="B2269" s="1">
        <v>41.4</v>
      </c>
      <c r="C2269" s="1">
        <v>45</v>
      </c>
      <c r="D2269" s="1">
        <v>38.479999999999997</v>
      </c>
      <c r="E2269" s="1">
        <v>44.93</v>
      </c>
      <c r="F2269" s="1">
        <v>16935300</v>
      </c>
      <c r="G2269" s="1">
        <v>44.93</v>
      </c>
      <c r="H2269" s="1">
        <f t="shared" si="315"/>
        <v>6.5200000000000031</v>
      </c>
      <c r="I2269" s="9">
        <f t="shared" si="322"/>
        <v>0.16943866943866953</v>
      </c>
      <c r="J2269" s="1">
        <f t="shared" si="323"/>
        <v>3.3699999999999974</v>
      </c>
      <c r="K2269" s="9">
        <f t="shared" si="316"/>
        <v>8.1087584215591854E-2</v>
      </c>
      <c r="L2269" s="1">
        <f t="shared" si="317"/>
        <v>1</v>
      </c>
      <c r="M2269" s="1">
        <f t="shared" si="318"/>
        <v>45</v>
      </c>
      <c r="N2269" s="1">
        <f t="shared" si="319"/>
        <v>38.479999999999997</v>
      </c>
      <c r="O2269" s="1">
        <f t="shared" si="320"/>
        <v>42.97</v>
      </c>
      <c r="P2269" s="1">
        <f t="shared" si="321"/>
        <v>21.923469387755102</v>
      </c>
    </row>
    <row r="2270" spans="1:16">
      <c r="A2270" s="2">
        <v>39764</v>
      </c>
      <c r="B2270" s="1">
        <v>43.99</v>
      </c>
      <c r="C2270" s="1">
        <v>45.44</v>
      </c>
      <c r="D2270" s="1">
        <v>40.9</v>
      </c>
      <c r="E2270" s="1">
        <v>41.56</v>
      </c>
      <c r="F2270" s="1">
        <v>14768600</v>
      </c>
      <c r="G2270" s="1">
        <v>41.56</v>
      </c>
      <c r="H2270" s="1">
        <f t="shared" si="315"/>
        <v>4.5399999999999991</v>
      </c>
      <c r="I2270" s="9">
        <f t="shared" si="322"/>
        <v>0.11100244498777505</v>
      </c>
      <c r="J2270" s="1">
        <f t="shared" si="323"/>
        <v>-4.7399999999999949</v>
      </c>
      <c r="K2270" s="9">
        <f t="shared" si="316"/>
        <v>-0.10237580993520508</v>
      </c>
      <c r="L2270" s="1">
        <f t="shared" si="317"/>
        <v>1</v>
      </c>
      <c r="M2270" s="1">
        <f t="shared" si="318"/>
        <v>45.44</v>
      </c>
      <c r="N2270" s="1">
        <f t="shared" si="319"/>
        <v>40.9</v>
      </c>
      <c r="O2270" s="1">
        <f t="shared" si="320"/>
        <v>39.6</v>
      </c>
      <c r="P2270" s="1">
        <f t="shared" si="321"/>
        <v>20.204081632653061</v>
      </c>
    </row>
    <row r="2271" spans="1:16">
      <c r="A2271" s="2">
        <v>39763</v>
      </c>
      <c r="B2271" s="1">
        <v>47.1</v>
      </c>
      <c r="C2271" s="1">
        <v>48.06</v>
      </c>
      <c r="D2271" s="1">
        <v>44.81</v>
      </c>
      <c r="E2271" s="1">
        <v>46.3</v>
      </c>
      <c r="F2271" s="1">
        <v>9939200</v>
      </c>
      <c r="G2271" s="1">
        <v>46.3</v>
      </c>
      <c r="H2271" s="1">
        <f t="shared" si="315"/>
        <v>3.25</v>
      </c>
      <c r="I2271" s="9">
        <f t="shared" si="322"/>
        <v>7.2528453470207546E-2</v>
      </c>
      <c r="J2271" s="1">
        <f t="shared" si="323"/>
        <v>-2.1600000000000037</v>
      </c>
      <c r="K2271" s="9">
        <f t="shared" si="316"/>
        <v>-4.4572843582336021E-2</v>
      </c>
      <c r="L2271" s="1">
        <f t="shared" si="317"/>
        <v>1</v>
      </c>
      <c r="M2271" s="1">
        <f t="shared" si="318"/>
        <v>48.06</v>
      </c>
      <c r="N2271" s="1">
        <f t="shared" si="319"/>
        <v>44.81</v>
      </c>
      <c r="O2271" s="1">
        <f t="shared" si="320"/>
        <v>44.339999999999996</v>
      </c>
      <c r="P2271" s="1">
        <f t="shared" si="321"/>
        <v>22.622448979591834</v>
      </c>
    </row>
    <row r="2272" spans="1:16">
      <c r="A2272" s="2">
        <v>39762</v>
      </c>
      <c r="B2272" s="1">
        <v>49.98</v>
      </c>
      <c r="C2272" s="1">
        <v>50.68</v>
      </c>
      <c r="D2272" s="1">
        <v>46.86</v>
      </c>
      <c r="E2272" s="1">
        <v>48.46</v>
      </c>
      <c r="F2272" s="1">
        <v>8964900</v>
      </c>
      <c r="G2272" s="1">
        <v>48.46</v>
      </c>
      <c r="H2272" s="1">
        <f t="shared" si="315"/>
        <v>3.8200000000000003</v>
      </c>
      <c r="I2272" s="9">
        <f t="shared" si="322"/>
        <v>8.1519419547588567E-2</v>
      </c>
      <c r="J2272" s="1">
        <f t="shared" si="323"/>
        <v>-0.75</v>
      </c>
      <c r="K2272" s="9">
        <f t="shared" si="316"/>
        <v>-1.5240804714488925E-2</v>
      </c>
      <c r="L2272" s="1">
        <f t="shared" si="317"/>
        <v>1</v>
      </c>
      <c r="M2272" s="1">
        <f t="shared" si="318"/>
        <v>50.68</v>
      </c>
      <c r="N2272" s="1">
        <f t="shared" si="319"/>
        <v>46.86</v>
      </c>
      <c r="O2272" s="1">
        <f t="shared" si="320"/>
        <v>46.5</v>
      </c>
      <c r="P2272" s="1">
        <f t="shared" si="321"/>
        <v>23.724489795918366</v>
      </c>
    </row>
    <row r="2273" spans="1:16">
      <c r="A2273" s="2">
        <v>39759</v>
      </c>
      <c r="B2273" s="1">
        <v>47.76</v>
      </c>
      <c r="C2273" s="1">
        <v>49.79</v>
      </c>
      <c r="D2273" s="1">
        <v>47.01</v>
      </c>
      <c r="E2273" s="1">
        <v>49.21</v>
      </c>
      <c r="F2273" s="1">
        <v>7439600</v>
      </c>
      <c r="G2273" s="1">
        <v>49.21</v>
      </c>
      <c r="H2273" s="1">
        <f t="shared" si="315"/>
        <v>2.7800000000000011</v>
      </c>
      <c r="I2273" s="9">
        <f t="shared" si="322"/>
        <v>5.913635396724104E-2</v>
      </c>
      <c r="J2273" s="1">
        <f t="shared" si="323"/>
        <v>1.990000000000002</v>
      </c>
      <c r="K2273" s="9">
        <f t="shared" si="316"/>
        <v>4.2143159678102539E-2</v>
      </c>
      <c r="L2273" s="1">
        <f t="shared" si="317"/>
        <v>1</v>
      </c>
      <c r="M2273" s="1">
        <f t="shared" si="318"/>
        <v>49.79</v>
      </c>
      <c r="N2273" s="1">
        <f t="shared" si="319"/>
        <v>47.01</v>
      </c>
      <c r="O2273" s="1">
        <f t="shared" si="320"/>
        <v>47.25</v>
      </c>
      <c r="P2273" s="1">
        <f t="shared" si="321"/>
        <v>24.107142857142858</v>
      </c>
    </row>
    <row r="2274" spans="1:16">
      <c r="A2274" s="2">
        <v>39758</v>
      </c>
      <c r="B2274" s="1">
        <v>49.8</v>
      </c>
      <c r="C2274" s="1">
        <v>51.04</v>
      </c>
      <c r="D2274" s="1">
        <v>46.3</v>
      </c>
      <c r="E2274" s="1">
        <v>47.22</v>
      </c>
      <c r="F2274" s="1">
        <v>15487800</v>
      </c>
      <c r="G2274" s="1">
        <v>47.22</v>
      </c>
      <c r="H2274" s="1">
        <f t="shared" si="315"/>
        <v>4.740000000000002</v>
      </c>
      <c r="I2274" s="9">
        <f t="shared" si="322"/>
        <v>0.10237580993520523</v>
      </c>
      <c r="J2274" s="1">
        <f t="shared" si="323"/>
        <v>-4.759999999999998</v>
      </c>
      <c r="K2274" s="9">
        <f t="shared" si="316"/>
        <v>-9.1573682185455918E-2</v>
      </c>
      <c r="L2274" s="1">
        <f t="shared" si="317"/>
        <v>1</v>
      </c>
      <c r="M2274" s="1">
        <f t="shared" si="318"/>
        <v>51.04</v>
      </c>
      <c r="N2274" s="1">
        <f t="shared" si="319"/>
        <v>46.3</v>
      </c>
      <c r="O2274" s="1">
        <f t="shared" si="320"/>
        <v>45.26</v>
      </c>
      <c r="P2274" s="1">
        <f t="shared" si="321"/>
        <v>23.091836734693878</v>
      </c>
    </row>
    <row r="2275" spans="1:16">
      <c r="A2275" s="2">
        <v>39757</v>
      </c>
      <c r="B2275" s="1">
        <v>57.47</v>
      </c>
      <c r="C2275" s="1">
        <v>58</v>
      </c>
      <c r="D2275" s="1">
        <v>51.62</v>
      </c>
      <c r="E2275" s="1">
        <v>51.98</v>
      </c>
      <c r="F2275" s="1">
        <v>11498400</v>
      </c>
      <c r="G2275" s="1">
        <v>51.98</v>
      </c>
      <c r="H2275" s="1">
        <f t="shared" si="315"/>
        <v>6.3800000000000026</v>
      </c>
      <c r="I2275" s="9">
        <f t="shared" si="322"/>
        <v>0.12359550561797758</v>
      </c>
      <c r="J2275" s="1">
        <f t="shared" si="323"/>
        <v>-6.470000000000006</v>
      </c>
      <c r="K2275" s="9">
        <f t="shared" si="316"/>
        <v>-0.1106928999144569</v>
      </c>
      <c r="L2275" s="1">
        <f t="shared" si="317"/>
        <v>1</v>
      </c>
      <c r="M2275" s="1">
        <f t="shared" si="318"/>
        <v>58</v>
      </c>
      <c r="N2275" s="1">
        <f t="shared" si="319"/>
        <v>51.62</v>
      </c>
      <c r="O2275" s="1">
        <f t="shared" si="320"/>
        <v>50.019999999999996</v>
      </c>
      <c r="P2275" s="1">
        <f t="shared" si="321"/>
        <v>25.520408163265305</v>
      </c>
    </row>
    <row r="2276" spans="1:16">
      <c r="A2276" s="2">
        <v>39756</v>
      </c>
      <c r="B2276" s="1">
        <v>57.16</v>
      </c>
      <c r="C2276" s="1">
        <v>58.73</v>
      </c>
      <c r="D2276" s="1">
        <v>55.22</v>
      </c>
      <c r="E2276" s="1">
        <v>58.45</v>
      </c>
      <c r="F2276" s="1">
        <v>7663800</v>
      </c>
      <c r="G2276" s="1">
        <v>58.45</v>
      </c>
      <c r="H2276" s="1">
        <f t="shared" si="315"/>
        <v>3.509999999999998</v>
      </c>
      <c r="I2276" s="9">
        <f t="shared" si="322"/>
        <v>6.3563926113726882E-2</v>
      </c>
      <c r="J2276" s="1">
        <f t="shared" si="323"/>
        <v>2.6799999999999997</v>
      </c>
      <c r="K2276" s="9">
        <f t="shared" si="316"/>
        <v>4.8054509592971126E-2</v>
      </c>
      <c r="L2276" s="1">
        <f t="shared" si="317"/>
        <v>1</v>
      </c>
      <c r="M2276" s="1">
        <f t="shared" si="318"/>
        <v>58.73</v>
      </c>
      <c r="N2276" s="1">
        <f t="shared" si="319"/>
        <v>55.22</v>
      </c>
      <c r="O2276" s="1">
        <f t="shared" si="320"/>
        <v>56.49</v>
      </c>
      <c r="P2276" s="1">
        <f t="shared" si="321"/>
        <v>28.821428571428573</v>
      </c>
    </row>
    <row r="2277" spans="1:16">
      <c r="A2277" s="2">
        <v>39755</v>
      </c>
      <c r="B2277" s="1">
        <v>56.35</v>
      </c>
      <c r="C2277" s="1">
        <v>57.25</v>
      </c>
      <c r="D2277" s="1">
        <v>55.02</v>
      </c>
      <c r="E2277" s="1">
        <v>55.77</v>
      </c>
      <c r="F2277" s="1">
        <v>7170100</v>
      </c>
      <c r="G2277" s="1">
        <v>55.77</v>
      </c>
      <c r="H2277" s="1">
        <f t="shared" si="315"/>
        <v>2.2299999999999969</v>
      </c>
      <c r="I2277" s="9">
        <f t="shared" si="322"/>
        <v>4.053071610323513E-2</v>
      </c>
      <c r="J2277" s="1">
        <f t="shared" si="323"/>
        <v>-1.4699999999999989</v>
      </c>
      <c r="K2277" s="9">
        <f t="shared" si="316"/>
        <v>-2.5681341719077547E-2</v>
      </c>
      <c r="L2277" s="1">
        <f t="shared" si="317"/>
        <v>1</v>
      </c>
      <c r="M2277" s="1">
        <f t="shared" si="318"/>
        <v>57.25</v>
      </c>
      <c r="N2277" s="1">
        <f t="shared" si="319"/>
        <v>55.02</v>
      </c>
      <c r="O2277" s="1">
        <f t="shared" si="320"/>
        <v>53.81</v>
      </c>
      <c r="P2277" s="1">
        <f t="shared" si="321"/>
        <v>27.454081632653065</v>
      </c>
    </row>
    <row r="2278" spans="1:16">
      <c r="A2278" s="2">
        <v>39752</v>
      </c>
      <c r="B2278" s="1">
        <v>56.01</v>
      </c>
      <c r="C2278" s="1">
        <v>57.25</v>
      </c>
      <c r="D2278" s="1">
        <v>55.01</v>
      </c>
      <c r="E2278" s="1">
        <v>57.24</v>
      </c>
      <c r="F2278" s="1">
        <v>8534600</v>
      </c>
      <c r="G2278" s="1">
        <v>57.24</v>
      </c>
      <c r="H2278" s="1">
        <f t="shared" si="315"/>
        <v>2.240000000000002</v>
      </c>
      <c r="I2278" s="9">
        <f t="shared" si="322"/>
        <v>4.0719869114706451E-2</v>
      </c>
      <c r="J2278" s="1">
        <f t="shared" si="323"/>
        <v>0.53000000000000114</v>
      </c>
      <c r="K2278" s="9">
        <f t="shared" si="316"/>
        <v>9.3457943925233846E-3</v>
      </c>
      <c r="L2278" s="1">
        <f t="shared" si="317"/>
        <v>1</v>
      </c>
      <c r="M2278" s="1">
        <f t="shared" si="318"/>
        <v>57.25</v>
      </c>
      <c r="N2278" s="1">
        <f t="shared" si="319"/>
        <v>55.01</v>
      </c>
      <c r="O2278" s="1">
        <f t="shared" si="320"/>
        <v>55.28</v>
      </c>
      <c r="P2278" s="1">
        <f t="shared" si="321"/>
        <v>28.204081632653061</v>
      </c>
    </row>
    <row r="2279" spans="1:16">
      <c r="A2279" s="2">
        <v>39751</v>
      </c>
      <c r="B2279" s="1">
        <v>58.76</v>
      </c>
      <c r="C2279" s="1">
        <v>59.89</v>
      </c>
      <c r="D2279" s="1">
        <v>55.08</v>
      </c>
      <c r="E2279" s="1">
        <v>56.71</v>
      </c>
      <c r="F2279" s="1">
        <v>11125700</v>
      </c>
      <c r="G2279" s="1">
        <v>56.71</v>
      </c>
      <c r="H2279" s="1">
        <f t="shared" si="315"/>
        <v>4.8100000000000023</v>
      </c>
      <c r="I2279" s="9">
        <f t="shared" si="322"/>
        <v>8.7327523602033455E-2</v>
      </c>
      <c r="J2279" s="1">
        <f t="shared" si="323"/>
        <v>-0.17999999999999972</v>
      </c>
      <c r="K2279" s="9">
        <f t="shared" si="316"/>
        <v>-3.1640007031112625E-3</v>
      </c>
      <c r="L2279" s="1">
        <f t="shared" si="317"/>
        <v>1</v>
      </c>
      <c r="M2279" s="1">
        <f t="shared" si="318"/>
        <v>59.89</v>
      </c>
      <c r="N2279" s="1">
        <f t="shared" si="319"/>
        <v>55.08</v>
      </c>
      <c r="O2279" s="1">
        <f t="shared" si="320"/>
        <v>54.75</v>
      </c>
      <c r="P2279" s="1">
        <f t="shared" si="321"/>
        <v>27.933673469387756</v>
      </c>
    </row>
    <row r="2280" spans="1:16">
      <c r="A2280" s="2">
        <v>39750</v>
      </c>
      <c r="B2280" s="1">
        <v>55.53</v>
      </c>
      <c r="C2280" s="1">
        <v>59.79</v>
      </c>
      <c r="D2280" s="1">
        <v>54.52</v>
      </c>
      <c r="E2280" s="1">
        <v>56.89</v>
      </c>
      <c r="F2280" s="1">
        <v>15196300</v>
      </c>
      <c r="G2280" s="1">
        <v>56.89</v>
      </c>
      <c r="H2280" s="1">
        <f t="shared" si="315"/>
        <v>5.269999999999996</v>
      </c>
      <c r="I2280" s="9">
        <f t="shared" si="322"/>
        <v>9.6661775495231028E-2</v>
      </c>
      <c r="J2280" s="1">
        <f t="shared" si="323"/>
        <v>0.85000000000000142</v>
      </c>
      <c r="K2280" s="9">
        <f t="shared" si="316"/>
        <v>1.5167737330478255E-2</v>
      </c>
      <c r="L2280" s="1">
        <f t="shared" si="317"/>
        <v>1</v>
      </c>
      <c r="M2280" s="1">
        <f t="shared" si="318"/>
        <v>59.79</v>
      </c>
      <c r="N2280" s="1">
        <f t="shared" si="319"/>
        <v>54.52</v>
      </c>
      <c r="O2280" s="1">
        <f t="shared" si="320"/>
        <v>54.93</v>
      </c>
      <c r="P2280" s="1">
        <f t="shared" si="321"/>
        <v>28.025510204081634</v>
      </c>
    </row>
    <row r="2281" spans="1:16">
      <c r="A2281" s="2">
        <v>39749</v>
      </c>
      <c r="B2281" s="1">
        <v>51.5</v>
      </c>
      <c r="C2281" s="1">
        <v>56.3</v>
      </c>
      <c r="D2281" s="1">
        <v>49.07</v>
      </c>
      <c r="E2281" s="1">
        <v>56.04</v>
      </c>
      <c r="F2281" s="1">
        <v>14834700</v>
      </c>
      <c r="G2281" s="1">
        <v>56.04</v>
      </c>
      <c r="H2281" s="1">
        <f t="shared" si="315"/>
        <v>7.2299999999999969</v>
      </c>
      <c r="I2281" s="9">
        <f t="shared" si="322"/>
        <v>0.14734053393111873</v>
      </c>
      <c r="J2281" s="1">
        <f t="shared" si="323"/>
        <v>6.4600000000000009</v>
      </c>
      <c r="K2281" s="9">
        <f t="shared" si="316"/>
        <v>0.13029447357805568</v>
      </c>
      <c r="L2281" s="1">
        <f t="shared" si="317"/>
        <v>1</v>
      </c>
      <c r="M2281" s="1">
        <f t="shared" si="318"/>
        <v>56.3</v>
      </c>
      <c r="N2281" s="1">
        <f t="shared" si="319"/>
        <v>49.07</v>
      </c>
      <c r="O2281" s="1">
        <f t="shared" si="320"/>
        <v>54.08</v>
      </c>
      <c r="P2281" s="1">
        <f t="shared" si="321"/>
        <v>27.591836734693878</v>
      </c>
    </row>
    <row r="2282" spans="1:16">
      <c r="A2282" s="2">
        <v>39748</v>
      </c>
      <c r="B2282" s="1">
        <v>49</v>
      </c>
      <c r="C2282" s="1">
        <v>52.59</v>
      </c>
      <c r="D2282" s="1">
        <v>48.43</v>
      </c>
      <c r="E2282" s="1">
        <v>49.58</v>
      </c>
      <c r="F2282" s="1">
        <v>11759200</v>
      </c>
      <c r="G2282" s="1">
        <v>49.58</v>
      </c>
      <c r="H2282" s="1">
        <f t="shared" si="315"/>
        <v>4.1600000000000037</v>
      </c>
      <c r="I2282" s="9">
        <f t="shared" si="322"/>
        <v>8.5897171174891679E-2</v>
      </c>
      <c r="J2282" s="1">
        <f t="shared" si="323"/>
        <v>0.61999999999999744</v>
      </c>
      <c r="K2282" s="9">
        <f t="shared" si="316"/>
        <v>1.2663398692810406E-2</v>
      </c>
      <c r="L2282" s="1">
        <f t="shared" si="317"/>
        <v>1</v>
      </c>
      <c r="M2282" s="1">
        <f t="shared" si="318"/>
        <v>52.59</v>
      </c>
      <c r="N2282" s="1">
        <f t="shared" si="319"/>
        <v>48.43</v>
      </c>
      <c r="O2282" s="1">
        <f t="shared" si="320"/>
        <v>47.62</v>
      </c>
      <c r="P2282" s="1">
        <f t="shared" si="321"/>
        <v>24.295918367346939</v>
      </c>
    </row>
    <row r="2283" spans="1:16">
      <c r="A2283" s="2">
        <v>39745</v>
      </c>
      <c r="B2283" s="1">
        <v>44.75</v>
      </c>
      <c r="C2283" s="1">
        <v>52.32</v>
      </c>
      <c r="D2283" s="1">
        <v>44.5</v>
      </c>
      <c r="E2283" s="1">
        <v>48.96</v>
      </c>
      <c r="F2283" s="1">
        <v>19605900</v>
      </c>
      <c r="G2283" s="1">
        <v>48.96</v>
      </c>
      <c r="H2283" s="1">
        <f t="shared" si="315"/>
        <v>7.82</v>
      </c>
      <c r="I2283" s="9">
        <f t="shared" si="322"/>
        <v>0.17573033707865168</v>
      </c>
      <c r="J2283" s="1">
        <f t="shared" si="323"/>
        <v>-1.3599999999999994</v>
      </c>
      <c r="K2283" s="9">
        <f t="shared" si="316"/>
        <v>-2.7027027027027015E-2</v>
      </c>
      <c r="L2283" s="1">
        <f t="shared" si="317"/>
        <v>1</v>
      </c>
      <c r="M2283" s="1">
        <f t="shared" si="318"/>
        <v>52.32</v>
      </c>
      <c r="N2283" s="1">
        <f t="shared" si="319"/>
        <v>44.5</v>
      </c>
      <c r="O2283" s="1">
        <f t="shared" si="320"/>
        <v>47</v>
      </c>
      <c r="P2283" s="1">
        <f t="shared" si="321"/>
        <v>23.979591836734695</v>
      </c>
    </row>
    <row r="2284" spans="1:16">
      <c r="A2284" s="2">
        <v>39744</v>
      </c>
      <c r="B2284" s="1">
        <v>43.37</v>
      </c>
      <c r="C2284" s="1">
        <v>50.91</v>
      </c>
      <c r="D2284" s="1">
        <v>43.31</v>
      </c>
      <c r="E2284" s="1">
        <v>50.32</v>
      </c>
      <c r="F2284" s="1">
        <v>32601900</v>
      </c>
      <c r="G2284" s="1">
        <v>50.32</v>
      </c>
      <c r="H2284" s="1">
        <f t="shared" si="315"/>
        <v>7.5999999999999943</v>
      </c>
      <c r="I2284" s="9">
        <f t="shared" si="322"/>
        <v>0.17547910413299456</v>
      </c>
      <c r="J2284" s="1">
        <f t="shared" si="323"/>
        <v>0.32999999999999829</v>
      </c>
      <c r="K2284" s="9">
        <f t="shared" si="316"/>
        <v>6.6013202640527761E-3</v>
      </c>
      <c r="L2284" s="1">
        <f t="shared" si="317"/>
        <v>1</v>
      </c>
      <c r="M2284" s="1">
        <f t="shared" si="318"/>
        <v>50.91</v>
      </c>
      <c r="N2284" s="1">
        <f t="shared" si="319"/>
        <v>43.31</v>
      </c>
      <c r="O2284" s="1">
        <f t="shared" si="320"/>
        <v>48.36</v>
      </c>
      <c r="P2284" s="1">
        <f t="shared" si="321"/>
        <v>24.673469387755102</v>
      </c>
    </row>
    <row r="2285" spans="1:16">
      <c r="A2285" s="2">
        <v>39743</v>
      </c>
      <c r="B2285" s="1">
        <v>50.05</v>
      </c>
      <c r="C2285" s="1">
        <v>52.47</v>
      </c>
      <c r="D2285" s="1">
        <v>47.9</v>
      </c>
      <c r="E2285" s="1">
        <v>49.99</v>
      </c>
      <c r="F2285" s="1">
        <v>19513200</v>
      </c>
      <c r="G2285" s="1">
        <v>49.99</v>
      </c>
      <c r="H2285" s="1">
        <f t="shared" si="315"/>
        <v>4.57</v>
      </c>
      <c r="I2285" s="9">
        <f t="shared" si="322"/>
        <v>9.5407098121085609E-2</v>
      </c>
      <c r="J2285" s="1">
        <f t="shared" si="323"/>
        <v>-0.23999999999999488</v>
      </c>
      <c r="K2285" s="9">
        <f t="shared" si="316"/>
        <v>-4.778021102926436E-3</v>
      </c>
      <c r="L2285" s="1">
        <f t="shared" si="317"/>
        <v>1</v>
      </c>
      <c r="M2285" s="1">
        <f t="shared" si="318"/>
        <v>52.47</v>
      </c>
      <c r="N2285" s="1">
        <f t="shared" si="319"/>
        <v>47.9</v>
      </c>
      <c r="O2285" s="1">
        <f t="shared" si="320"/>
        <v>48.03</v>
      </c>
      <c r="P2285" s="1">
        <f t="shared" si="321"/>
        <v>24.505102040816329</v>
      </c>
    </row>
    <row r="2286" spans="1:16">
      <c r="A2286" s="2">
        <v>39742</v>
      </c>
      <c r="B2286" s="1">
        <v>51.86</v>
      </c>
      <c r="C2286" s="1">
        <v>52.95</v>
      </c>
      <c r="D2286" s="1">
        <v>49.92</v>
      </c>
      <c r="E2286" s="1">
        <v>50.23</v>
      </c>
      <c r="F2286" s="1">
        <v>8669600</v>
      </c>
      <c r="G2286" s="1">
        <v>50.23</v>
      </c>
      <c r="H2286" s="1">
        <f t="shared" si="315"/>
        <v>3.0300000000000011</v>
      </c>
      <c r="I2286" s="9">
        <f t="shared" si="322"/>
        <v>6.0697115384615405E-2</v>
      </c>
      <c r="J2286" s="1">
        <f t="shared" si="323"/>
        <v>-2.740000000000002</v>
      </c>
      <c r="K2286" s="9">
        <f t="shared" si="316"/>
        <v>-5.1727392863885259E-2</v>
      </c>
      <c r="L2286" s="1">
        <f t="shared" si="317"/>
        <v>1</v>
      </c>
      <c r="M2286" s="1">
        <f t="shared" si="318"/>
        <v>52.95</v>
      </c>
      <c r="N2286" s="1">
        <f t="shared" si="319"/>
        <v>49.92</v>
      </c>
      <c r="O2286" s="1">
        <f t="shared" si="320"/>
        <v>48.269999999999996</v>
      </c>
      <c r="P2286" s="1">
        <f t="shared" si="321"/>
        <v>24.627551020408163</v>
      </c>
    </row>
    <row r="2287" spans="1:16">
      <c r="A2287" s="2">
        <v>39741</v>
      </c>
      <c r="B2287" s="1">
        <v>52.17</v>
      </c>
      <c r="C2287" s="1">
        <v>53.1</v>
      </c>
      <c r="D2287" s="1">
        <v>49.91</v>
      </c>
      <c r="E2287" s="1">
        <v>52.97</v>
      </c>
      <c r="F2287" s="1">
        <v>8452100</v>
      </c>
      <c r="G2287" s="1">
        <v>52.97</v>
      </c>
      <c r="H2287" s="1">
        <f t="shared" si="315"/>
        <v>3.1900000000000048</v>
      </c>
      <c r="I2287" s="9">
        <f t="shared" si="322"/>
        <v>6.3915047084752652E-2</v>
      </c>
      <c r="J2287" s="1">
        <f t="shared" si="323"/>
        <v>2.3200000000000003</v>
      </c>
      <c r="K2287" s="9">
        <f t="shared" si="316"/>
        <v>4.58045409674235E-2</v>
      </c>
      <c r="L2287" s="1">
        <f t="shared" si="317"/>
        <v>1</v>
      </c>
      <c r="M2287" s="1">
        <f t="shared" si="318"/>
        <v>53.1</v>
      </c>
      <c r="N2287" s="1">
        <f t="shared" si="319"/>
        <v>49.91</v>
      </c>
      <c r="O2287" s="1">
        <f t="shared" si="320"/>
        <v>51.01</v>
      </c>
      <c r="P2287" s="1">
        <f t="shared" si="321"/>
        <v>26.02551020408163</v>
      </c>
    </row>
    <row r="2288" spans="1:16">
      <c r="A2288" s="2">
        <v>39738</v>
      </c>
      <c r="B2288" s="1">
        <v>48.83</v>
      </c>
      <c r="C2288" s="1">
        <v>62.33</v>
      </c>
      <c r="D2288" s="1">
        <v>48.41</v>
      </c>
      <c r="E2288" s="1">
        <v>50.65</v>
      </c>
      <c r="F2288" s="1">
        <v>12946400</v>
      </c>
      <c r="G2288" s="1">
        <v>50.65</v>
      </c>
      <c r="H2288" s="1">
        <f t="shared" si="315"/>
        <v>13.920000000000002</v>
      </c>
      <c r="I2288" s="9">
        <f t="shared" si="322"/>
        <v>0.28754389588927914</v>
      </c>
      <c r="J2288" s="1">
        <f t="shared" si="323"/>
        <v>0.35999999999999943</v>
      </c>
      <c r="K2288" s="9">
        <f t="shared" si="316"/>
        <v>7.1584808112944804E-3</v>
      </c>
      <c r="L2288" s="1">
        <f t="shared" si="317"/>
        <v>1</v>
      </c>
      <c r="M2288" s="1">
        <f t="shared" si="318"/>
        <v>62.33</v>
      </c>
      <c r="N2288" s="1">
        <f t="shared" si="319"/>
        <v>48.41</v>
      </c>
      <c r="O2288" s="1">
        <f t="shared" si="320"/>
        <v>48.69</v>
      </c>
      <c r="P2288" s="1">
        <f t="shared" si="321"/>
        <v>24.841836734693878</v>
      </c>
    </row>
    <row r="2289" spans="1:16">
      <c r="A2289" s="2">
        <v>39737</v>
      </c>
      <c r="B2289" s="1">
        <v>46.4</v>
      </c>
      <c r="C2289" s="1">
        <v>50.7</v>
      </c>
      <c r="D2289" s="1">
        <v>43.39</v>
      </c>
      <c r="E2289" s="1">
        <v>50.29</v>
      </c>
      <c r="F2289" s="1">
        <v>22081100</v>
      </c>
      <c r="G2289" s="1">
        <v>50.29</v>
      </c>
      <c r="H2289" s="1">
        <f t="shared" si="315"/>
        <v>7.3100000000000023</v>
      </c>
      <c r="I2289" s="9">
        <f t="shared" si="322"/>
        <v>0.16847199815625724</v>
      </c>
      <c r="J2289" s="1">
        <f t="shared" si="323"/>
        <v>1.5700000000000003</v>
      </c>
      <c r="K2289" s="9">
        <f t="shared" si="316"/>
        <v>3.2224958949096889E-2</v>
      </c>
      <c r="L2289" s="1">
        <f t="shared" si="317"/>
        <v>1</v>
      </c>
      <c r="M2289" s="1">
        <f t="shared" si="318"/>
        <v>50.7</v>
      </c>
      <c r="N2289" s="1">
        <f t="shared" si="319"/>
        <v>43.39</v>
      </c>
      <c r="O2289" s="1">
        <f t="shared" si="320"/>
        <v>48.33</v>
      </c>
      <c r="P2289" s="1">
        <f t="shared" si="321"/>
        <v>24.658163265306122</v>
      </c>
    </row>
    <row r="2290" spans="1:16">
      <c r="A2290" s="2">
        <v>39736</v>
      </c>
      <c r="B2290" s="1">
        <v>54.46</v>
      </c>
      <c r="C2290" s="1">
        <v>54.69</v>
      </c>
      <c r="D2290" s="1">
        <v>48.35</v>
      </c>
      <c r="E2290" s="1">
        <v>48.72</v>
      </c>
      <c r="F2290" s="1">
        <v>16257600</v>
      </c>
      <c r="G2290" s="1">
        <v>48.72</v>
      </c>
      <c r="H2290" s="1">
        <f t="shared" si="315"/>
        <v>6.3399999999999963</v>
      </c>
      <c r="I2290" s="9">
        <f t="shared" si="322"/>
        <v>0.13112719751809712</v>
      </c>
      <c r="J2290" s="1">
        <f t="shared" si="323"/>
        <v>-7.1400000000000006</v>
      </c>
      <c r="K2290" s="9">
        <f t="shared" si="316"/>
        <v>-0.12781954887218047</v>
      </c>
      <c r="L2290" s="1">
        <f t="shared" si="317"/>
        <v>1</v>
      </c>
      <c r="M2290" s="1">
        <f t="shared" si="318"/>
        <v>54.69</v>
      </c>
      <c r="N2290" s="1">
        <f t="shared" si="319"/>
        <v>48.35</v>
      </c>
      <c r="O2290" s="1">
        <f t="shared" si="320"/>
        <v>46.76</v>
      </c>
      <c r="P2290" s="1">
        <f t="shared" si="321"/>
        <v>23.857142857142858</v>
      </c>
    </row>
    <row r="2291" spans="1:16">
      <c r="A2291" s="2">
        <v>39735</v>
      </c>
      <c r="B2291" s="1">
        <v>63.5</v>
      </c>
      <c r="C2291" s="1">
        <v>64</v>
      </c>
      <c r="D2291" s="1">
        <v>54.8</v>
      </c>
      <c r="E2291" s="1">
        <v>55.86</v>
      </c>
      <c r="F2291" s="1">
        <v>17306600</v>
      </c>
      <c r="G2291" s="1">
        <v>55.86</v>
      </c>
      <c r="H2291" s="1">
        <f t="shared" si="315"/>
        <v>9.2000000000000028</v>
      </c>
      <c r="I2291" s="9">
        <f t="shared" si="322"/>
        <v>0.16788321167883219</v>
      </c>
      <c r="J2291" s="1">
        <f t="shared" si="323"/>
        <v>-6.1600000000000037</v>
      </c>
      <c r="K2291" s="9">
        <f t="shared" si="316"/>
        <v>-9.9322799097065512E-2</v>
      </c>
      <c r="L2291" s="1">
        <f t="shared" si="317"/>
        <v>1</v>
      </c>
      <c r="M2291" s="1">
        <f t="shared" si="318"/>
        <v>64</v>
      </c>
      <c r="N2291" s="1">
        <f t="shared" si="319"/>
        <v>54.8</v>
      </c>
      <c r="O2291" s="1">
        <f t="shared" si="320"/>
        <v>53.9</v>
      </c>
      <c r="P2291" s="1">
        <f t="shared" si="321"/>
        <v>27.5</v>
      </c>
    </row>
    <row r="2292" spans="1:16">
      <c r="A2292" s="2">
        <v>39734</v>
      </c>
      <c r="B2292" s="1">
        <v>58.96</v>
      </c>
      <c r="C2292" s="1">
        <v>62.21</v>
      </c>
      <c r="D2292" s="1">
        <v>57.37</v>
      </c>
      <c r="E2292" s="1">
        <v>62.02</v>
      </c>
      <c r="F2292" s="1">
        <v>11194800</v>
      </c>
      <c r="G2292" s="1">
        <v>62.02</v>
      </c>
      <c r="H2292" s="1">
        <f t="shared" si="315"/>
        <v>4.8400000000000034</v>
      </c>
      <c r="I2292" s="9">
        <f t="shared" si="322"/>
        <v>8.4364650514206094E-2</v>
      </c>
      <c r="J2292" s="1">
        <f t="shared" si="323"/>
        <v>5.7700000000000031</v>
      </c>
      <c r="K2292" s="9">
        <f t="shared" si="316"/>
        <v>0.10257777777777784</v>
      </c>
      <c r="L2292" s="1">
        <f t="shared" si="317"/>
        <v>1</v>
      </c>
      <c r="M2292" s="1">
        <f t="shared" si="318"/>
        <v>62.21</v>
      </c>
      <c r="N2292" s="1">
        <f t="shared" si="319"/>
        <v>57.37</v>
      </c>
      <c r="O2292" s="1">
        <f t="shared" si="320"/>
        <v>60.06</v>
      </c>
      <c r="P2292" s="1">
        <f t="shared" si="321"/>
        <v>30.642857142857146</v>
      </c>
    </row>
    <row r="2293" spans="1:16">
      <c r="A2293" s="2">
        <v>39731</v>
      </c>
      <c r="B2293" s="1">
        <v>52.99</v>
      </c>
      <c r="C2293" s="1">
        <v>59.75</v>
      </c>
      <c r="D2293" s="1">
        <v>51.05</v>
      </c>
      <c r="E2293" s="1">
        <v>56.25</v>
      </c>
      <c r="F2293" s="1">
        <v>18021700</v>
      </c>
      <c r="G2293" s="1">
        <v>56.25</v>
      </c>
      <c r="H2293" s="1">
        <f t="shared" si="315"/>
        <v>8.7000000000000028</v>
      </c>
      <c r="I2293" s="9">
        <f t="shared" si="322"/>
        <v>0.17042115572967687</v>
      </c>
      <c r="J2293" s="1">
        <f t="shared" si="323"/>
        <v>0.25</v>
      </c>
      <c r="K2293" s="9">
        <f t="shared" si="316"/>
        <v>4.464285714285714E-3</v>
      </c>
      <c r="L2293" s="1">
        <f t="shared" si="317"/>
        <v>1</v>
      </c>
      <c r="M2293" s="1">
        <f t="shared" si="318"/>
        <v>59.75</v>
      </c>
      <c r="N2293" s="1">
        <f t="shared" si="319"/>
        <v>51.05</v>
      </c>
      <c r="O2293" s="1">
        <f t="shared" si="320"/>
        <v>54.29</v>
      </c>
      <c r="P2293" s="1">
        <f t="shared" si="321"/>
        <v>27.698979591836736</v>
      </c>
    </row>
    <row r="2294" spans="1:16">
      <c r="A2294" s="2">
        <v>39730</v>
      </c>
      <c r="B2294" s="1">
        <v>61.97</v>
      </c>
      <c r="C2294" s="1">
        <v>63.5</v>
      </c>
      <c r="D2294" s="1">
        <v>56</v>
      </c>
      <c r="E2294" s="1">
        <v>56</v>
      </c>
      <c r="F2294" s="1">
        <v>13930900</v>
      </c>
      <c r="G2294" s="1">
        <v>56</v>
      </c>
      <c r="H2294" s="1">
        <f t="shared" si="315"/>
        <v>7.5</v>
      </c>
      <c r="I2294" s="9">
        <f t="shared" si="322"/>
        <v>0.13392857142857142</v>
      </c>
      <c r="J2294" s="1">
        <f t="shared" si="323"/>
        <v>-5.0200000000000031</v>
      </c>
      <c r="K2294" s="9">
        <f t="shared" si="316"/>
        <v>-8.2268108816781427E-2</v>
      </c>
      <c r="L2294" s="1">
        <f t="shared" si="317"/>
        <v>1</v>
      </c>
      <c r="M2294" s="1">
        <f t="shared" si="318"/>
        <v>63.5</v>
      </c>
      <c r="N2294" s="1">
        <f t="shared" si="319"/>
        <v>56</v>
      </c>
      <c r="O2294" s="1">
        <f t="shared" si="320"/>
        <v>54.04</v>
      </c>
      <c r="P2294" s="1">
        <f t="shared" si="321"/>
        <v>27.571428571428573</v>
      </c>
    </row>
    <row r="2295" spans="1:16">
      <c r="A2295" s="2">
        <v>39729</v>
      </c>
      <c r="B2295" s="1">
        <v>55.64</v>
      </c>
      <c r="C2295" s="1">
        <v>62.75</v>
      </c>
      <c r="D2295" s="1">
        <v>55.35</v>
      </c>
      <c r="E2295" s="1">
        <v>61.02</v>
      </c>
      <c r="F2295" s="1">
        <v>14324500</v>
      </c>
      <c r="G2295" s="1">
        <v>61.02</v>
      </c>
      <c r="H2295" s="1">
        <f t="shared" si="315"/>
        <v>7.3999999999999986</v>
      </c>
      <c r="I2295" s="9">
        <f t="shared" si="322"/>
        <v>0.13369467028003609</v>
      </c>
      <c r="J2295" s="1">
        <f t="shared" si="323"/>
        <v>2.5</v>
      </c>
      <c r="K2295" s="9">
        <f t="shared" si="316"/>
        <v>4.2720437457279561E-2</v>
      </c>
      <c r="L2295" s="1">
        <f t="shared" si="317"/>
        <v>1</v>
      </c>
      <c r="M2295" s="1">
        <f t="shared" si="318"/>
        <v>62.75</v>
      </c>
      <c r="N2295" s="1">
        <f t="shared" si="319"/>
        <v>55.35</v>
      </c>
      <c r="O2295" s="1">
        <f t="shared" si="320"/>
        <v>59.06</v>
      </c>
      <c r="P2295" s="1">
        <f t="shared" si="321"/>
        <v>30.132653061224492</v>
      </c>
    </row>
    <row r="2296" spans="1:16">
      <c r="A2296" s="2">
        <v>39728</v>
      </c>
      <c r="B2296" s="1">
        <v>65.790000000000006</v>
      </c>
      <c r="C2296" s="1">
        <v>66.430000000000007</v>
      </c>
      <c r="D2296" s="1">
        <v>58.5</v>
      </c>
      <c r="E2296" s="1">
        <v>58.52</v>
      </c>
      <c r="F2296" s="1">
        <v>12756000</v>
      </c>
      <c r="G2296" s="1">
        <v>58.52</v>
      </c>
      <c r="H2296" s="1">
        <f t="shared" si="315"/>
        <v>7.9300000000000068</v>
      </c>
      <c r="I2296" s="9">
        <f t="shared" si="322"/>
        <v>0.13555555555555568</v>
      </c>
      <c r="J2296" s="1">
        <f t="shared" si="323"/>
        <v>-6.7100000000000009</v>
      </c>
      <c r="K2296" s="9">
        <f t="shared" si="316"/>
        <v>-0.10286677908937607</v>
      </c>
      <c r="L2296" s="1">
        <f t="shared" si="317"/>
        <v>1</v>
      </c>
      <c r="M2296" s="1">
        <f t="shared" si="318"/>
        <v>66.430000000000007</v>
      </c>
      <c r="N2296" s="1">
        <f t="shared" si="319"/>
        <v>58.5</v>
      </c>
      <c r="O2296" s="1">
        <f t="shared" si="320"/>
        <v>56.56</v>
      </c>
      <c r="P2296" s="1">
        <f t="shared" si="321"/>
        <v>28.857142857142858</v>
      </c>
    </row>
    <row r="2297" spans="1:16">
      <c r="A2297" s="2">
        <v>39727</v>
      </c>
      <c r="B2297" s="1">
        <v>64.06</v>
      </c>
      <c r="C2297" s="1">
        <v>65.89</v>
      </c>
      <c r="D2297" s="1">
        <v>60.47</v>
      </c>
      <c r="E2297" s="1">
        <v>65.23</v>
      </c>
      <c r="F2297" s="1">
        <v>13385500</v>
      </c>
      <c r="G2297" s="1">
        <v>65.23</v>
      </c>
      <c r="H2297" s="1">
        <f t="shared" si="315"/>
        <v>5.4200000000000017</v>
      </c>
      <c r="I2297" s="9">
        <f t="shared" si="322"/>
        <v>8.9631222093600166E-2</v>
      </c>
      <c r="J2297" s="1">
        <f t="shared" si="323"/>
        <v>-1.769999999999996</v>
      </c>
      <c r="K2297" s="9">
        <f t="shared" si="316"/>
        <v>-2.6417910447761133E-2</v>
      </c>
      <c r="L2297" s="1">
        <f t="shared" si="317"/>
        <v>1</v>
      </c>
      <c r="M2297" s="1">
        <f t="shared" si="318"/>
        <v>65.89</v>
      </c>
      <c r="N2297" s="1">
        <f t="shared" si="319"/>
        <v>60.47</v>
      </c>
      <c r="O2297" s="1">
        <f t="shared" si="320"/>
        <v>63.27</v>
      </c>
      <c r="P2297" s="1">
        <f t="shared" si="321"/>
        <v>32.280612244897959</v>
      </c>
    </row>
    <row r="2298" spans="1:16">
      <c r="A2298" s="2">
        <v>39724</v>
      </c>
      <c r="B2298" s="1">
        <v>69.42</v>
      </c>
      <c r="C2298" s="1">
        <v>70.95</v>
      </c>
      <c r="D2298" s="1">
        <v>66.59</v>
      </c>
      <c r="E2298" s="1">
        <v>67</v>
      </c>
      <c r="F2298" s="1">
        <v>11228100</v>
      </c>
      <c r="G2298" s="1">
        <v>67</v>
      </c>
      <c r="H2298" s="1">
        <f t="shared" si="315"/>
        <v>4.3599999999999994</v>
      </c>
      <c r="I2298" s="9">
        <f t="shared" si="322"/>
        <v>6.5475296591079729E-2</v>
      </c>
      <c r="J2298" s="1">
        <f t="shared" si="323"/>
        <v>-0.35999999999999943</v>
      </c>
      <c r="K2298" s="9">
        <f t="shared" si="316"/>
        <v>-5.3444180522565238E-3</v>
      </c>
      <c r="L2298" s="1">
        <f t="shared" si="317"/>
        <v>1</v>
      </c>
      <c r="M2298" s="1">
        <f t="shared" si="318"/>
        <v>70.95</v>
      </c>
      <c r="N2298" s="1">
        <f t="shared" si="319"/>
        <v>66.59</v>
      </c>
      <c r="O2298" s="1">
        <f t="shared" si="320"/>
        <v>65.040000000000006</v>
      </c>
      <c r="P2298" s="1">
        <f t="shared" si="321"/>
        <v>33.183673469387756</v>
      </c>
    </row>
    <row r="2299" spans="1:16">
      <c r="A2299" s="2">
        <v>39723</v>
      </c>
      <c r="B2299" s="1">
        <v>67.63</v>
      </c>
      <c r="C2299" s="1">
        <v>68.959999999999994</v>
      </c>
      <c r="D2299" s="1">
        <v>65.41</v>
      </c>
      <c r="E2299" s="1">
        <v>67.36</v>
      </c>
      <c r="F2299" s="1">
        <v>8726100</v>
      </c>
      <c r="G2299" s="1">
        <v>67.36</v>
      </c>
      <c r="H2299" s="1">
        <f t="shared" si="315"/>
        <v>3.5499999999999972</v>
      </c>
      <c r="I2299" s="9">
        <f t="shared" si="322"/>
        <v>5.4273046934719418E-2</v>
      </c>
      <c r="J2299" s="1">
        <f t="shared" si="323"/>
        <v>-2.2199999999999989</v>
      </c>
      <c r="K2299" s="9">
        <f t="shared" si="316"/>
        <v>-3.1905720034492657E-2</v>
      </c>
      <c r="L2299" s="1">
        <f t="shared" si="317"/>
        <v>1</v>
      </c>
      <c r="M2299" s="1">
        <f t="shared" si="318"/>
        <v>68.959999999999994</v>
      </c>
      <c r="N2299" s="1">
        <f t="shared" si="319"/>
        <v>65.41</v>
      </c>
      <c r="O2299" s="1">
        <f t="shared" si="320"/>
        <v>65.400000000000006</v>
      </c>
      <c r="P2299" s="1">
        <f t="shared" si="321"/>
        <v>33.367346938775512</v>
      </c>
    </row>
    <row r="2300" spans="1:16">
      <c r="A2300" s="2">
        <v>39722</v>
      </c>
      <c r="B2300" s="1">
        <v>71.78</v>
      </c>
      <c r="C2300" s="1">
        <v>71.989999999999995</v>
      </c>
      <c r="D2300" s="1">
        <v>68.41</v>
      </c>
      <c r="E2300" s="1">
        <v>69.58</v>
      </c>
      <c r="F2300" s="1">
        <v>9622200</v>
      </c>
      <c r="G2300" s="1">
        <v>69.58</v>
      </c>
      <c r="H2300" s="1">
        <f t="shared" si="315"/>
        <v>3.5799999999999983</v>
      </c>
      <c r="I2300" s="9">
        <f t="shared" si="322"/>
        <v>5.2331530478000272E-2</v>
      </c>
      <c r="J2300" s="1">
        <f t="shared" si="323"/>
        <v>-3.1800000000000068</v>
      </c>
      <c r="K2300" s="9">
        <f t="shared" si="316"/>
        <v>-4.3705332600329945E-2</v>
      </c>
      <c r="L2300" s="1">
        <f t="shared" si="317"/>
        <v>1</v>
      </c>
      <c r="M2300" s="1">
        <f t="shared" si="318"/>
        <v>71.989999999999995</v>
      </c>
      <c r="N2300" s="1">
        <f t="shared" si="319"/>
        <v>68.41</v>
      </c>
      <c r="O2300" s="1">
        <f t="shared" si="320"/>
        <v>67.62</v>
      </c>
      <c r="P2300" s="1">
        <f t="shared" si="321"/>
        <v>34.5</v>
      </c>
    </row>
    <row r="2301" spans="1:16">
      <c r="A2301" s="2">
        <v>39721</v>
      </c>
      <c r="B2301" s="1">
        <v>65.84</v>
      </c>
      <c r="C2301" s="1">
        <v>73.12</v>
      </c>
      <c r="D2301" s="1">
        <v>65.319999999999993</v>
      </c>
      <c r="E2301" s="1">
        <v>72.760000000000005</v>
      </c>
      <c r="F2301" s="1">
        <v>13046900</v>
      </c>
      <c r="G2301" s="1">
        <v>72.760000000000005</v>
      </c>
      <c r="H2301" s="1">
        <f t="shared" si="315"/>
        <v>7.8000000000000114</v>
      </c>
      <c r="I2301" s="9">
        <f t="shared" si="322"/>
        <v>0.11941212492345395</v>
      </c>
      <c r="J2301" s="1">
        <f t="shared" si="323"/>
        <v>9.4100000000000037</v>
      </c>
      <c r="K2301" s="9">
        <f t="shared" si="316"/>
        <v>0.14853985793212318</v>
      </c>
      <c r="L2301" s="1">
        <f t="shared" si="317"/>
        <v>1</v>
      </c>
      <c r="M2301" s="1">
        <f t="shared" si="318"/>
        <v>73.12</v>
      </c>
      <c r="N2301" s="1">
        <f t="shared" si="319"/>
        <v>65.319999999999993</v>
      </c>
      <c r="O2301" s="1">
        <f t="shared" si="320"/>
        <v>70.800000000000011</v>
      </c>
      <c r="P2301" s="1">
        <f t="shared" si="321"/>
        <v>36.122448979591844</v>
      </c>
    </row>
    <row r="2302" spans="1:16">
      <c r="A2302" s="2">
        <v>39720</v>
      </c>
      <c r="B2302" s="1">
        <v>68.41</v>
      </c>
      <c r="C2302" s="1">
        <v>69.37</v>
      </c>
      <c r="D2302" s="1">
        <v>61.32</v>
      </c>
      <c r="E2302" s="1">
        <v>63.35</v>
      </c>
      <c r="F2302" s="1">
        <v>12004300</v>
      </c>
      <c r="G2302" s="1">
        <v>63.35</v>
      </c>
      <c r="H2302" s="1">
        <f t="shared" si="315"/>
        <v>8.0500000000000043</v>
      </c>
      <c r="I2302" s="9">
        <f t="shared" si="322"/>
        <v>0.13127853881278545</v>
      </c>
      <c r="J2302" s="1">
        <f t="shared" si="323"/>
        <v>-7.3500000000000014</v>
      </c>
      <c r="K2302" s="9">
        <f t="shared" si="316"/>
        <v>-0.10396039603960397</v>
      </c>
      <c r="L2302" s="1">
        <f t="shared" si="317"/>
        <v>1</v>
      </c>
      <c r="M2302" s="1">
        <f t="shared" si="318"/>
        <v>69.37</v>
      </c>
      <c r="N2302" s="1">
        <f t="shared" si="319"/>
        <v>61.32</v>
      </c>
      <c r="O2302" s="1">
        <f t="shared" si="320"/>
        <v>61.39</v>
      </c>
      <c r="P2302" s="1">
        <f t="shared" si="321"/>
        <v>31.321428571428573</v>
      </c>
    </row>
    <row r="2303" spans="1:16">
      <c r="A2303" s="2">
        <v>39717</v>
      </c>
      <c r="B2303" s="1">
        <v>69.52</v>
      </c>
      <c r="C2303" s="1">
        <v>71.05</v>
      </c>
      <c r="D2303" s="1">
        <v>68.08</v>
      </c>
      <c r="E2303" s="1">
        <v>70.7</v>
      </c>
      <c r="F2303" s="1">
        <v>6747100</v>
      </c>
      <c r="G2303" s="1">
        <v>70.7</v>
      </c>
      <c r="H2303" s="1">
        <f t="shared" si="315"/>
        <v>2.9699999999999989</v>
      </c>
      <c r="I2303" s="9">
        <f t="shared" si="322"/>
        <v>4.3625146886016437E-2</v>
      </c>
      <c r="J2303" s="1">
        <f t="shared" si="323"/>
        <v>-1.3799999999999955</v>
      </c>
      <c r="K2303" s="9">
        <f t="shared" si="316"/>
        <v>-1.9145394006659204E-2</v>
      </c>
      <c r="L2303" s="1">
        <f t="shared" si="317"/>
        <v>1</v>
      </c>
      <c r="M2303" s="1">
        <f t="shared" si="318"/>
        <v>71.05</v>
      </c>
      <c r="N2303" s="1">
        <f t="shared" si="319"/>
        <v>68.08</v>
      </c>
      <c r="O2303" s="1">
        <f t="shared" si="320"/>
        <v>68.740000000000009</v>
      </c>
      <c r="P2303" s="1">
        <f t="shared" si="321"/>
        <v>35.071428571428577</v>
      </c>
    </row>
    <row r="2304" spans="1:16">
      <c r="A2304" s="2">
        <v>39716</v>
      </c>
      <c r="B2304" s="1">
        <v>70.66</v>
      </c>
      <c r="C2304" s="1">
        <v>72.75</v>
      </c>
      <c r="D2304" s="1">
        <v>70.010000000000005</v>
      </c>
      <c r="E2304" s="1">
        <v>72.08</v>
      </c>
      <c r="F2304" s="1">
        <v>6073000</v>
      </c>
      <c r="G2304" s="1">
        <v>72.08</v>
      </c>
      <c r="H2304" s="1">
        <f t="shared" si="315"/>
        <v>2.7399999999999949</v>
      </c>
      <c r="I2304" s="9">
        <f t="shared" si="322"/>
        <v>3.913726610484209E-2</v>
      </c>
      <c r="J2304" s="1">
        <f t="shared" si="323"/>
        <v>2.1200000000000045</v>
      </c>
      <c r="K2304" s="9">
        <f t="shared" si="316"/>
        <v>3.030303030303037E-2</v>
      </c>
      <c r="L2304" s="1">
        <f t="shared" si="317"/>
        <v>1</v>
      </c>
      <c r="M2304" s="1">
        <f t="shared" si="318"/>
        <v>72.75</v>
      </c>
      <c r="N2304" s="1">
        <f t="shared" si="319"/>
        <v>70.010000000000005</v>
      </c>
      <c r="O2304" s="1">
        <f t="shared" si="320"/>
        <v>70.12</v>
      </c>
      <c r="P2304" s="1">
        <f t="shared" si="321"/>
        <v>35.775510204081634</v>
      </c>
    </row>
    <row r="2305" spans="1:16">
      <c r="A2305" s="2">
        <v>39715</v>
      </c>
      <c r="B2305" s="1">
        <v>72.3</v>
      </c>
      <c r="C2305" s="1">
        <v>73.650000000000006</v>
      </c>
      <c r="D2305" s="1">
        <v>68.94</v>
      </c>
      <c r="E2305" s="1">
        <v>69.959999999999994</v>
      </c>
      <c r="F2305" s="1">
        <v>9372400</v>
      </c>
      <c r="G2305" s="1">
        <v>69.959999999999994</v>
      </c>
      <c r="H2305" s="1">
        <f t="shared" si="315"/>
        <v>4.710000000000008</v>
      </c>
      <c r="I2305" s="9">
        <f t="shared" si="322"/>
        <v>6.8320278503046242E-2</v>
      </c>
      <c r="J2305" s="1">
        <f t="shared" si="323"/>
        <v>-1.8000000000000114</v>
      </c>
      <c r="K2305" s="9">
        <f t="shared" si="316"/>
        <v>-2.5083612040133936E-2</v>
      </c>
      <c r="L2305" s="1">
        <f t="shared" si="317"/>
        <v>1</v>
      </c>
      <c r="M2305" s="1">
        <f t="shared" si="318"/>
        <v>73.650000000000006</v>
      </c>
      <c r="N2305" s="1">
        <f t="shared" si="319"/>
        <v>68.94</v>
      </c>
      <c r="O2305" s="1">
        <f t="shared" si="320"/>
        <v>68</v>
      </c>
      <c r="P2305" s="1">
        <f t="shared" si="321"/>
        <v>34.693877551020407</v>
      </c>
    </row>
    <row r="2306" spans="1:16">
      <c r="A2306" s="2">
        <v>39714</v>
      </c>
      <c r="B2306" s="1">
        <v>75.790000000000006</v>
      </c>
      <c r="C2306" s="1">
        <v>76.290000000000006</v>
      </c>
      <c r="D2306" s="1">
        <v>70.77</v>
      </c>
      <c r="E2306" s="1">
        <v>71.760000000000005</v>
      </c>
      <c r="F2306" s="1">
        <v>8594200</v>
      </c>
      <c r="G2306" s="1">
        <v>71.760000000000005</v>
      </c>
      <c r="H2306" s="1">
        <f t="shared" si="315"/>
        <v>5.5200000000000102</v>
      </c>
      <c r="I2306" s="9">
        <f t="shared" si="322"/>
        <v>7.7999152183128598E-2</v>
      </c>
      <c r="J2306" s="1">
        <f t="shared" si="323"/>
        <v>-3.1700000000000017</v>
      </c>
      <c r="K2306" s="9">
        <f t="shared" si="316"/>
        <v>-4.2306152408915006E-2</v>
      </c>
      <c r="L2306" s="1">
        <f t="shared" si="317"/>
        <v>1</v>
      </c>
      <c r="M2306" s="1">
        <f t="shared" si="318"/>
        <v>76.290000000000006</v>
      </c>
      <c r="N2306" s="1">
        <f t="shared" si="319"/>
        <v>70.77</v>
      </c>
      <c r="O2306" s="1">
        <f t="shared" si="320"/>
        <v>69.800000000000011</v>
      </c>
      <c r="P2306" s="1">
        <f t="shared" si="321"/>
        <v>35.612244897959187</v>
      </c>
    </row>
    <row r="2307" spans="1:16">
      <c r="A2307" s="2">
        <v>39713</v>
      </c>
      <c r="B2307" s="1">
        <v>81.13</v>
      </c>
      <c r="C2307" s="1">
        <v>81.63</v>
      </c>
      <c r="D2307" s="1">
        <v>74.319999999999993</v>
      </c>
      <c r="E2307" s="1">
        <v>74.930000000000007</v>
      </c>
      <c r="F2307" s="1">
        <v>7037700</v>
      </c>
      <c r="G2307" s="1">
        <v>74.930000000000007</v>
      </c>
      <c r="H2307" s="1">
        <f t="shared" ref="H2307:H2370" si="324">C2307-D2307</f>
        <v>7.3100000000000023</v>
      </c>
      <c r="I2307" s="9">
        <f t="shared" si="322"/>
        <v>9.8358449946178733E-2</v>
      </c>
      <c r="J2307" s="1">
        <f t="shared" si="323"/>
        <v>-6.0699999999999932</v>
      </c>
      <c r="K2307" s="9">
        <f t="shared" ref="K2307:K2370" si="325">(G2307-G2308)/G2308</f>
        <v>-7.4938271604938184E-2</v>
      </c>
      <c r="L2307" s="1">
        <f t="shared" ref="L2307:L2370" si="326">G2307/E2307</f>
        <v>1</v>
      </c>
      <c r="M2307" s="1">
        <f t="shared" ref="M2307:M2370" si="327">L2307*C2307</f>
        <v>81.63</v>
      </c>
      <c r="N2307" s="1">
        <f t="shared" ref="N2307:N2370" si="328">L2307*D2307</f>
        <v>74.319999999999993</v>
      </c>
      <c r="O2307" s="1">
        <f t="shared" ref="O2307:O2370" si="329">G2307-$G$5163</f>
        <v>72.970000000000013</v>
      </c>
      <c r="P2307" s="1">
        <f t="shared" ref="P2307:P2370" si="330">(G2307-$G$5163)/$G$5163</f>
        <v>37.229591836734699</v>
      </c>
    </row>
    <row r="2308" spans="1:16">
      <c r="A2308" s="2">
        <v>39710</v>
      </c>
      <c r="B2308" s="1">
        <v>80.12</v>
      </c>
      <c r="C2308" s="1">
        <v>86.77</v>
      </c>
      <c r="D2308" s="1">
        <v>76.5</v>
      </c>
      <c r="E2308" s="1">
        <v>81</v>
      </c>
      <c r="F2308" s="1">
        <v>14772200</v>
      </c>
      <c r="G2308" s="1">
        <v>81</v>
      </c>
      <c r="H2308" s="1">
        <f t="shared" si="324"/>
        <v>10.269999999999996</v>
      </c>
      <c r="I2308" s="9">
        <f t="shared" ref="I2308:I2371" si="331">(C2308-D2308)/D2308</f>
        <v>0.13424836601307186</v>
      </c>
      <c r="J2308" s="1">
        <f t="shared" ref="J2308:J2371" si="332">G2308-G2309</f>
        <v>4.5</v>
      </c>
      <c r="K2308" s="9">
        <f t="shared" si="325"/>
        <v>5.8823529411764705E-2</v>
      </c>
      <c r="L2308" s="1">
        <f t="shared" si="326"/>
        <v>1</v>
      </c>
      <c r="M2308" s="1">
        <f t="shared" si="327"/>
        <v>86.77</v>
      </c>
      <c r="N2308" s="1">
        <f t="shared" si="328"/>
        <v>76.5</v>
      </c>
      <c r="O2308" s="1">
        <f t="shared" si="329"/>
        <v>79.040000000000006</v>
      </c>
      <c r="P2308" s="1">
        <f t="shared" si="330"/>
        <v>40.326530612244902</v>
      </c>
    </row>
    <row r="2309" spans="1:16">
      <c r="A2309" s="2">
        <v>39709</v>
      </c>
      <c r="B2309" s="1">
        <v>73.08</v>
      </c>
      <c r="C2309" s="1">
        <v>77.5</v>
      </c>
      <c r="D2309" s="1">
        <v>70.08</v>
      </c>
      <c r="E2309" s="1">
        <v>76.5</v>
      </c>
      <c r="F2309" s="1">
        <v>12397200</v>
      </c>
      <c r="G2309" s="1">
        <v>76.5</v>
      </c>
      <c r="H2309" s="1">
        <f t="shared" si="324"/>
        <v>7.4200000000000017</v>
      </c>
      <c r="I2309" s="9">
        <f t="shared" si="331"/>
        <v>0.10587899543378998</v>
      </c>
      <c r="J2309" s="1">
        <f t="shared" si="332"/>
        <v>4.9599999999999937</v>
      </c>
      <c r="K2309" s="9">
        <f t="shared" si="325"/>
        <v>6.9331842325971393E-2</v>
      </c>
      <c r="L2309" s="1">
        <f t="shared" si="326"/>
        <v>1</v>
      </c>
      <c r="M2309" s="1">
        <f t="shared" si="327"/>
        <v>77.5</v>
      </c>
      <c r="N2309" s="1">
        <f t="shared" si="328"/>
        <v>70.08</v>
      </c>
      <c r="O2309" s="1">
        <f t="shared" si="329"/>
        <v>74.540000000000006</v>
      </c>
      <c r="P2309" s="1">
        <f t="shared" si="330"/>
        <v>38.030612244897966</v>
      </c>
    </row>
    <row r="2310" spans="1:16">
      <c r="A2310" s="2">
        <v>39708</v>
      </c>
      <c r="B2310" s="1">
        <v>77.680000000000007</v>
      </c>
      <c r="C2310" s="1">
        <v>78.239999999999995</v>
      </c>
      <c r="D2310" s="1">
        <v>71.239999999999995</v>
      </c>
      <c r="E2310" s="1">
        <v>71.540000000000006</v>
      </c>
      <c r="F2310" s="1">
        <v>13165600</v>
      </c>
      <c r="G2310" s="1">
        <v>71.540000000000006</v>
      </c>
      <c r="H2310" s="1">
        <f t="shared" si="324"/>
        <v>7</v>
      </c>
      <c r="I2310" s="9">
        <f t="shared" si="331"/>
        <v>9.8259404828747898E-2</v>
      </c>
      <c r="J2310" s="1">
        <f t="shared" si="332"/>
        <v>-7.1899999999999977</v>
      </c>
      <c r="K2310" s="9">
        <f t="shared" si="325"/>
        <v>-9.1324780896735652E-2</v>
      </c>
      <c r="L2310" s="1">
        <f t="shared" si="326"/>
        <v>1</v>
      </c>
      <c r="M2310" s="1">
        <f t="shared" si="327"/>
        <v>78.239999999999995</v>
      </c>
      <c r="N2310" s="1">
        <f t="shared" si="328"/>
        <v>71.239999999999995</v>
      </c>
      <c r="O2310" s="1">
        <f t="shared" si="329"/>
        <v>69.580000000000013</v>
      </c>
      <c r="P2310" s="1">
        <f t="shared" si="330"/>
        <v>35.500000000000007</v>
      </c>
    </row>
    <row r="2311" spans="1:16">
      <c r="A2311" s="2">
        <v>39707</v>
      </c>
      <c r="B2311" s="1">
        <v>76.8</v>
      </c>
      <c r="C2311" s="1">
        <v>79.63</v>
      </c>
      <c r="D2311" s="1">
        <v>76.67</v>
      </c>
      <c r="E2311" s="1">
        <v>78.73</v>
      </c>
      <c r="F2311" s="1">
        <v>13092200</v>
      </c>
      <c r="G2311" s="1">
        <v>78.73</v>
      </c>
      <c r="H2311" s="1">
        <f t="shared" si="324"/>
        <v>2.9599999999999937</v>
      </c>
      <c r="I2311" s="9">
        <f t="shared" si="331"/>
        <v>3.8607017086213558E-2</v>
      </c>
      <c r="J2311" s="1">
        <f t="shared" si="332"/>
        <v>1.3900000000000006</v>
      </c>
      <c r="K2311" s="9">
        <f t="shared" si="325"/>
        <v>1.7972588569950872E-2</v>
      </c>
      <c r="L2311" s="1">
        <f t="shared" si="326"/>
        <v>1</v>
      </c>
      <c r="M2311" s="1">
        <f t="shared" si="327"/>
        <v>79.63</v>
      </c>
      <c r="N2311" s="1">
        <f t="shared" si="328"/>
        <v>76.67</v>
      </c>
      <c r="O2311" s="1">
        <f t="shared" si="329"/>
        <v>76.77000000000001</v>
      </c>
      <c r="P2311" s="1">
        <f t="shared" si="330"/>
        <v>39.16836734693878</v>
      </c>
    </row>
    <row r="2312" spans="1:16">
      <c r="A2312" s="2">
        <v>39706</v>
      </c>
      <c r="B2312" s="1">
        <v>76.86</v>
      </c>
      <c r="C2312" s="1">
        <v>79.88</v>
      </c>
      <c r="D2312" s="1">
        <v>76.3</v>
      </c>
      <c r="E2312" s="1">
        <v>77.34</v>
      </c>
      <c r="F2312" s="1">
        <v>8980800</v>
      </c>
      <c r="G2312" s="1">
        <v>77.34</v>
      </c>
      <c r="H2312" s="1">
        <f t="shared" si="324"/>
        <v>3.5799999999999983</v>
      </c>
      <c r="I2312" s="9">
        <f t="shared" si="331"/>
        <v>4.6920052424639563E-2</v>
      </c>
      <c r="J2312" s="1">
        <f t="shared" si="332"/>
        <v>-0.95999999999999375</v>
      </c>
      <c r="K2312" s="9">
        <f t="shared" si="325"/>
        <v>-1.2260536398467354E-2</v>
      </c>
      <c r="L2312" s="1">
        <f t="shared" si="326"/>
        <v>1</v>
      </c>
      <c r="M2312" s="1">
        <f t="shared" si="327"/>
        <v>79.88</v>
      </c>
      <c r="N2312" s="1">
        <f t="shared" si="328"/>
        <v>76.3</v>
      </c>
      <c r="O2312" s="1">
        <f t="shared" si="329"/>
        <v>75.38000000000001</v>
      </c>
      <c r="P2312" s="1">
        <f t="shared" si="330"/>
        <v>38.45918367346939</v>
      </c>
    </row>
    <row r="2313" spans="1:16">
      <c r="A2313" s="2">
        <v>39703</v>
      </c>
      <c r="B2313" s="1">
        <v>78.81</v>
      </c>
      <c r="C2313" s="1">
        <v>79.599999999999994</v>
      </c>
      <c r="D2313" s="1">
        <v>76.62</v>
      </c>
      <c r="E2313" s="1">
        <v>78.3</v>
      </c>
      <c r="F2313" s="1">
        <v>6480100</v>
      </c>
      <c r="G2313" s="1">
        <v>78.3</v>
      </c>
      <c r="H2313" s="1">
        <f t="shared" si="324"/>
        <v>2.9799999999999898</v>
      </c>
      <c r="I2313" s="9">
        <f t="shared" si="331"/>
        <v>3.8893239363090443E-2</v>
      </c>
      <c r="J2313" s="1">
        <f t="shared" si="332"/>
        <v>-1.210000000000008</v>
      </c>
      <c r="K2313" s="9">
        <f t="shared" si="325"/>
        <v>-1.5218211545717619E-2</v>
      </c>
      <c r="L2313" s="1">
        <f t="shared" si="326"/>
        <v>1</v>
      </c>
      <c r="M2313" s="1">
        <f t="shared" si="327"/>
        <v>79.599999999999994</v>
      </c>
      <c r="N2313" s="1">
        <f t="shared" si="328"/>
        <v>76.62</v>
      </c>
      <c r="O2313" s="1">
        <f t="shared" si="329"/>
        <v>76.34</v>
      </c>
      <c r="P2313" s="1">
        <f t="shared" si="330"/>
        <v>38.948979591836739</v>
      </c>
    </row>
    <row r="2314" spans="1:16">
      <c r="A2314" s="2">
        <v>39702</v>
      </c>
      <c r="B2314" s="1">
        <v>75.27</v>
      </c>
      <c r="C2314" s="1">
        <v>79.8</v>
      </c>
      <c r="D2314" s="1">
        <v>75.099999999999994</v>
      </c>
      <c r="E2314" s="1">
        <v>79.510000000000005</v>
      </c>
      <c r="F2314" s="1">
        <v>7813600</v>
      </c>
      <c r="G2314" s="1">
        <v>79.510000000000005</v>
      </c>
      <c r="H2314" s="1">
        <f t="shared" si="324"/>
        <v>4.7000000000000028</v>
      </c>
      <c r="I2314" s="9">
        <f t="shared" si="331"/>
        <v>6.258322237017315E-2</v>
      </c>
      <c r="J2314" s="1">
        <f t="shared" si="332"/>
        <v>2.7700000000000102</v>
      </c>
      <c r="K2314" s="9">
        <f t="shared" si="325"/>
        <v>3.6095908261662896E-2</v>
      </c>
      <c r="L2314" s="1">
        <f t="shared" si="326"/>
        <v>1</v>
      </c>
      <c r="M2314" s="1">
        <f t="shared" si="327"/>
        <v>79.8</v>
      </c>
      <c r="N2314" s="1">
        <f t="shared" si="328"/>
        <v>75.099999999999994</v>
      </c>
      <c r="O2314" s="1">
        <f t="shared" si="329"/>
        <v>77.550000000000011</v>
      </c>
      <c r="P2314" s="1">
        <f t="shared" si="330"/>
        <v>39.566326530612251</v>
      </c>
    </row>
    <row r="2315" spans="1:16">
      <c r="A2315" s="2">
        <v>39701</v>
      </c>
      <c r="B2315" s="1">
        <v>80.010000000000005</v>
      </c>
      <c r="C2315" s="1">
        <v>80.22</v>
      </c>
      <c r="D2315" s="1">
        <v>76.150000000000006</v>
      </c>
      <c r="E2315" s="1">
        <v>76.739999999999995</v>
      </c>
      <c r="F2315" s="1">
        <v>9444700</v>
      </c>
      <c r="G2315" s="1">
        <v>76.739999999999995</v>
      </c>
      <c r="H2315" s="1">
        <f t="shared" si="324"/>
        <v>4.0699999999999932</v>
      </c>
      <c r="I2315" s="9">
        <f t="shared" si="331"/>
        <v>5.3447143795141074E-2</v>
      </c>
      <c r="J2315" s="1">
        <f t="shared" si="332"/>
        <v>-2.3000000000000114</v>
      </c>
      <c r="K2315" s="9">
        <f t="shared" si="325"/>
        <v>-2.9099190283400952E-2</v>
      </c>
      <c r="L2315" s="1">
        <f t="shared" si="326"/>
        <v>1</v>
      </c>
      <c r="M2315" s="1">
        <f t="shared" si="327"/>
        <v>80.22</v>
      </c>
      <c r="N2315" s="1">
        <f t="shared" si="328"/>
        <v>76.150000000000006</v>
      </c>
      <c r="O2315" s="1">
        <f t="shared" si="329"/>
        <v>74.78</v>
      </c>
      <c r="P2315" s="1">
        <f t="shared" si="330"/>
        <v>38.153061224489797</v>
      </c>
    </row>
    <row r="2316" spans="1:16">
      <c r="A2316" s="2">
        <v>39700</v>
      </c>
      <c r="B2316" s="1">
        <v>80.760000000000005</v>
      </c>
      <c r="C2316" s="1">
        <v>81.96</v>
      </c>
      <c r="D2316" s="1">
        <v>78.989999999999995</v>
      </c>
      <c r="E2316" s="1">
        <v>79.040000000000006</v>
      </c>
      <c r="F2316" s="1">
        <v>5821800</v>
      </c>
      <c r="G2316" s="1">
        <v>79.040000000000006</v>
      </c>
      <c r="H2316" s="1">
        <f t="shared" si="324"/>
        <v>2.9699999999999989</v>
      </c>
      <c r="I2316" s="9">
        <f t="shared" si="331"/>
        <v>3.759969616407139E-2</v>
      </c>
      <c r="J2316" s="1">
        <f t="shared" si="332"/>
        <v>-2.1199999999999903</v>
      </c>
      <c r="K2316" s="9">
        <f t="shared" si="325"/>
        <v>-2.6121241991128516E-2</v>
      </c>
      <c r="L2316" s="1">
        <f t="shared" si="326"/>
        <v>1</v>
      </c>
      <c r="M2316" s="1">
        <f t="shared" si="327"/>
        <v>81.96</v>
      </c>
      <c r="N2316" s="1">
        <f t="shared" si="328"/>
        <v>78.989999999999995</v>
      </c>
      <c r="O2316" s="1">
        <f t="shared" si="329"/>
        <v>77.080000000000013</v>
      </c>
      <c r="P2316" s="1">
        <f t="shared" si="330"/>
        <v>39.326530612244902</v>
      </c>
    </row>
    <row r="2317" spans="1:16">
      <c r="A2317" s="2">
        <v>39699</v>
      </c>
      <c r="B2317" s="1">
        <v>82.25</v>
      </c>
      <c r="C2317" s="1">
        <v>83.75</v>
      </c>
      <c r="D2317" s="1">
        <v>78.849999999999994</v>
      </c>
      <c r="E2317" s="1">
        <v>81.16</v>
      </c>
      <c r="F2317" s="1">
        <v>9490600</v>
      </c>
      <c r="G2317" s="1">
        <v>81.16</v>
      </c>
      <c r="H2317" s="1">
        <f t="shared" si="324"/>
        <v>4.9000000000000057</v>
      </c>
      <c r="I2317" s="9">
        <f t="shared" si="331"/>
        <v>6.214331008243508E-2</v>
      </c>
      <c r="J2317" s="1">
        <f t="shared" si="332"/>
        <v>1.9699999999999989</v>
      </c>
      <c r="K2317" s="9">
        <f t="shared" si="325"/>
        <v>2.4876878393736569E-2</v>
      </c>
      <c r="L2317" s="1">
        <f t="shared" si="326"/>
        <v>1</v>
      </c>
      <c r="M2317" s="1">
        <f t="shared" si="327"/>
        <v>83.75</v>
      </c>
      <c r="N2317" s="1">
        <f t="shared" si="328"/>
        <v>78.849999999999994</v>
      </c>
      <c r="O2317" s="1">
        <f t="shared" si="329"/>
        <v>79.2</v>
      </c>
      <c r="P2317" s="1">
        <f t="shared" si="330"/>
        <v>40.408163265306122</v>
      </c>
    </row>
    <row r="2318" spans="1:16">
      <c r="A2318" s="2">
        <v>39696</v>
      </c>
      <c r="B2318" s="1">
        <v>77.34</v>
      </c>
      <c r="C2318" s="1">
        <v>80.72</v>
      </c>
      <c r="D2318" s="1">
        <v>77.08</v>
      </c>
      <c r="E2318" s="1">
        <v>79.19</v>
      </c>
      <c r="F2318" s="1">
        <v>8069100</v>
      </c>
      <c r="G2318" s="1">
        <v>79.19</v>
      </c>
      <c r="H2318" s="1">
        <f t="shared" si="324"/>
        <v>3.6400000000000006</v>
      </c>
      <c r="I2318" s="9">
        <f t="shared" si="331"/>
        <v>4.7223663725998968E-2</v>
      </c>
      <c r="J2318" s="1">
        <f t="shared" si="332"/>
        <v>1.1599999999999966</v>
      </c>
      <c r="K2318" s="9">
        <f t="shared" si="325"/>
        <v>1.486607714981413E-2</v>
      </c>
      <c r="L2318" s="1">
        <f t="shared" si="326"/>
        <v>1</v>
      </c>
      <c r="M2318" s="1">
        <f t="shared" si="327"/>
        <v>80.72</v>
      </c>
      <c r="N2318" s="1">
        <f t="shared" si="328"/>
        <v>77.08</v>
      </c>
      <c r="O2318" s="1">
        <f t="shared" si="329"/>
        <v>77.23</v>
      </c>
      <c r="P2318" s="1">
        <f t="shared" si="330"/>
        <v>39.403061224489797</v>
      </c>
    </row>
    <row r="2319" spans="1:16">
      <c r="A2319" s="2">
        <v>39695</v>
      </c>
      <c r="B2319" s="1">
        <v>80.599999999999994</v>
      </c>
      <c r="C2319" s="1">
        <v>80.81</v>
      </c>
      <c r="D2319" s="1">
        <v>78.02</v>
      </c>
      <c r="E2319" s="1">
        <v>78.03</v>
      </c>
      <c r="F2319" s="1">
        <v>8316500</v>
      </c>
      <c r="G2319" s="1">
        <v>78.03</v>
      </c>
      <c r="H2319" s="1">
        <f t="shared" si="324"/>
        <v>2.7900000000000063</v>
      </c>
      <c r="I2319" s="9">
        <f t="shared" si="331"/>
        <v>3.576006152268657E-2</v>
      </c>
      <c r="J2319" s="1">
        <f t="shared" si="332"/>
        <v>-2.7399999999999949</v>
      </c>
      <c r="K2319" s="9">
        <f t="shared" si="325"/>
        <v>-3.3923486442986199E-2</v>
      </c>
      <c r="L2319" s="1">
        <f t="shared" si="326"/>
        <v>1</v>
      </c>
      <c r="M2319" s="1">
        <f t="shared" si="327"/>
        <v>80.81</v>
      </c>
      <c r="N2319" s="1">
        <f t="shared" si="328"/>
        <v>78.02</v>
      </c>
      <c r="O2319" s="1">
        <f t="shared" si="329"/>
        <v>76.070000000000007</v>
      </c>
      <c r="P2319" s="1">
        <f t="shared" si="330"/>
        <v>38.811224489795926</v>
      </c>
    </row>
    <row r="2320" spans="1:16">
      <c r="A2320" s="2">
        <v>39694</v>
      </c>
      <c r="B2320" s="1">
        <v>81.400000000000006</v>
      </c>
      <c r="C2320" s="1">
        <v>82</v>
      </c>
      <c r="D2320" s="1">
        <v>80.02</v>
      </c>
      <c r="E2320" s="1">
        <v>80.77</v>
      </c>
      <c r="F2320" s="1">
        <v>5742600</v>
      </c>
      <c r="G2320" s="1">
        <v>80.77</v>
      </c>
      <c r="H2320" s="1">
        <f t="shared" si="324"/>
        <v>1.980000000000004</v>
      </c>
      <c r="I2320" s="9">
        <f t="shared" si="331"/>
        <v>2.4743814046488431E-2</v>
      </c>
      <c r="J2320" s="1">
        <f t="shared" si="332"/>
        <v>-0.64000000000000057</v>
      </c>
      <c r="K2320" s="9">
        <f t="shared" si="325"/>
        <v>-7.8614420832821587E-3</v>
      </c>
      <c r="L2320" s="1">
        <f t="shared" si="326"/>
        <v>1</v>
      </c>
      <c r="M2320" s="1">
        <f t="shared" si="327"/>
        <v>82</v>
      </c>
      <c r="N2320" s="1">
        <f t="shared" si="328"/>
        <v>80.02</v>
      </c>
      <c r="O2320" s="1">
        <f t="shared" si="329"/>
        <v>78.81</v>
      </c>
      <c r="P2320" s="1">
        <f t="shared" si="330"/>
        <v>40.20918367346939</v>
      </c>
    </row>
    <row r="2321" spans="1:16">
      <c r="A2321" s="2">
        <v>39693</v>
      </c>
      <c r="B2321" s="1">
        <v>83.16</v>
      </c>
      <c r="C2321" s="1">
        <v>84.5</v>
      </c>
      <c r="D2321" s="1">
        <v>81.209999999999994</v>
      </c>
      <c r="E2321" s="1">
        <v>81.41</v>
      </c>
      <c r="F2321" s="1">
        <v>6000800</v>
      </c>
      <c r="G2321" s="1">
        <v>81.41</v>
      </c>
      <c r="H2321" s="1">
        <f t="shared" si="324"/>
        <v>3.2900000000000063</v>
      </c>
      <c r="I2321" s="9">
        <f t="shared" si="331"/>
        <v>4.0512252185691495E-2</v>
      </c>
      <c r="J2321" s="1">
        <f t="shared" si="332"/>
        <v>0.59999999999999432</v>
      </c>
      <c r="K2321" s="9">
        <f t="shared" si="325"/>
        <v>7.4248236604379939E-3</v>
      </c>
      <c r="L2321" s="1">
        <f t="shared" si="326"/>
        <v>1</v>
      </c>
      <c r="M2321" s="1">
        <f t="shared" si="327"/>
        <v>84.5</v>
      </c>
      <c r="N2321" s="1">
        <f t="shared" si="328"/>
        <v>81.209999999999994</v>
      </c>
      <c r="O2321" s="1">
        <f t="shared" si="329"/>
        <v>79.45</v>
      </c>
      <c r="P2321" s="1">
        <f t="shared" si="330"/>
        <v>40.535714285714285</v>
      </c>
    </row>
    <row r="2322" spans="1:16">
      <c r="A2322" s="2">
        <v>39689</v>
      </c>
      <c r="B2322" s="1">
        <v>82.9</v>
      </c>
      <c r="C2322" s="1">
        <v>82.9</v>
      </c>
      <c r="D2322" s="1">
        <v>80.5</v>
      </c>
      <c r="E2322" s="1">
        <v>80.81</v>
      </c>
      <c r="F2322" s="1">
        <v>4728700</v>
      </c>
      <c r="G2322" s="1">
        <v>80.81</v>
      </c>
      <c r="H2322" s="1">
        <f t="shared" si="324"/>
        <v>2.4000000000000057</v>
      </c>
      <c r="I2322" s="9">
        <f t="shared" si="331"/>
        <v>2.9813664596273364E-2</v>
      </c>
      <c r="J2322" s="1">
        <f t="shared" si="332"/>
        <v>-2.6099999999999994</v>
      </c>
      <c r="K2322" s="9">
        <f t="shared" si="325"/>
        <v>-3.1287461040517855E-2</v>
      </c>
      <c r="L2322" s="1">
        <f t="shared" si="326"/>
        <v>1</v>
      </c>
      <c r="M2322" s="1">
        <f t="shared" si="327"/>
        <v>82.9</v>
      </c>
      <c r="N2322" s="1">
        <f t="shared" si="328"/>
        <v>80.5</v>
      </c>
      <c r="O2322" s="1">
        <f t="shared" si="329"/>
        <v>78.850000000000009</v>
      </c>
      <c r="P2322" s="1">
        <f t="shared" si="330"/>
        <v>40.229591836734699</v>
      </c>
    </row>
    <row r="2323" spans="1:16">
      <c r="A2323" s="2">
        <v>39688</v>
      </c>
      <c r="B2323" s="1">
        <v>82.21</v>
      </c>
      <c r="C2323" s="1">
        <v>83.65</v>
      </c>
      <c r="D2323" s="1">
        <v>81.8</v>
      </c>
      <c r="E2323" s="1">
        <v>83.42</v>
      </c>
      <c r="F2323" s="1">
        <v>7834100</v>
      </c>
      <c r="G2323" s="1">
        <v>83.42</v>
      </c>
      <c r="H2323" s="1">
        <f t="shared" si="324"/>
        <v>1.8500000000000085</v>
      </c>
      <c r="I2323" s="9">
        <f t="shared" si="331"/>
        <v>2.2616136919315508E-2</v>
      </c>
      <c r="J2323" s="1">
        <f t="shared" si="332"/>
        <v>1.6899999999999977</v>
      </c>
      <c r="K2323" s="9">
        <f t="shared" si="325"/>
        <v>2.0677841673803959E-2</v>
      </c>
      <c r="L2323" s="1">
        <f t="shared" si="326"/>
        <v>1</v>
      </c>
      <c r="M2323" s="1">
        <f t="shared" si="327"/>
        <v>83.65</v>
      </c>
      <c r="N2323" s="1">
        <f t="shared" si="328"/>
        <v>81.8</v>
      </c>
      <c r="O2323" s="1">
        <f t="shared" si="329"/>
        <v>81.460000000000008</v>
      </c>
      <c r="P2323" s="1">
        <f t="shared" si="330"/>
        <v>41.561224489795926</v>
      </c>
    </row>
    <row r="2324" spans="1:16">
      <c r="A2324" s="2">
        <v>39687</v>
      </c>
      <c r="B2324" s="1">
        <v>81.44</v>
      </c>
      <c r="C2324" s="1">
        <v>82.74</v>
      </c>
      <c r="D2324" s="1">
        <v>81</v>
      </c>
      <c r="E2324" s="1">
        <v>81.73</v>
      </c>
      <c r="F2324" s="1">
        <v>5627300</v>
      </c>
      <c r="G2324" s="1">
        <v>81.73</v>
      </c>
      <c r="H2324" s="1">
        <f t="shared" si="324"/>
        <v>1.7399999999999949</v>
      </c>
      <c r="I2324" s="9">
        <f t="shared" si="331"/>
        <v>2.1481481481481417E-2</v>
      </c>
      <c r="J2324" s="1">
        <f t="shared" si="332"/>
        <v>-3.0000000000001137E-2</v>
      </c>
      <c r="K2324" s="9">
        <f t="shared" si="325"/>
        <v>-3.6692759295500407E-4</v>
      </c>
      <c r="L2324" s="1">
        <f t="shared" si="326"/>
        <v>1</v>
      </c>
      <c r="M2324" s="1">
        <f t="shared" si="327"/>
        <v>82.74</v>
      </c>
      <c r="N2324" s="1">
        <f t="shared" si="328"/>
        <v>81</v>
      </c>
      <c r="O2324" s="1">
        <f t="shared" si="329"/>
        <v>79.77000000000001</v>
      </c>
      <c r="P2324" s="1">
        <f t="shared" si="330"/>
        <v>40.698979591836739</v>
      </c>
    </row>
    <row r="2325" spans="1:16">
      <c r="A2325" s="2">
        <v>39686</v>
      </c>
      <c r="B2325" s="1">
        <v>82.74</v>
      </c>
      <c r="C2325" s="1">
        <v>83.12</v>
      </c>
      <c r="D2325" s="1">
        <v>81.25</v>
      </c>
      <c r="E2325" s="1">
        <v>81.760000000000005</v>
      </c>
      <c r="F2325" s="1">
        <v>4374200</v>
      </c>
      <c r="G2325" s="1">
        <v>81.760000000000005</v>
      </c>
      <c r="H2325" s="1">
        <f t="shared" si="324"/>
        <v>1.8700000000000045</v>
      </c>
      <c r="I2325" s="9">
        <f t="shared" si="331"/>
        <v>2.301538461538467E-2</v>
      </c>
      <c r="J2325" s="1">
        <f t="shared" si="332"/>
        <v>-1.0899999999999892</v>
      </c>
      <c r="K2325" s="9">
        <f t="shared" si="325"/>
        <v>-1.315630657815316E-2</v>
      </c>
      <c r="L2325" s="1">
        <f t="shared" si="326"/>
        <v>1</v>
      </c>
      <c r="M2325" s="1">
        <f t="shared" si="327"/>
        <v>83.12</v>
      </c>
      <c r="N2325" s="1">
        <f t="shared" si="328"/>
        <v>81.25</v>
      </c>
      <c r="O2325" s="1">
        <f t="shared" si="329"/>
        <v>79.800000000000011</v>
      </c>
      <c r="P2325" s="1">
        <f t="shared" si="330"/>
        <v>40.714285714285722</v>
      </c>
    </row>
    <row r="2326" spans="1:16">
      <c r="A2326" s="2">
        <v>39685</v>
      </c>
      <c r="B2326" s="1">
        <v>84.63</v>
      </c>
      <c r="C2326" s="1">
        <v>84.64</v>
      </c>
      <c r="D2326" s="1">
        <v>82.45</v>
      </c>
      <c r="E2326" s="1">
        <v>82.85</v>
      </c>
      <c r="F2326" s="1">
        <v>4356400</v>
      </c>
      <c r="G2326" s="1">
        <v>82.85</v>
      </c>
      <c r="H2326" s="1">
        <f t="shared" si="324"/>
        <v>2.1899999999999977</v>
      </c>
      <c r="I2326" s="9">
        <f t="shared" si="331"/>
        <v>2.6561552456033932E-2</v>
      </c>
      <c r="J2326" s="1">
        <f t="shared" si="332"/>
        <v>-2.4100000000000108</v>
      </c>
      <c r="K2326" s="9">
        <f t="shared" si="325"/>
        <v>-2.8266479005395386E-2</v>
      </c>
      <c r="L2326" s="1">
        <f t="shared" si="326"/>
        <v>1</v>
      </c>
      <c r="M2326" s="1">
        <f t="shared" si="327"/>
        <v>84.64</v>
      </c>
      <c r="N2326" s="1">
        <f t="shared" si="328"/>
        <v>82.45</v>
      </c>
      <c r="O2326" s="1">
        <f t="shared" si="329"/>
        <v>80.89</v>
      </c>
      <c r="P2326" s="1">
        <f t="shared" si="330"/>
        <v>41.270408163265309</v>
      </c>
    </row>
    <row r="2327" spans="1:16">
      <c r="A2327" s="2">
        <v>39682</v>
      </c>
      <c r="B2327" s="1">
        <v>84.27</v>
      </c>
      <c r="C2327" s="1">
        <v>85.46</v>
      </c>
      <c r="D2327" s="1">
        <v>83.93</v>
      </c>
      <c r="E2327" s="1">
        <v>85.26</v>
      </c>
      <c r="F2327" s="1">
        <v>4677800</v>
      </c>
      <c r="G2327" s="1">
        <v>85.26</v>
      </c>
      <c r="H2327" s="1">
        <f t="shared" si="324"/>
        <v>1.5299999999999869</v>
      </c>
      <c r="I2327" s="9">
        <f t="shared" si="331"/>
        <v>1.8229476945073118E-2</v>
      </c>
      <c r="J2327" s="1">
        <f t="shared" si="332"/>
        <v>2</v>
      </c>
      <c r="K2327" s="9">
        <f t="shared" si="325"/>
        <v>2.4021138601969732E-2</v>
      </c>
      <c r="L2327" s="1">
        <f t="shared" si="326"/>
        <v>1</v>
      </c>
      <c r="M2327" s="1">
        <f t="shared" si="327"/>
        <v>85.46</v>
      </c>
      <c r="N2327" s="1">
        <f t="shared" si="328"/>
        <v>83.93</v>
      </c>
      <c r="O2327" s="1">
        <f t="shared" si="329"/>
        <v>83.300000000000011</v>
      </c>
      <c r="P2327" s="1">
        <f t="shared" si="330"/>
        <v>42.500000000000007</v>
      </c>
    </row>
    <row r="2328" spans="1:16">
      <c r="A2328" s="2">
        <v>39681</v>
      </c>
      <c r="B2328" s="1">
        <v>81.41</v>
      </c>
      <c r="C2328" s="1">
        <v>83.77</v>
      </c>
      <c r="D2328" s="1">
        <v>80.98</v>
      </c>
      <c r="E2328" s="1">
        <v>83.26</v>
      </c>
      <c r="F2328" s="1">
        <v>6157800</v>
      </c>
      <c r="G2328" s="1">
        <v>83.26</v>
      </c>
      <c r="H2328" s="1">
        <f t="shared" si="324"/>
        <v>2.789999999999992</v>
      </c>
      <c r="I2328" s="9">
        <f t="shared" si="331"/>
        <v>3.4452951346011264E-2</v>
      </c>
      <c r="J2328" s="1">
        <f t="shared" si="332"/>
        <v>1.1300000000000097</v>
      </c>
      <c r="K2328" s="9">
        <f t="shared" si="325"/>
        <v>1.3758675270912088E-2</v>
      </c>
      <c r="L2328" s="1">
        <f t="shared" si="326"/>
        <v>1</v>
      </c>
      <c r="M2328" s="1">
        <f t="shared" si="327"/>
        <v>83.77</v>
      </c>
      <c r="N2328" s="1">
        <f t="shared" si="328"/>
        <v>80.98</v>
      </c>
      <c r="O2328" s="1">
        <f t="shared" si="329"/>
        <v>81.300000000000011</v>
      </c>
      <c r="P2328" s="1">
        <f t="shared" si="330"/>
        <v>41.479591836734699</v>
      </c>
    </row>
    <row r="2329" spans="1:16">
      <c r="A2329" s="2">
        <v>39680</v>
      </c>
      <c r="B2329" s="1">
        <v>82</v>
      </c>
      <c r="C2329" s="1">
        <v>83.25</v>
      </c>
      <c r="D2329" s="1">
        <v>81.2</v>
      </c>
      <c r="E2329" s="1">
        <v>82.13</v>
      </c>
      <c r="F2329" s="1">
        <v>5950600</v>
      </c>
      <c r="G2329" s="1">
        <v>82.13</v>
      </c>
      <c r="H2329" s="1">
        <f t="shared" si="324"/>
        <v>2.0499999999999972</v>
      </c>
      <c r="I2329" s="9">
        <f t="shared" si="331"/>
        <v>2.5246305418719178E-2</v>
      </c>
      <c r="J2329" s="1">
        <f t="shared" si="332"/>
        <v>0.8399999999999892</v>
      </c>
      <c r="K2329" s="9">
        <f t="shared" si="325"/>
        <v>1.0333374338786925E-2</v>
      </c>
      <c r="L2329" s="1">
        <f t="shared" si="326"/>
        <v>1</v>
      </c>
      <c r="M2329" s="1">
        <f t="shared" si="327"/>
        <v>83.25</v>
      </c>
      <c r="N2329" s="1">
        <f t="shared" si="328"/>
        <v>81.2</v>
      </c>
      <c r="O2329" s="1">
        <f t="shared" si="329"/>
        <v>80.17</v>
      </c>
      <c r="P2329" s="1">
        <f t="shared" si="330"/>
        <v>40.903061224489797</v>
      </c>
    </row>
    <row r="2330" spans="1:16">
      <c r="A2330" s="2">
        <v>39679</v>
      </c>
      <c r="B2330" s="1">
        <v>83.09</v>
      </c>
      <c r="C2330" s="1">
        <v>83.51</v>
      </c>
      <c r="D2330" s="1">
        <v>81.06</v>
      </c>
      <c r="E2330" s="1">
        <v>81.290000000000006</v>
      </c>
      <c r="F2330" s="1">
        <v>6630400</v>
      </c>
      <c r="G2330" s="1">
        <v>81.290000000000006</v>
      </c>
      <c r="H2330" s="1">
        <f t="shared" si="324"/>
        <v>2.4500000000000028</v>
      </c>
      <c r="I2330" s="9">
        <f t="shared" si="331"/>
        <v>3.0224525043177929E-2</v>
      </c>
      <c r="J2330" s="1">
        <f t="shared" si="332"/>
        <v>-1.8199999999999932</v>
      </c>
      <c r="K2330" s="9">
        <f t="shared" si="325"/>
        <v>-2.1898688485140094E-2</v>
      </c>
      <c r="L2330" s="1">
        <f t="shared" si="326"/>
        <v>1</v>
      </c>
      <c r="M2330" s="1">
        <f t="shared" si="327"/>
        <v>83.51</v>
      </c>
      <c r="N2330" s="1">
        <f t="shared" si="328"/>
        <v>81.06</v>
      </c>
      <c r="O2330" s="1">
        <f t="shared" si="329"/>
        <v>79.330000000000013</v>
      </c>
      <c r="P2330" s="1">
        <f t="shared" si="330"/>
        <v>40.474489795918373</v>
      </c>
    </row>
    <row r="2331" spans="1:16">
      <c r="A2331" s="2">
        <v>39678</v>
      </c>
      <c r="B2331" s="1">
        <v>86.09</v>
      </c>
      <c r="C2331" s="1">
        <v>86.28</v>
      </c>
      <c r="D2331" s="1">
        <v>83.04</v>
      </c>
      <c r="E2331" s="1">
        <v>83.11</v>
      </c>
      <c r="F2331" s="1">
        <v>6547400</v>
      </c>
      <c r="G2331" s="1">
        <v>83.11</v>
      </c>
      <c r="H2331" s="1">
        <f t="shared" si="324"/>
        <v>3.2399999999999949</v>
      </c>
      <c r="I2331" s="9">
        <f t="shared" si="331"/>
        <v>3.9017341040462367E-2</v>
      </c>
      <c r="J2331" s="1">
        <f t="shared" si="332"/>
        <v>-3.2900000000000063</v>
      </c>
      <c r="K2331" s="9">
        <f t="shared" si="325"/>
        <v>-3.8078703703703774E-2</v>
      </c>
      <c r="L2331" s="1">
        <f t="shared" si="326"/>
        <v>1</v>
      </c>
      <c r="M2331" s="1">
        <f t="shared" si="327"/>
        <v>86.28</v>
      </c>
      <c r="N2331" s="1">
        <f t="shared" si="328"/>
        <v>83.04</v>
      </c>
      <c r="O2331" s="1">
        <f t="shared" si="329"/>
        <v>81.150000000000006</v>
      </c>
      <c r="P2331" s="1">
        <f t="shared" si="330"/>
        <v>41.403061224489797</v>
      </c>
    </row>
    <row r="2332" spans="1:16">
      <c r="A2332" s="2">
        <v>39675</v>
      </c>
      <c r="B2332" s="1">
        <v>88.28</v>
      </c>
      <c r="C2332" s="1">
        <v>89.53</v>
      </c>
      <c r="D2332" s="1">
        <v>86.26</v>
      </c>
      <c r="E2332" s="1">
        <v>86.4</v>
      </c>
      <c r="F2332" s="1">
        <v>6871600</v>
      </c>
      <c r="G2332" s="1">
        <v>86.4</v>
      </c>
      <c r="H2332" s="1">
        <f t="shared" si="324"/>
        <v>3.269999999999996</v>
      </c>
      <c r="I2332" s="9">
        <f t="shared" si="331"/>
        <v>3.7908648272663992E-2</v>
      </c>
      <c r="J2332" s="1">
        <f t="shared" si="332"/>
        <v>-1.6299999999999955</v>
      </c>
      <c r="K2332" s="9">
        <f t="shared" si="325"/>
        <v>-1.851641485857089E-2</v>
      </c>
      <c r="L2332" s="1">
        <f t="shared" si="326"/>
        <v>1</v>
      </c>
      <c r="M2332" s="1">
        <f t="shared" si="327"/>
        <v>89.53</v>
      </c>
      <c r="N2332" s="1">
        <f t="shared" si="328"/>
        <v>86.26</v>
      </c>
      <c r="O2332" s="1">
        <f t="shared" si="329"/>
        <v>84.440000000000012</v>
      </c>
      <c r="P2332" s="1">
        <f t="shared" si="330"/>
        <v>43.081632653061234</v>
      </c>
    </row>
    <row r="2333" spans="1:16">
      <c r="A2333" s="2">
        <v>39674</v>
      </c>
      <c r="B2333" s="1">
        <v>85.71</v>
      </c>
      <c r="C2333" s="1">
        <v>88.75</v>
      </c>
      <c r="D2333" s="1">
        <v>85.22</v>
      </c>
      <c r="E2333" s="1">
        <v>88.03</v>
      </c>
      <c r="F2333" s="1">
        <v>6901700</v>
      </c>
      <c r="G2333" s="1">
        <v>88.03</v>
      </c>
      <c r="H2333" s="1">
        <f t="shared" si="324"/>
        <v>3.5300000000000011</v>
      </c>
      <c r="I2333" s="9">
        <f t="shared" si="331"/>
        <v>4.1422201361182832E-2</v>
      </c>
      <c r="J2333" s="1">
        <f t="shared" si="332"/>
        <v>1.3400000000000034</v>
      </c>
      <c r="K2333" s="9">
        <f t="shared" si="325"/>
        <v>1.5457376860076174E-2</v>
      </c>
      <c r="L2333" s="1">
        <f t="shared" si="326"/>
        <v>1</v>
      </c>
      <c r="M2333" s="1">
        <f t="shared" si="327"/>
        <v>88.75</v>
      </c>
      <c r="N2333" s="1">
        <f t="shared" si="328"/>
        <v>85.22</v>
      </c>
      <c r="O2333" s="1">
        <f t="shared" si="329"/>
        <v>86.070000000000007</v>
      </c>
      <c r="P2333" s="1">
        <f t="shared" si="330"/>
        <v>43.913265306122454</v>
      </c>
    </row>
    <row r="2334" spans="1:16">
      <c r="A2334" s="2">
        <v>39673</v>
      </c>
      <c r="B2334" s="1">
        <v>86.28</v>
      </c>
      <c r="C2334" s="1">
        <v>88.25</v>
      </c>
      <c r="D2334" s="1">
        <v>84.54</v>
      </c>
      <c r="E2334" s="1">
        <v>86.69</v>
      </c>
      <c r="F2334" s="1">
        <v>7208800</v>
      </c>
      <c r="G2334" s="1">
        <v>86.69</v>
      </c>
      <c r="H2334" s="1">
        <f t="shared" si="324"/>
        <v>3.7099999999999937</v>
      </c>
      <c r="I2334" s="9">
        <f t="shared" si="331"/>
        <v>4.3884551691506901E-2</v>
      </c>
      <c r="J2334" s="1">
        <f t="shared" si="332"/>
        <v>-0.56000000000000227</v>
      </c>
      <c r="K2334" s="9">
        <f t="shared" si="325"/>
        <v>-6.4183381088825479E-3</v>
      </c>
      <c r="L2334" s="1">
        <f t="shared" si="326"/>
        <v>1</v>
      </c>
      <c r="M2334" s="1">
        <f t="shared" si="327"/>
        <v>88.25</v>
      </c>
      <c r="N2334" s="1">
        <f t="shared" si="328"/>
        <v>84.54</v>
      </c>
      <c r="O2334" s="1">
        <f t="shared" si="329"/>
        <v>84.73</v>
      </c>
      <c r="P2334" s="1">
        <f t="shared" si="330"/>
        <v>43.229591836734699</v>
      </c>
    </row>
    <row r="2335" spans="1:16">
      <c r="A2335" s="2">
        <v>39672</v>
      </c>
      <c r="B2335" s="1">
        <v>87.32</v>
      </c>
      <c r="C2335" s="1">
        <v>88.48</v>
      </c>
      <c r="D2335" s="1">
        <v>86.1</v>
      </c>
      <c r="E2335" s="1">
        <v>87.25</v>
      </c>
      <c r="F2335" s="1">
        <v>8026500</v>
      </c>
      <c r="G2335" s="1">
        <v>87.25</v>
      </c>
      <c r="H2335" s="1">
        <f t="shared" si="324"/>
        <v>2.3800000000000097</v>
      </c>
      <c r="I2335" s="9">
        <f t="shared" si="331"/>
        <v>2.7642276422764341E-2</v>
      </c>
      <c r="J2335" s="1">
        <f t="shared" si="332"/>
        <v>-0.84000000000000341</v>
      </c>
      <c r="K2335" s="9">
        <f t="shared" si="325"/>
        <v>-9.5357021228289641E-3</v>
      </c>
      <c r="L2335" s="1">
        <f t="shared" si="326"/>
        <v>1</v>
      </c>
      <c r="M2335" s="1">
        <f t="shared" si="327"/>
        <v>88.48</v>
      </c>
      <c r="N2335" s="1">
        <f t="shared" si="328"/>
        <v>86.1</v>
      </c>
      <c r="O2335" s="1">
        <f t="shared" si="329"/>
        <v>85.29</v>
      </c>
      <c r="P2335" s="1">
        <f t="shared" si="330"/>
        <v>43.515306122448983</v>
      </c>
    </row>
    <row r="2336" spans="1:16">
      <c r="A2336" s="2">
        <v>39671</v>
      </c>
      <c r="B2336" s="1">
        <v>80.180000000000007</v>
      </c>
      <c r="C2336" s="1">
        <v>91.75</v>
      </c>
      <c r="D2336" s="1">
        <v>79.78</v>
      </c>
      <c r="E2336" s="1">
        <v>88.09</v>
      </c>
      <c r="F2336" s="1">
        <v>25070200</v>
      </c>
      <c r="G2336" s="1">
        <v>88.09</v>
      </c>
      <c r="H2336" s="1">
        <f t="shared" si="324"/>
        <v>11.969999999999999</v>
      </c>
      <c r="I2336" s="9">
        <f t="shared" si="331"/>
        <v>0.15003760340937577</v>
      </c>
      <c r="J2336" s="1">
        <f t="shared" si="332"/>
        <v>7.5799999999999983</v>
      </c>
      <c r="K2336" s="9">
        <f t="shared" si="325"/>
        <v>9.414979505651469E-2</v>
      </c>
      <c r="L2336" s="1">
        <f t="shared" si="326"/>
        <v>1</v>
      </c>
      <c r="M2336" s="1">
        <f t="shared" si="327"/>
        <v>91.75</v>
      </c>
      <c r="N2336" s="1">
        <f t="shared" si="328"/>
        <v>79.78</v>
      </c>
      <c r="O2336" s="1">
        <f t="shared" si="329"/>
        <v>86.13000000000001</v>
      </c>
      <c r="P2336" s="1">
        <f t="shared" si="330"/>
        <v>43.943877551020414</v>
      </c>
    </row>
    <row r="2337" spans="1:16">
      <c r="A2337" s="2">
        <v>39668</v>
      </c>
      <c r="B2337" s="1">
        <v>76.78</v>
      </c>
      <c r="C2337" s="1">
        <v>81.209999999999994</v>
      </c>
      <c r="D2337" s="1">
        <v>76.290000000000006</v>
      </c>
      <c r="E2337" s="1">
        <v>80.510000000000005</v>
      </c>
      <c r="F2337" s="1">
        <v>9162700</v>
      </c>
      <c r="G2337" s="1">
        <v>80.510000000000005</v>
      </c>
      <c r="H2337" s="1">
        <f t="shared" si="324"/>
        <v>4.9199999999999875</v>
      </c>
      <c r="I2337" s="9">
        <f t="shared" si="331"/>
        <v>6.449075894612645E-2</v>
      </c>
      <c r="J2337" s="1">
        <f t="shared" si="332"/>
        <v>3.5600000000000023</v>
      </c>
      <c r="K2337" s="9">
        <f t="shared" si="325"/>
        <v>4.626380766731647E-2</v>
      </c>
      <c r="L2337" s="1">
        <f t="shared" si="326"/>
        <v>1</v>
      </c>
      <c r="M2337" s="1">
        <f t="shared" si="327"/>
        <v>81.209999999999994</v>
      </c>
      <c r="N2337" s="1">
        <f t="shared" si="328"/>
        <v>76.290000000000006</v>
      </c>
      <c r="O2337" s="1">
        <f t="shared" si="329"/>
        <v>78.550000000000011</v>
      </c>
      <c r="P2337" s="1">
        <f t="shared" si="330"/>
        <v>40.076530612244902</v>
      </c>
    </row>
    <row r="2338" spans="1:16">
      <c r="A2338" s="2">
        <v>39667</v>
      </c>
      <c r="B2338" s="1">
        <v>77.010000000000005</v>
      </c>
      <c r="C2338" s="1">
        <v>78.05</v>
      </c>
      <c r="D2338" s="1">
        <v>76</v>
      </c>
      <c r="E2338" s="1">
        <v>76.95</v>
      </c>
      <c r="F2338" s="1">
        <v>5444800</v>
      </c>
      <c r="G2338" s="1">
        <v>76.95</v>
      </c>
      <c r="H2338" s="1">
        <f t="shared" si="324"/>
        <v>2.0499999999999972</v>
      </c>
      <c r="I2338" s="9">
        <f t="shared" si="331"/>
        <v>2.6973684210526278E-2</v>
      </c>
      <c r="J2338" s="1">
        <f t="shared" si="332"/>
        <v>-1.1400000000000006</v>
      </c>
      <c r="K2338" s="9">
        <f t="shared" si="325"/>
        <v>-1.4598540145985408E-2</v>
      </c>
      <c r="L2338" s="1">
        <f t="shared" si="326"/>
        <v>1</v>
      </c>
      <c r="M2338" s="1">
        <f t="shared" si="327"/>
        <v>78.05</v>
      </c>
      <c r="N2338" s="1">
        <f t="shared" si="328"/>
        <v>76</v>
      </c>
      <c r="O2338" s="1">
        <f t="shared" si="329"/>
        <v>74.990000000000009</v>
      </c>
      <c r="P2338" s="1">
        <f t="shared" si="330"/>
        <v>38.260204081632658</v>
      </c>
    </row>
    <row r="2339" spans="1:16">
      <c r="A2339" s="2">
        <v>39666</v>
      </c>
      <c r="B2339" s="1">
        <v>78.55</v>
      </c>
      <c r="C2339" s="1">
        <v>78.63</v>
      </c>
      <c r="D2339" s="1">
        <v>76.73</v>
      </c>
      <c r="E2339" s="1">
        <v>78.09</v>
      </c>
      <c r="F2339" s="1">
        <v>6406100</v>
      </c>
      <c r="G2339" s="1">
        <v>78.09</v>
      </c>
      <c r="H2339" s="1">
        <f t="shared" si="324"/>
        <v>1.8999999999999915</v>
      </c>
      <c r="I2339" s="9">
        <f t="shared" si="331"/>
        <v>2.4762153004040027E-2</v>
      </c>
      <c r="J2339" s="1">
        <f t="shared" si="332"/>
        <v>-1.019999999999996</v>
      </c>
      <c r="K2339" s="9">
        <f t="shared" si="325"/>
        <v>-1.2893439514599874E-2</v>
      </c>
      <c r="L2339" s="1">
        <f t="shared" si="326"/>
        <v>1</v>
      </c>
      <c r="M2339" s="1">
        <f t="shared" si="327"/>
        <v>78.63</v>
      </c>
      <c r="N2339" s="1">
        <f t="shared" si="328"/>
        <v>76.73</v>
      </c>
      <c r="O2339" s="1">
        <f t="shared" si="329"/>
        <v>76.13000000000001</v>
      </c>
      <c r="P2339" s="1">
        <f t="shared" si="330"/>
        <v>38.841836734693885</v>
      </c>
    </row>
    <row r="2340" spans="1:16">
      <c r="A2340" s="2">
        <v>39665</v>
      </c>
      <c r="B2340" s="1">
        <v>76.92</v>
      </c>
      <c r="C2340" s="1">
        <v>79.52</v>
      </c>
      <c r="D2340" s="1">
        <v>76.52</v>
      </c>
      <c r="E2340" s="1">
        <v>79.11</v>
      </c>
      <c r="F2340" s="1">
        <v>7794600</v>
      </c>
      <c r="G2340" s="1">
        <v>79.11</v>
      </c>
      <c r="H2340" s="1">
        <f t="shared" si="324"/>
        <v>3</v>
      </c>
      <c r="I2340" s="9">
        <f t="shared" si="331"/>
        <v>3.9205436487192893E-2</v>
      </c>
      <c r="J2340" s="1">
        <f t="shared" si="332"/>
        <v>3.4000000000000057</v>
      </c>
      <c r="K2340" s="9">
        <f t="shared" si="325"/>
        <v>4.4908202351076558E-2</v>
      </c>
      <c r="L2340" s="1">
        <f t="shared" si="326"/>
        <v>1</v>
      </c>
      <c r="M2340" s="1">
        <f t="shared" si="327"/>
        <v>79.52</v>
      </c>
      <c r="N2340" s="1">
        <f t="shared" si="328"/>
        <v>76.52</v>
      </c>
      <c r="O2340" s="1">
        <f t="shared" si="329"/>
        <v>77.150000000000006</v>
      </c>
      <c r="P2340" s="1">
        <f t="shared" si="330"/>
        <v>39.362244897959187</v>
      </c>
    </row>
    <row r="2341" spans="1:16">
      <c r="A2341" s="2">
        <v>39664</v>
      </c>
      <c r="B2341" s="1">
        <v>75.989999999999995</v>
      </c>
      <c r="C2341" s="1">
        <v>77.3</v>
      </c>
      <c r="D2341" s="1">
        <v>75.010000000000005</v>
      </c>
      <c r="E2341" s="1">
        <v>75.709999999999994</v>
      </c>
      <c r="F2341" s="1">
        <v>4498200</v>
      </c>
      <c r="G2341" s="1">
        <v>75.709999999999994</v>
      </c>
      <c r="H2341" s="1">
        <f t="shared" si="324"/>
        <v>2.289999999999992</v>
      </c>
      <c r="I2341" s="9">
        <f t="shared" si="331"/>
        <v>3.0529262764964562E-2</v>
      </c>
      <c r="J2341" s="1">
        <f t="shared" si="332"/>
        <v>-4.0000000000006253E-2</v>
      </c>
      <c r="K2341" s="9">
        <f t="shared" si="325"/>
        <v>-5.2805280528061063E-4</v>
      </c>
      <c r="L2341" s="1">
        <f t="shared" si="326"/>
        <v>1</v>
      </c>
      <c r="M2341" s="1">
        <f t="shared" si="327"/>
        <v>77.3</v>
      </c>
      <c r="N2341" s="1">
        <f t="shared" si="328"/>
        <v>75.010000000000005</v>
      </c>
      <c r="O2341" s="1">
        <f t="shared" si="329"/>
        <v>73.75</v>
      </c>
      <c r="P2341" s="1">
        <f t="shared" si="330"/>
        <v>37.627551020408163</v>
      </c>
    </row>
    <row r="2342" spans="1:16">
      <c r="A2342" s="2">
        <v>39661</v>
      </c>
      <c r="B2342" s="1">
        <v>76.36</v>
      </c>
      <c r="C2342" s="1">
        <v>76.489999999999995</v>
      </c>
      <c r="D2342" s="1">
        <v>74.05</v>
      </c>
      <c r="E2342" s="1">
        <v>75.75</v>
      </c>
      <c r="F2342" s="1">
        <v>4774500</v>
      </c>
      <c r="G2342" s="1">
        <v>75.75</v>
      </c>
      <c r="H2342" s="1">
        <f t="shared" si="324"/>
        <v>2.4399999999999977</v>
      </c>
      <c r="I2342" s="9">
        <f t="shared" si="331"/>
        <v>3.295070898041861E-2</v>
      </c>
      <c r="J2342" s="1">
        <f t="shared" si="332"/>
        <v>-0.59000000000000341</v>
      </c>
      <c r="K2342" s="9">
        <f t="shared" si="325"/>
        <v>-7.7285826565365911E-3</v>
      </c>
      <c r="L2342" s="1">
        <f t="shared" si="326"/>
        <v>1</v>
      </c>
      <c r="M2342" s="1">
        <f t="shared" si="327"/>
        <v>76.489999999999995</v>
      </c>
      <c r="N2342" s="1">
        <f t="shared" si="328"/>
        <v>74.05</v>
      </c>
      <c r="O2342" s="1">
        <f t="shared" si="329"/>
        <v>73.790000000000006</v>
      </c>
      <c r="P2342" s="1">
        <f t="shared" si="330"/>
        <v>37.647959183673471</v>
      </c>
    </row>
    <row r="2343" spans="1:16">
      <c r="A2343" s="2">
        <v>39660</v>
      </c>
      <c r="B2343" s="1">
        <v>76.75</v>
      </c>
      <c r="C2343" s="1">
        <v>78.17</v>
      </c>
      <c r="D2343" s="1">
        <v>76.099999999999994</v>
      </c>
      <c r="E2343" s="1">
        <v>76.34</v>
      </c>
      <c r="F2343" s="1">
        <v>5300700</v>
      </c>
      <c r="G2343" s="1">
        <v>76.34</v>
      </c>
      <c r="H2343" s="1">
        <f t="shared" si="324"/>
        <v>2.0700000000000074</v>
      </c>
      <c r="I2343" s="9">
        <f t="shared" si="331"/>
        <v>2.7201051248357522E-2</v>
      </c>
      <c r="J2343" s="1">
        <f t="shared" si="332"/>
        <v>-1.8699999999999903</v>
      </c>
      <c r="K2343" s="9">
        <f t="shared" si="325"/>
        <v>-2.3909985935302268E-2</v>
      </c>
      <c r="L2343" s="1">
        <f t="shared" si="326"/>
        <v>1</v>
      </c>
      <c r="M2343" s="1">
        <f t="shared" si="327"/>
        <v>78.17</v>
      </c>
      <c r="N2343" s="1">
        <f t="shared" si="328"/>
        <v>76.099999999999994</v>
      </c>
      <c r="O2343" s="1">
        <f t="shared" si="329"/>
        <v>74.38000000000001</v>
      </c>
      <c r="P2343" s="1">
        <f t="shared" si="330"/>
        <v>37.948979591836739</v>
      </c>
    </row>
    <row r="2344" spans="1:16">
      <c r="A2344" s="2">
        <v>39659</v>
      </c>
      <c r="B2344" s="1">
        <v>78.36</v>
      </c>
      <c r="C2344" s="1">
        <v>79.849999999999994</v>
      </c>
      <c r="D2344" s="1">
        <v>76.42</v>
      </c>
      <c r="E2344" s="1">
        <v>78.209999999999994</v>
      </c>
      <c r="F2344" s="1">
        <v>7567300</v>
      </c>
      <c r="G2344" s="1">
        <v>78.209999999999994</v>
      </c>
      <c r="H2344" s="1">
        <f t="shared" si="324"/>
        <v>3.4299999999999926</v>
      </c>
      <c r="I2344" s="9">
        <f t="shared" si="331"/>
        <v>4.4883538340748395E-2</v>
      </c>
      <c r="J2344" s="1">
        <f t="shared" si="332"/>
        <v>0</v>
      </c>
      <c r="K2344" s="9">
        <f t="shared" si="325"/>
        <v>0</v>
      </c>
      <c r="L2344" s="1">
        <f t="shared" si="326"/>
        <v>1</v>
      </c>
      <c r="M2344" s="1">
        <f t="shared" si="327"/>
        <v>79.849999999999994</v>
      </c>
      <c r="N2344" s="1">
        <f t="shared" si="328"/>
        <v>76.42</v>
      </c>
      <c r="O2344" s="1">
        <f t="shared" si="329"/>
        <v>76.25</v>
      </c>
      <c r="P2344" s="1">
        <f t="shared" si="330"/>
        <v>38.903061224489797</v>
      </c>
    </row>
    <row r="2345" spans="1:16">
      <c r="A2345" s="2">
        <v>39658</v>
      </c>
      <c r="B2345" s="1">
        <v>76.489999999999995</v>
      </c>
      <c r="C2345" s="1">
        <v>78.8</v>
      </c>
      <c r="D2345" s="1">
        <v>76.16</v>
      </c>
      <c r="E2345" s="1">
        <v>78.209999999999994</v>
      </c>
      <c r="F2345" s="1">
        <v>6770900</v>
      </c>
      <c r="G2345" s="1">
        <v>78.209999999999994</v>
      </c>
      <c r="H2345" s="1">
        <f t="shared" si="324"/>
        <v>2.6400000000000006</v>
      </c>
      <c r="I2345" s="9">
        <f t="shared" si="331"/>
        <v>3.4663865546218496E-2</v>
      </c>
      <c r="J2345" s="1">
        <f t="shared" si="332"/>
        <v>2.2299999999999898</v>
      </c>
      <c r="K2345" s="9">
        <f t="shared" si="325"/>
        <v>2.9349828902342584E-2</v>
      </c>
      <c r="L2345" s="1">
        <f t="shared" si="326"/>
        <v>1</v>
      </c>
      <c r="M2345" s="1">
        <f t="shared" si="327"/>
        <v>78.8</v>
      </c>
      <c r="N2345" s="1">
        <f t="shared" si="328"/>
        <v>76.16</v>
      </c>
      <c r="O2345" s="1">
        <f t="shared" si="329"/>
        <v>76.25</v>
      </c>
      <c r="P2345" s="1">
        <f t="shared" si="330"/>
        <v>38.903061224489797</v>
      </c>
    </row>
    <row r="2346" spans="1:16">
      <c r="A2346" s="2">
        <v>39657</v>
      </c>
      <c r="B2346" s="1">
        <v>77.09</v>
      </c>
      <c r="C2346" s="1">
        <v>78.31</v>
      </c>
      <c r="D2346" s="1">
        <v>74.86</v>
      </c>
      <c r="E2346" s="1">
        <v>75.98</v>
      </c>
      <c r="F2346" s="1">
        <v>10480200</v>
      </c>
      <c r="G2346" s="1">
        <v>75.98</v>
      </c>
      <c r="H2346" s="1">
        <f t="shared" si="324"/>
        <v>3.4500000000000028</v>
      </c>
      <c r="I2346" s="9">
        <f t="shared" si="331"/>
        <v>4.6086027250868328E-2</v>
      </c>
      <c r="J2346" s="1">
        <f t="shared" si="332"/>
        <v>-2.3299999999999983</v>
      </c>
      <c r="K2346" s="9">
        <f t="shared" si="325"/>
        <v>-2.9753543608734494E-2</v>
      </c>
      <c r="L2346" s="1">
        <f t="shared" si="326"/>
        <v>1</v>
      </c>
      <c r="M2346" s="1">
        <f t="shared" si="327"/>
        <v>78.31</v>
      </c>
      <c r="N2346" s="1">
        <f t="shared" si="328"/>
        <v>74.86</v>
      </c>
      <c r="O2346" s="1">
        <f t="shared" si="329"/>
        <v>74.02000000000001</v>
      </c>
      <c r="P2346" s="1">
        <f t="shared" si="330"/>
        <v>37.765306122448983</v>
      </c>
    </row>
    <row r="2347" spans="1:16">
      <c r="A2347" s="2">
        <v>39654</v>
      </c>
      <c r="B2347" s="1">
        <v>79.63</v>
      </c>
      <c r="C2347" s="1">
        <v>80.94</v>
      </c>
      <c r="D2347" s="1">
        <v>78.12</v>
      </c>
      <c r="E2347" s="1">
        <v>78.31</v>
      </c>
      <c r="F2347" s="1">
        <v>9150700</v>
      </c>
      <c r="G2347" s="1">
        <v>78.31</v>
      </c>
      <c r="H2347" s="1">
        <f t="shared" si="324"/>
        <v>2.8199999999999932</v>
      </c>
      <c r="I2347" s="9">
        <f t="shared" si="331"/>
        <v>3.6098310291858587E-2</v>
      </c>
      <c r="J2347" s="1">
        <f t="shared" si="332"/>
        <v>-0.40999999999999659</v>
      </c>
      <c r="K2347" s="9">
        <f t="shared" si="325"/>
        <v>-5.2083333333332897E-3</v>
      </c>
      <c r="L2347" s="1">
        <f t="shared" si="326"/>
        <v>1</v>
      </c>
      <c r="M2347" s="1">
        <f t="shared" si="327"/>
        <v>80.94</v>
      </c>
      <c r="N2347" s="1">
        <f t="shared" si="328"/>
        <v>78.12</v>
      </c>
      <c r="O2347" s="1">
        <f t="shared" si="329"/>
        <v>76.350000000000009</v>
      </c>
      <c r="P2347" s="1">
        <f t="shared" si="330"/>
        <v>38.954081632653065</v>
      </c>
    </row>
    <row r="2348" spans="1:16">
      <c r="A2348" s="2">
        <v>39653</v>
      </c>
      <c r="B2348" s="1">
        <v>76.3</v>
      </c>
      <c r="C2348" s="1">
        <v>82.38</v>
      </c>
      <c r="D2348" s="1">
        <v>76.290000000000006</v>
      </c>
      <c r="E2348" s="1">
        <v>78.72</v>
      </c>
      <c r="F2348" s="1">
        <v>30996600</v>
      </c>
      <c r="G2348" s="1">
        <v>78.72</v>
      </c>
      <c r="H2348" s="1">
        <f t="shared" si="324"/>
        <v>6.0899999999999892</v>
      </c>
      <c r="I2348" s="9">
        <f t="shared" si="331"/>
        <v>7.9826976012583414E-2</v>
      </c>
      <c r="J2348" s="1">
        <f t="shared" si="332"/>
        <v>8.1799999999999926</v>
      </c>
      <c r="K2348" s="9">
        <f t="shared" si="325"/>
        <v>0.11596257442585756</v>
      </c>
      <c r="L2348" s="1">
        <f t="shared" si="326"/>
        <v>1</v>
      </c>
      <c r="M2348" s="1">
        <f t="shared" si="327"/>
        <v>82.38</v>
      </c>
      <c r="N2348" s="1">
        <f t="shared" si="328"/>
        <v>76.290000000000006</v>
      </c>
      <c r="O2348" s="1">
        <f t="shared" si="329"/>
        <v>76.760000000000005</v>
      </c>
      <c r="P2348" s="1">
        <f t="shared" si="330"/>
        <v>39.163265306122454</v>
      </c>
    </row>
    <row r="2349" spans="1:16">
      <c r="A2349" s="2">
        <v>39652</v>
      </c>
      <c r="B2349" s="1">
        <v>67.459999999999994</v>
      </c>
      <c r="C2349" s="1">
        <v>72.069999999999993</v>
      </c>
      <c r="D2349" s="1">
        <v>67.459999999999994</v>
      </c>
      <c r="E2349" s="1">
        <v>70.540000000000006</v>
      </c>
      <c r="F2349" s="1">
        <v>17916200</v>
      </c>
      <c r="G2349" s="1">
        <v>70.540000000000006</v>
      </c>
      <c r="H2349" s="1">
        <f t="shared" si="324"/>
        <v>4.6099999999999994</v>
      </c>
      <c r="I2349" s="9">
        <f t="shared" si="331"/>
        <v>6.8336792173139635E-2</v>
      </c>
      <c r="J2349" s="1">
        <f t="shared" si="332"/>
        <v>2.5700000000000074</v>
      </c>
      <c r="K2349" s="9">
        <f t="shared" si="325"/>
        <v>3.7810798881859752E-2</v>
      </c>
      <c r="L2349" s="1">
        <f t="shared" si="326"/>
        <v>1</v>
      </c>
      <c r="M2349" s="1">
        <f t="shared" si="327"/>
        <v>72.069999999999993</v>
      </c>
      <c r="N2349" s="1">
        <f t="shared" si="328"/>
        <v>67.459999999999994</v>
      </c>
      <c r="O2349" s="1">
        <f t="shared" si="329"/>
        <v>68.580000000000013</v>
      </c>
      <c r="P2349" s="1">
        <f t="shared" si="330"/>
        <v>34.989795918367356</v>
      </c>
    </row>
    <row r="2350" spans="1:16">
      <c r="A2350" s="2">
        <v>39651</v>
      </c>
      <c r="B2350" s="1">
        <v>67.09</v>
      </c>
      <c r="C2350" s="1">
        <v>69.14</v>
      </c>
      <c r="D2350" s="1">
        <v>65.88</v>
      </c>
      <c r="E2350" s="1">
        <v>67.97</v>
      </c>
      <c r="F2350" s="1">
        <v>8795800</v>
      </c>
      <c r="G2350" s="1">
        <v>67.97</v>
      </c>
      <c r="H2350" s="1">
        <f t="shared" si="324"/>
        <v>3.2600000000000051</v>
      </c>
      <c r="I2350" s="9">
        <f t="shared" si="331"/>
        <v>4.9483910139647924E-2</v>
      </c>
      <c r="J2350" s="1">
        <f t="shared" si="332"/>
        <v>-0.51000000000000512</v>
      </c>
      <c r="K2350" s="9">
        <f t="shared" si="325"/>
        <v>-7.4474299065421306E-3</v>
      </c>
      <c r="L2350" s="1">
        <f t="shared" si="326"/>
        <v>1</v>
      </c>
      <c r="M2350" s="1">
        <f t="shared" si="327"/>
        <v>69.14</v>
      </c>
      <c r="N2350" s="1">
        <f t="shared" si="328"/>
        <v>65.88</v>
      </c>
      <c r="O2350" s="1">
        <f t="shared" si="329"/>
        <v>66.010000000000005</v>
      </c>
      <c r="P2350" s="1">
        <f t="shared" si="330"/>
        <v>33.678571428571431</v>
      </c>
    </row>
    <row r="2351" spans="1:16">
      <c r="A2351" s="2">
        <v>39650</v>
      </c>
      <c r="B2351" s="1">
        <v>69.52</v>
      </c>
      <c r="C2351" s="1">
        <v>69.8</v>
      </c>
      <c r="D2351" s="1">
        <v>66.3</v>
      </c>
      <c r="E2351" s="1">
        <v>68.48</v>
      </c>
      <c r="F2351" s="1">
        <v>6896900</v>
      </c>
      <c r="G2351" s="1">
        <v>68.48</v>
      </c>
      <c r="H2351" s="1">
        <f t="shared" si="324"/>
        <v>3.5</v>
      </c>
      <c r="I2351" s="9">
        <f t="shared" si="331"/>
        <v>5.2790346907993967E-2</v>
      </c>
      <c r="J2351" s="1">
        <f t="shared" si="332"/>
        <v>-0.64000000000000057</v>
      </c>
      <c r="K2351" s="9">
        <f t="shared" si="325"/>
        <v>-9.2592592592592674E-3</v>
      </c>
      <c r="L2351" s="1">
        <f t="shared" si="326"/>
        <v>1</v>
      </c>
      <c r="M2351" s="1">
        <f t="shared" si="327"/>
        <v>69.8</v>
      </c>
      <c r="N2351" s="1">
        <f t="shared" si="328"/>
        <v>66.3</v>
      </c>
      <c r="O2351" s="1">
        <f t="shared" si="329"/>
        <v>66.52000000000001</v>
      </c>
      <c r="P2351" s="1">
        <f t="shared" si="330"/>
        <v>33.938775510204088</v>
      </c>
    </row>
    <row r="2352" spans="1:16">
      <c r="A2352" s="2">
        <v>39647</v>
      </c>
      <c r="B2352" s="1">
        <v>69.94</v>
      </c>
      <c r="C2352" s="1">
        <v>70.84</v>
      </c>
      <c r="D2352" s="1">
        <v>68.400000000000006</v>
      </c>
      <c r="E2352" s="1">
        <v>69.12</v>
      </c>
      <c r="F2352" s="1">
        <v>8298000</v>
      </c>
      <c r="G2352" s="1">
        <v>69.12</v>
      </c>
      <c r="H2352" s="1">
        <f t="shared" si="324"/>
        <v>2.4399999999999977</v>
      </c>
      <c r="I2352" s="9">
        <f t="shared" si="331"/>
        <v>3.5672514619883001E-2</v>
      </c>
      <c r="J2352" s="1">
        <f t="shared" si="332"/>
        <v>-2.9899999999999949</v>
      </c>
      <c r="K2352" s="9">
        <f t="shared" si="325"/>
        <v>-4.146442934405762E-2</v>
      </c>
      <c r="L2352" s="1">
        <f t="shared" si="326"/>
        <v>1</v>
      </c>
      <c r="M2352" s="1">
        <f t="shared" si="327"/>
        <v>70.84</v>
      </c>
      <c r="N2352" s="1">
        <f t="shared" si="328"/>
        <v>68.400000000000006</v>
      </c>
      <c r="O2352" s="1">
        <f t="shared" si="329"/>
        <v>67.160000000000011</v>
      </c>
      <c r="P2352" s="1">
        <f t="shared" si="330"/>
        <v>34.265306122448983</v>
      </c>
    </row>
    <row r="2353" spans="1:16">
      <c r="A2353" s="2">
        <v>39646</v>
      </c>
      <c r="B2353" s="1">
        <v>71.2</v>
      </c>
      <c r="C2353" s="1">
        <v>72.38</v>
      </c>
      <c r="D2353" s="1">
        <v>67.739999999999995</v>
      </c>
      <c r="E2353" s="1">
        <v>72.11</v>
      </c>
      <c r="F2353" s="1">
        <v>9597400</v>
      </c>
      <c r="G2353" s="1">
        <v>72.11</v>
      </c>
      <c r="H2353" s="1">
        <f t="shared" si="324"/>
        <v>4.6400000000000006</v>
      </c>
      <c r="I2353" s="9">
        <f t="shared" si="331"/>
        <v>6.8497195157956908E-2</v>
      </c>
      <c r="J2353" s="1">
        <f t="shared" si="332"/>
        <v>0.26999999999999602</v>
      </c>
      <c r="K2353" s="9">
        <f t="shared" si="325"/>
        <v>3.7583518930957129E-3</v>
      </c>
      <c r="L2353" s="1">
        <f t="shared" si="326"/>
        <v>1</v>
      </c>
      <c r="M2353" s="1">
        <f t="shared" si="327"/>
        <v>72.38</v>
      </c>
      <c r="N2353" s="1">
        <f t="shared" si="328"/>
        <v>67.739999999999995</v>
      </c>
      <c r="O2353" s="1">
        <f t="shared" si="329"/>
        <v>70.150000000000006</v>
      </c>
      <c r="P2353" s="1">
        <f t="shared" si="330"/>
        <v>35.790816326530617</v>
      </c>
    </row>
    <row r="2354" spans="1:16">
      <c r="A2354" s="2">
        <v>39645</v>
      </c>
      <c r="B2354" s="1">
        <v>66.94</v>
      </c>
      <c r="C2354" s="1">
        <v>72.75</v>
      </c>
      <c r="D2354" s="1">
        <v>66.84</v>
      </c>
      <c r="E2354" s="1">
        <v>71.84</v>
      </c>
      <c r="F2354" s="1">
        <v>12038900</v>
      </c>
      <c r="G2354" s="1">
        <v>71.84</v>
      </c>
      <c r="H2354" s="1">
        <f t="shared" si="324"/>
        <v>5.9099999999999966</v>
      </c>
      <c r="I2354" s="9">
        <f t="shared" si="331"/>
        <v>8.8420107719928129E-2</v>
      </c>
      <c r="J2354" s="1">
        <f t="shared" si="332"/>
        <v>4.8100000000000023</v>
      </c>
      <c r="K2354" s="9">
        <f t="shared" si="325"/>
        <v>7.1758913919140715E-2</v>
      </c>
      <c r="L2354" s="1">
        <f t="shared" si="326"/>
        <v>1</v>
      </c>
      <c r="M2354" s="1">
        <f t="shared" si="327"/>
        <v>72.75</v>
      </c>
      <c r="N2354" s="1">
        <f t="shared" si="328"/>
        <v>66.84</v>
      </c>
      <c r="O2354" s="1">
        <f t="shared" si="329"/>
        <v>69.88000000000001</v>
      </c>
      <c r="P2354" s="1">
        <f t="shared" si="330"/>
        <v>35.653061224489804</v>
      </c>
    </row>
    <row r="2355" spans="1:16">
      <c r="A2355" s="2">
        <v>39644</v>
      </c>
      <c r="B2355" s="1">
        <v>65.87</v>
      </c>
      <c r="C2355" s="1">
        <v>68.62</v>
      </c>
      <c r="D2355" s="1">
        <v>62.99</v>
      </c>
      <c r="E2355" s="1">
        <v>67.03</v>
      </c>
      <c r="F2355" s="1">
        <v>11342100</v>
      </c>
      <c r="G2355" s="1">
        <v>67.03</v>
      </c>
      <c r="H2355" s="1">
        <f t="shared" si="324"/>
        <v>5.6300000000000026</v>
      </c>
      <c r="I2355" s="9">
        <f t="shared" si="331"/>
        <v>8.9379266550246111E-2</v>
      </c>
      <c r="J2355" s="1">
        <f t="shared" si="332"/>
        <v>0.75</v>
      </c>
      <c r="K2355" s="9">
        <f t="shared" si="325"/>
        <v>1.1315630657815328E-2</v>
      </c>
      <c r="L2355" s="1">
        <f t="shared" si="326"/>
        <v>1</v>
      </c>
      <c r="M2355" s="1">
        <f t="shared" si="327"/>
        <v>68.62</v>
      </c>
      <c r="N2355" s="1">
        <f t="shared" si="328"/>
        <v>62.99</v>
      </c>
      <c r="O2355" s="1">
        <f t="shared" si="329"/>
        <v>65.070000000000007</v>
      </c>
      <c r="P2355" s="1">
        <f t="shared" si="330"/>
        <v>33.198979591836739</v>
      </c>
    </row>
    <row r="2356" spans="1:16">
      <c r="A2356" s="2">
        <v>39643</v>
      </c>
      <c r="B2356" s="1">
        <v>69.31</v>
      </c>
      <c r="C2356" s="1">
        <v>69.5</v>
      </c>
      <c r="D2356" s="1">
        <v>65.59</v>
      </c>
      <c r="E2356" s="1">
        <v>66.28</v>
      </c>
      <c r="F2356" s="1">
        <v>9021300</v>
      </c>
      <c r="G2356" s="1">
        <v>66.28</v>
      </c>
      <c r="H2356" s="1">
        <f t="shared" si="324"/>
        <v>3.9099999999999966</v>
      </c>
      <c r="I2356" s="9">
        <f t="shared" si="331"/>
        <v>5.9612745845403207E-2</v>
      </c>
      <c r="J2356" s="1">
        <f t="shared" si="332"/>
        <v>-2.2600000000000051</v>
      </c>
      <c r="K2356" s="9">
        <f t="shared" si="325"/>
        <v>-3.2973446162824702E-2</v>
      </c>
      <c r="L2356" s="1">
        <f t="shared" si="326"/>
        <v>1</v>
      </c>
      <c r="M2356" s="1">
        <f t="shared" si="327"/>
        <v>69.5</v>
      </c>
      <c r="N2356" s="1">
        <f t="shared" si="328"/>
        <v>65.59</v>
      </c>
      <c r="O2356" s="1">
        <f t="shared" si="329"/>
        <v>64.320000000000007</v>
      </c>
      <c r="P2356" s="1">
        <f t="shared" si="330"/>
        <v>32.816326530612251</v>
      </c>
    </row>
    <row r="2357" spans="1:16">
      <c r="A2357" s="2">
        <v>39640</v>
      </c>
      <c r="B2357" s="1">
        <v>69.400000000000006</v>
      </c>
      <c r="C2357" s="1">
        <v>69.989999999999995</v>
      </c>
      <c r="D2357" s="1">
        <v>66.739999999999995</v>
      </c>
      <c r="E2357" s="1">
        <v>68.540000000000006</v>
      </c>
      <c r="F2357" s="1">
        <v>7930000</v>
      </c>
      <c r="G2357" s="1">
        <v>68.540000000000006</v>
      </c>
      <c r="H2357" s="1">
        <f t="shared" si="324"/>
        <v>3.25</v>
      </c>
      <c r="I2357" s="9">
        <f t="shared" si="331"/>
        <v>4.8696433922685051E-2</v>
      </c>
      <c r="J2357" s="1">
        <f t="shared" si="332"/>
        <v>-2.0899999999999892</v>
      </c>
      <c r="K2357" s="9">
        <f t="shared" si="325"/>
        <v>-2.9590825428288111E-2</v>
      </c>
      <c r="L2357" s="1">
        <f t="shared" si="326"/>
        <v>1</v>
      </c>
      <c r="M2357" s="1">
        <f t="shared" si="327"/>
        <v>69.989999999999995</v>
      </c>
      <c r="N2357" s="1">
        <f t="shared" si="328"/>
        <v>66.739999999999995</v>
      </c>
      <c r="O2357" s="1">
        <f t="shared" si="329"/>
        <v>66.580000000000013</v>
      </c>
      <c r="P2357" s="1">
        <f t="shared" si="330"/>
        <v>33.969387755102048</v>
      </c>
    </row>
    <row r="2358" spans="1:16">
      <c r="A2358" s="2">
        <v>39639</v>
      </c>
      <c r="B2358" s="1">
        <v>70.7</v>
      </c>
      <c r="C2358" s="1">
        <v>71.77</v>
      </c>
      <c r="D2358" s="1">
        <v>67.989999999999995</v>
      </c>
      <c r="E2358" s="1">
        <v>70.63</v>
      </c>
      <c r="F2358" s="1">
        <v>9941600</v>
      </c>
      <c r="G2358" s="1">
        <v>70.63</v>
      </c>
      <c r="H2358" s="1">
        <f t="shared" si="324"/>
        <v>3.7800000000000011</v>
      </c>
      <c r="I2358" s="9">
        <f t="shared" si="331"/>
        <v>5.5596411236946627E-2</v>
      </c>
      <c r="J2358" s="1">
        <f t="shared" si="332"/>
        <v>1.9999999999996021E-2</v>
      </c>
      <c r="K2358" s="9">
        <f t="shared" si="325"/>
        <v>2.8324599915020566E-4</v>
      </c>
      <c r="L2358" s="1">
        <f t="shared" si="326"/>
        <v>1</v>
      </c>
      <c r="M2358" s="1">
        <f t="shared" si="327"/>
        <v>71.77</v>
      </c>
      <c r="N2358" s="1">
        <f t="shared" si="328"/>
        <v>67.989999999999995</v>
      </c>
      <c r="O2358" s="1">
        <f t="shared" si="329"/>
        <v>68.67</v>
      </c>
      <c r="P2358" s="1">
        <f t="shared" si="330"/>
        <v>35.035714285714285</v>
      </c>
    </row>
    <row r="2359" spans="1:16">
      <c r="A2359" s="2">
        <v>39638</v>
      </c>
      <c r="B2359" s="1">
        <v>74.56</v>
      </c>
      <c r="C2359" s="1">
        <v>74.900000000000006</v>
      </c>
      <c r="D2359" s="1">
        <v>70.48</v>
      </c>
      <c r="E2359" s="1">
        <v>70.61</v>
      </c>
      <c r="F2359" s="1">
        <v>6912100</v>
      </c>
      <c r="G2359" s="1">
        <v>70.61</v>
      </c>
      <c r="H2359" s="1">
        <f t="shared" si="324"/>
        <v>4.4200000000000017</v>
      </c>
      <c r="I2359" s="9">
        <f t="shared" si="331"/>
        <v>6.271282633371171E-2</v>
      </c>
      <c r="J2359" s="1">
        <f t="shared" si="332"/>
        <v>-4.4300000000000068</v>
      </c>
      <c r="K2359" s="9">
        <f t="shared" si="325"/>
        <v>-5.903518123667386E-2</v>
      </c>
      <c r="L2359" s="1">
        <f t="shared" si="326"/>
        <v>1</v>
      </c>
      <c r="M2359" s="1">
        <f t="shared" si="327"/>
        <v>74.900000000000006</v>
      </c>
      <c r="N2359" s="1">
        <f t="shared" si="328"/>
        <v>70.48</v>
      </c>
      <c r="O2359" s="1">
        <f t="shared" si="329"/>
        <v>68.650000000000006</v>
      </c>
      <c r="P2359" s="1">
        <f t="shared" si="330"/>
        <v>35.025510204081634</v>
      </c>
    </row>
    <row r="2360" spans="1:16">
      <c r="A2360" s="2">
        <v>39637</v>
      </c>
      <c r="B2360" s="1">
        <v>72.38</v>
      </c>
      <c r="C2360" s="1">
        <v>75.489999999999995</v>
      </c>
      <c r="D2360" s="1">
        <v>71.75</v>
      </c>
      <c r="E2360" s="1">
        <v>75.040000000000006</v>
      </c>
      <c r="F2360" s="1">
        <v>7916000</v>
      </c>
      <c r="G2360" s="1">
        <v>75.040000000000006</v>
      </c>
      <c r="H2360" s="1">
        <f t="shared" si="324"/>
        <v>3.7399999999999949</v>
      </c>
      <c r="I2360" s="9">
        <f t="shared" si="331"/>
        <v>5.2125435540069612E-2</v>
      </c>
      <c r="J2360" s="1">
        <f t="shared" si="332"/>
        <v>2.5500000000000114</v>
      </c>
      <c r="K2360" s="9">
        <f t="shared" si="325"/>
        <v>3.517726582976978E-2</v>
      </c>
      <c r="L2360" s="1">
        <f t="shared" si="326"/>
        <v>1</v>
      </c>
      <c r="M2360" s="1">
        <f t="shared" si="327"/>
        <v>75.489999999999995</v>
      </c>
      <c r="N2360" s="1">
        <f t="shared" si="328"/>
        <v>71.75</v>
      </c>
      <c r="O2360" s="1">
        <f t="shared" si="329"/>
        <v>73.080000000000013</v>
      </c>
      <c r="P2360" s="1">
        <f t="shared" si="330"/>
        <v>37.285714285714292</v>
      </c>
    </row>
    <row r="2361" spans="1:16">
      <c r="A2361" s="2">
        <v>39636</v>
      </c>
      <c r="B2361" s="1">
        <v>72.37</v>
      </c>
      <c r="C2361" s="1">
        <v>74.400000000000006</v>
      </c>
      <c r="D2361" s="1">
        <v>70.760000000000005</v>
      </c>
      <c r="E2361" s="1">
        <v>72.489999999999995</v>
      </c>
      <c r="F2361" s="1">
        <v>7355500</v>
      </c>
      <c r="G2361" s="1">
        <v>72.489999999999995</v>
      </c>
      <c r="H2361" s="1">
        <f t="shared" si="324"/>
        <v>3.6400000000000006</v>
      </c>
      <c r="I2361" s="9">
        <f t="shared" si="331"/>
        <v>5.1441492368569819E-2</v>
      </c>
      <c r="J2361" s="1">
        <f t="shared" si="332"/>
        <v>0.48999999999999488</v>
      </c>
      <c r="K2361" s="9">
        <f t="shared" si="325"/>
        <v>6.8055555555554849E-3</v>
      </c>
      <c r="L2361" s="1">
        <f t="shared" si="326"/>
        <v>1</v>
      </c>
      <c r="M2361" s="1">
        <f t="shared" si="327"/>
        <v>74.400000000000006</v>
      </c>
      <c r="N2361" s="1">
        <f t="shared" si="328"/>
        <v>70.760000000000005</v>
      </c>
      <c r="O2361" s="1">
        <f t="shared" si="329"/>
        <v>70.53</v>
      </c>
      <c r="P2361" s="1">
        <f t="shared" si="330"/>
        <v>35.984693877551024</v>
      </c>
    </row>
    <row r="2362" spans="1:16">
      <c r="A2362" s="2">
        <v>39632</v>
      </c>
      <c r="B2362" s="1">
        <v>72.510000000000005</v>
      </c>
      <c r="C2362" s="1">
        <v>73.84</v>
      </c>
      <c r="D2362" s="1">
        <v>70.52</v>
      </c>
      <c r="E2362" s="1">
        <v>72</v>
      </c>
      <c r="F2362" s="1">
        <v>4248200</v>
      </c>
      <c r="G2362" s="1">
        <v>72</v>
      </c>
      <c r="H2362" s="1">
        <f t="shared" si="324"/>
        <v>3.3200000000000074</v>
      </c>
      <c r="I2362" s="9">
        <f t="shared" si="331"/>
        <v>4.7078842881452178E-2</v>
      </c>
      <c r="J2362" s="1">
        <f t="shared" si="332"/>
        <v>0.56000000000000227</v>
      </c>
      <c r="K2362" s="9">
        <f t="shared" si="325"/>
        <v>7.838745800671924E-3</v>
      </c>
      <c r="L2362" s="1">
        <f t="shared" si="326"/>
        <v>1</v>
      </c>
      <c r="M2362" s="1">
        <f t="shared" si="327"/>
        <v>73.84</v>
      </c>
      <c r="N2362" s="1">
        <f t="shared" si="328"/>
        <v>70.52</v>
      </c>
      <c r="O2362" s="1">
        <f t="shared" si="329"/>
        <v>70.040000000000006</v>
      </c>
      <c r="P2362" s="1">
        <f t="shared" si="330"/>
        <v>35.734693877551024</v>
      </c>
    </row>
    <row r="2363" spans="1:16">
      <c r="A2363" s="2">
        <v>39631</v>
      </c>
      <c r="B2363" s="1">
        <v>74.16</v>
      </c>
      <c r="C2363" s="1">
        <v>74.41</v>
      </c>
      <c r="D2363" s="1">
        <v>71.38</v>
      </c>
      <c r="E2363" s="1">
        <v>71.44</v>
      </c>
      <c r="F2363" s="1">
        <v>7044400</v>
      </c>
      <c r="G2363" s="1">
        <v>71.44</v>
      </c>
      <c r="H2363" s="1">
        <f t="shared" si="324"/>
        <v>3.0300000000000011</v>
      </c>
      <c r="I2363" s="9">
        <f t="shared" si="331"/>
        <v>4.2448865228355302E-2</v>
      </c>
      <c r="J2363" s="1">
        <f t="shared" si="332"/>
        <v>-2.1800000000000068</v>
      </c>
      <c r="K2363" s="9">
        <f t="shared" si="325"/>
        <v>-2.9611518609073711E-2</v>
      </c>
      <c r="L2363" s="1">
        <f t="shared" si="326"/>
        <v>1</v>
      </c>
      <c r="M2363" s="1">
        <f t="shared" si="327"/>
        <v>74.41</v>
      </c>
      <c r="N2363" s="1">
        <f t="shared" si="328"/>
        <v>71.38</v>
      </c>
      <c r="O2363" s="1">
        <f t="shared" si="329"/>
        <v>69.48</v>
      </c>
      <c r="P2363" s="1">
        <f t="shared" si="330"/>
        <v>35.448979591836739</v>
      </c>
    </row>
    <row r="2364" spans="1:16">
      <c r="A2364" s="2">
        <v>39630</v>
      </c>
      <c r="B2364" s="1">
        <v>72.239999999999995</v>
      </c>
      <c r="C2364" s="1">
        <v>74.23</v>
      </c>
      <c r="D2364" s="1">
        <v>70.52</v>
      </c>
      <c r="E2364" s="1">
        <v>73.62</v>
      </c>
      <c r="F2364" s="1">
        <v>10292500</v>
      </c>
      <c r="G2364" s="1">
        <v>73.62</v>
      </c>
      <c r="H2364" s="1">
        <f t="shared" si="324"/>
        <v>3.710000000000008</v>
      </c>
      <c r="I2364" s="9">
        <f t="shared" si="331"/>
        <v>5.2609188882586616E-2</v>
      </c>
      <c r="J2364" s="1">
        <f t="shared" si="332"/>
        <v>0.29000000000000625</v>
      </c>
      <c r="K2364" s="9">
        <f t="shared" si="325"/>
        <v>3.9547252147825755E-3</v>
      </c>
      <c r="L2364" s="1">
        <f t="shared" si="326"/>
        <v>1</v>
      </c>
      <c r="M2364" s="1">
        <f t="shared" si="327"/>
        <v>74.23</v>
      </c>
      <c r="N2364" s="1">
        <f t="shared" si="328"/>
        <v>70.52</v>
      </c>
      <c r="O2364" s="1">
        <f t="shared" si="329"/>
        <v>71.660000000000011</v>
      </c>
      <c r="P2364" s="1">
        <f t="shared" si="330"/>
        <v>36.561224489795926</v>
      </c>
    </row>
    <row r="2365" spans="1:16">
      <c r="A2365" s="2">
        <v>39629</v>
      </c>
      <c r="B2365" s="1">
        <v>75.03</v>
      </c>
      <c r="C2365" s="1">
        <v>76.12</v>
      </c>
      <c r="D2365" s="1">
        <v>73.209999999999994</v>
      </c>
      <c r="E2365" s="1">
        <v>73.33</v>
      </c>
      <c r="F2365" s="1">
        <v>7104100</v>
      </c>
      <c r="G2365" s="1">
        <v>73.33</v>
      </c>
      <c r="H2365" s="1">
        <f t="shared" si="324"/>
        <v>2.9100000000000108</v>
      </c>
      <c r="I2365" s="9">
        <f t="shared" si="331"/>
        <v>3.9748668214724912E-2</v>
      </c>
      <c r="J2365" s="1">
        <f t="shared" si="332"/>
        <v>-1.3299999999999983</v>
      </c>
      <c r="K2365" s="9">
        <f t="shared" si="325"/>
        <v>-1.7814090543798532E-2</v>
      </c>
      <c r="L2365" s="1">
        <f t="shared" si="326"/>
        <v>1</v>
      </c>
      <c r="M2365" s="1">
        <f t="shared" si="327"/>
        <v>76.12</v>
      </c>
      <c r="N2365" s="1">
        <f t="shared" si="328"/>
        <v>73.209999999999994</v>
      </c>
      <c r="O2365" s="1">
        <f t="shared" si="329"/>
        <v>71.37</v>
      </c>
      <c r="P2365" s="1">
        <f t="shared" si="330"/>
        <v>36.413265306122454</v>
      </c>
    </row>
    <row r="2366" spans="1:16">
      <c r="A2366" s="2">
        <v>39626</v>
      </c>
      <c r="B2366" s="1">
        <v>75.59</v>
      </c>
      <c r="C2366" s="1">
        <v>76.069999999999993</v>
      </c>
      <c r="D2366" s="1">
        <v>72.62</v>
      </c>
      <c r="E2366" s="1">
        <v>74.66</v>
      </c>
      <c r="F2366" s="1">
        <v>11840500</v>
      </c>
      <c r="G2366" s="1">
        <v>74.66</v>
      </c>
      <c r="H2366" s="1">
        <f t="shared" si="324"/>
        <v>3.4499999999999886</v>
      </c>
      <c r="I2366" s="9">
        <f t="shared" si="331"/>
        <v>4.7507573671164809E-2</v>
      </c>
      <c r="J2366" s="1">
        <f t="shared" si="332"/>
        <v>-1.6400000000000006</v>
      </c>
      <c r="K2366" s="9">
        <f t="shared" si="325"/>
        <v>-2.149410222804719E-2</v>
      </c>
      <c r="L2366" s="1">
        <f t="shared" si="326"/>
        <v>1</v>
      </c>
      <c r="M2366" s="1">
        <f t="shared" si="327"/>
        <v>76.069999999999993</v>
      </c>
      <c r="N2366" s="1">
        <f t="shared" si="328"/>
        <v>72.62</v>
      </c>
      <c r="O2366" s="1">
        <f t="shared" si="329"/>
        <v>72.7</v>
      </c>
      <c r="P2366" s="1">
        <f t="shared" si="330"/>
        <v>37.091836734693878</v>
      </c>
    </row>
    <row r="2367" spans="1:16">
      <c r="A2367" s="2">
        <v>39625</v>
      </c>
      <c r="B2367" s="1">
        <v>79.099999999999994</v>
      </c>
      <c r="C2367" s="1">
        <v>79.89</v>
      </c>
      <c r="D2367" s="1">
        <v>76</v>
      </c>
      <c r="E2367" s="1">
        <v>76.3</v>
      </c>
      <c r="F2367" s="1">
        <v>11310100</v>
      </c>
      <c r="G2367" s="1">
        <v>76.3</v>
      </c>
      <c r="H2367" s="1">
        <f t="shared" si="324"/>
        <v>3.8900000000000006</v>
      </c>
      <c r="I2367" s="9">
        <f t="shared" si="331"/>
        <v>5.1184210526315797E-2</v>
      </c>
      <c r="J2367" s="1">
        <f t="shared" si="332"/>
        <v>-4.210000000000008</v>
      </c>
      <c r="K2367" s="9">
        <f t="shared" si="325"/>
        <v>-5.2291640789964074E-2</v>
      </c>
      <c r="L2367" s="1">
        <f t="shared" si="326"/>
        <v>1</v>
      </c>
      <c r="M2367" s="1">
        <f t="shared" si="327"/>
        <v>79.89</v>
      </c>
      <c r="N2367" s="1">
        <f t="shared" si="328"/>
        <v>76</v>
      </c>
      <c r="O2367" s="1">
        <f t="shared" si="329"/>
        <v>74.34</v>
      </c>
      <c r="P2367" s="1">
        <f t="shared" si="330"/>
        <v>37.928571428571431</v>
      </c>
    </row>
    <row r="2368" spans="1:16">
      <c r="A2368" s="2">
        <v>39624</v>
      </c>
      <c r="B2368" s="1">
        <v>80.45</v>
      </c>
      <c r="C2368" s="1">
        <v>82.15</v>
      </c>
      <c r="D2368" s="1">
        <v>79.52</v>
      </c>
      <c r="E2368" s="1">
        <v>80.510000000000005</v>
      </c>
      <c r="F2368" s="1">
        <v>7393300</v>
      </c>
      <c r="G2368" s="1">
        <v>80.510000000000005</v>
      </c>
      <c r="H2368" s="1">
        <f t="shared" si="324"/>
        <v>2.6300000000000097</v>
      </c>
      <c r="I2368" s="9">
        <f t="shared" si="331"/>
        <v>3.3073440643863306E-2</v>
      </c>
      <c r="J2368" s="1">
        <f t="shared" si="332"/>
        <v>0.87000000000000455</v>
      </c>
      <c r="K2368" s="9">
        <f t="shared" si="325"/>
        <v>1.0924158714214019E-2</v>
      </c>
      <c r="L2368" s="1">
        <f t="shared" si="326"/>
        <v>1</v>
      </c>
      <c r="M2368" s="1">
        <f t="shared" si="327"/>
        <v>82.15</v>
      </c>
      <c r="N2368" s="1">
        <f t="shared" si="328"/>
        <v>79.52</v>
      </c>
      <c r="O2368" s="1">
        <f t="shared" si="329"/>
        <v>78.550000000000011</v>
      </c>
      <c r="P2368" s="1">
        <f t="shared" si="330"/>
        <v>40.076530612244902</v>
      </c>
    </row>
    <row r="2369" spans="1:16">
      <c r="A2369" s="2">
        <v>39623</v>
      </c>
      <c r="B2369" s="1">
        <v>79.55</v>
      </c>
      <c r="C2369" s="1">
        <v>80.790000000000006</v>
      </c>
      <c r="D2369" s="1">
        <v>77.63</v>
      </c>
      <c r="E2369" s="1">
        <v>79.64</v>
      </c>
      <c r="F2369" s="1">
        <v>7140100</v>
      </c>
      <c r="G2369" s="1">
        <v>79.64</v>
      </c>
      <c r="H2369" s="1">
        <f t="shared" si="324"/>
        <v>3.1600000000000108</v>
      </c>
      <c r="I2369" s="9">
        <f t="shared" si="331"/>
        <v>4.0705912662630565E-2</v>
      </c>
      <c r="J2369" s="1">
        <f t="shared" si="332"/>
        <v>-1.0400000000000063</v>
      </c>
      <c r="K2369" s="9">
        <f t="shared" si="325"/>
        <v>-1.2890431333663934E-2</v>
      </c>
      <c r="L2369" s="1">
        <f t="shared" si="326"/>
        <v>1</v>
      </c>
      <c r="M2369" s="1">
        <f t="shared" si="327"/>
        <v>80.790000000000006</v>
      </c>
      <c r="N2369" s="1">
        <f t="shared" si="328"/>
        <v>77.63</v>
      </c>
      <c r="O2369" s="1">
        <f t="shared" si="329"/>
        <v>77.680000000000007</v>
      </c>
      <c r="P2369" s="1">
        <f t="shared" si="330"/>
        <v>39.632653061224495</v>
      </c>
    </row>
    <row r="2370" spans="1:16">
      <c r="A2370" s="2">
        <v>39622</v>
      </c>
      <c r="B2370" s="1">
        <v>81.3</v>
      </c>
      <c r="C2370" s="1">
        <v>82.15</v>
      </c>
      <c r="D2370" s="1">
        <v>79.55</v>
      </c>
      <c r="E2370" s="1">
        <v>80.680000000000007</v>
      </c>
      <c r="F2370" s="1">
        <v>7425800</v>
      </c>
      <c r="G2370" s="1">
        <v>80.680000000000007</v>
      </c>
      <c r="H2370" s="1">
        <f t="shared" si="324"/>
        <v>2.6000000000000085</v>
      </c>
      <c r="I2370" s="9">
        <f t="shared" si="331"/>
        <v>3.2683846637335118E-2</v>
      </c>
      <c r="J2370" s="1">
        <f t="shared" si="332"/>
        <v>-0.41999999999998749</v>
      </c>
      <c r="K2370" s="9">
        <f t="shared" si="325"/>
        <v>-5.1787916152896121E-3</v>
      </c>
      <c r="L2370" s="1">
        <f t="shared" si="326"/>
        <v>1</v>
      </c>
      <c r="M2370" s="1">
        <f t="shared" si="327"/>
        <v>82.15</v>
      </c>
      <c r="N2370" s="1">
        <f t="shared" si="328"/>
        <v>79.55</v>
      </c>
      <c r="O2370" s="1">
        <f t="shared" si="329"/>
        <v>78.720000000000013</v>
      </c>
      <c r="P2370" s="1">
        <f t="shared" si="330"/>
        <v>40.163265306122454</v>
      </c>
    </row>
    <row r="2371" spans="1:16">
      <c r="A2371" s="2">
        <v>39619</v>
      </c>
      <c r="B2371" s="1">
        <v>83.1</v>
      </c>
      <c r="C2371" s="1">
        <v>83.46</v>
      </c>
      <c r="D2371" s="1">
        <v>80.510000000000005</v>
      </c>
      <c r="E2371" s="1">
        <v>81.099999999999994</v>
      </c>
      <c r="F2371" s="1">
        <v>6588900</v>
      </c>
      <c r="G2371" s="1">
        <v>81.099999999999994</v>
      </c>
      <c r="H2371" s="1">
        <f t="shared" ref="H2371:H2434" si="333">C2371-D2371</f>
        <v>2.9499999999999886</v>
      </c>
      <c r="I2371" s="9">
        <f t="shared" si="331"/>
        <v>3.6641411004843978E-2</v>
      </c>
      <c r="J2371" s="1">
        <f t="shared" si="332"/>
        <v>-3.1600000000000108</v>
      </c>
      <c r="K2371" s="9">
        <f t="shared" ref="K2371:K2434" si="334">(G2371-G2372)/G2372</f>
        <v>-3.7502967006883582E-2</v>
      </c>
      <c r="L2371" s="1">
        <f t="shared" ref="L2371:L2434" si="335">G2371/E2371</f>
        <v>1</v>
      </c>
      <c r="M2371" s="1">
        <f t="shared" ref="M2371:M2434" si="336">L2371*C2371</f>
        <v>83.46</v>
      </c>
      <c r="N2371" s="1">
        <f t="shared" ref="N2371:N2434" si="337">L2371*D2371</f>
        <v>80.510000000000005</v>
      </c>
      <c r="O2371" s="1">
        <f t="shared" ref="O2371:O2434" si="338">G2371-$G$5163</f>
        <v>79.14</v>
      </c>
      <c r="P2371" s="1">
        <f t="shared" ref="P2371:P2434" si="339">(G2371-$G$5163)/$G$5163</f>
        <v>40.377551020408163</v>
      </c>
    </row>
    <row r="2372" spans="1:16">
      <c r="A2372" s="2">
        <v>39618</v>
      </c>
      <c r="B2372" s="1">
        <v>82.21</v>
      </c>
      <c r="C2372" s="1">
        <v>84.47</v>
      </c>
      <c r="D2372" s="1">
        <v>81.5</v>
      </c>
      <c r="E2372" s="1">
        <v>84.26</v>
      </c>
      <c r="F2372" s="1">
        <v>6717300</v>
      </c>
      <c r="G2372" s="1">
        <v>84.26</v>
      </c>
      <c r="H2372" s="1">
        <f t="shared" si="333"/>
        <v>2.9699999999999989</v>
      </c>
      <c r="I2372" s="9">
        <f t="shared" ref="I2372:I2435" si="340">(C2372-D2372)/D2372</f>
        <v>3.6441717791411032E-2</v>
      </c>
      <c r="J2372" s="1">
        <f t="shared" ref="J2372:J2435" si="341">G2372-G2373</f>
        <v>1.7400000000000091</v>
      </c>
      <c r="K2372" s="9">
        <f t="shared" si="334"/>
        <v>2.1085797382452851E-2</v>
      </c>
      <c r="L2372" s="1">
        <f t="shared" si="335"/>
        <v>1</v>
      </c>
      <c r="M2372" s="1">
        <f t="shared" si="336"/>
        <v>84.47</v>
      </c>
      <c r="N2372" s="1">
        <f t="shared" si="337"/>
        <v>81.5</v>
      </c>
      <c r="O2372" s="1">
        <f t="shared" si="338"/>
        <v>82.300000000000011</v>
      </c>
      <c r="P2372" s="1">
        <f t="shared" si="339"/>
        <v>41.989795918367356</v>
      </c>
    </row>
    <row r="2373" spans="1:16">
      <c r="A2373" s="2">
        <v>39617</v>
      </c>
      <c r="B2373" s="1">
        <v>82</v>
      </c>
      <c r="C2373" s="1">
        <v>83.17</v>
      </c>
      <c r="D2373" s="1">
        <v>81.319999999999993</v>
      </c>
      <c r="E2373" s="1">
        <v>82.52</v>
      </c>
      <c r="F2373" s="1">
        <v>6846600</v>
      </c>
      <c r="G2373" s="1">
        <v>82.52</v>
      </c>
      <c r="H2373" s="1">
        <f t="shared" si="333"/>
        <v>1.8500000000000085</v>
      </c>
      <c r="I2373" s="9">
        <f t="shared" si="340"/>
        <v>2.2749631087063561E-2</v>
      </c>
      <c r="J2373" s="1">
        <f t="shared" si="341"/>
        <v>-0.45000000000000284</v>
      </c>
      <c r="K2373" s="9">
        <f t="shared" si="334"/>
        <v>-5.423647101361972E-3</v>
      </c>
      <c r="L2373" s="1">
        <f t="shared" si="335"/>
        <v>1</v>
      </c>
      <c r="M2373" s="1">
        <f t="shared" si="336"/>
        <v>83.17</v>
      </c>
      <c r="N2373" s="1">
        <f t="shared" si="337"/>
        <v>81.319999999999993</v>
      </c>
      <c r="O2373" s="1">
        <f t="shared" si="338"/>
        <v>80.56</v>
      </c>
      <c r="P2373" s="1">
        <f t="shared" si="339"/>
        <v>41.102040816326536</v>
      </c>
    </row>
    <row r="2374" spans="1:16">
      <c r="A2374" s="2">
        <v>39616</v>
      </c>
      <c r="B2374" s="1">
        <v>83.15</v>
      </c>
      <c r="C2374" s="1">
        <v>84.3</v>
      </c>
      <c r="D2374" s="1">
        <v>82.8</v>
      </c>
      <c r="E2374" s="1">
        <v>82.97</v>
      </c>
      <c r="F2374" s="1">
        <v>8802400</v>
      </c>
      <c r="G2374" s="1">
        <v>82.97</v>
      </c>
      <c r="H2374" s="1">
        <f t="shared" si="333"/>
        <v>1.5</v>
      </c>
      <c r="I2374" s="9">
        <f t="shared" si="340"/>
        <v>1.8115942028985508E-2</v>
      </c>
      <c r="J2374" s="1">
        <f t="shared" si="341"/>
        <v>1.269999999999996</v>
      </c>
      <c r="K2374" s="9">
        <f t="shared" si="334"/>
        <v>1.554467564259481E-2</v>
      </c>
      <c r="L2374" s="1">
        <f t="shared" si="335"/>
        <v>1</v>
      </c>
      <c r="M2374" s="1">
        <f t="shared" si="336"/>
        <v>84.3</v>
      </c>
      <c r="N2374" s="1">
        <f t="shared" si="337"/>
        <v>82.8</v>
      </c>
      <c r="O2374" s="1">
        <f t="shared" si="338"/>
        <v>81.010000000000005</v>
      </c>
      <c r="P2374" s="1">
        <f t="shared" si="339"/>
        <v>41.331632653061227</v>
      </c>
    </row>
    <row r="2375" spans="1:16">
      <c r="A2375" s="2">
        <v>39615</v>
      </c>
      <c r="B2375" s="1">
        <v>78.42</v>
      </c>
      <c r="C2375" s="1">
        <v>82.53</v>
      </c>
      <c r="D2375" s="1">
        <v>78.41</v>
      </c>
      <c r="E2375" s="1">
        <v>81.7</v>
      </c>
      <c r="F2375" s="1">
        <v>5754400</v>
      </c>
      <c r="G2375" s="1">
        <v>81.7</v>
      </c>
      <c r="H2375" s="1">
        <f t="shared" si="333"/>
        <v>4.1200000000000045</v>
      </c>
      <c r="I2375" s="9">
        <f t="shared" si="340"/>
        <v>5.2544318326744097E-2</v>
      </c>
      <c r="J2375" s="1">
        <f t="shared" si="341"/>
        <v>2.5300000000000011</v>
      </c>
      <c r="K2375" s="9">
        <f t="shared" si="334"/>
        <v>3.1956549197928522E-2</v>
      </c>
      <c r="L2375" s="1">
        <f t="shared" si="335"/>
        <v>1</v>
      </c>
      <c r="M2375" s="1">
        <f t="shared" si="336"/>
        <v>82.53</v>
      </c>
      <c r="N2375" s="1">
        <f t="shared" si="337"/>
        <v>78.41</v>
      </c>
      <c r="O2375" s="1">
        <f t="shared" si="338"/>
        <v>79.740000000000009</v>
      </c>
      <c r="P2375" s="1">
        <f t="shared" si="339"/>
        <v>40.683673469387763</v>
      </c>
    </row>
    <row r="2376" spans="1:16">
      <c r="A2376" s="2">
        <v>39612</v>
      </c>
      <c r="B2376" s="1">
        <v>76.7</v>
      </c>
      <c r="C2376" s="1">
        <v>80</v>
      </c>
      <c r="D2376" s="1">
        <v>76.7</v>
      </c>
      <c r="E2376" s="1">
        <v>79.17</v>
      </c>
      <c r="F2376" s="1">
        <v>5974500</v>
      </c>
      <c r="G2376" s="1">
        <v>79.17</v>
      </c>
      <c r="H2376" s="1">
        <f t="shared" si="333"/>
        <v>3.2999999999999972</v>
      </c>
      <c r="I2376" s="9">
        <f t="shared" si="340"/>
        <v>4.3024771838331123E-2</v>
      </c>
      <c r="J2376" s="1">
        <f t="shared" si="341"/>
        <v>3.019999999999996</v>
      </c>
      <c r="K2376" s="9">
        <f t="shared" si="334"/>
        <v>3.9658568614576437E-2</v>
      </c>
      <c r="L2376" s="1">
        <f t="shared" si="335"/>
        <v>1</v>
      </c>
      <c r="M2376" s="1">
        <f t="shared" si="336"/>
        <v>80</v>
      </c>
      <c r="N2376" s="1">
        <f t="shared" si="337"/>
        <v>76.7</v>
      </c>
      <c r="O2376" s="1">
        <f t="shared" si="338"/>
        <v>77.210000000000008</v>
      </c>
      <c r="P2376" s="1">
        <f t="shared" si="339"/>
        <v>39.392857142857146</v>
      </c>
    </row>
    <row r="2377" spans="1:16">
      <c r="A2377" s="2">
        <v>39611</v>
      </c>
      <c r="B2377" s="1">
        <v>78.02</v>
      </c>
      <c r="C2377" s="1">
        <v>79.05</v>
      </c>
      <c r="D2377" s="1">
        <v>75.010000000000005</v>
      </c>
      <c r="E2377" s="1">
        <v>76.150000000000006</v>
      </c>
      <c r="F2377" s="1">
        <v>6204400</v>
      </c>
      <c r="G2377" s="1">
        <v>76.150000000000006</v>
      </c>
      <c r="H2377" s="1">
        <f t="shared" si="333"/>
        <v>4.039999999999992</v>
      </c>
      <c r="I2377" s="9">
        <f t="shared" si="340"/>
        <v>5.3859485401946294E-2</v>
      </c>
      <c r="J2377" s="1">
        <f t="shared" si="341"/>
        <v>-1.1299999999999955</v>
      </c>
      <c r="K2377" s="9">
        <f t="shared" si="334"/>
        <v>-1.4622153209109671E-2</v>
      </c>
      <c r="L2377" s="1">
        <f t="shared" si="335"/>
        <v>1</v>
      </c>
      <c r="M2377" s="1">
        <f t="shared" si="336"/>
        <v>79.05</v>
      </c>
      <c r="N2377" s="1">
        <f t="shared" si="337"/>
        <v>75.010000000000005</v>
      </c>
      <c r="O2377" s="1">
        <f t="shared" si="338"/>
        <v>74.190000000000012</v>
      </c>
      <c r="P2377" s="1">
        <f t="shared" si="339"/>
        <v>37.852040816326536</v>
      </c>
    </row>
    <row r="2378" spans="1:16">
      <c r="A2378" s="2">
        <v>39610</v>
      </c>
      <c r="B2378" s="1">
        <v>79.349999999999994</v>
      </c>
      <c r="C2378" s="1">
        <v>80</v>
      </c>
      <c r="D2378" s="1">
        <v>77.03</v>
      </c>
      <c r="E2378" s="1">
        <v>77.28</v>
      </c>
      <c r="F2378" s="1">
        <v>5874500</v>
      </c>
      <c r="G2378" s="1">
        <v>77.28</v>
      </c>
      <c r="H2378" s="1">
        <f t="shared" si="333"/>
        <v>2.9699999999999989</v>
      </c>
      <c r="I2378" s="9">
        <f t="shared" si="340"/>
        <v>3.8556406594833163E-2</v>
      </c>
      <c r="J2378" s="1">
        <f t="shared" si="341"/>
        <v>-2.3400000000000034</v>
      </c>
      <c r="K2378" s="9">
        <f t="shared" si="334"/>
        <v>-2.9389600602863643E-2</v>
      </c>
      <c r="L2378" s="1">
        <f t="shared" si="335"/>
        <v>1</v>
      </c>
      <c r="M2378" s="1">
        <f t="shared" si="336"/>
        <v>80</v>
      </c>
      <c r="N2378" s="1">
        <f t="shared" si="337"/>
        <v>77.03</v>
      </c>
      <c r="O2378" s="1">
        <f t="shared" si="338"/>
        <v>75.320000000000007</v>
      </c>
      <c r="P2378" s="1">
        <f t="shared" si="339"/>
        <v>38.428571428571431</v>
      </c>
    </row>
    <row r="2379" spans="1:16">
      <c r="A2379" s="2">
        <v>39609</v>
      </c>
      <c r="B2379" s="1">
        <v>78.2</v>
      </c>
      <c r="C2379" s="1">
        <v>81.040000000000006</v>
      </c>
      <c r="D2379" s="1">
        <v>78.2</v>
      </c>
      <c r="E2379" s="1">
        <v>79.62</v>
      </c>
      <c r="F2379" s="1">
        <v>6065600</v>
      </c>
      <c r="G2379" s="1">
        <v>79.62</v>
      </c>
      <c r="H2379" s="1">
        <f t="shared" si="333"/>
        <v>2.8400000000000034</v>
      </c>
      <c r="I2379" s="9">
        <f t="shared" si="340"/>
        <v>3.6317135549872162E-2</v>
      </c>
      <c r="J2379" s="1">
        <f t="shared" si="341"/>
        <v>0.18999999999999773</v>
      </c>
      <c r="K2379" s="9">
        <f t="shared" si="334"/>
        <v>2.3920433085735581E-3</v>
      </c>
      <c r="L2379" s="1">
        <f t="shared" si="335"/>
        <v>1</v>
      </c>
      <c r="M2379" s="1">
        <f t="shared" si="336"/>
        <v>81.040000000000006</v>
      </c>
      <c r="N2379" s="1">
        <f t="shared" si="337"/>
        <v>78.2</v>
      </c>
      <c r="O2379" s="1">
        <f t="shared" si="338"/>
        <v>77.660000000000011</v>
      </c>
      <c r="P2379" s="1">
        <f t="shared" si="339"/>
        <v>39.622448979591844</v>
      </c>
    </row>
    <row r="2380" spans="1:16">
      <c r="A2380" s="2">
        <v>39608</v>
      </c>
      <c r="B2380" s="1">
        <v>81.19</v>
      </c>
      <c r="C2380" s="1">
        <v>81.53</v>
      </c>
      <c r="D2380" s="1">
        <v>78.12</v>
      </c>
      <c r="E2380" s="1">
        <v>79.430000000000007</v>
      </c>
      <c r="F2380" s="1">
        <v>6537300</v>
      </c>
      <c r="G2380" s="1">
        <v>79.430000000000007</v>
      </c>
      <c r="H2380" s="1">
        <f t="shared" si="333"/>
        <v>3.4099999999999966</v>
      </c>
      <c r="I2380" s="9">
        <f t="shared" si="340"/>
        <v>4.3650793650793607E-2</v>
      </c>
      <c r="J2380" s="1">
        <f t="shared" si="341"/>
        <v>-1.1999999999999886</v>
      </c>
      <c r="K2380" s="9">
        <f t="shared" si="334"/>
        <v>-1.4882797966017471E-2</v>
      </c>
      <c r="L2380" s="1">
        <f t="shared" si="335"/>
        <v>1</v>
      </c>
      <c r="M2380" s="1">
        <f t="shared" si="336"/>
        <v>81.53</v>
      </c>
      <c r="N2380" s="1">
        <f t="shared" si="337"/>
        <v>78.12</v>
      </c>
      <c r="O2380" s="1">
        <f t="shared" si="338"/>
        <v>77.470000000000013</v>
      </c>
      <c r="P2380" s="1">
        <f t="shared" si="339"/>
        <v>39.525510204081641</v>
      </c>
    </row>
    <row r="2381" spans="1:16">
      <c r="A2381" s="2">
        <v>39605</v>
      </c>
      <c r="B2381" s="1">
        <v>83.24</v>
      </c>
      <c r="C2381" s="1">
        <v>83.64</v>
      </c>
      <c r="D2381" s="1">
        <v>80.56</v>
      </c>
      <c r="E2381" s="1">
        <v>80.63</v>
      </c>
      <c r="F2381" s="1">
        <v>7843700</v>
      </c>
      <c r="G2381" s="1">
        <v>80.63</v>
      </c>
      <c r="H2381" s="1">
        <f t="shared" si="333"/>
        <v>3.0799999999999983</v>
      </c>
      <c r="I2381" s="9">
        <f t="shared" si="340"/>
        <v>3.8232373386295905E-2</v>
      </c>
      <c r="J2381" s="1">
        <f t="shared" si="341"/>
        <v>-3.8800000000000097</v>
      </c>
      <c r="K2381" s="9">
        <f t="shared" si="334"/>
        <v>-4.5911726422908646E-2</v>
      </c>
      <c r="L2381" s="1">
        <f t="shared" si="335"/>
        <v>1</v>
      </c>
      <c r="M2381" s="1">
        <f t="shared" si="336"/>
        <v>83.64</v>
      </c>
      <c r="N2381" s="1">
        <f t="shared" si="337"/>
        <v>80.56</v>
      </c>
      <c r="O2381" s="1">
        <f t="shared" si="338"/>
        <v>78.67</v>
      </c>
      <c r="P2381" s="1">
        <f t="shared" si="339"/>
        <v>40.137755102040821</v>
      </c>
    </row>
    <row r="2382" spans="1:16">
      <c r="A2382" s="2">
        <v>39604</v>
      </c>
      <c r="B2382" s="1">
        <v>82.11</v>
      </c>
      <c r="C2382" s="1">
        <v>84.88</v>
      </c>
      <c r="D2382" s="1">
        <v>81.8</v>
      </c>
      <c r="E2382" s="1">
        <v>84.51</v>
      </c>
      <c r="F2382" s="1">
        <v>8938700</v>
      </c>
      <c r="G2382" s="1">
        <v>84.51</v>
      </c>
      <c r="H2382" s="1">
        <f t="shared" si="333"/>
        <v>3.0799999999999983</v>
      </c>
      <c r="I2382" s="9">
        <f t="shared" si="340"/>
        <v>3.7652811735941302E-2</v>
      </c>
      <c r="J2382" s="1">
        <f t="shared" si="341"/>
        <v>3.0100000000000051</v>
      </c>
      <c r="K2382" s="9">
        <f t="shared" si="334"/>
        <v>3.6932515337423373E-2</v>
      </c>
      <c r="L2382" s="1">
        <f t="shared" si="335"/>
        <v>1</v>
      </c>
      <c r="M2382" s="1">
        <f t="shared" si="336"/>
        <v>84.88</v>
      </c>
      <c r="N2382" s="1">
        <f t="shared" si="337"/>
        <v>81.8</v>
      </c>
      <c r="O2382" s="1">
        <f t="shared" si="338"/>
        <v>82.550000000000011</v>
      </c>
      <c r="P2382" s="1">
        <f t="shared" si="339"/>
        <v>42.117346938775519</v>
      </c>
    </row>
    <row r="2383" spans="1:16">
      <c r="A2383" s="2">
        <v>39603</v>
      </c>
      <c r="B2383" s="1">
        <v>80.11</v>
      </c>
      <c r="C2383" s="1">
        <v>81.819999999999993</v>
      </c>
      <c r="D2383" s="1">
        <v>79.72</v>
      </c>
      <c r="E2383" s="1">
        <v>81.5</v>
      </c>
      <c r="F2383" s="1">
        <v>6458300</v>
      </c>
      <c r="G2383" s="1">
        <v>81.5</v>
      </c>
      <c r="H2383" s="1">
        <f t="shared" si="333"/>
        <v>2.0999999999999943</v>
      </c>
      <c r="I2383" s="9">
        <f t="shared" si="340"/>
        <v>2.6342197691921657E-2</v>
      </c>
      <c r="J2383" s="1">
        <f t="shared" si="341"/>
        <v>1.3900000000000006</v>
      </c>
      <c r="K2383" s="9">
        <f t="shared" si="334"/>
        <v>1.735114217950319E-2</v>
      </c>
      <c r="L2383" s="1">
        <f t="shared" si="335"/>
        <v>1</v>
      </c>
      <c r="M2383" s="1">
        <f t="shared" si="336"/>
        <v>81.819999999999993</v>
      </c>
      <c r="N2383" s="1">
        <f t="shared" si="337"/>
        <v>79.72</v>
      </c>
      <c r="O2383" s="1">
        <f t="shared" si="338"/>
        <v>79.540000000000006</v>
      </c>
      <c r="P2383" s="1">
        <f t="shared" si="339"/>
        <v>40.581632653061227</v>
      </c>
    </row>
    <row r="2384" spans="1:16">
      <c r="A2384" s="2">
        <v>39602</v>
      </c>
      <c r="B2384" s="1">
        <v>80.709999999999994</v>
      </c>
      <c r="C2384" s="1">
        <v>81.89</v>
      </c>
      <c r="D2384" s="1">
        <v>79.260000000000005</v>
      </c>
      <c r="E2384" s="1">
        <v>80.11</v>
      </c>
      <c r="F2384" s="1">
        <v>5870000</v>
      </c>
      <c r="G2384" s="1">
        <v>80.11</v>
      </c>
      <c r="H2384" s="1">
        <f t="shared" si="333"/>
        <v>2.6299999999999955</v>
      </c>
      <c r="I2384" s="9">
        <f t="shared" si="340"/>
        <v>3.318193287913191E-2</v>
      </c>
      <c r="J2384" s="1">
        <f t="shared" si="341"/>
        <v>-0.12000000000000455</v>
      </c>
      <c r="K2384" s="9">
        <f t="shared" si="334"/>
        <v>-1.4956998628942357E-3</v>
      </c>
      <c r="L2384" s="1">
        <f t="shared" si="335"/>
        <v>1</v>
      </c>
      <c r="M2384" s="1">
        <f t="shared" si="336"/>
        <v>81.89</v>
      </c>
      <c r="N2384" s="1">
        <f t="shared" si="337"/>
        <v>79.260000000000005</v>
      </c>
      <c r="O2384" s="1">
        <f t="shared" si="338"/>
        <v>78.150000000000006</v>
      </c>
      <c r="P2384" s="1">
        <f t="shared" si="339"/>
        <v>39.872448979591837</v>
      </c>
    </row>
    <row r="2385" spans="1:16">
      <c r="A2385" s="2">
        <v>39601</v>
      </c>
      <c r="B2385" s="1">
        <v>81.150000000000006</v>
      </c>
      <c r="C2385" s="1">
        <v>81.569999999999993</v>
      </c>
      <c r="D2385" s="1">
        <v>80.05</v>
      </c>
      <c r="E2385" s="1">
        <v>80.23</v>
      </c>
      <c r="F2385" s="1">
        <v>6215200</v>
      </c>
      <c r="G2385" s="1">
        <v>80.23</v>
      </c>
      <c r="H2385" s="1">
        <f t="shared" si="333"/>
        <v>1.519999999999996</v>
      </c>
      <c r="I2385" s="9">
        <f t="shared" si="340"/>
        <v>1.8988132417239175E-2</v>
      </c>
      <c r="J2385" s="1">
        <f t="shared" si="341"/>
        <v>-1.3900000000000006</v>
      </c>
      <c r="K2385" s="9">
        <f t="shared" si="334"/>
        <v>-1.7030139671649111E-2</v>
      </c>
      <c r="L2385" s="1">
        <f t="shared" si="335"/>
        <v>1</v>
      </c>
      <c r="M2385" s="1">
        <f t="shared" si="336"/>
        <v>81.569999999999993</v>
      </c>
      <c r="N2385" s="1">
        <f t="shared" si="337"/>
        <v>80.05</v>
      </c>
      <c r="O2385" s="1">
        <f t="shared" si="338"/>
        <v>78.27000000000001</v>
      </c>
      <c r="P2385" s="1">
        <f t="shared" si="339"/>
        <v>39.933673469387763</v>
      </c>
    </row>
    <row r="2386" spans="1:16">
      <c r="A2386" s="2">
        <v>39598</v>
      </c>
      <c r="B2386" s="1">
        <v>80.58</v>
      </c>
      <c r="C2386" s="1">
        <v>81.77</v>
      </c>
      <c r="D2386" s="1">
        <v>80.3</v>
      </c>
      <c r="E2386" s="1">
        <v>81.62</v>
      </c>
      <c r="F2386" s="1">
        <v>5270600</v>
      </c>
      <c r="G2386" s="1">
        <v>81.62</v>
      </c>
      <c r="H2386" s="1">
        <f t="shared" si="333"/>
        <v>1.4699999999999989</v>
      </c>
      <c r="I2386" s="9">
        <f t="shared" si="340"/>
        <v>1.8306351183063497E-2</v>
      </c>
      <c r="J2386" s="1">
        <f t="shared" si="341"/>
        <v>1.2700000000000102</v>
      </c>
      <c r="K2386" s="9">
        <f t="shared" si="334"/>
        <v>1.5805849408836468E-2</v>
      </c>
      <c r="L2386" s="1">
        <f t="shared" si="335"/>
        <v>1</v>
      </c>
      <c r="M2386" s="1">
        <f t="shared" si="336"/>
        <v>81.77</v>
      </c>
      <c r="N2386" s="1">
        <f t="shared" si="337"/>
        <v>80.3</v>
      </c>
      <c r="O2386" s="1">
        <f t="shared" si="338"/>
        <v>79.660000000000011</v>
      </c>
      <c r="P2386" s="1">
        <f t="shared" si="339"/>
        <v>40.642857142857146</v>
      </c>
    </row>
    <row r="2387" spans="1:16">
      <c r="A2387" s="2">
        <v>39597</v>
      </c>
      <c r="B2387" s="1">
        <v>80.61</v>
      </c>
      <c r="C2387" s="1">
        <v>81.96</v>
      </c>
      <c r="D2387" s="1">
        <v>80.17</v>
      </c>
      <c r="E2387" s="1">
        <v>80.349999999999994</v>
      </c>
      <c r="F2387" s="1">
        <v>6857600</v>
      </c>
      <c r="G2387" s="1">
        <v>80.349999999999994</v>
      </c>
      <c r="H2387" s="1">
        <f t="shared" si="333"/>
        <v>1.789999999999992</v>
      </c>
      <c r="I2387" s="9">
        <f t="shared" si="340"/>
        <v>2.2327553947860696E-2</v>
      </c>
      <c r="J2387" s="1">
        <f t="shared" si="341"/>
        <v>0.26999999999999602</v>
      </c>
      <c r="K2387" s="9">
        <f t="shared" si="334"/>
        <v>3.3716283716283221E-3</v>
      </c>
      <c r="L2387" s="1">
        <f t="shared" si="335"/>
        <v>1</v>
      </c>
      <c r="M2387" s="1">
        <f t="shared" si="336"/>
        <v>81.96</v>
      </c>
      <c r="N2387" s="1">
        <f t="shared" si="337"/>
        <v>80.17</v>
      </c>
      <c r="O2387" s="1">
        <f t="shared" si="338"/>
        <v>78.39</v>
      </c>
      <c r="P2387" s="1">
        <f t="shared" si="339"/>
        <v>39.994897959183675</v>
      </c>
    </row>
    <row r="2388" spans="1:16">
      <c r="A2388" s="2">
        <v>39596</v>
      </c>
      <c r="B2388" s="1">
        <v>80.73</v>
      </c>
      <c r="C2388" s="1">
        <v>80.790000000000006</v>
      </c>
      <c r="D2388" s="1">
        <v>78.989999999999995</v>
      </c>
      <c r="E2388" s="1">
        <v>80.08</v>
      </c>
      <c r="F2388" s="1">
        <v>6700600</v>
      </c>
      <c r="G2388" s="1">
        <v>80.08</v>
      </c>
      <c r="H2388" s="1">
        <f t="shared" si="333"/>
        <v>1.8000000000000114</v>
      </c>
      <c r="I2388" s="9">
        <f t="shared" si="340"/>
        <v>2.2787694644891904E-2</v>
      </c>
      <c r="J2388" s="1">
        <f t="shared" si="341"/>
        <v>-0.54000000000000625</v>
      </c>
      <c r="K2388" s="9">
        <f t="shared" si="334"/>
        <v>-6.6980898040189312E-3</v>
      </c>
      <c r="L2388" s="1">
        <f t="shared" si="335"/>
        <v>1</v>
      </c>
      <c r="M2388" s="1">
        <f t="shared" si="336"/>
        <v>80.790000000000006</v>
      </c>
      <c r="N2388" s="1">
        <f t="shared" si="337"/>
        <v>78.989999999999995</v>
      </c>
      <c r="O2388" s="1">
        <f t="shared" si="338"/>
        <v>78.12</v>
      </c>
      <c r="P2388" s="1">
        <f t="shared" si="339"/>
        <v>39.857142857142861</v>
      </c>
    </row>
    <row r="2389" spans="1:16">
      <c r="A2389" s="2">
        <v>39595</v>
      </c>
      <c r="B2389" s="1">
        <v>78.260000000000005</v>
      </c>
      <c r="C2389" s="1">
        <v>80.900000000000006</v>
      </c>
      <c r="D2389" s="1">
        <v>77.97</v>
      </c>
      <c r="E2389" s="1">
        <v>80.62</v>
      </c>
      <c r="F2389" s="1">
        <v>10108200</v>
      </c>
      <c r="G2389" s="1">
        <v>80.62</v>
      </c>
      <c r="H2389" s="1">
        <f t="shared" si="333"/>
        <v>2.9300000000000068</v>
      </c>
      <c r="I2389" s="9">
        <f t="shared" si="340"/>
        <v>3.7578555854816044E-2</v>
      </c>
      <c r="J2389" s="1">
        <f t="shared" si="341"/>
        <v>2.2700000000000102</v>
      </c>
      <c r="K2389" s="9">
        <f t="shared" si="334"/>
        <v>2.8972559029993752E-2</v>
      </c>
      <c r="L2389" s="1">
        <f t="shared" si="335"/>
        <v>1</v>
      </c>
      <c r="M2389" s="1">
        <f t="shared" si="336"/>
        <v>80.900000000000006</v>
      </c>
      <c r="N2389" s="1">
        <f t="shared" si="337"/>
        <v>77.97</v>
      </c>
      <c r="O2389" s="1">
        <f t="shared" si="338"/>
        <v>78.660000000000011</v>
      </c>
      <c r="P2389" s="1">
        <f t="shared" si="339"/>
        <v>40.132653061224495</v>
      </c>
    </row>
    <row r="2390" spans="1:16">
      <c r="A2390" s="2">
        <v>39591</v>
      </c>
      <c r="B2390" s="1">
        <v>78.55</v>
      </c>
      <c r="C2390" s="1">
        <v>78.87</v>
      </c>
      <c r="D2390" s="1">
        <v>77.430000000000007</v>
      </c>
      <c r="E2390" s="1">
        <v>78.349999999999994</v>
      </c>
      <c r="F2390" s="1">
        <v>6331900</v>
      </c>
      <c r="G2390" s="1">
        <v>78.349999999999994</v>
      </c>
      <c r="H2390" s="1">
        <f t="shared" si="333"/>
        <v>1.4399999999999977</v>
      </c>
      <c r="I2390" s="9">
        <f t="shared" si="340"/>
        <v>1.8597442851607873E-2</v>
      </c>
      <c r="J2390" s="1">
        <f t="shared" si="341"/>
        <v>-0.9100000000000108</v>
      </c>
      <c r="K2390" s="9">
        <f t="shared" si="334"/>
        <v>-1.1481201110270133E-2</v>
      </c>
      <c r="L2390" s="1">
        <f t="shared" si="335"/>
        <v>1</v>
      </c>
      <c r="M2390" s="1">
        <f t="shared" si="336"/>
        <v>78.87</v>
      </c>
      <c r="N2390" s="1">
        <f t="shared" si="337"/>
        <v>77.430000000000007</v>
      </c>
      <c r="O2390" s="1">
        <f t="shared" si="338"/>
        <v>76.39</v>
      </c>
      <c r="P2390" s="1">
        <f t="shared" si="339"/>
        <v>38.974489795918366</v>
      </c>
    </row>
    <row r="2391" spans="1:16">
      <c r="A2391" s="2">
        <v>39590</v>
      </c>
      <c r="B2391" s="1">
        <v>78.680000000000007</v>
      </c>
      <c r="C2391" s="1">
        <v>79.69</v>
      </c>
      <c r="D2391" s="1">
        <v>78</v>
      </c>
      <c r="E2391" s="1">
        <v>79.260000000000005</v>
      </c>
      <c r="F2391" s="1">
        <v>5390600</v>
      </c>
      <c r="G2391" s="1">
        <v>79.260000000000005</v>
      </c>
      <c r="H2391" s="1">
        <f t="shared" si="333"/>
        <v>1.6899999999999977</v>
      </c>
      <c r="I2391" s="9">
        <f t="shared" si="340"/>
        <v>2.1666666666666636E-2</v>
      </c>
      <c r="J2391" s="1">
        <f t="shared" si="341"/>
        <v>0.96000000000000796</v>
      </c>
      <c r="K2391" s="9">
        <f t="shared" si="334"/>
        <v>1.2260536398467536E-2</v>
      </c>
      <c r="L2391" s="1">
        <f t="shared" si="335"/>
        <v>1</v>
      </c>
      <c r="M2391" s="1">
        <f t="shared" si="336"/>
        <v>79.69</v>
      </c>
      <c r="N2391" s="1">
        <f t="shared" si="337"/>
        <v>78</v>
      </c>
      <c r="O2391" s="1">
        <f t="shared" si="338"/>
        <v>77.300000000000011</v>
      </c>
      <c r="P2391" s="1">
        <f t="shared" si="339"/>
        <v>39.438775510204088</v>
      </c>
    </row>
    <row r="2392" spans="1:16">
      <c r="A2392" s="2">
        <v>39589</v>
      </c>
      <c r="B2392" s="1">
        <v>80.37</v>
      </c>
      <c r="C2392" s="1">
        <v>81.150000000000006</v>
      </c>
      <c r="D2392" s="1">
        <v>77.5</v>
      </c>
      <c r="E2392" s="1">
        <v>78.3</v>
      </c>
      <c r="F2392" s="1">
        <v>7070500</v>
      </c>
      <c r="G2392" s="1">
        <v>78.3</v>
      </c>
      <c r="H2392" s="1">
        <f t="shared" si="333"/>
        <v>3.6500000000000057</v>
      </c>
      <c r="I2392" s="9">
        <f t="shared" si="340"/>
        <v>4.7096774193548463E-2</v>
      </c>
      <c r="J2392" s="1">
        <f t="shared" si="341"/>
        <v>-2.4200000000000017</v>
      </c>
      <c r="K2392" s="9">
        <f t="shared" si="334"/>
        <v>-2.9980178394449972E-2</v>
      </c>
      <c r="L2392" s="1">
        <f t="shared" si="335"/>
        <v>1</v>
      </c>
      <c r="M2392" s="1">
        <f t="shared" si="336"/>
        <v>81.150000000000006</v>
      </c>
      <c r="N2392" s="1">
        <f t="shared" si="337"/>
        <v>77.5</v>
      </c>
      <c r="O2392" s="1">
        <f t="shared" si="338"/>
        <v>76.34</v>
      </c>
      <c r="P2392" s="1">
        <f t="shared" si="339"/>
        <v>38.948979591836739</v>
      </c>
    </row>
    <row r="2393" spans="1:16">
      <c r="A2393" s="2">
        <v>39588</v>
      </c>
      <c r="B2393" s="1">
        <v>82.17</v>
      </c>
      <c r="C2393" s="1">
        <v>82.7</v>
      </c>
      <c r="D2393" s="1">
        <v>80.03</v>
      </c>
      <c r="E2393" s="1">
        <v>80.72</v>
      </c>
      <c r="F2393" s="1">
        <v>7912200</v>
      </c>
      <c r="G2393" s="1">
        <v>80.72</v>
      </c>
      <c r="H2393" s="1">
        <f t="shared" si="333"/>
        <v>2.6700000000000017</v>
      </c>
      <c r="I2393" s="9">
        <f t="shared" si="340"/>
        <v>3.3362489066600047E-2</v>
      </c>
      <c r="J2393" s="1">
        <f t="shared" si="341"/>
        <v>-1.5700000000000074</v>
      </c>
      <c r="K2393" s="9">
        <f t="shared" si="334"/>
        <v>-1.9078867420099736E-2</v>
      </c>
      <c r="L2393" s="1">
        <f t="shared" si="335"/>
        <v>1</v>
      </c>
      <c r="M2393" s="1">
        <f t="shared" si="336"/>
        <v>82.7</v>
      </c>
      <c r="N2393" s="1">
        <f t="shared" si="337"/>
        <v>80.03</v>
      </c>
      <c r="O2393" s="1">
        <f t="shared" si="338"/>
        <v>78.760000000000005</v>
      </c>
      <c r="P2393" s="1">
        <f t="shared" si="339"/>
        <v>40.183673469387756</v>
      </c>
    </row>
    <row r="2394" spans="1:16">
      <c r="A2394" s="2">
        <v>39587</v>
      </c>
      <c r="B2394" s="1">
        <v>79.010000000000005</v>
      </c>
      <c r="C2394" s="1">
        <v>84.75</v>
      </c>
      <c r="D2394" s="1">
        <v>78.86</v>
      </c>
      <c r="E2394" s="1">
        <v>82.29</v>
      </c>
      <c r="F2394" s="1">
        <v>18684800</v>
      </c>
      <c r="G2394" s="1">
        <v>82.29</v>
      </c>
      <c r="H2394" s="1">
        <f t="shared" si="333"/>
        <v>5.8900000000000006</v>
      </c>
      <c r="I2394" s="9">
        <f t="shared" si="340"/>
        <v>7.4689322850621367E-2</v>
      </c>
      <c r="J2394" s="1">
        <f t="shared" si="341"/>
        <v>5.8300000000000125</v>
      </c>
      <c r="K2394" s="9">
        <f t="shared" si="334"/>
        <v>7.6249019094951784E-2</v>
      </c>
      <c r="L2394" s="1">
        <f t="shared" si="335"/>
        <v>1</v>
      </c>
      <c r="M2394" s="1">
        <f t="shared" si="336"/>
        <v>84.75</v>
      </c>
      <c r="N2394" s="1">
        <f t="shared" si="337"/>
        <v>78.86</v>
      </c>
      <c r="O2394" s="1">
        <f t="shared" si="338"/>
        <v>80.330000000000013</v>
      </c>
      <c r="P2394" s="1">
        <f t="shared" si="339"/>
        <v>40.984693877551031</v>
      </c>
    </row>
    <row r="2395" spans="1:16">
      <c r="A2395" s="2">
        <v>39584</v>
      </c>
      <c r="B2395" s="1">
        <v>76.42</v>
      </c>
      <c r="C2395" s="1">
        <v>76.83</v>
      </c>
      <c r="D2395" s="1">
        <v>74.86</v>
      </c>
      <c r="E2395" s="1">
        <v>76.459999999999994</v>
      </c>
      <c r="F2395" s="1">
        <v>6206700</v>
      </c>
      <c r="G2395" s="1">
        <v>76.459999999999994</v>
      </c>
      <c r="H2395" s="1">
        <f t="shared" si="333"/>
        <v>1.9699999999999989</v>
      </c>
      <c r="I2395" s="9">
        <f t="shared" si="340"/>
        <v>2.6315789473684195E-2</v>
      </c>
      <c r="J2395" s="1">
        <f t="shared" si="341"/>
        <v>0.3399999999999892</v>
      </c>
      <c r="K2395" s="9">
        <f t="shared" si="334"/>
        <v>4.46663163426155E-3</v>
      </c>
      <c r="L2395" s="1">
        <f t="shared" si="335"/>
        <v>1</v>
      </c>
      <c r="M2395" s="1">
        <f t="shared" si="336"/>
        <v>76.83</v>
      </c>
      <c r="N2395" s="1">
        <f t="shared" si="337"/>
        <v>74.86</v>
      </c>
      <c r="O2395" s="1">
        <f t="shared" si="338"/>
        <v>74.5</v>
      </c>
      <c r="P2395" s="1">
        <f t="shared" si="339"/>
        <v>38.010204081632651</v>
      </c>
    </row>
    <row r="2396" spans="1:16">
      <c r="A2396" s="2">
        <v>39583</v>
      </c>
      <c r="B2396" s="1">
        <v>73.89</v>
      </c>
      <c r="C2396" s="1">
        <v>76.319999999999993</v>
      </c>
      <c r="D2396" s="1">
        <v>73.55</v>
      </c>
      <c r="E2396" s="1">
        <v>76.12</v>
      </c>
      <c r="F2396" s="1">
        <v>6917700</v>
      </c>
      <c r="G2396" s="1">
        <v>76.12</v>
      </c>
      <c r="H2396" s="1">
        <f t="shared" si="333"/>
        <v>2.769999999999996</v>
      </c>
      <c r="I2396" s="9">
        <f t="shared" si="340"/>
        <v>3.7661454792658006E-2</v>
      </c>
      <c r="J2396" s="1">
        <f t="shared" si="341"/>
        <v>1.9200000000000017</v>
      </c>
      <c r="K2396" s="9">
        <f t="shared" si="334"/>
        <v>2.5876010781671181E-2</v>
      </c>
      <c r="L2396" s="1">
        <f t="shared" si="335"/>
        <v>1</v>
      </c>
      <c r="M2396" s="1">
        <f t="shared" si="336"/>
        <v>76.319999999999993</v>
      </c>
      <c r="N2396" s="1">
        <f t="shared" si="337"/>
        <v>73.55</v>
      </c>
      <c r="O2396" s="1">
        <f t="shared" si="338"/>
        <v>74.160000000000011</v>
      </c>
      <c r="P2396" s="1">
        <f t="shared" si="339"/>
        <v>37.83673469387756</v>
      </c>
    </row>
    <row r="2397" spans="1:16">
      <c r="A2397" s="2">
        <v>39582</v>
      </c>
      <c r="B2397" s="1">
        <v>74.92</v>
      </c>
      <c r="C2397" s="1">
        <v>75.75</v>
      </c>
      <c r="D2397" s="1">
        <v>73.98</v>
      </c>
      <c r="E2397" s="1">
        <v>74.2</v>
      </c>
      <c r="F2397" s="1">
        <v>4589200</v>
      </c>
      <c r="G2397" s="1">
        <v>74.2</v>
      </c>
      <c r="H2397" s="1">
        <f t="shared" si="333"/>
        <v>1.769999999999996</v>
      </c>
      <c r="I2397" s="9">
        <f t="shared" si="340"/>
        <v>2.3925385239253798E-2</v>
      </c>
      <c r="J2397" s="1">
        <f t="shared" si="341"/>
        <v>-0.35999999999999943</v>
      </c>
      <c r="K2397" s="9">
        <f t="shared" si="334"/>
        <v>-4.8283261802575033E-3</v>
      </c>
      <c r="L2397" s="1">
        <f t="shared" si="335"/>
        <v>1</v>
      </c>
      <c r="M2397" s="1">
        <f t="shared" si="336"/>
        <v>75.75</v>
      </c>
      <c r="N2397" s="1">
        <f t="shared" si="337"/>
        <v>73.98</v>
      </c>
      <c r="O2397" s="1">
        <f t="shared" si="338"/>
        <v>72.240000000000009</v>
      </c>
      <c r="P2397" s="1">
        <f t="shared" si="339"/>
        <v>36.857142857142861</v>
      </c>
    </row>
    <row r="2398" spans="1:16">
      <c r="A2398" s="2">
        <v>39581</v>
      </c>
      <c r="B2398" s="1">
        <v>74.569999999999993</v>
      </c>
      <c r="C2398" s="1">
        <v>74.959999999999994</v>
      </c>
      <c r="D2398" s="1">
        <v>73.31</v>
      </c>
      <c r="E2398" s="1">
        <v>74.56</v>
      </c>
      <c r="F2398" s="1">
        <v>5020800</v>
      </c>
      <c r="G2398" s="1">
        <v>74.56</v>
      </c>
      <c r="H2398" s="1">
        <f t="shared" si="333"/>
        <v>1.6499999999999915</v>
      </c>
      <c r="I2398" s="9">
        <f t="shared" si="340"/>
        <v>2.2507161369526549E-2</v>
      </c>
      <c r="J2398" s="1">
        <f t="shared" si="341"/>
        <v>3.0000000000001137E-2</v>
      </c>
      <c r="K2398" s="9">
        <f t="shared" si="334"/>
        <v>4.0252247417148983E-4</v>
      </c>
      <c r="L2398" s="1">
        <f t="shared" si="335"/>
        <v>1</v>
      </c>
      <c r="M2398" s="1">
        <f t="shared" si="336"/>
        <v>74.959999999999994</v>
      </c>
      <c r="N2398" s="1">
        <f t="shared" si="337"/>
        <v>73.31</v>
      </c>
      <c r="O2398" s="1">
        <f t="shared" si="338"/>
        <v>72.600000000000009</v>
      </c>
      <c r="P2398" s="1">
        <f t="shared" si="339"/>
        <v>37.040816326530617</v>
      </c>
    </row>
    <row r="2399" spans="1:16">
      <c r="A2399" s="2">
        <v>39580</v>
      </c>
      <c r="B2399" s="1">
        <v>73</v>
      </c>
      <c r="C2399" s="1">
        <v>74.930000000000007</v>
      </c>
      <c r="D2399" s="1">
        <v>71.78</v>
      </c>
      <c r="E2399" s="1">
        <v>74.53</v>
      </c>
      <c r="F2399" s="1">
        <v>7215400</v>
      </c>
      <c r="G2399" s="1">
        <v>74.53</v>
      </c>
      <c r="H2399" s="1">
        <f t="shared" si="333"/>
        <v>3.1500000000000057</v>
      </c>
      <c r="I2399" s="9">
        <f t="shared" si="340"/>
        <v>4.3884090275842932E-2</v>
      </c>
      <c r="J2399" s="1">
        <f t="shared" si="341"/>
        <v>2.1200000000000045</v>
      </c>
      <c r="K2399" s="9">
        <f t="shared" si="334"/>
        <v>2.927772407126094E-2</v>
      </c>
      <c r="L2399" s="1">
        <f t="shared" si="335"/>
        <v>1</v>
      </c>
      <c r="M2399" s="1">
        <f t="shared" si="336"/>
        <v>74.930000000000007</v>
      </c>
      <c r="N2399" s="1">
        <f t="shared" si="337"/>
        <v>71.78</v>
      </c>
      <c r="O2399" s="1">
        <f t="shared" si="338"/>
        <v>72.570000000000007</v>
      </c>
      <c r="P2399" s="1">
        <f t="shared" si="339"/>
        <v>37.025510204081634</v>
      </c>
    </row>
    <row r="2400" spans="1:16">
      <c r="A2400" s="2">
        <v>39577</v>
      </c>
      <c r="B2400" s="1">
        <v>72.2</v>
      </c>
      <c r="C2400" s="1">
        <v>73.34</v>
      </c>
      <c r="D2400" s="1">
        <v>71.66</v>
      </c>
      <c r="E2400" s="1">
        <v>72.41</v>
      </c>
      <c r="F2400" s="1">
        <v>4243500</v>
      </c>
      <c r="G2400" s="1">
        <v>72.41</v>
      </c>
      <c r="H2400" s="1">
        <f t="shared" si="333"/>
        <v>1.6800000000000068</v>
      </c>
      <c r="I2400" s="9">
        <f t="shared" si="340"/>
        <v>2.344404130616811E-2</v>
      </c>
      <c r="J2400" s="1">
        <f t="shared" si="341"/>
        <v>-0.38000000000000966</v>
      </c>
      <c r="K2400" s="9">
        <f t="shared" si="334"/>
        <v>-5.2204973210607172E-3</v>
      </c>
      <c r="L2400" s="1">
        <f t="shared" si="335"/>
        <v>1</v>
      </c>
      <c r="M2400" s="1">
        <f t="shared" si="336"/>
        <v>73.34</v>
      </c>
      <c r="N2400" s="1">
        <f t="shared" si="337"/>
        <v>71.66</v>
      </c>
      <c r="O2400" s="1">
        <f t="shared" si="338"/>
        <v>70.45</v>
      </c>
      <c r="P2400" s="1">
        <f t="shared" si="339"/>
        <v>35.943877551020407</v>
      </c>
    </row>
    <row r="2401" spans="1:16">
      <c r="A2401" s="2">
        <v>39576</v>
      </c>
      <c r="B2401" s="1">
        <v>73.73</v>
      </c>
      <c r="C2401" s="1">
        <v>74.16</v>
      </c>
      <c r="D2401" s="1">
        <v>71.56</v>
      </c>
      <c r="E2401" s="1">
        <v>72.790000000000006</v>
      </c>
      <c r="F2401" s="1">
        <v>8131300</v>
      </c>
      <c r="G2401" s="1">
        <v>72.790000000000006</v>
      </c>
      <c r="H2401" s="1">
        <f t="shared" si="333"/>
        <v>2.5999999999999943</v>
      </c>
      <c r="I2401" s="9">
        <f t="shared" si="340"/>
        <v>3.6333147009502437E-2</v>
      </c>
      <c r="J2401" s="1">
        <f t="shared" si="341"/>
        <v>-0.39000000000000057</v>
      </c>
      <c r="K2401" s="9">
        <f t="shared" si="334"/>
        <v>-5.329324952172732E-3</v>
      </c>
      <c r="L2401" s="1">
        <f t="shared" si="335"/>
        <v>1</v>
      </c>
      <c r="M2401" s="1">
        <f t="shared" si="336"/>
        <v>74.16</v>
      </c>
      <c r="N2401" s="1">
        <f t="shared" si="337"/>
        <v>71.56</v>
      </c>
      <c r="O2401" s="1">
        <f t="shared" si="338"/>
        <v>70.830000000000013</v>
      </c>
      <c r="P2401" s="1">
        <f t="shared" si="339"/>
        <v>36.137755102040821</v>
      </c>
    </row>
    <row r="2402" spans="1:16">
      <c r="A2402" s="2">
        <v>39575</v>
      </c>
      <c r="B2402" s="1">
        <v>75.260000000000005</v>
      </c>
      <c r="C2402" s="1">
        <v>76.64</v>
      </c>
      <c r="D2402" s="1">
        <v>73.09</v>
      </c>
      <c r="E2402" s="1">
        <v>73.180000000000007</v>
      </c>
      <c r="F2402" s="1">
        <v>8376600</v>
      </c>
      <c r="G2402" s="1">
        <v>73.180000000000007</v>
      </c>
      <c r="H2402" s="1">
        <f t="shared" si="333"/>
        <v>3.5499999999999972</v>
      </c>
      <c r="I2402" s="9">
        <f t="shared" si="340"/>
        <v>4.8570255848953303E-2</v>
      </c>
      <c r="J2402" s="1">
        <f t="shared" si="341"/>
        <v>-2.5299999999999869</v>
      </c>
      <c r="K2402" s="9">
        <f t="shared" si="334"/>
        <v>-3.3416985867124382E-2</v>
      </c>
      <c r="L2402" s="1">
        <f t="shared" si="335"/>
        <v>1</v>
      </c>
      <c r="M2402" s="1">
        <f t="shared" si="336"/>
        <v>76.64</v>
      </c>
      <c r="N2402" s="1">
        <f t="shared" si="337"/>
        <v>73.09</v>
      </c>
      <c r="O2402" s="1">
        <f t="shared" si="338"/>
        <v>71.220000000000013</v>
      </c>
      <c r="P2402" s="1">
        <f t="shared" si="339"/>
        <v>36.33673469387756</v>
      </c>
    </row>
    <row r="2403" spans="1:16">
      <c r="A2403" s="2">
        <v>39574</v>
      </c>
      <c r="B2403" s="1">
        <v>75.510000000000005</v>
      </c>
      <c r="C2403" s="1">
        <v>76.77</v>
      </c>
      <c r="D2403" s="1">
        <v>75.05</v>
      </c>
      <c r="E2403" s="1">
        <v>75.709999999999994</v>
      </c>
      <c r="F2403" s="1">
        <v>6545700</v>
      </c>
      <c r="G2403" s="1">
        <v>75.709999999999994</v>
      </c>
      <c r="H2403" s="1">
        <f t="shared" si="333"/>
        <v>1.7199999999999989</v>
      </c>
      <c r="I2403" s="9">
        <f t="shared" si="340"/>
        <v>2.2918054630246487E-2</v>
      </c>
      <c r="J2403" s="1">
        <f t="shared" si="341"/>
        <v>-0.21000000000000796</v>
      </c>
      <c r="K2403" s="9">
        <f t="shared" si="334"/>
        <v>-2.7660695468915693E-3</v>
      </c>
      <c r="L2403" s="1">
        <f t="shared" si="335"/>
        <v>1</v>
      </c>
      <c r="M2403" s="1">
        <f t="shared" si="336"/>
        <v>76.77</v>
      </c>
      <c r="N2403" s="1">
        <f t="shared" si="337"/>
        <v>75.05</v>
      </c>
      <c r="O2403" s="1">
        <f t="shared" si="338"/>
        <v>73.75</v>
      </c>
      <c r="P2403" s="1">
        <f t="shared" si="339"/>
        <v>37.627551020408163</v>
      </c>
    </row>
    <row r="2404" spans="1:16">
      <c r="A2404" s="2">
        <v>39573</v>
      </c>
      <c r="B2404" s="1">
        <v>77.27</v>
      </c>
      <c r="C2404" s="1">
        <v>77.77</v>
      </c>
      <c r="D2404" s="1">
        <v>75.87</v>
      </c>
      <c r="E2404" s="1">
        <v>75.92</v>
      </c>
      <c r="F2404" s="1">
        <v>5647400</v>
      </c>
      <c r="G2404" s="1">
        <v>75.92</v>
      </c>
      <c r="H2404" s="1">
        <f t="shared" si="333"/>
        <v>1.8999999999999915</v>
      </c>
      <c r="I2404" s="9">
        <f t="shared" si="340"/>
        <v>2.5042836430736674E-2</v>
      </c>
      <c r="J2404" s="1">
        <f t="shared" si="341"/>
        <v>-1.3900000000000006</v>
      </c>
      <c r="K2404" s="9">
        <f t="shared" si="334"/>
        <v>-1.7979562799120431E-2</v>
      </c>
      <c r="L2404" s="1">
        <f t="shared" si="335"/>
        <v>1</v>
      </c>
      <c r="M2404" s="1">
        <f t="shared" si="336"/>
        <v>77.77</v>
      </c>
      <c r="N2404" s="1">
        <f t="shared" si="337"/>
        <v>75.87</v>
      </c>
      <c r="O2404" s="1">
        <f t="shared" si="338"/>
        <v>73.960000000000008</v>
      </c>
      <c r="P2404" s="1">
        <f t="shared" si="339"/>
        <v>37.734693877551024</v>
      </c>
    </row>
    <row r="2405" spans="1:16">
      <c r="A2405" s="2">
        <v>39570</v>
      </c>
      <c r="B2405" s="1">
        <v>80.3</v>
      </c>
      <c r="C2405" s="1">
        <v>81.2</v>
      </c>
      <c r="D2405" s="1">
        <v>76.400000000000006</v>
      </c>
      <c r="E2405" s="1">
        <v>77.31</v>
      </c>
      <c r="F2405" s="1">
        <v>8154900</v>
      </c>
      <c r="G2405" s="1">
        <v>77.31</v>
      </c>
      <c r="H2405" s="1">
        <f t="shared" si="333"/>
        <v>4.7999999999999972</v>
      </c>
      <c r="I2405" s="9">
        <f t="shared" si="340"/>
        <v>6.2827225130890008E-2</v>
      </c>
      <c r="J2405" s="1">
        <f t="shared" si="341"/>
        <v>-2.0499999999999972</v>
      </c>
      <c r="K2405" s="9">
        <f t="shared" si="334"/>
        <v>-2.5831653225806415E-2</v>
      </c>
      <c r="L2405" s="1">
        <f t="shared" si="335"/>
        <v>1</v>
      </c>
      <c r="M2405" s="1">
        <f t="shared" si="336"/>
        <v>81.2</v>
      </c>
      <c r="N2405" s="1">
        <f t="shared" si="337"/>
        <v>76.400000000000006</v>
      </c>
      <c r="O2405" s="1">
        <f t="shared" si="338"/>
        <v>75.350000000000009</v>
      </c>
      <c r="P2405" s="1">
        <f t="shared" si="339"/>
        <v>38.443877551020414</v>
      </c>
    </row>
    <row r="2406" spans="1:16">
      <c r="A2406" s="2">
        <v>39569</v>
      </c>
      <c r="B2406" s="1">
        <v>78.400000000000006</v>
      </c>
      <c r="C2406" s="1">
        <v>80.010000000000005</v>
      </c>
      <c r="D2406" s="1">
        <v>77.97</v>
      </c>
      <c r="E2406" s="1">
        <v>79.36</v>
      </c>
      <c r="F2406" s="1">
        <v>7197000</v>
      </c>
      <c r="G2406" s="1">
        <v>79.36</v>
      </c>
      <c r="H2406" s="1">
        <f t="shared" si="333"/>
        <v>2.0400000000000063</v>
      </c>
      <c r="I2406" s="9">
        <f t="shared" si="340"/>
        <v>2.6163909195844635E-2</v>
      </c>
      <c r="J2406" s="1">
        <f t="shared" si="341"/>
        <v>0.73000000000000398</v>
      </c>
      <c r="K2406" s="9">
        <f t="shared" si="334"/>
        <v>9.2839882996312347E-3</v>
      </c>
      <c r="L2406" s="1">
        <f t="shared" si="335"/>
        <v>1</v>
      </c>
      <c r="M2406" s="1">
        <f t="shared" si="336"/>
        <v>80.010000000000005</v>
      </c>
      <c r="N2406" s="1">
        <f t="shared" si="337"/>
        <v>77.97</v>
      </c>
      <c r="O2406" s="1">
        <f t="shared" si="338"/>
        <v>77.400000000000006</v>
      </c>
      <c r="P2406" s="1">
        <f t="shared" si="339"/>
        <v>39.489795918367349</v>
      </c>
    </row>
    <row r="2407" spans="1:16">
      <c r="A2407" s="2">
        <v>39568</v>
      </c>
      <c r="B2407" s="1">
        <v>80.900000000000006</v>
      </c>
      <c r="C2407" s="1">
        <v>81.34</v>
      </c>
      <c r="D2407" s="1">
        <v>77.92</v>
      </c>
      <c r="E2407" s="1">
        <v>78.63</v>
      </c>
      <c r="F2407" s="1">
        <v>7875700</v>
      </c>
      <c r="G2407" s="1">
        <v>78.63</v>
      </c>
      <c r="H2407" s="1">
        <f t="shared" si="333"/>
        <v>3.4200000000000017</v>
      </c>
      <c r="I2407" s="9">
        <f t="shared" si="340"/>
        <v>4.3891170431211518E-2</v>
      </c>
      <c r="J2407" s="1">
        <f t="shared" si="341"/>
        <v>-2.1099999999999994</v>
      </c>
      <c r="K2407" s="9">
        <f t="shared" si="334"/>
        <v>-2.6133267277681442E-2</v>
      </c>
      <c r="L2407" s="1">
        <f t="shared" si="335"/>
        <v>1</v>
      </c>
      <c r="M2407" s="1">
        <f t="shared" si="336"/>
        <v>81.34</v>
      </c>
      <c r="N2407" s="1">
        <f t="shared" si="337"/>
        <v>77.92</v>
      </c>
      <c r="O2407" s="1">
        <f t="shared" si="338"/>
        <v>76.67</v>
      </c>
      <c r="P2407" s="1">
        <f t="shared" si="339"/>
        <v>39.117346938775512</v>
      </c>
    </row>
    <row r="2408" spans="1:16">
      <c r="A2408" s="2">
        <v>39567</v>
      </c>
      <c r="B2408" s="1">
        <v>81.42</v>
      </c>
      <c r="C2408" s="1">
        <v>81.77</v>
      </c>
      <c r="D2408" s="1">
        <v>79.86</v>
      </c>
      <c r="E2408" s="1">
        <v>80.739999999999995</v>
      </c>
      <c r="F2408" s="1">
        <v>6726400</v>
      </c>
      <c r="G2408" s="1">
        <v>80.739999999999995</v>
      </c>
      <c r="H2408" s="1">
        <f t="shared" si="333"/>
        <v>1.9099999999999966</v>
      </c>
      <c r="I2408" s="9">
        <f t="shared" si="340"/>
        <v>2.391685449536685E-2</v>
      </c>
      <c r="J2408" s="1">
        <f t="shared" si="341"/>
        <v>-1.230000000000004</v>
      </c>
      <c r="K2408" s="9">
        <f t="shared" si="334"/>
        <v>-1.5005489813346396E-2</v>
      </c>
      <c r="L2408" s="1">
        <f t="shared" si="335"/>
        <v>1</v>
      </c>
      <c r="M2408" s="1">
        <f t="shared" si="336"/>
        <v>81.77</v>
      </c>
      <c r="N2408" s="1">
        <f t="shared" si="337"/>
        <v>79.86</v>
      </c>
      <c r="O2408" s="1">
        <f t="shared" si="338"/>
        <v>78.78</v>
      </c>
      <c r="P2408" s="1">
        <f t="shared" si="339"/>
        <v>40.193877551020407</v>
      </c>
    </row>
    <row r="2409" spans="1:16">
      <c r="A2409" s="2">
        <v>39566</v>
      </c>
      <c r="B2409" s="1">
        <v>80.64</v>
      </c>
      <c r="C2409" s="1">
        <v>82.5</v>
      </c>
      <c r="D2409" s="1">
        <v>80.12</v>
      </c>
      <c r="E2409" s="1">
        <v>81.97</v>
      </c>
      <c r="F2409" s="1">
        <v>10991900</v>
      </c>
      <c r="G2409" s="1">
        <v>81.97</v>
      </c>
      <c r="H2409" s="1">
        <f t="shared" si="333"/>
        <v>2.3799999999999955</v>
      </c>
      <c r="I2409" s="9">
        <f t="shared" si="340"/>
        <v>2.9705441837244075E-2</v>
      </c>
      <c r="J2409" s="1">
        <f t="shared" si="341"/>
        <v>1.1099999999999994</v>
      </c>
      <c r="K2409" s="9">
        <f t="shared" si="334"/>
        <v>1.3727430126143945E-2</v>
      </c>
      <c r="L2409" s="1">
        <f t="shared" si="335"/>
        <v>1</v>
      </c>
      <c r="M2409" s="1">
        <f t="shared" si="336"/>
        <v>82.5</v>
      </c>
      <c r="N2409" s="1">
        <f t="shared" si="337"/>
        <v>80.12</v>
      </c>
      <c r="O2409" s="1">
        <f t="shared" si="338"/>
        <v>80.010000000000005</v>
      </c>
      <c r="P2409" s="1">
        <f t="shared" si="339"/>
        <v>40.821428571428577</v>
      </c>
    </row>
    <row r="2410" spans="1:16">
      <c r="A2410" s="2">
        <v>39563</v>
      </c>
      <c r="B2410" s="1">
        <v>77.81</v>
      </c>
      <c r="C2410" s="1">
        <v>81.319999999999993</v>
      </c>
      <c r="D2410" s="1">
        <v>77.260000000000005</v>
      </c>
      <c r="E2410" s="1">
        <v>80.86</v>
      </c>
      <c r="F2410" s="1">
        <v>9456500</v>
      </c>
      <c r="G2410" s="1">
        <v>80.86</v>
      </c>
      <c r="H2410" s="1">
        <f t="shared" si="333"/>
        <v>4.0599999999999881</v>
      </c>
      <c r="I2410" s="9">
        <f t="shared" si="340"/>
        <v>5.254983173699182E-2</v>
      </c>
      <c r="J2410" s="1">
        <f t="shared" si="341"/>
        <v>3.1700000000000017</v>
      </c>
      <c r="K2410" s="9">
        <f t="shared" si="334"/>
        <v>4.0803192174024991E-2</v>
      </c>
      <c r="L2410" s="1">
        <f t="shared" si="335"/>
        <v>1</v>
      </c>
      <c r="M2410" s="1">
        <f t="shared" si="336"/>
        <v>81.319999999999993</v>
      </c>
      <c r="N2410" s="1">
        <f t="shared" si="337"/>
        <v>77.260000000000005</v>
      </c>
      <c r="O2410" s="1">
        <f t="shared" si="338"/>
        <v>78.900000000000006</v>
      </c>
      <c r="P2410" s="1">
        <f t="shared" si="339"/>
        <v>40.255102040816332</v>
      </c>
    </row>
    <row r="2411" spans="1:16">
      <c r="A2411" s="2">
        <v>39562</v>
      </c>
      <c r="B2411" s="1">
        <v>77.709999999999994</v>
      </c>
      <c r="C2411" s="1">
        <v>80.53</v>
      </c>
      <c r="D2411" s="1">
        <v>76.930000000000007</v>
      </c>
      <c r="E2411" s="1">
        <v>77.69</v>
      </c>
      <c r="F2411" s="1">
        <v>21073500</v>
      </c>
      <c r="G2411" s="1">
        <v>77.69</v>
      </c>
      <c r="H2411" s="1">
        <f t="shared" si="333"/>
        <v>3.5999999999999943</v>
      </c>
      <c r="I2411" s="9">
        <f t="shared" si="340"/>
        <v>4.6795788379045807E-2</v>
      </c>
      <c r="J2411" s="1">
        <f t="shared" si="341"/>
        <v>-3.3100000000000023</v>
      </c>
      <c r="K2411" s="9">
        <f t="shared" si="334"/>
        <v>-4.0864197530864226E-2</v>
      </c>
      <c r="L2411" s="1">
        <f t="shared" si="335"/>
        <v>1</v>
      </c>
      <c r="M2411" s="1">
        <f t="shared" si="336"/>
        <v>80.53</v>
      </c>
      <c r="N2411" s="1">
        <f t="shared" si="337"/>
        <v>76.930000000000007</v>
      </c>
      <c r="O2411" s="1">
        <f t="shared" si="338"/>
        <v>75.73</v>
      </c>
      <c r="P2411" s="1">
        <f t="shared" si="339"/>
        <v>38.637755102040821</v>
      </c>
    </row>
    <row r="2412" spans="1:16">
      <c r="A2412" s="2">
        <v>39561</v>
      </c>
      <c r="B2412" s="1">
        <v>80.3</v>
      </c>
      <c r="C2412" s="1">
        <v>82.64</v>
      </c>
      <c r="D2412" s="1">
        <v>78.739999999999995</v>
      </c>
      <c r="E2412" s="1">
        <v>81</v>
      </c>
      <c r="F2412" s="1">
        <v>19250400</v>
      </c>
      <c r="G2412" s="1">
        <v>81</v>
      </c>
      <c r="H2412" s="1">
        <f t="shared" si="333"/>
        <v>3.9000000000000057</v>
      </c>
      <c r="I2412" s="9">
        <f t="shared" si="340"/>
        <v>4.9530099060198195E-2</v>
      </c>
      <c r="J2412" s="1">
        <f t="shared" si="341"/>
        <v>1.4000000000000057</v>
      </c>
      <c r="K2412" s="9">
        <f t="shared" si="334"/>
        <v>1.7587939698492535E-2</v>
      </c>
      <c r="L2412" s="1">
        <f t="shared" si="335"/>
        <v>1</v>
      </c>
      <c r="M2412" s="1">
        <f t="shared" si="336"/>
        <v>82.64</v>
      </c>
      <c r="N2412" s="1">
        <f t="shared" si="337"/>
        <v>78.739999999999995</v>
      </c>
      <c r="O2412" s="1">
        <f t="shared" si="338"/>
        <v>79.040000000000006</v>
      </c>
      <c r="P2412" s="1">
        <f t="shared" si="339"/>
        <v>40.326530612244902</v>
      </c>
    </row>
    <row r="2413" spans="1:16">
      <c r="A2413" s="2">
        <v>39560</v>
      </c>
      <c r="B2413" s="1">
        <v>79.94</v>
      </c>
      <c r="C2413" s="1">
        <v>79.94</v>
      </c>
      <c r="D2413" s="1">
        <v>77.540000000000006</v>
      </c>
      <c r="E2413" s="1">
        <v>79.599999999999994</v>
      </c>
      <c r="F2413" s="1">
        <v>7245000</v>
      </c>
      <c r="G2413" s="1">
        <v>79.599999999999994</v>
      </c>
      <c r="H2413" s="1">
        <f t="shared" si="333"/>
        <v>2.3999999999999915</v>
      </c>
      <c r="I2413" s="9">
        <f t="shared" si="340"/>
        <v>3.0951766830023101E-2</v>
      </c>
      <c r="J2413" s="1">
        <f t="shared" si="341"/>
        <v>-0.58000000000001251</v>
      </c>
      <c r="K2413" s="9">
        <f t="shared" si="334"/>
        <v>-7.2337241207285161E-3</v>
      </c>
      <c r="L2413" s="1">
        <f t="shared" si="335"/>
        <v>1</v>
      </c>
      <c r="M2413" s="1">
        <f t="shared" si="336"/>
        <v>79.94</v>
      </c>
      <c r="N2413" s="1">
        <f t="shared" si="337"/>
        <v>77.540000000000006</v>
      </c>
      <c r="O2413" s="1">
        <f t="shared" si="338"/>
        <v>77.64</v>
      </c>
      <c r="P2413" s="1">
        <f t="shared" si="339"/>
        <v>39.612244897959187</v>
      </c>
    </row>
    <row r="2414" spans="1:16">
      <c r="A2414" s="2">
        <v>39559</v>
      </c>
      <c r="B2414" s="1">
        <v>80.03</v>
      </c>
      <c r="C2414" s="1">
        <v>81.34</v>
      </c>
      <c r="D2414" s="1">
        <v>79.06</v>
      </c>
      <c r="E2414" s="1">
        <v>80.180000000000007</v>
      </c>
      <c r="F2414" s="1">
        <v>9335400</v>
      </c>
      <c r="G2414" s="1">
        <v>80.180000000000007</v>
      </c>
      <c r="H2414" s="1">
        <f t="shared" si="333"/>
        <v>2.2800000000000011</v>
      </c>
      <c r="I2414" s="9">
        <f t="shared" si="340"/>
        <v>2.8838856564634467E-2</v>
      </c>
      <c r="J2414" s="1">
        <f t="shared" si="341"/>
        <v>8.0000000000012506E-2</v>
      </c>
      <c r="K2414" s="9">
        <f t="shared" si="334"/>
        <v>9.9875156054946945E-4</v>
      </c>
      <c r="L2414" s="1">
        <f t="shared" si="335"/>
        <v>1</v>
      </c>
      <c r="M2414" s="1">
        <f t="shared" si="336"/>
        <v>81.34</v>
      </c>
      <c r="N2414" s="1">
        <f t="shared" si="337"/>
        <v>79.06</v>
      </c>
      <c r="O2414" s="1">
        <f t="shared" si="338"/>
        <v>78.220000000000013</v>
      </c>
      <c r="P2414" s="1">
        <f t="shared" si="339"/>
        <v>39.908163265306129</v>
      </c>
    </row>
    <row r="2415" spans="1:16">
      <c r="A2415" s="2">
        <v>39556</v>
      </c>
      <c r="B2415" s="1">
        <v>76.48</v>
      </c>
      <c r="C2415" s="1">
        <v>82</v>
      </c>
      <c r="D2415" s="1">
        <v>76.319999999999993</v>
      </c>
      <c r="E2415" s="1">
        <v>80.099999999999994</v>
      </c>
      <c r="F2415" s="1">
        <v>16791300</v>
      </c>
      <c r="G2415" s="1">
        <v>80.099999999999994</v>
      </c>
      <c r="H2415" s="1">
        <f t="shared" si="333"/>
        <v>5.6800000000000068</v>
      </c>
      <c r="I2415" s="9">
        <f t="shared" si="340"/>
        <v>7.4423480083857532E-2</v>
      </c>
      <c r="J2415" s="1">
        <f t="shared" si="341"/>
        <v>6.0599999999999881</v>
      </c>
      <c r="K2415" s="9">
        <f t="shared" si="334"/>
        <v>8.1847649918962553E-2</v>
      </c>
      <c r="L2415" s="1">
        <f t="shared" si="335"/>
        <v>1</v>
      </c>
      <c r="M2415" s="1">
        <f t="shared" si="336"/>
        <v>82</v>
      </c>
      <c r="N2415" s="1">
        <f t="shared" si="337"/>
        <v>76.319999999999993</v>
      </c>
      <c r="O2415" s="1">
        <f t="shared" si="338"/>
        <v>78.14</v>
      </c>
      <c r="P2415" s="1">
        <f t="shared" si="339"/>
        <v>39.867346938775512</v>
      </c>
    </row>
    <row r="2416" spans="1:16">
      <c r="A2416" s="2">
        <v>39555</v>
      </c>
      <c r="B2416" s="1">
        <v>74.180000000000007</v>
      </c>
      <c r="C2416" s="1">
        <v>75.02</v>
      </c>
      <c r="D2416" s="1">
        <v>73.61</v>
      </c>
      <c r="E2416" s="1">
        <v>74.040000000000006</v>
      </c>
      <c r="F2416" s="1">
        <v>6220000</v>
      </c>
      <c r="G2416" s="1">
        <v>74.040000000000006</v>
      </c>
      <c r="H2416" s="1">
        <f t="shared" si="333"/>
        <v>1.4099999999999966</v>
      </c>
      <c r="I2416" s="9">
        <f t="shared" si="340"/>
        <v>1.9155006113299778E-2</v>
      </c>
      <c r="J2416" s="1">
        <f t="shared" si="341"/>
        <v>-0.54999999999999716</v>
      </c>
      <c r="K2416" s="9">
        <f t="shared" si="334"/>
        <v>-7.3736425794342017E-3</v>
      </c>
      <c r="L2416" s="1">
        <f t="shared" si="335"/>
        <v>1</v>
      </c>
      <c r="M2416" s="1">
        <f t="shared" si="336"/>
        <v>75.02</v>
      </c>
      <c r="N2416" s="1">
        <f t="shared" si="337"/>
        <v>73.61</v>
      </c>
      <c r="O2416" s="1">
        <f t="shared" si="338"/>
        <v>72.080000000000013</v>
      </c>
      <c r="P2416" s="1">
        <f t="shared" si="339"/>
        <v>36.775510204081641</v>
      </c>
    </row>
    <row r="2417" spans="1:16">
      <c r="A2417" s="2">
        <v>39554</v>
      </c>
      <c r="B2417" s="1">
        <v>73.02</v>
      </c>
      <c r="C2417" s="1">
        <v>75</v>
      </c>
      <c r="D2417" s="1">
        <v>72.94</v>
      </c>
      <c r="E2417" s="1">
        <v>74.59</v>
      </c>
      <c r="F2417" s="1">
        <v>6746800</v>
      </c>
      <c r="G2417" s="1">
        <v>74.59</v>
      </c>
      <c r="H2417" s="1">
        <f t="shared" si="333"/>
        <v>2.0600000000000023</v>
      </c>
      <c r="I2417" s="9">
        <f t="shared" si="340"/>
        <v>2.8242391006306586E-2</v>
      </c>
      <c r="J2417" s="1">
        <f t="shared" si="341"/>
        <v>2.0900000000000034</v>
      </c>
      <c r="K2417" s="9">
        <f t="shared" si="334"/>
        <v>2.8827586206896599E-2</v>
      </c>
      <c r="L2417" s="1">
        <f t="shared" si="335"/>
        <v>1</v>
      </c>
      <c r="M2417" s="1">
        <f t="shared" si="336"/>
        <v>75</v>
      </c>
      <c r="N2417" s="1">
        <f t="shared" si="337"/>
        <v>72.94</v>
      </c>
      <c r="O2417" s="1">
        <f t="shared" si="338"/>
        <v>72.63000000000001</v>
      </c>
      <c r="P2417" s="1">
        <f t="shared" si="339"/>
        <v>37.0561224489796</v>
      </c>
    </row>
    <row r="2418" spans="1:16">
      <c r="A2418" s="2">
        <v>39553</v>
      </c>
      <c r="B2418" s="1">
        <v>72.97</v>
      </c>
      <c r="C2418" s="1">
        <v>73.98</v>
      </c>
      <c r="D2418" s="1">
        <v>70.650000000000006</v>
      </c>
      <c r="E2418" s="1">
        <v>72.5</v>
      </c>
      <c r="F2418" s="1">
        <v>6813100</v>
      </c>
      <c r="G2418" s="1">
        <v>72.5</v>
      </c>
      <c r="H2418" s="1">
        <f t="shared" si="333"/>
        <v>3.3299999999999983</v>
      </c>
      <c r="I2418" s="9">
        <f t="shared" si="340"/>
        <v>4.7133757961783408E-2</v>
      </c>
      <c r="J2418" s="1">
        <f t="shared" si="341"/>
        <v>-0.10999999999999943</v>
      </c>
      <c r="K2418" s="9">
        <f t="shared" si="334"/>
        <v>-1.5149428453380999E-3</v>
      </c>
      <c r="L2418" s="1">
        <f t="shared" si="335"/>
        <v>1</v>
      </c>
      <c r="M2418" s="1">
        <f t="shared" si="336"/>
        <v>73.98</v>
      </c>
      <c r="N2418" s="1">
        <f t="shared" si="337"/>
        <v>70.650000000000006</v>
      </c>
      <c r="O2418" s="1">
        <f t="shared" si="338"/>
        <v>70.540000000000006</v>
      </c>
      <c r="P2418" s="1">
        <f t="shared" si="339"/>
        <v>35.989795918367349</v>
      </c>
    </row>
    <row r="2419" spans="1:16">
      <c r="A2419" s="2">
        <v>39552</v>
      </c>
      <c r="B2419" s="1">
        <v>71.7</v>
      </c>
      <c r="C2419" s="1">
        <v>74</v>
      </c>
      <c r="D2419" s="1">
        <v>71.290000000000006</v>
      </c>
      <c r="E2419" s="1">
        <v>72.61</v>
      </c>
      <c r="F2419" s="1">
        <v>4354500</v>
      </c>
      <c r="G2419" s="1">
        <v>72.61</v>
      </c>
      <c r="H2419" s="1">
        <f t="shared" si="333"/>
        <v>2.7099999999999937</v>
      </c>
      <c r="I2419" s="9">
        <f t="shared" si="340"/>
        <v>3.8013746668536873E-2</v>
      </c>
      <c r="J2419" s="1">
        <f t="shared" si="341"/>
        <v>0.62000000000000455</v>
      </c>
      <c r="K2419" s="9">
        <f t="shared" si="334"/>
        <v>8.612307264897966E-3</v>
      </c>
      <c r="L2419" s="1">
        <f t="shared" si="335"/>
        <v>1</v>
      </c>
      <c r="M2419" s="1">
        <f t="shared" si="336"/>
        <v>74</v>
      </c>
      <c r="N2419" s="1">
        <f t="shared" si="337"/>
        <v>71.290000000000006</v>
      </c>
      <c r="O2419" s="1">
        <f t="shared" si="338"/>
        <v>70.650000000000006</v>
      </c>
      <c r="P2419" s="1">
        <f t="shared" si="339"/>
        <v>36.045918367346943</v>
      </c>
    </row>
    <row r="2420" spans="1:16">
      <c r="A2420" s="2">
        <v>39549</v>
      </c>
      <c r="B2420" s="1">
        <v>73.84</v>
      </c>
      <c r="C2420" s="1">
        <v>74.3</v>
      </c>
      <c r="D2420" s="1">
        <v>71.62</v>
      </c>
      <c r="E2420" s="1">
        <v>71.989999999999995</v>
      </c>
      <c r="F2420" s="1">
        <v>6785600</v>
      </c>
      <c r="G2420" s="1">
        <v>71.989999999999995</v>
      </c>
      <c r="H2420" s="1">
        <f t="shared" si="333"/>
        <v>2.6799999999999926</v>
      </c>
      <c r="I2420" s="9">
        <f t="shared" si="340"/>
        <v>3.7419715163362087E-2</v>
      </c>
      <c r="J2420" s="1">
        <f t="shared" si="341"/>
        <v>-2.8400000000000034</v>
      </c>
      <c r="K2420" s="9">
        <f t="shared" si="334"/>
        <v>-3.7952692770279343E-2</v>
      </c>
      <c r="L2420" s="1">
        <f t="shared" si="335"/>
        <v>1</v>
      </c>
      <c r="M2420" s="1">
        <f t="shared" si="336"/>
        <v>74.3</v>
      </c>
      <c r="N2420" s="1">
        <f t="shared" si="337"/>
        <v>71.62</v>
      </c>
      <c r="O2420" s="1">
        <f t="shared" si="338"/>
        <v>70.03</v>
      </c>
      <c r="P2420" s="1">
        <f t="shared" si="339"/>
        <v>35.729591836734699</v>
      </c>
    </row>
    <row r="2421" spans="1:16">
      <c r="A2421" s="2">
        <v>39548</v>
      </c>
      <c r="B2421" s="1">
        <v>74.48</v>
      </c>
      <c r="C2421" s="1">
        <v>75.489999999999995</v>
      </c>
      <c r="D2421" s="1">
        <v>72.73</v>
      </c>
      <c r="E2421" s="1">
        <v>74.83</v>
      </c>
      <c r="F2421" s="1">
        <v>6255500</v>
      </c>
      <c r="G2421" s="1">
        <v>74.83</v>
      </c>
      <c r="H2421" s="1">
        <f t="shared" si="333"/>
        <v>2.7599999999999909</v>
      </c>
      <c r="I2421" s="9">
        <f t="shared" si="340"/>
        <v>3.7948576928365056E-2</v>
      </c>
      <c r="J2421" s="1">
        <f t="shared" si="341"/>
        <v>0.43999999999999773</v>
      </c>
      <c r="K2421" s="9">
        <f t="shared" si="334"/>
        <v>5.9147734910605957E-3</v>
      </c>
      <c r="L2421" s="1">
        <f t="shared" si="335"/>
        <v>1</v>
      </c>
      <c r="M2421" s="1">
        <f t="shared" si="336"/>
        <v>75.489999999999995</v>
      </c>
      <c r="N2421" s="1">
        <f t="shared" si="337"/>
        <v>72.73</v>
      </c>
      <c r="O2421" s="1">
        <f t="shared" si="338"/>
        <v>72.87</v>
      </c>
      <c r="P2421" s="1">
        <f t="shared" si="339"/>
        <v>37.178571428571431</v>
      </c>
    </row>
    <row r="2422" spans="1:16">
      <c r="A2422" s="2">
        <v>39547</v>
      </c>
      <c r="B2422" s="1">
        <v>76.56</v>
      </c>
      <c r="C2422" s="1">
        <v>76.67</v>
      </c>
      <c r="D2422" s="1">
        <v>73.66</v>
      </c>
      <c r="E2422" s="1">
        <v>74.39</v>
      </c>
      <c r="F2422" s="1">
        <v>6660300</v>
      </c>
      <c r="G2422" s="1">
        <v>74.39</v>
      </c>
      <c r="H2422" s="1">
        <f t="shared" si="333"/>
        <v>3.0100000000000051</v>
      </c>
      <c r="I2422" s="9">
        <f t="shared" si="340"/>
        <v>4.0863426554439385E-2</v>
      </c>
      <c r="J2422" s="1">
        <f t="shared" si="341"/>
        <v>-2.9099999999999966</v>
      </c>
      <c r="K2422" s="9">
        <f t="shared" si="334"/>
        <v>-3.764553686934019E-2</v>
      </c>
      <c r="L2422" s="1">
        <f t="shared" si="335"/>
        <v>1</v>
      </c>
      <c r="M2422" s="1">
        <f t="shared" si="336"/>
        <v>76.67</v>
      </c>
      <c r="N2422" s="1">
        <f t="shared" si="337"/>
        <v>73.66</v>
      </c>
      <c r="O2422" s="1">
        <f t="shared" si="338"/>
        <v>72.430000000000007</v>
      </c>
      <c r="P2422" s="1">
        <f t="shared" si="339"/>
        <v>36.954081632653065</v>
      </c>
    </row>
    <row r="2423" spans="1:16">
      <c r="A2423" s="2">
        <v>39546</v>
      </c>
      <c r="B2423" s="1">
        <v>76.400000000000006</v>
      </c>
      <c r="C2423" s="1">
        <v>77.61</v>
      </c>
      <c r="D2423" s="1">
        <v>75.5</v>
      </c>
      <c r="E2423" s="1">
        <v>77.3</v>
      </c>
      <c r="F2423" s="1">
        <v>4966000</v>
      </c>
      <c r="G2423" s="1">
        <v>77.3</v>
      </c>
      <c r="H2423" s="1">
        <f t="shared" si="333"/>
        <v>2.1099999999999994</v>
      </c>
      <c r="I2423" s="9">
        <f t="shared" si="340"/>
        <v>2.7947019867549661E-2</v>
      </c>
      <c r="J2423" s="1">
        <f t="shared" si="341"/>
        <v>0.39999999999999147</v>
      </c>
      <c r="K2423" s="9">
        <f t="shared" si="334"/>
        <v>5.2015604681403312E-3</v>
      </c>
      <c r="L2423" s="1">
        <f t="shared" si="335"/>
        <v>1</v>
      </c>
      <c r="M2423" s="1">
        <f t="shared" si="336"/>
        <v>77.61</v>
      </c>
      <c r="N2423" s="1">
        <f t="shared" si="337"/>
        <v>75.5</v>
      </c>
      <c r="O2423" s="1">
        <f t="shared" si="338"/>
        <v>75.34</v>
      </c>
      <c r="P2423" s="1">
        <f t="shared" si="339"/>
        <v>38.438775510204081</v>
      </c>
    </row>
    <row r="2424" spans="1:16">
      <c r="A2424" s="2">
        <v>39545</v>
      </c>
      <c r="B2424" s="1">
        <v>77.36</v>
      </c>
      <c r="C2424" s="1">
        <v>78.430000000000007</v>
      </c>
      <c r="D2424" s="1">
        <v>76</v>
      </c>
      <c r="E2424" s="1">
        <v>76.900000000000006</v>
      </c>
      <c r="F2424" s="1">
        <v>6672400</v>
      </c>
      <c r="G2424" s="1">
        <v>76.900000000000006</v>
      </c>
      <c r="H2424" s="1">
        <f t="shared" si="333"/>
        <v>2.4300000000000068</v>
      </c>
      <c r="I2424" s="9">
        <f t="shared" si="340"/>
        <v>3.1973684210526404E-2</v>
      </c>
      <c r="J2424" s="1">
        <f t="shared" si="341"/>
        <v>3.0000000000001137E-2</v>
      </c>
      <c r="K2424" s="9">
        <f t="shared" si="334"/>
        <v>3.9026928580722175E-4</v>
      </c>
      <c r="L2424" s="1">
        <f t="shared" si="335"/>
        <v>1</v>
      </c>
      <c r="M2424" s="1">
        <f t="shared" si="336"/>
        <v>78.430000000000007</v>
      </c>
      <c r="N2424" s="1">
        <f t="shared" si="337"/>
        <v>76</v>
      </c>
      <c r="O2424" s="1">
        <f t="shared" si="338"/>
        <v>74.940000000000012</v>
      </c>
      <c r="P2424" s="1">
        <f t="shared" si="339"/>
        <v>38.234693877551024</v>
      </c>
    </row>
    <row r="2425" spans="1:16">
      <c r="A2425" s="2">
        <v>39542</v>
      </c>
      <c r="B2425" s="1">
        <v>75.260000000000005</v>
      </c>
      <c r="C2425" s="1">
        <v>77.83</v>
      </c>
      <c r="D2425" s="1">
        <v>74.28</v>
      </c>
      <c r="E2425" s="1">
        <v>76.87</v>
      </c>
      <c r="F2425" s="1">
        <v>7152800</v>
      </c>
      <c r="G2425" s="1">
        <v>76.87</v>
      </c>
      <c r="H2425" s="1">
        <f t="shared" si="333"/>
        <v>3.5499999999999972</v>
      </c>
      <c r="I2425" s="9">
        <f t="shared" si="340"/>
        <v>4.779213785675817E-2</v>
      </c>
      <c r="J2425" s="1">
        <f t="shared" si="341"/>
        <v>1.9300000000000068</v>
      </c>
      <c r="K2425" s="9">
        <f t="shared" si="334"/>
        <v>2.5753936482519439E-2</v>
      </c>
      <c r="L2425" s="1">
        <f t="shared" si="335"/>
        <v>1</v>
      </c>
      <c r="M2425" s="1">
        <f t="shared" si="336"/>
        <v>77.83</v>
      </c>
      <c r="N2425" s="1">
        <f t="shared" si="337"/>
        <v>74.28</v>
      </c>
      <c r="O2425" s="1">
        <f t="shared" si="338"/>
        <v>74.910000000000011</v>
      </c>
      <c r="P2425" s="1">
        <f t="shared" si="339"/>
        <v>38.219387755102048</v>
      </c>
    </row>
    <row r="2426" spans="1:16">
      <c r="A2426" s="2">
        <v>39541</v>
      </c>
      <c r="B2426" s="1">
        <v>75.150000000000006</v>
      </c>
      <c r="C2426" s="1">
        <v>76.010000000000005</v>
      </c>
      <c r="D2426" s="1">
        <v>73.81</v>
      </c>
      <c r="E2426" s="1">
        <v>74.94</v>
      </c>
      <c r="F2426" s="1">
        <v>8149900</v>
      </c>
      <c r="G2426" s="1">
        <v>74.94</v>
      </c>
      <c r="H2426" s="1">
        <f t="shared" si="333"/>
        <v>2.2000000000000028</v>
      </c>
      <c r="I2426" s="9">
        <f t="shared" si="340"/>
        <v>2.9806259314456074E-2</v>
      </c>
      <c r="J2426" s="1">
        <f t="shared" si="341"/>
        <v>-2.4300000000000068</v>
      </c>
      <c r="K2426" s="9">
        <f t="shared" si="334"/>
        <v>-3.1407522295463446E-2</v>
      </c>
      <c r="L2426" s="1">
        <f t="shared" si="335"/>
        <v>1</v>
      </c>
      <c r="M2426" s="1">
        <f t="shared" si="336"/>
        <v>76.010000000000005</v>
      </c>
      <c r="N2426" s="1">
        <f t="shared" si="337"/>
        <v>73.81</v>
      </c>
      <c r="O2426" s="1">
        <f t="shared" si="338"/>
        <v>72.98</v>
      </c>
      <c r="P2426" s="1">
        <f t="shared" si="339"/>
        <v>37.234693877551024</v>
      </c>
    </row>
    <row r="2427" spans="1:16">
      <c r="A2427" s="2">
        <v>39540</v>
      </c>
      <c r="B2427" s="1">
        <v>77.08</v>
      </c>
      <c r="C2427" s="1">
        <v>79</v>
      </c>
      <c r="D2427" s="1">
        <v>76.12</v>
      </c>
      <c r="E2427" s="1">
        <v>77.37</v>
      </c>
      <c r="F2427" s="1">
        <v>8592400</v>
      </c>
      <c r="G2427" s="1">
        <v>77.37</v>
      </c>
      <c r="H2427" s="1">
        <f t="shared" si="333"/>
        <v>2.8799999999999955</v>
      </c>
      <c r="I2427" s="9">
        <f t="shared" si="340"/>
        <v>3.7834997372569568E-2</v>
      </c>
      <c r="J2427" s="1">
        <f t="shared" si="341"/>
        <v>0.67000000000000171</v>
      </c>
      <c r="K2427" s="9">
        <f t="shared" si="334"/>
        <v>8.7353324641460447E-3</v>
      </c>
      <c r="L2427" s="1">
        <f t="shared" si="335"/>
        <v>1</v>
      </c>
      <c r="M2427" s="1">
        <f t="shared" si="336"/>
        <v>79</v>
      </c>
      <c r="N2427" s="1">
        <f t="shared" si="337"/>
        <v>76.12</v>
      </c>
      <c r="O2427" s="1">
        <f t="shared" si="338"/>
        <v>75.410000000000011</v>
      </c>
      <c r="P2427" s="1">
        <f t="shared" si="339"/>
        <v>38.474489795918373</v>
      </c>
    </row>
    <row r="2428" spans="1:16">
      <c r="A2428" s="2">
        <v>39539</v>
      </c>
      <c r="B2428" s="1">
        <v>72.989999999999995</v>
      </c>
      <c r="C2428" s="1">
        <v>77.09</v>
      </c>
      <c r="D2428" s="1">
        <v>72.760000000000005</v>
      </c>
      <c r="E2428" s="1">
        <v>76.7</v>
      </c>
      <c r="F2428" s="1">
        <v>9734000</v>
      </c>
      <c r="G2428" s="1">
        <v>76.7</v>
      </c>
      <c r="H2428" s="1">
        <f t="shared" si="333"/>
        <v>4.3299999999999983</v>
      </c>
      <c r="I2428" s="9">
        <f t="shared" si="340"/>
        <v>5.9510720175920809E-2</v>
      </c>
      <c r="J2428" s="1">
        <f t="shared" si="341"/>
        <v>5.4000000000000057</v>
      </c>
      <c r="K2428" s="9">
        <f t="shared" si="334"/>
        <v>7.5736325385694331E-2</v>
      </c>
      <c r="L2428" s="1">
        <f t="shared" si="335"/>
        <v>1</v>
      </c>
      <c r="M2428" s="1">
        <f t="shared" si="336"/>
        <v>77.09</v>
      </c>
      <c r="N2428" s="1">
        <f t="shared" si="337"/>
        <v>72.760000000000005</v>
      </c>
      <c r="O2428" s="1">
        <f t="shared" si="338"/>
        <v>74.740000000000009</v>
      </c>
      <c r="P2428" s="1">
        <f t="shared" si="339"/>
        <v>38.132653061224495</v>
      </c>
    </row>
    <row r="2429" spans="1:16">
      <c r="A2429" s="2">
        <v>39538</v>
      </c>
      <c r="B2429" s="1">
        <v>70.25</v>
      </c>
      <c r="C2429" s="1">
        <v>71.64</v>
      </c>
      <c r="D2429" s="1">
        <v>69.63</v>
      </c>
      <c r="E2429" s="1">
        <v>71.3</v>
      </c>
      <c r="F2429" s="1">
        <v>5470300</v>
      </c>
      <c r="G2429" s="1">
        <v>71.3</v>
      </c>
      <c r="H2429" s="1">
        <f t="shared" si="333"/>
        <v>2.0100000000000051</v>
      </c>
      <c r="I2429" s="9">
        <f t="shared" si="340"/>
        <v>2.8866867729427047E-2</v>
      </c>
      <c r="J2429" s="1">
        <f t="shared" si="341"/>
        <v>1.539999999999992</v>
      </c>
      <c r="K2429" s="9">
        <f t="shared" si="334"/>
        <v>2.207568807339438E-2</v>
      </c>
      <c r="L2429" s="1">
        <f t="shared" si="335"/>
        <v>1</v>
      </c>
      <c r="M2429" s="1">
        <f t="shared" si="336"/>
        <v>71.64</v>
      </c>
      <c r="N2429" s="1">
        <f t="shared" si="337"/>
        <v>69.63</v>
      </c>
      <c r="O2429" s="1">
        <f t="shared" si="338"/>
        <v>69.34</v>
      </c>
      <c r="P2429" s="1">
        <f t="shared" si="339"/>
        <v>35.377551020408163</v>
      </c>
    </row>
    <row r="2430" spans="1:16">
      <c r="A2430" s="2">
        <v>39535</v>
      </c>
      <c r="B2430" s="1">
        <v>71</v>
      </c>
      <c r="C2430" s="1">
        <v>72.209999999999994</v>
      </c>
      <c r="D2430" s="1">
        <v>69.260000000000005</v>
      </c>
      <c r="E2430" s="1">
        <v>69.760000000000005</v>
      </c>
      <c r="F2430" s="1">
        <v>5279100</v>
      </c>
      <c r="G2430" s="1">
        <v>69.760000000000005</v>
      </c>
      <c r="H2430" s="1">
        <f t="shared" si="333"/>
        <v>2.9499999999999886</v>
      </c>
      <c r="I2430" s="9">
        <f t="shared" si="340"/>
        <v>4.2593127346231427E-2</v>
      </c>
      <c r="J2430" s="1">
        <f t="shared" si="341"/>
        <v>-1.039999999999992</v>
      </c>
      <c r="K2430" s="9">
        <f t="shared" si="334"/>
        <v>-1.4689265536723051E-2</v>
      </c>
      <c r="L2430" s="1">
        <f t="shared" si="335"/>
        <v>1</v>
      </c>
      <c r="M2430" s="1">
        <f t="shared" si="336"/>
        <v>72.209999999999994</v>
      </c>
      <c r="N2430" s="1">
        <f t="shared" si="337"/>
        <v>69.260000000000005</v>
      </c>
      <c r="O2430" s="1">
        <f t="shared" si="338"/>
        <v>67.800000000000011</v>
      </c>
      <c r="P2430" s="1">
        <f t="shared" si="339"/>
        <v>34.591836734693885</v>
      </c>
    </row>
    <row r="2431" spans="1:16">
      <c r="A2431" s="2">
        <v>39534</v>
      </c>
      <c r="B2431" s="1">
        <v>74.37</v>
      </c>
      <c r="C2431" s="1">
        <v>74.69</v>
      </c>
      <c r="D2431" s="1">
        <v>70.8</v>
      </c>
      <c r="E2431" s="1">
        <v>70.8</v>
      </c>
      <c r="F2431" s="1">
        <v>7942400</v>
      </c>
      <c r="G2431" s="1">
        <v>70.8</v>
      </c>
      <c r="H2431" s="1">
        <f t="shared" si="333"/>
        <v>3.8900000000000006</v>
      </c>
      <c r="I2431" s="9">
        <f t="shared" si="340"/>
        <v>5.494350282485877E-2</v>
      </c>
      <c r="J2431" s="1">
        <f t="shared" si="341"/>
        <v>-3</v>
      </c>
      <c r="K2431" s="9">
        <f t="shared" si="334"/>
        <v>-4.065040650406504E-2</v>
      </c>
      <c r="L2431" s="1">
        <f t="shared" si="335"/>
        <v>1</v>
      </c>
      <c r="M2431" s="1">
        <f t="shared" si="336"/>
        <v>74.69</v>
      </c>
      <c r="N2431" s="1">
        <f t="shared" si="337"/>
        <v>70.8</v>
      </c>
      <c r="O2431" s="1">
        <f t="shared" si="338"/>
        <v>68.84</v>
      </c>
      <c r="P2431" s="1">
        <f t="shared" si="339"/>
        <v>35.122448979591837</v>
      </c>
    </row>
    <row r="2432" spans="1:16">
      <c r="A2432" s="2">
        <v>39533</v>
      </c>
      <c r="B2432" s="1">
        <v>74.14</v>
      </c>
      <c r="C2432" s="1">
        <v>75.12</v>
      </c>
      <c r="D2432" s="1">
        <v>73.239999999999995</v>
      </c>
      <c r="E2432" s="1">
        <v>73.8</v>
      </c>
      <c r="F2432" s="1">
        <v>6285100</v>
      </c>
      <c r="G2432" s="1">
        <v>73.8</v>
      </c>
      <c r="H2432" s="1">
        <f t="shared" si="333"/>
        <v>1.8800000000000097</v>
      </c>
      <c r="I2432" s="9">
        <f t="shared" si="340"/>
        <v>2.566903331512848E-2</v>
      </c>
      <c r="J2432" s="1">
        <f t="shared" si="341"/>
        <v>-1.3700000000000045</v>
      </c>
      <c r="K2432" s="9">
        <f t="shared" si="334"/>
        <v>-1.8225355860050613E-2</v>
      </c>
      <c r="L2432" s="1">
        <f t="shared" si="335"/>
        <v>1</v>
      </c>
      <c r="M2432" s="1">
        <f t="shared" si="336"/>
        <v>75.12</v>
      </c>
      <c r="N2432" s="1">
        <f t="shared" si="337"/>
        <v>73.239999999999995</v>
      </c>
      <c r="O2432" s="1">
        <f t="shared" si="338"/>
        <v>71.84</v>
      </c>
      <c r="P2432" s="1">
        <f t="shared" si="339"/>
        <v>36.653061224489797</v>
      </c>
    </row>
    <row r="2433" spans="1:16">
      <c r="A2433" s="2">
        <v>39532</v>
      </c>
      <c r="B2433" s="1">
        <v>75.83</v>
      </c>
      <c r="C2433" s="1">
        <v>76.290000000000006</v>
      </c>
      <c r="D2433" s="1">
        <v>74.05</v>
      </c>
      <c r="E2433" s="1">
        <v>75.17</v>
      </c>
      <c r="F2433" s="1">
        <v>6327500</v>
      </c>
      <c r="G2433" s="1">
        <v>75.17</v>
      </c>
      <c r="H2433" s="1">
        <f t="shared" si="333"/>
        <v>2.2400000000000091</v>
      </c>
      <c r="I2433" s="9">
        <f t="shared" si="340"/>
        <v>3.0249831195138546E-2</v>
      </c>
      <c r="J2433" s="1">
        <f t="shared" si="341"/>
        <v>-0.78000000000000114</v>
      </c>
      <c r="K2433" s="9">
        <f t="shared" si="334"/>
        <v>-1.026991441737987E-2</v>
      </c>
      <c r="L2433" s="1">
        <f t="shared" si="335"/>
        <v>1</v>
      </c>
      <c r="M2433" s="1">
        <f t="shared" si="336"/>
        <v>76.290000000000006</v>
      </c>
      <c r="N2433" s="1">
        <f t="shared" si="337"/>
        <v>74.05</v>
      </c>
      <c r="O2433" s="1">
        <f t="shared" si="338"/>
        <v>73.210000000000008</v>
      </c>
      <c r="P2433" s="1">
        <f t="shared" si="339"/>
        <v>37.352040816326536</v>
      </c>
    </row>
    <row r="2434" spans="1:16">
      <c r="A2434" s="2">
        <v>39531</v>
      </c>
      <c r="B2434" s="1">
        <v>73.819999999999993</v>
      </c>
      <c r="C2434" s="1">
        <v>76.930000000000007</v>
      </c>
      <c r="D2434" s="1">
        <v>72.75</v>
      </c>
      <c r="E2434" s="1">
        <v>75.95</v>
      </c>
      <c r="F2434" s="1">
        <v>9395400</v>
      </c>
      <c r="G2434" s="1">
        <v>75.95</v>
      </c>
      <c r="H2434" s="1">
        <f t="shared" si="333"/>
        <v>4.1800000000000068</v>
      </c>
      <c r="I2434" s="9">
        <f t="shared" si="340"/>
        <v>5.7457044673539612E-2</v>
      </c>
      <c r="J2434" s="1">
        <f t="shared" si="341"/>
        <v>2.7600000000000051</v>
      </c>
      <c r="K2434" s="9">
        <f t="shared" si="334"/>
        <v>3.7710069681650568E-2</v>
      </c>
      <c r="L2434" s="1">
        <f t="shared" si="335"/>
        <v>1</v>
      </c>
      <c r="M2434" s="1">
        <f t="shared" si="336"/>
        <v>76.930000000000007</v>
      </c>
      <c r="N2434" s="1">
        <f t="shared" si="337"/>
        <v>72.75</v>
      </c>
      <c r="O2434" s="1">
        <f t="shared" si="338"/>
        <v>73.990000000000009</v>
      </c>
      <c r="P2434" s="1">
        <f t="shared" si="339"/>
        <v>37.750000000000007</v>
      </c>
    </row>
    <row r="2435" spans="1:16">
      <c r="A2435" s="2">
        <v>39527</v>
      </c>
      <c r="B2435" s="1">
        <v>70.17</v>
      </c>
      <c r="C2435" s="1">
        <v>73.489999999999995</v>
      </c>
      <c r="D2435" s="1">
        <v>69.38</v>
      </c>
      <c r="E2435" s="1">
        <v>73.19</v>
      </c>
      <c r="F2435" s="1">
        <v>11410700</v>
      </c>
      <c r="G2435" s="1">
        <v>73.19</v>
      </c>
      <c r="H2435" s="1">
        <f t="shared" ref="H2435:H2498" si="342">C2435-D2435</f>
        <v>4.1099999999999994</v>
      </c>
      <c r="I2435" s="9">
        <f t="shared" si="340"/>
        <v>5.9238973767656383E-2</v>
      </c>
      <c r="J2435" s="1">
        <f t="shared" si="341"/>
        <v>3.019999999999996</v>
      </c>
      <c r="K2435" s="9">
        <f t="shared" ref="K2435:K2498" si="343">(G2435-G2436)/G2436</f>
        <v>4.3038335470998945E-2</v>
      </c>
      <c r="L2435" s="1">
        <f t="shared" ref="L2435:L2498" si="344">G2435/E2435</f>
        <v>1</v>
      </c>
      <c r="M2435" s="1">
        <f t="shared" ref="M2435:M2498" si="345">L2435*C2435</f>
        <v>73.489999999999995</v>
      </c>
      <c r="N2435" s="1">
        <f t="shared" ref="N2435:N2498" si="346">L2435*D2435</f>
        <v>69.38</v>
      </c>
      <c r="O2435" s="1">
        <f t="shared" ref="O2435:O2498" si="347">G2435-$G$5163</f>
        <v>71.23</v>
      </c>
      <c r="P2435" s="1">
        <f t="shared" ref="P2435:P2498" si="348">(G2435-$G$5163)/$G$5163</f>
        <v>36.341836734693878</v>
      </c>
    </row>
    <row r="2436" spans="1:16">
      <c r="A2436" s="2">
        <v>39526</v>
      </c>
      <c r="B2436" s="1">
        <v>71.099999999999994</v>
      </c>
      <c r="C2436" s="1">
        <v>74</v>
      </c>
      <c r="D2436" s="1">
        <v>70.17</v>
      </c>
      <c r="E2436" s="1">
        <v>70.17</v>
      </c>
      <c r="F2436" s="1">
        <v>11041900</v>
      </c>
      <c r="G2436" s="1">
        <v>70.17</v>
      </c>
      <c r="H2436" s="1">
        <f t="shared" si="342"/>
        <v>3.8299999999999983</v>
      </c>
      <c r="I2436" s="9">
        <f t="shared" ref="I2436:I2499" si="349">(C2436-D2436)/D2436</f>
        <v>5.4581730084081494E-2</v>
      </c>
      <c r="J2436" s="1">
        <f t="shared" ref="J2436:J2499" si="350">G2436-G2437</f>
        <v>-1.5300000000000011</v>
      </c>
      <c r="K2436" s="9">
        <f t="shared" si="343"/>
        <v>-2.133891213389123E-2</v>
      </c>
      <c r="L2436" s="1">
        <f t="shared" si="344"/>
        <v>1</v>
      </c>
      <c r="M2436" s="1">
        <f t="shared" si="345"/>
        <v>74</v>
      </c>
      <c r="N2436" s="1">
        <f t="shared" si="346"/>
        <v>70.17</v>
      </c>
      <c r="O2436" s="1">
        <f t="shared" si="347"/>
        <v>68.210000000000008</v>
      </c>
      <c r="P2436" s="1">
        <f t="shared" si="348"/>
        <v>34.801020408163268</v>
      </c>
    </row>
    <row r="2437" spans="1:16">
      <c r="A2437" s="2">
        <v>39525</v>
      </c>
      <c r="B2437" s="1">
        <v>68.25</v>
      </c>
      <c r="C2437" s="1">
        <v>71.930000000000007</v>
      </c>
      <c r="D2437" s="1">
        <v>67.59</v>
      </c>
      <c r="E2437" s="1">
        <v>71.7</v>
      </c>
      <c r="F2437" s="1">
        <v>9550700</v>
      </c>
      <c r="G2437" s="1">
        <v>71.7</v>
      </c>
      <c r="H2437" s="1">
        <f t="shared" si="342"/>
        <v>4.3400000000000034</v>
      </c>
      <c r="I2437" s="9">
        <f t="shared" si="349"/>
        <v>6.421068205355826E-2</v>
      </c>
      <c r="J2437" s="1">
        <f t="shared" si="350"/>
        <v>5.1700000000000017</v>
      </c>
      <c r="K2437" s="9">
        <f t="shared" si="343"/>
        <v>7.7709304073350388E-2</v>
      </c>
      <c r="L2437" s="1">
        <f t="shared" si="344"/>
        <v>1</v>
      </c>
      <c r="M2437" s="1">
        <f t="shared" si="345"/>
        <v>71.930000000000007</v>
      </c>
      <c r="N2437" s="1">
        <f t="shared" si="346"/>
        <v>67.59</v>
      </c>
      <c r="O2437" s="1">
        <f t="shared" si="347"/>
        <v>69.740000000000009</v>
      </c>
      <c r="P2437" s="1">
        <f t="shared" si="348"/>
        <v>35.581632653061227</v>
      </c>
    </row>
    <row r="2438" spans="1:16">
      <c r="A2438" s="2">
        <v>39524</v>
      </c>
      <c r="B2438" s="1">
        <v>65.72</v>
      </c>
      <c r="C2438" s="1">
        <v>67.790000000000006</v>
      </c>
      <c r="D2438" s="1">
        <v>64.92</v>
      </c>
      <c r="E2438" s="1">
        <v>66.53</v>
      </c>
      <c r="F2438" s="1">
        <v>9709100</v>
      </c>
      <c r="G2438" s="1">
        <v>66.53</v>
      </c>
      <c r="H2438" s="1">
        <f t="shared" si="342"/>
        <v>2.8700000000000045</v>
      </c>
      <c r="I2438" s="9">
        <f t="shared" si="349"/>
        <v>4.4208256315465259E-2</v>
      </c>
      <c r="J2438" s="1">
        <f t="shared" si="350"/>
        <v>-1.6899999999999977</v>
      </c>
      <c r="K2438" s="9">
        <f t="shared" si="343"/>
        <v>-2.477279390208147E-2</v>
      </c>
      <c r="L2438" s="1">
        <f t="shared" si="344"/>
        <v>1</v>
      </c>
      <c r="M2438" s="1">
        <f t="shared" si="345"/>
        <v>67.790000000000006</v>
      </c>
      <c r="N2438" s="1">
        <f t="shared" si="346"/>
        <v>64.92</v>
      </c>
      <c r="O2438" s="1">
        <f t="shared" si="347"/>
        <v>64.570000000000007</v>
      </c>
      <c r="P2438" s="1">
        <f t="shared" si="348"/>
        <v>32.943877551020414</v>
      </c>
    </row>
    <row r="2439" spans="1:16">
      <c r="A2439" s="2">
        <v>39521</v>
      </c>
      <c r="B2439" s="1">
        <v>68.61</v>
      </c>
      <c r="C2439" s="1">
        <v>70.680000000000007</v>
      </c>
      <c r="D2439" s="1">
        <v>66.06</v>
      </c>
      <c r="E2439" s="1">
        <v>68.22</v>
      </c>
      <c r="F2439" s="1">
        <v>12420700</v>
      </c>
      <c r="G2439" s="1">
        <v>68.22</v>
      </c>
      <c r="H2439" s="1">
        <f t="shared" si="342"/>
        <v>4.6200000000000045</v>
      </c>
      <c r="I2439" s="9">
        <f t="shared" si="349"/>
        <v>6.9936421435059098E-2</v>
      </c>
      <c r="J2439" s="1">
        <f t="shared" si="350"/>
        <v>-9.9999999999994316E-2</v>
      </c>
      <c r="K2439" s="9">
        <f t="shared" si="343"/>
        <v>-1.4637002341919543E-3</v>
      </c>
      <c r="L2439" s="1">
        <f t="shared" si="344"/>
        <v>1</v>
      </c>
      <c r="M2439" s="1">
        <f t="shared" si="345"/>
        <v>70.680000000000007</v>
      </c>
      <c r="N2439" s="1">
        <f t="shared" si="346"/>
        <v>66.06</v>
      </c>
      <c r="O2439" s="1">
        <f t="shared" si="347"/>
        <v>66.260000000000005</v>
      </c>
      <c r="P2439" s="1">
        <f t="shared" si="348"/>
        <v>33.806122448979593</v>
      </c>
    </row>
    <row r="2440" spans="1:16">
      <c r="A2440" s="2">
        <v>39520</v>
      </c>
      <c r="B2440" s="1">
        <v>65.11</v>
      </c>
      <c r="C2440" s="1">
        <v>69.55</v>
      </c>
      <c r="D2440" s="1">
        <v>64.37</v>
      </c>
      <c r="E2440" s="1">
        <v>68.319999999999993</v>
      </c>
      <c r="F2440" s="1">
        <v>10707500</v>
      </c>
      <c r="G2440" s="1">
        <v>68.319999999999993</v>
      </c>
      <c r="H2440" s="1">
        <f t="shared" si="342"/>
        <v>5.1799999999999926</v>
      </c>
      <c r="I2440" s="9">
        <f t="shared" si="349"/>
        <v>8.0472269690849654E-2</v>
      </c>
      <c r="J2440" s="1">
        <f t="shared" si="350"/>
        <v>1.8099999999999881</v>
      </c>
      <c r="K2440" s="9">
        <f t="shared" si="343"/>
        <v>2.7213952789054096E-2</v>
      </c>
      <c r="L2440" s="1">
        <f t="shared" si="344"/>
        <v>1</v>
      </c>
      <c r="M2440" s="1">
        <f t="shared" si="345"/>
        <v>69.55</v>
      </c>
      <c r="N2440" s="1">
        <f t="shared" si="346"/>
        <v>64.37</v>
      </c>
      <c r="O2440" s="1">
        <f t="shared" si="347"/>
        <v>66.36</v>
      </c>
      <c r="P2440" s="1">
        <f t="shared" si="348"/>
        <v>33.857142857142854</v>
      </c>
    </row>
    <row r="2441" spans="1:16">
      <c r="A2441" s="2">
        <v>39519</v>
      </c>
      <c r="B2441" s="1">
        <v>66.77</v>
      </c>
      <c r="C2441" s="1">
        <v>68.23</v>
      </c>
      <c r="D2441" s="1">
        <v>65.64</v>
      </c>
      <c r="E2441" s="1">
        <v>66.510000000000005</v>
      </c>
      <c r="F2441" s="1">
        <v>7748800</v>
      </c>
      <c r="G2441" s="1">
        <v>66.510000000000005</v>
      </c>
      <c r="H2441" s="1">
        <f t="shared" si="342"/>
        <v>2.5900000000000034</v>
      </c>
      <c r="I2441" s="9">
        <f t="shared" si="349"/>
        <v>3.9457647775746549E-2</v>
      </c>
      <c r="J2441" s="1">
        <f t="shared" si="350"/>
        <v>-0.64000000000000057</v>
      </c>
      <c r="K2441" s="9">
        <f t="shared" si="343"/>
        <v>-9.5309009679821373E-3</v>
      </c>
      <c r="L2441" s="1">
        <f t="shared" si="344"/>
        <v>1</v>
      </c>
      <c r="M2441" s="1">
        <f t="shared" si="345"/>
        <v>68.23</v>
      </c>
      <c r="N2441" s="1">
        <f t="shared" si="346"/>
        <v>65.64</v>
      </c>
      <c r="O2441" s="1">
        <f t="shared" si="347"/>
        <v>64.550000000000011</v>
      </c>
      <c r="P2441" s="1">
        <f t="shared" si="348"/>
        <v>32.933673469387763</v>
      </c>
    </row>
    <row r="2442" spans="1:16">
      <c r="A2442" s="2">
        <v>39518</v>
      </c>
      <c r="B2442" s="1">
        <v>65.95</v>
      </c>
      <c r="C2442" s="1">
        <v>67.17</v>
      </c>
      <c r="D2442" s="1">
        <v>63.71</v>
      </c>
      <c r="E2442" s="1">
        <v>67.150000000000006</v>
      </c>
      <c r="F2442" s="1">
        <v>9742900</v>
      </c>
      <c r="G2442" s="1">
        <v>67.150000000000006</v>
      </c>
      <c r="H2442" s="1">
        <f t="shared" si="342"/>
        <v>3.4600000000000009</v>
      </c>
      <c r="I2442" s="9">
        <f t="shared" si="349"/>
        <v>5.4308585779312524E-2</v>
      </c>
      <c r="J2442" s="1">
        <f t="shared" si="350"/>
        <v>3.6800000000000068</v>
      </c>
      <c r="K2442" s="9">
        <f t="shared" si="343"/>
        <v>5.7980148101465366E-2</v>
      </c>
      <c r="L2442" s="1">
        <f t="shared" si="344"/>
        <v>1</v>
      </c>
      <c r="M2442" s="1">
        <f t="shared" si="345"/>
        <v>67.17</v>
      </c>
      <c r="N2442" s="1">
        <f t="shared" si="346"/>
        <v>63.71</v>
      </c>
      <c r="O2442" s="1">
        <f t="shared" si="347"/>
        <v>65.190000000000012</v>
      </c>
      <c r="P2442" s="1">
        <f t="shared" si="348"/>
        <v>33.260204081632658</v>
      </c>
    </row>
    <row r="2443" spans="1:16">
      <c r="A2443" s="2">
        <v>39517</v>
      </c>
      <c r="B2443" s="1">
        <v>63.9</v>
      </c>
      <c r="C2443" s="1">
        <v>65.150000000000006</v>
      </c>
      <c r="D2443" s="1">
        <v>62.91</v>
      </c>
      <c r="E2443" s="1">
        <v>63.47</v>
      </c>
      <c r="F2443" s="1">
        <v>9321000</v>
      </c>
      <c r="G2443" s="1">
        <v>63.47</v>
      </c>
      <c r="H2443" s="1">
        <f t="shared" si="342"/>
        <v>2.2400000000000091</v>
      </c>
      <c r="I2443" s="9">
        <f t="shared" si="349"/>
        <v>3.560642187251644E-2</v>
      </c>
      <c r="J2443" s="1">
        <f t="shared" si="350"/>
        <v>-0.62000000000000455</v>
      </c>
      <c r="K2443" s="9">
        <f t="shared" si="343"/>
        <v>-9.6738960836324616E-3</v>
      </c>
      <c r="L2443" s="1">
        <f t="shared" si="344"/>
        <v>1</v>
      </c>
      <c r="M2443" s="1">
        <f t="shared" si="345"/>
        <v>65.150000000000006</v>
      </c>
      <c r="N2443" s="1">
        <f t="shared" si="346"/>
        <v>62.91</v>
      </c>
      <c r="O2443" s="1">
        <f t="shared" si="347"/>
        <v>61.51</v>
      </c>
      <c r="P2443" s="1">
        <f t="shared" si="348"/>
        <v>31.382653061224488</v>
      </c>
    </row>
    <row r="2444" spans="1:16">
      <c r="A2444" s="2">
        <v>39514</v>
      </c>
      <c r="B2444" s="1">
        <v>62.2</v>
      </c>
      <c r="C2444" s="1">
        <v>64.87</v>
      </c>
      <c r="D2444" s="1">
        <v>62.01</v>
      </c>
      <c r="E2444" s="1">
        <v>64.09</v>
      </c>
      <c r="F2444" s="1">
        <v>10438100</v>
      </c>
      <c r="G2444" s="1">
        <v>64.09</v>
      </c>
      <c r="H2444" s="1">
        <f t="shared" si="342"/>
        <v>2.8600000000000065</v>
      </c>
      <c r="I2444" s="9">
        <f t="shared" si="349"/>
        <v>4.6121593291404722E-2</v>
      </c>
      <c r="J2444" s="1">
        <f t="shared" si="350"/>
        <v>1.3500000000000014</v>
      </c>
      <c r="K2444" s="9">
        <f t="shared" si="343"/>
        <v>2.1517373286579558E-2</v>
      </c>
      <c r="L2444" s="1">
        <f t="shared" si="344"/>
        <v>1</v>
      </c>
      <c r="M2444" s="1">
        <f t="shared" si="345"/>
        <v>64.87</v>
      </c>
      <c r="N2444" s="1">
        <f t="shared" si="346"/>
        <v>62.01</v>
      </c>
      <c r="O2444" s="1">
        <f t="shared" si="347"/>
        <v>62.13</v>
      </c>
      <c r="P2444" s="1">
        <f t="shared" si="348"/>
        <v>31.698979591836736</v>
      </c>
    </row>
    <row r="2445" spans="1:16">
      <c r="A2445" s="2">
        <v>39513</v>
      </c>
      <c r="B2445" s="1">
        <v>64.75</v>
      </c>
      <c r="C2445" s="1">
        <v>65.459999999999994</v>
      </c>
      <c r="D2445" s="1">
        <v>62.5</v>
      </c>
      <c r="E2445" s="1">
        <v>62.74</v>
      </c>
      <c r="F2445" s="1">
        <v>8343300</v>
      </c>
      <c r="G2445" s="1">
        <v>62.74</v>
      </c>
      <c r="H2445" s="1">
        <f t="shared" si="342"/>
        <v>2.9599999999999937</v>
      </c>
      <c r="I2445" s="9">
        <f t="shared" si="349"/>
        <v>4.7359999999999902E-2</v>
      </c>
      <c r="J2445" s="1">
        <f t="shared" si="350"/>
        <v>-2.2499999999999929</v>
      </c>
      <c r="K2445" s="9">
        <f t="shared" si="343"/>
        <v>-3.4620710878596597E-2</v>
      </c>
      <c r="L2445" s="1">
        <f t="shared" si="344"/>
        <v>1</v>
      </c>
      <c r="M2445" s="1">
        <f t="shared" si="345"/>
        <v>65.459999999999994</v>
      </c>
      <c r="N2445" s="1">
        <f t="shared" si="346"/>
        <v>62.5</v>
      </c>
      <c r="O2445" s="1">
        <f t="shared" si="347"/>
        <v>60.78</v>
      </c>
      <c r="P2445" s="1">
        <f t="shared" si="348"/>
        <v>31.010204081632654</v>
      </c>
    </row>
    <row r="2446" spans="1:16">
      <c r="A2446" s="2">
        <v>39512</v>
      </c>
      <c r="B2446" s="1">
        <v>65.66</v>
      </c>
      <c r="C2446" s="1">
        <v>66.34</v>
      </c>
      <c r="D2446" s="1">
        <v>63.82</v>
      </c>
      <c r="E2446" s="1">
        <v>64.989999999999995</v>
      </c>
      <c r="F2446" s="1">
        <v>11126400</v>
      </c>
      <c r="G2446" s="1">
        <v>64.989999999999995</v>
      </c>
      <c r="H2446" s="1">
        <f t="shared" si="342"/>
        <v>2.5200000000000031</v>
      </c>
      <c r="I2446" s="9">
        <f t="shared" si="349"/>
        <v>3.9486054528361063E-2</v>
      </c>
      <c r="J2446" s="1">
        <f t="shared" si="350"/>
        <v>-0.35000000000000853</v>
      </c>
      <c r="K2446" s="9">
        <f t="shared" si="343"/>
        <v>-5.3565962656873054E-3</v>
      </c>
      <c r="L2446" s="1">
        <f t="shared" si="344"/>
        <v>1</v>
      </c>
      <c r="M2446" s="1">
        <f t="shared" si="345"/>
        <v>66.34</v>
      </c>
      <c r="N2446" s="1">
        <f t="shared" si="346"/>
        <v>63.82</v>
      </c>
      <c r="O2446" s="1">
        <f t="shared" si="347"/>
        <v>63.029999999999994</v>
      </c>
      <c r="P2446" s="1">
        <f t="shared" si="348"/>
        <v>32.158163265306122</v>
      </c>
    </row>
    <row r="2447" spans="1:16">
      <c r="A2447" s="2">
        <v>39511</v>
      </c>
      <c r="B2447" s="1">
        <v>61.67</v>
      </c>
      <c r="C2447" s="1">
        <v>66.599999999999994</v>
      </c>
      <c r="D2447" s="1">
        <v>61.23</v>
      </c>
      <c r="E2447" s="1">
        <v>65.34</v>
      </c>
      <c r="F2447" s="1">
        <v>16703600</v>
      </c>
      <c r="G2447" s="1">
        <v>65.34</v>
      </c>
      <c r="H2447" s="1">
        <f t="shared" si="342"/>
        <v>5.3699999999999974</v>
      </c>
      <c r="I2447" s="9">
        <f t="shared" si="349"/>
        <v>8.7702106810387023E-2</v>
      </c>
      <c r="J2447" s="1">
        <f t="shared" si="350"/>
        <v>2.9100000000000037</v>
      </c>
      <c r="K2447" s="9">
        <f t="shared" si="343"/>
        <v>4.6612205670350855E-2</v>
      </c>
      <c r="L2447" s="1">
        <f t="shared" si="344"/>
        <v>1</v>
      </c>
      <c r="M2447" s="1">
        <f t="shared" si="345"/>
        <v>66.599999999999994</v>
      </c>
      <c r="N2447" s="1">
        <f t="shared" si="346"/>
        <v>61.23</v>
      </c>
      <c r="O2447" s="1">
        <f t="shared" si="347"/>
        <v>63.38</v>
      </c>
      <c r="P2447" s="1">
        <f t="shared" si="348"/>
        <v>32.336734693877553</v>
      </c>
    </row>
    <row r="2448" spans="1:16">
      <c r="A2448" s="2">
        <v>39510</v>
      </c>
      <c r="B2448" s="1">
        <v>63.59</v>
      </c>
      <c r="C2448" s="1">
        <v>64.489999999999995</v>
      </c>
      <c r="D2448" s="1">
        <v>61.2</v>
      </c>
      <c r="E2448" s="1">
        <v>62.43</v>
      </c>
      <c r="F2448" s="1">
        <v>13721100</v>
      </c>
      <c r="G2448" s="1">
        <v>62.43</v>
      </c>
      <c r="H2448" s="1">
        <f t="shared" si="342"/>
        <v>3.289999999999992</v>
      </c>
      <c r="I2448" s="9">
        <f t="shared" si="349"/>
        <v>5.3758169934640387E-2</v>
      </c>
      <c r="J2448" s="1">
        <f t="shared" si="350"/>
        <v>-2.0399999999999991</v>
      </c>
      <c r="K2448" s="9">
        <f t="shared" si="343"/>
        <v>-3.1642624476500687E-2</v>
      </c>
      <c r="L2448" s="1">
        <f t="shared" si="344"/>
        <v>1</v>
      </c>
      <c r="M2448" s="1">
        <f t="shared" si="345"/>
        <v>64.489999999999995</v>
      </c>
      <c r="N2448" s="1">
        <f t="shared" si="346"/>
        <v>61.2</v>
      </c>
      <c r="O2448" s="1">
        <f t="shared" si="347"/>
        <v>60.47</v>
      </c>
      <c r="P2448" s="1">
        <f t="shared" si="348"/>
        <v>30.852040816326532</v>
      </c>
    </row>
    <row r="2449" spans="1:16">
      <c r="A2449" s="2">
        <v>39507</v>
      </c>
      <c r="B2449" s="1">
        <v>67.010000000000005</v>
      </c>
      <c r="C2449" s="1">
        <v>67.5</v>
      </c>
      <c r="D2449" s="1">
        <v>63.97</v>
      </c>
      <c r="E2449" s="1">
        <v>64.47</v>
      </c>
      <c r="F2449" s="1">
        <v>11664600</v>
      </c>
      <c r="G2449" s="1">
        <v>64.47</v>
      </c>
      <c r="H2449" s="1">
        <f t="shared" si="342"/>
        <v>3.5300000000000011</v>
      </c>
      <c r="I2449" s="9">
        <f t="shared" si="349"/>
        <v>5.5182116617164316E-2</v>
      </c>
      <c r="J2449" s="1">
        <f t="shared" si="350"/>
        <v>-3.3799999999999955</v>
      </c>
      <c r="K2449" s="9">
        <f t="shared" si="343"/>
        <v>-4.9815770081061105E-2</v>
      </c>
      <c r="L2449" s="1">
        <f t="shared" si="344"/>
        <v>1</v>
      </c>
      <c r="M2449" s="1">
        <f t="shared" si="345"/>
        <v>67.5</v>
      </c>
      <c r="N2449" s="1">
        <f t="shared" si="346"/>
        <v>63.97</v>
      </c>
      <c r="O2449" s="1">
        <f t="shared" si="347"/>
        <v>62.51</v>
      </c>
      <c r="P2449" s="1">
        <f t="shared" si="348"/>
        <v>31.892857142857142</v>
      </c>
    </row>
    <row r="2450" spans="1:16">
      <c r="A2450" s="2">
        <v>39506</v>
      </c>
      <c r="B2450" s="1">
        <v>70.3</v>
      </c>
      <c r="C2450" s="1">
        <v>70.599999999999994</v>
      </c>
      <c r="D2450" s="1">
        <v>67.11</v>
      </c>
      <c r="E2450" s="1">
        <v>67.849999999999994</v>
      </c>
      <c r="F2450" s="1">
        <v>13167800</v>
      </c>
      <c r="G2450" s="1">
        <v>67.849999999999994</v>
      </c>
      <c r="H2450" s="1">
        <f t="shared" si="342"/>
        <v>3.4899999999999949</v>
      </c>
      <c r="I2450" s="9">
        <f t="shared" si="349"/>
        <v>5.2004172254507451E-2</v>
      </c>
      <c r="J2450" s="1">
        <f t="shared" si="350"/>
        <v>-3.0200000000000102</v>
      </c>
      <c r="K2450" s="9">
        <f t="shared" si="343"/>
        <v>-4.2613235501622833E-2</v>
      </c>
      <c r="L2450" s="1">
        <f t="shared" si="344"/>
        <v>1</v>
      </c>
      <c r="M2450" s="1">
        <f t="shared" si="345"/>
        <v>70.599999999999994</v>
      </c>
      <c r="N2450" s="1">
        <f t="shared" si="346"/>
        <v>67.11</v>
      </c>
      <c r="O2450" s="1">
        <f t="shared" si="347"/>
        <v>65.89</v>
      </c>
      <c r="P2450" s="1">
        <f t="shared" si="348"/>
        <v>33.617346938775512</v>
      </c>
    </row>
    <row r="2451" spans="1:16">
      <c r="A2451" s="2">
        <v>39505</v>
      </c>
      <c r="B2451" s="1">
        <v>70.680000000000007</v>
      </c>
      <c r="C2451" s="1">
        <v>71.48</v>
      </c>
      <c r="D2451" s="1">
        <v>69.569999999999993</v>
      </c>
      <c r="E2451" s="1">
        <v>70.87</v>
      </c>
      <c r="F2451" s="1">
        <v>8930500</v>
      </c>
      <c r="G2451" s="1">
        <v>70.87</v>
      </c>
      <c r="H2451" s="1">
        <f t="shared" si="342"/>
        <v>1.9100000000000108</v>
      </c>
      <c r="I2451" s="9">
        <f t="shared" si="349"/>
        <v>2.7454362512577418E-2</v>
      </c>
      <c r="J2451" s="1">
        <f t="shared" si="350"/>
        <v>-0.81999999999999318</v>
      </c>
      <c r="K2451" s="9">
        <f t="shared" si="343"/>
        <v>-1.1438136420700143E-2</v>
      </c>
      <c r="L2451" s="1">
        <f t="shared" si="344"/>
        <v>1</v>
      </c>
      <c r="M2451" s="1">
        <f t="shared" si="345"/>
        <v>71.48</v>
      </c>
      <c r="N2451" s="1">
        <f t="shared" si="346"/>
        <v>69.569999999999993</v>
      </c>
      <c r="O2451" s="1">
        <f t="shared" si="347"/>
        <v>68.910000000000011</v>
      </c>
      <c r="P2451" s="1">
        <f t="shared" si="348"/>
        <v>35.158163265306129</v>
      </c>
    </row>
    <row r="2452" spans="1:16">
      <c r="A2452" s="2">
        <v>39504</v>
      </c>
      <c r="B2452" s="1">
        <v>71.91</v>
      </c>
      <c r="C2452" s="1">
        <v>73.5</v>
      </c>
      <c r="D2452" s="1">
        <v>70.28</v>
      </c>
      <c r="E2452" s="1">
        <v>71.69</v>
      </c>
      <c r="F2452" s="1">
        <v>9891300</v>
      </c>
      <c r="G2452" s="1">
        <v>71.69</v>
      </c>
      <c r="H2452" s="1">
        <f t="shared" si="342"/>
        <v>3.2199999999999989</v>
      </c>
      <c r="I2452" s="9">
        <f t="shared" si="349"/>
        <v>4.5816733067729064E-2</v>
      </c>
      <c r="J2452" s="1">
        <f t="shared" si="350"/>
        <v>-1.5799999999999983</v>
      </c>
      <c r="K2452" s="9">
        <f t="shared" si="343"/>
        <v>-2.1564078067421843E-2</v>
      </c>
      <c r="L2452" s="1">
        <f t="shared" si="344"/>
        <v>1</v>
      </c>
      <c r="M2452" s="1">
        <f t="shared" si="345"/>
        <v>73.5</v>
      </c>
      <c r="N2452" s="1">
        <f t="shared" si="346"/>
        <v>70.28</v>
      </c>
      <c r="O2452" s="1">
        <f t="shared" si="347"/>
        <v>69.73</v>
      </c>
      <c r="P2452" s="1">
        <f t="shared" si="348"/>
        <v>35.576530612244902</v>
      </c>
    </row>
    <row r="2453" spans="1:16">
      <c r="A2453" s="2">
        <v>39503</v>
      </c>
      <c r="B2453" s="1">
        <v>72.349999999999994</v>
      </c>
      <c r="C2453" s="1">
        <v>73.5</v>
      </c>
      <c r="D2453" s="1">
        <v>71.41</v>
      </c>
      <c r="E2453" s="1">
        <v>73.27</v>
      </c>
      <c r="F2453" s="1">
        <v>7858200</v>
      </c>
      <c r="G2453" s="1">
        <v>73.27</v>
      </c>
      <c r="H2453" s="1">
        <f t="shared" si="342"/>
        <v>2.0900000000000034</v>
      </c>
      <c r="I2453" s="9">
        <f t="shared" si="349"/>
        <v>2.9267609578490457E-2</v>
      </c>
      <c r="J2453" s="1">
        <f t="shared" si="350"/>
        <v>1.1899999999999977</v>
      </c>
      <c r="K2453" s="9">
        <f t="shared" si="343"/>
        <v>1.650943396226412E-2</v>
      </c>
      <c r="L2453" s="1">
        <f t="shared" si="344"/>
        <v>1</v>
      </c>
      <c r="M2453" s="1">
        <f t="shared" si="345"/>
        <v>73.5</v>
      </c>
      <c r="N2453" s="1">
        <f t="shared" si="346"/>
        <v>71.41</v>
      </c>
      <c r="O2453" s="1">
        <f t="shared" si="347"/>
        <v>71.31</v>
      </c>
      <c r="P2453" s="1">
        <f t="shared" si="348"/>
        <v>36.382653061224495</v>
      </c>
    </row>
    <row r="2454" spans="1:16">
      <c r="A2454" s="2">
        <v>39500</v>
      </c>
      <c r="B2454" s="1">
        <v>70.540000000000006</v>
      </c>
      <c r="C2454" s="1">
        <v>72.209999999999994</v>
      </c>
      <c r="D2454" s="1">
        <v>69.86</v>
      </c>
      <c r="E2454" s="1">
        <v>72.08</v>
      </c>
      <c r="F2454" s="1">
        <v>12342700</v>
      </c>
      <c r="G2454" s="1">
        <v>72.08</v>
      </c>
      <c r="H2454" s="1">
        <f t="shared" si="342"/>
        <v>2.3499999999999943</v>
      </c>
      <c r="I2454" s="9">
        <f t="shared" si="349"/>
        <v>3.363870598339528E-2</v>
      </c>
      <c r="J2454" s="1">
        <f t="shared" si="350"/>
        <v>2.1799999999999926</v>
      </c>
      <c r="K2454" s="9">
        <f t="shared" si="343"/>
        <v>3.1187410586552108E-2</v>
      </c>
      <c r="L2454" s="1">
        <f t="shared" si="344"/>
        <v>1</v>
      </c>
      <c r="M2454" s="1">
        <f t="shared" si="345"/>
        <v>72.209999999999994</v>
      </c>
      <c r="N2454" s="1">
        <f t="shared" si="346"/>
        <v>69.86</v>
      </c>
      <c r="O2454" s="1">
        <f t="shared" si="347"/>
        <v>70.12</v>
      </c>
      <c r="P2454" s="1">
        <f t="shared" si="348"/>
        <v>35.775510204081634</v>
      </c>
    </row>
    <row r="2455" spans="1:16">
      <c r="A2455" s="2">
        <v>39499</v>
      </c>
      <c r="B2455" s="1">
        <v>73.94</v>
      </c>
      <c r="C2455" s="1">
        <v>74.209999999999994</v>
      </c>
      <c r="D2455" s="1">
        <v>69.37</v>
      </c>
      <c r="E2455" s="1">
        <v>69.900000000000006</v>
      </c>
      <c r="F2455" s="1">
        <v>13150800</v>
      </c>
      <c r="G2455" s="1">
        <v>69.900000000000006</v>
      </c>
      <c r="H2455" s="1">
        <f t="shared" si="342"/>
        <v>4.8399999999999892</v>
      </c>
      <c r="I2455" s="9">
        <f t="shared" si="349"/>
        <v>6.9770794291480309E-2</v>
      </c>
      <c r="J2455" s="1">
        <f t="shared" si="350"/>
        <v>-3.7399999999999949</v>
      </c>
      <c r="K2455" s="9">
        <f t="shared" si="343"/>
        <v>-5.0787615426398626E-2</v>
      </c>
      <c r="L2455" s="1">
        <f t="shared" si="344"/>
        <v>1</v>
      </c>
      <c r="M2455" s="1">
        <f t="shared" si="345"/>
        <v>74.209999999999994</v>
      </c>
      <c r="N2455" s="1">
        <f t="shared" si="346"/>
        <v>69.37</v>
      </c>
      <c r="O2455" s="1">
        <f t="shared" si="347"/>
        <v>67.940000000000012</v>
      </c>
      <c r="P2455" s="1">
        <f t="shared" si="348"/>
        <v>34.663265306122454</v>
      </c>
    </row>
    <row r="2456" spans="1:16">
      <c r="A2456" s="2">
        <v>39498</v>
      </c>
      <c r="B2456" s="1">
        <v>71.900000000000006</v>
      </c>
      <c r="C2456" s="1">
        <v>73.88</v>
      </c>
      <c r="D2456" s="1">
        <v>71.099999999999994</v>
      </c>
      <c r="E2456" s="1">
        <v>73.64</v>
      </c>
      <c r="F2456" s="1">
        <v>6450700</v>
      </c>
      <c r="G2456" s="1">
        <v>73.64</v>
      </c>
      <c r="H2456" s="1">
        <f t="shared" si="342"/>
        <v>2.7800000000000011</v>
      </c>
      <c r="I2456" s="9">
        <f t="shared" si="349"/>
        <v>3.909985935302393E-2</v>
      </c>
      <c r="J2456" s="1">
        <f t="shared" si="350"/>
        <v>1.5600000000000023</v>
      </c>
      <c r="K2456" s="9">
        <f t="shared" si="343"/>
        <v>2.1642619311875725E-2</v>
      </c>
      <c r="L2456" s="1">
        <f t="shared" si="344"/>
        <v>1</v>
      </c>
      <c r="M2456" s="1">
        <f t="shared" si="345"/>
        <v>73.88</v>
      </c>
      <c r="N2456" s="1">
        <f t="shared" si="346"/>
        <v>71.099999999999994</v>
      </c>
      <c r="O2456" s="1">
        <f t="shared" si="347"/>
        <v>71.680000000000007</v>
      </c>
      <c r="P2456" s="1">
        <f t="shared" si="348"/>
        <v>36.571428571428577</v>
      </c>
    </row>
    <row r="2457" spans="1:16">
      <c r="A2457" s="2">
        <v>39497</v>
      </c>
      <c r="B2457" s="1">
        <v>73.540000000000006</v>
      </c>
      <c r="C2457" s="1">
        <v>74</v>
      </c>
      <c r="D2457" s="1">
        <v>71.55</v>
      </c>
      <c r="E2457" s="1">
        <v>72.08</v>
      </c>
      <c r="F2457" s="1">
        <v>7109200</v>
      </c>
      <c r="G2457" s="1">
        <v>72.08</v>
      </c>
      <c r="H2457" s="1">
        <f t="shared" si="342"/>
        <v>2.4500000000000028</v>
      </c>
      <c r="I2457" s="9">
        <f t="shared" si="349"/>
        <v>3.4241788958770135E-2</v>
      </c>
      <c r="J2457" s="1">
        <f t="shared" si="350"/>
        <v>-0.87999999999999545</v>
      </c>
      <c r="K2457" s="9">
        <f t="shared" si="343"/>
        <v>-1.2061403508771868E-2</v>
      </c>
      <c r="L2457" s="1">
        <f t="shared" si="344"/>
        <v>1</v>
      </c>
      <c r="M2457" s="1">
        <f t="shared" si="345"/>
        <v>74</v>
      </c>
      <c r="N2457" s="1">
        <f t="shared" si="346"/>
        <v>71.55</v>
      </c>
      <c r="O2457" s="1">
        <f t="shared" si="347"/>
        <v>70.12</v>
      </c>
      <c r="P2457" s="1">
        <f t="shared" si="348"/>
        <v>35.775510204081634</v>
      </c>
    </row>
    <row r="2458" spans="1:16">
      <c r="A2458" s="2">
        <v>39493</v>
      </c>
      <c r="B2458" s="1">
        <v>75</v>
      </c>
      <c r="C2458" s="1">
        <v>75.19</v>
      </c>
      <c r="D2458" s="1">
        <v>71.94</v>
      </c>
      <c r="E2458" s="1">
        <v>72.959999999999994</v>
      </c>
      <c r="F2458" s="1">
        <v>11120100</v>
      </c>
      <c r="G2458" s="1">
        <v>72.959999999999994</v>
      </c>
      <c r="H2458" s="1">
        <f t="shared" si="342"/>
        <v>3.25</v>
      </c>
      <c r="I2458" s="9">
        <f t="shared" si="349"/>
        <v>4.5176536002224078E-2</v>
      </c>
      <c r="J2458" s="1">
        <f t="shared" si="350"/>
        <v>-2.8400000000000034</v>
      </c>
      <c r="K2458" s="9">
        <f t="shared" si="343"/>
        <v>-3.746701846965704E-2</v>
      </c>
      <c r="L2458" s="1">
        <f t="shared" si="344"/>
        <v>1</v>
      </c>
      <c r="M2458" s="1">
        <f t="shared" si="345"/>
        <v>75.19</v>
      </c>
      <c r="N2458" s="1">
        <f t="shared" si="346"/>
        <v>71.94</v>
      </c>
      <c r="O2458" s="1">
        <f t="shared" si="347"/>
        <v>71</v>
      </c>
      <c r="P2458" s="1">
        <f t="shared" si="348"/>
        <v>36.224489795918366</v>
      </c>
    </row>
    <row r="2459" spans="1:16">
      <c r="A2459" s="2">
        <v>39492</v>
      </c>
      <c r="B2459" s="1">
        <v>77.73</v>
      </c>
      <c r="C2459" s="1">
        <v>77.88</v>
      </c>
      <c r="D2459" s="1">
        <v>75.180000000000007</v>
      </c>
      <c r="E2459" s="1">
        <v>75.8</v>
      </c>
      <c r="F2459" s="1">
        <v>7497200</v>
      </c>
      <c r="G2459" s="1">
        <v>75.8</v>
      </c>
      <c r="H2459" s="1">
        <f t="shared" si="342"/>
        <v>2.6999999999999886</v>
      </c>
      <c r="I2459" s="9">
        <f t="shared" si="349"/>
        <v>3.5913806863527381E-2</v>
      </c>
      <c r="J2459" s="1">
        <f t="shared" si="350"/>
        <v>-1.9300000000000068</v>
      </c>
      <c r="K2459" s="9">
        <f t="shared" si="343"/>
        <v>-2.48295381448605E-2</v>
      </c>
      <c r="L2459" s="1">
        <f t="shared" si="344"/>
        <v>1</v>
      </c>
      <c r="M2459" s="1">
        <f t="shared" si="345"/>
        <v>77.88</v>
      </c>
      <c r="N2459" s="1">
        <f t="shared" si="346"/>
        <v>75.180000000000007</v>
      </c>
      <c r="O2459" s="1">
        <f t="shared" si="347"/>
        <v>73.84</v>
      </c>
      <c r="P2459" s="1">
        <f t="shared" si="348"/>
        <v>37.673469387755105</v>
      </c>
    </row>
    <row r="2460" spans="1:16">
      <c r="A2460" s="2">
        <v>39491</v>
      </c>
      <c r="B2460" s="1">
        <v>74.989999999999995</v>
      </c>
      <c r="C2460" s="1">
        <v>78.849999999999994</v>
      </c>
      <c r="D2460" s="1">
        <v>73.27</v>
      </c>
      <c r="E2460" s="1">
        <v>77.73</v>
      </c>
      <c r="F2460" s="1">
        <v>11070300</v>
      </c>
      <c r="G2460" s="1">
        <v>77.73</v>
      </c>
      <c r="H2460" s="1">
        <f t="shared" si="342"/>
        <v>5.5799999999999983</v>
      </c>
      <c r="I2460" s="9">
        <f t="shared" si="349"/>
        <v>7.615668076975568E-2</v>
      </c>
      <c r="J2460" s="1">
        <f t="shared" si="350"/>
        <v>3.2800000000000011</v>
      </c>
      <c r="K2460" s="9">
        <f t="shared" si="343"/>
        <v>4.4056413700470129E-2</v>
      </c>
      <c r="L2460" s="1">
        <f t="shared" si="344"/>
        <v>1</v>
      </c>
      <c r="M2460" s="1">
        <f t="shared" si="345"/>
        <v>78.849999999999994</v>
      </c>
      <c r="N2460" s="1">
        <f t="shared" si="346"/>
        <v>73.27</v>
      </c>
      <c r="O2460" s="1">
        <f t="shared" si="347"/>
        <v>75.77000000000001</v>
      </c>
      <c r="P2460" s="1">
        <f t="shared" si="348"/>
        <v>38.658163265306129</v>
      </c>
    </row>
    <row r="2461" spans="1:16">
      <c r="A2461" s="2">
        <v>39490</v>
      </c>
      <c r="B2461" s="1">
        <v>75.430000000000007</v>
      </c>
      <c r="C2461" s="1">
        <v>77.05</v>
      </c>
      <c r="D2461" s="1">
        <v>73.790000000000006</v>
      </c>
      <c r="E2461" s="1">
        <v>74.45</v>
      </c>
      <c r="F2461" s="1">
        <v>9449000</v>
      </c>
      <c r="G2461" s="1">
        <v>74.45</v>
      </c>
      <c r="H2461" s="1">
        <f t="shared" si="342"/>
        <v>3.2599999999999909</v>
      </c>
      <c r="I2461" s="9">
        <f t="shared" si="349"/>
        <v>4.417942810678941E-2</v>
      </c>
      <c r="J2461" s="1">
        <f t="shared" si="350"/>
        <v>-0.73999999999999488</v>
      </c>
      <c r="K2461" s="9">
        <f t="shared" si="343"/>
        <v>-9.8417342731745572E-3</v>
      </c>
      <c r="L2461" s="1">
        <f t="shared" si="344"/>
        <v>1</v>
      </c>
      <c r="M2461" s="1">
        <f t="shared" si="345"/>
        <v>77.05</v>
      </c>
      <c r="N2461" s="1">
        <f t="shared" si="346"/>
        <v>73.790000000000006</v>
      </c>
      <c r="O2461" s="1">
        <f t="shared" si="347"/>
        <v>72.490000000000009</v>
      </c>
      <c r="P2461" s="1">
        <f t="shared" si="348"/>
        <v>36.984693877551024</v>
      </c>
    </row>
    <row r="2462" spans="1:16">
      <c r="A2462" s="2">
        <v>39489</v>
      </c>
      <c r="B2462" s="1">
        <v>73.14</v>
      </c>
      <c r="C2462" s="1">
        <v>75.959999999999994</v>
      </c>
      <c r="D2462" s="1">
        <v>72.77</v>
      </c>
      <c r="E2462" s="1">
        <v>75.19</v>
      </c>
      <c r="F2462" s="1">
        <v>7763700</v>
      </c>
      <c r="G2462" s="1">
        <v>75.19</v>
      </c>
      <c r="H2462" s="1">
        <f t="shared" si="342"/>
        <v>3.1899999999999977</v>
      </c>
      <c r="I2462" s="9">
        <f t="shared" si="349"/>
        <v>4.3836745911776803E-2</v>
      </c>
      <c r="J2462" s="1">
        <f t="shared" si="350"/>
        <v>1.6899999999999977</v>
      </c>
      <c r="K2462" s="9">
        <f t="shared" si="343"/>
        <v>2.2993197278911533E-2</v>
      </c>
      <c r="L2462" s="1">
        <f t="shared" si="344"/>
        <v>1</v>
      </c>
      <c r="M2462" s="1">
        <f t="shared" si="345"/>
        <v>75.959999999999994</v>
      </c>
      <c r="N2462" s="1">
        <f t="shared" si="346"/>
        <v>72.77</v>
      </c>
      <c r="O2462" s="1">
        <f t="shared" si="347"/>
        <v>73.23</v>
      </c>
      <c r="P2462" s="1">
        <f t="shared" si="348"/>
        <v>37.362244897959187</v>
      </c>
    </row>
    <row r="2463" spans="1:16">
      <c r="A2463" s="2">
        <v>39486</v>
      </c>
      <c r="B2463" s="1">
        <v>73.400000000000006</v>
      </c>
      <c r="C2463" s="1">
        <v>74.599999999999994</v>
      </c>
      <c r="D2463" s="1">
        <v>72.52</v>
      </c>
      <c r="E2463" s="1">
        <v>73.5</v>
      </c>
      <c r="F2463" s="1">
        <v>11700400</v>
      </c>
      <c r="G2463" s="1">
        <v>73.5</v>
      </c>
      <c r="H2463" s="1">
        <f t="shared" si="342"/>
        <v>2.0799999999999983</v>
      </c>
      <c r="I2463" s="9">
        <f t="shared" si="349"/>
        <v>2.8681742967457232E-2</v>
      </c>
      <c r="J2463" s="1">
        <f t="shared" si="350"/>
        <v>2.5900000000000034</v>
      </c>
      <c r="K2463" s="9">
        <f t="shared" si="343"/>
        <v>3.6525172754195506E-2</v>
      </c>
      <c r="L2463" s="1">
        <f t="shared" si="344"/>
        <v>1</v>
      </c>
      <c r="M2463" s="1">
        <f t="shared" si="345"/>
        <v>74.599999999999994</v>
      </c>
      <c r="N2463" s="1">
        <f t="shared" si="346"/>
        <v>72.52</v>
      </c>
      <c r="O2463" s="1">
        <f t="shared" si="347"/>
        <v>71.540000000000006</v>
      </c>
      <c r="P2463" s="1">
        <f t="shared" si="348"/>
        <v>36.500000000000007</v>
      </c>
    </row>
    <row r="2464" spans="1:16">
      <c r="A2464" s="2">
        <v>39485</v>
      </c>
      <c r="B2464" s="1">
        <v>67.37</v>
      </c>
      <c r="C2464" s="1">
        <v>72.709999999999994</v>
      </c>
      <c r="D2464" s="1">
        <v>67.22</v>
      </c>
      <c r="E2464" s="1">
        <v>70.91</v>
      </c>
      <c r="F2464" s="1">
        <v>14501700</v>
      </c>
      <c r="G2464" s="1">
        <v>70.91</v>
      </c>
      <c r="H2464" s="1">
        <f t="shared" si="342"/>
        <v>5.4899999999999949</v>
      </c>
      <c r="I2464" s="9">
        <f t="shared" si="349"/>
        <v>8.1672121392442648E-2</v>
      </c>
      <c r="J2464" s="1">
        <f t="shared" si="350"/>
        <v>2.4200000000000017</v>
      </c>
      <c r="K2464" s="9">
        <f t="shared" si="343"/>
        <v>3.5333625346765977E-2</v>
      </c>
      <c r="L2464" s="1">
        <f t="shared" si="344"/>
        <v>1</v>
      </c>
      <c r="M2464" s="1">
        <f t="shared" si="345"/>
        <v>72.709999999999994</v>
      </c>
      <c r="N2464" s="1">
        <f t="shared" si="346"/>
        <v>67.22</v>
      </c>
      <c r="O2464" s="1">
        <f t="shared" si="347"/>
        <v>68.95</v>
      </c>
      <c r="P2464" s="1">
        <f t="shared" si="348"/>
        <v>35.178571428571431</v>
      </c>
    </row>
    <row r="2465" spans="1:16">
      <c r="A2465" s="2">
        <v>39484</v>
      </c>
      <c r="B2465" s="1">
        <v>72.3</v>
      </c>
      <c r="C2465" s="1">
        <v>72.430000000000007</v>
      </c>
      <c r="D2465" s="1">
        <v>68.17</v>
      </c>
      <c r="E2465" s="1">
        <v>68.489999999999995</v>
      </c>
      <c r="F2465" s="1">
        <v>12399500</v>
      </c>
      <c r="G2465" s="1">
        <v>68.489999999999995</v>
      </c>
      <c r="H2465" s="1">
        <f t="shared" si="342"/>
        <v>4.2600000000000051</v>
      </c>
      <c r="I2465" s="9">
        <f t="shared" si="349"/>
        <v>6.2490831744169063E-2</v>
      </c>
      <c r="J2465" s="1">
        <f t="shared" si="350"/>
        <v>-3.6000000000000085</v>
      </c>
      <c r="K2465" s="9">
        <f t="shared" si="343"/>
        <v>-4.9937578027465783E-2</v>
      </c>
      <c r="L2465" s="1">
        <f t="shared" si="344"/>
        <v>1</v>
      </c>
      <c r="M2465" s="1">
        <f t="shared" si="345"/>
        <v>72.430000000000007</v>
      </c>
      <c r="N2465" s="1">
        <f t="shared" si="346"/>
        <v>68.17</v>
      </c>
      <c r="O2465" s="1">
        <f t="shared" si="347"/>
        <v>66.53</v>
      </c>
      <c r="P2465" s="1">
        <f t="shared" si="348"/>
        <v>33.943877551020407</v>
      </c>
    </row>
    <row r="2466" spans="1:16">
      <c r="A2466" s="2">
        <v>39483</v>
      </c>
      <c r="B2466" s="1">
        <v>72.8</v>
      </c>
      <c r="C2466" s="1">
        <v>74.209999999999994</v>
      </c>
      <c r="D2466" s="1">
        <v>72</v>
      </c>
      <c r="E2466" s="1">
        <v>72.09</v>
      </c>
      <c r="F2466" s="1">
        <v>9633900</v>
      </c>
      <c r="G2466" s="1">
        <v>72.09</v>
      </c>
      <c r="H2466" s="1">
        <f t="shared" si="342"/>
        <v>2.2099999999999937</v>
      </c>
      <c r="I2466" s="9">
        <f t="shared" si="349"/>
        <v>3.0694444444444358E-2</v>
      </c>
      <c r="J2466" s="1">
        <f t="shared" si="350"/>
        <v>-1.8599999999999994</v>
      </c>
      <c r="K2466" s="9">
        <f t="shared" si="343"/>
        <v>-2.5152129817444212E-2</v>
      </c>
      <c r="L2466" s="1">
        <f t="shared" si="344"/>
        <v>1</v>
      </c>
      <c r="M2466" s="1">
        <f t="shared" si="345"/>
        <v>74.209999999999994</v>
      </c>
      <c r="N2466" s="1">
        <f t="shared" si="346"/>
        <v>72</v>
      </c>
      <c r="O2466" s="1">
        <f t="shared" si="347"/>
        <v>70.13000000000001</v>
      </c>
      <c r="P2466" s="1">
        <f t="shared" si="348"/>
        <v>35.780612244897966</v>
      </c>
    </row>
    <row r="2467" spans="1:16">
      <c r="A2467" s="2">
        <v>39482</v>
      </c>
      <c r="B2467" s="1">
        <v>74.5</v>
      </c>
      <c r="C2467" s="1">
        <v>76.66</v>
      </c>
      <c r="D2467" s="1">
        <v>73.900000000000006</v>
      </c>
      <c r="E2467" s="1">
        <v>73.95</v>
      </c>
      <c r="F2467" s="1">
        <v>9155200</v>
      </c>
      <c r="G2467" s="1">
        <v>73.95</v>
      </c>
      <c r="H2467" s="1">
        <f t="shared" si="342"/>
        <v>2.7599999999999909</v>
      </c>
      <c r="I2467" s="9">
        <f t="shared" si="349"/>
        <v>3.7347767253044527E-2</v>
      </c>
      <c r="J2467" s="1">
        <f t="shared" si="350"/>
        <v>-0.67999999999999261</v>
      </c>
      <c r="K2467" s="9">
        <f t="shared" si="343"/>
        <v>-9.1116173120727936E-3</v>
      </c>
      <c r="L2467" s="1">
        <f t="shared" si="344"/>
        <v>1</v>
      </c>
      <c r="M2467" s="1">
        <f t="shared" si="345"/>
        <v>76.66</v>
      </c>
      <c r="N2467" s="1">
        <f t="shared" si="346"/>
        <v>73.900000000000006</v>
      </c>
      <c r="O2467" s="1">
        <f t="shared" si="347"/>
        <v>71.990000000000009</v>
      </c>
      <c r="P2467" s="1">
        <f t="shared" si="348"/>
        <v>36.729591836734699</v>
      </c>
    </row>
    <row r="2468" spans="1:16">
      <c r="A2468" s="2">
        <v>39479</v>
      </c>
      <c r="B2468" s="1">
        <v>79.02</v>
      </c>
      <c r="C2468" s="1">
        <v>79.400000000000006</v>
      </c>
      <c r="D2468" s="1">
        <v>73.37</v>
      </c>
      <c r="E2468" s="1">
        <v>74.63</v>
      </c>
      <c r="F2468" s="1">
        <v>16361000</v>
      </c>
      <c r="G2468" s="1">
        <v>74.63</v>
      </c>
      <c r="H2468" s="1">
        <f t="shared" si="342"/>
        <v>6.0300000000000011</v>
      </c>
      <c r="I2468" s="9">
        <f t="shared" si="349"/>
        <v>8.2186179637454004E-2</v>
      </c>
      <c r="J2468" s="1">
        <f t="shared" si="350"/>
        <v>-3.0700000000000074</v>
      </c>
      <c r="K2468" s="9">
        <f t="shared" si="343"/>
        <v>-3.9510939510939605E-2</v>
      </c>
      <c r="L2468" s="1">
        <f t="shared" si="344"/>
        <v>1</v>
      </c>
      <c r="M2468" s="1">
        <f t="shared" si="345"/>
        <v>79.400000000000006</v>
      </c>
      <c r="N2468" s="1">
        <f t="shared" si="346"/>
        <v>73.37</v>
      </c>
      <c r="O2468" s="1">
        <f t="shared" si="347"/>
        <v>72.67</v>
      </c>
      <c r="P2468" s="1">
        <f t="shared" si="348"/>
        <v>37.076530612244902</v>
      </c>
    </row>
    <row r="2469" spans="1:16">
      <c r="A2469" s="2">
        <v>39478</v>
      </c>
      <c r="B2469" s="1">
        <v>68.91</v>
      </c>
      <c r="C2469" s="1">
        <v>78.87</v>
      </c>
      <c r="D2469" s="1">
        <v>68.84</v>
      </c>
      <c r="E2469" s="1">
        <v>77.7</v>
      </c>
      <c r="F2469" s="1">
        <v>42885900</v>
      </c>
      <c r="G2469" s="1">
        <v>77.7</v>
      </c>
      <c r="H2469" s="1">
        <f t="shared" si="342"/>
        <v>10.030000000000001</v>
      </c>
      <c r="I2469" s="9">
        <f t="shared" si="349"/>
        <v>0.14570017431725743</v>
      </c>
      <c r="J2469" s="1">
        <f t="shared" si="350"/>
        <v>3.4900000000000091</v>
      </c>
      <c r="K2469" s="9">
        <f t="shared" si="343"/>
        <v>4.7028702331222333E-2</v>
      </c>
      <c r="L2469" s="1">
        <f t="shared" si="344"/>
        <v>1</v>
      </c>
      <c r="M2469" s="1">
        <f t="shared" si="345"/>
        <v>78.87</v>
      </c>
      <c r="N2469" s="1">
        <f t="shared" si="346"/>
        <v>68.84</v>
      </c>
      <c r="O2469" s="1">
        <f t="shared" si="347"/>
        <v>75.740000000000009</v>
      </c>
      <c r="P2469" s="1">
        <f t="shared" si="348"/>
        <v>38.642857142857146</v>
      </c>
    </row>
    <row r="2470" spans="1:16">
      <c r="A2470" s="2">
        <v>39477</v>
      </c>
      <c r="B2470" s="1">
        <v>73.540000000000006</v>
      </c>
      <c r="C2470" s="1">
        <v>77.42</v>
      </c>
      <c r="D2470" s="1">
        <v>73.25</v>
      </c>
      <c r="E2470" s="1">
        <v>74.209999999999994</v>
      </c>
      <c r="F2470" s="1">
        <v>25298700</v>
      </c>
      <c r="G2470" s="1">
        <v>74.209999999999994</v>
      </c>
      <c r="H2470" s="1">
        <f t="shared" si="342"/>
        <v>4.1700000000000017</v>
      </c>
      <c r="I2470" s="9">
        <f t="shared" si="349"/>
        <v>5.6928327645051215E-2</v>
      </c>
      <c r="J2470" s="1">
        <f t="shared" si="350"/>
        <v>0.25999999999999091</v>
      </c>
      <c r="K2470" s="9">
        <f t="shared" si="343"/>
        <v>3.515889114266273E-3</v>
      </c>
      <c r="L2470" s="1">
        <f t="shared" si="344"/>
        <v>1</v>
      </c>
      <c r="M2470" s="1">
        <f t="shared" si="345"/>
        <v>77.42</v>
      </c>
      <c r="N2470" s="1">
        <f t="shared" si="346"/>
        <v>73.25</v>
      </c>
      <c r="O2470" s="1">
        <f t="shared" si="347"/>
        <v>72.25</v>
      </c>
      <c r="P2470" s="1">
        <f t="shared" si="348"/>
        <v>36.862244897959187</v>
      </c>
    </row>
    <row r="2471" spans="1:16">
      <c r="A2471" s="2">
        <v>39476</v>
      </c>
      <c r="B2471" s="1">
        <v>75.77</v>
      </c>
      <c r="C2471" s="1">
        <v>75.900000000000006</v>
      </c>
      <c r="D2471" s="1">
        <v>72.06</v>
      </c>
      <c r="E2471" s="1">
        <v>73.95</v>
      </c>
      <c r="F2471" s="1">
        <v>9958000</v>
      </c>
      <c r="G2471" s="1">
        <v>73.95</v>
      </c>
      <c r="H2471" s="1">
        <f t="shared" si="342"/>
        <v>3.8400000000000034</v>
      </c>
      <c r="I2471" s="9">
        <f t="shared" si="349"/>
        <v>5.328892589508747E-2</v>
      </c>
      <c r="J2471" s="1">
        <f t="shared" si="350"/>
        <v>-1.8699999999999903</v>
      </c>
      <c r="K2471" s="9">
        <f t="shared" si="343"/>
        <v>-2.4663677130044716E-2</v>
      </c>
      <c r="L2471" s="1">
        <f t="shared" si="344"/>
        <v>1</v>
      </c>
      <c r="M2471" s="1">
        <f t="shared" si="345"/>
        <v>75.900000000000006</v>
      </c>
      <c r="N2471" s="1">
        <f t="shared" si="346"/>
        <v>72.06</v>
      </c>
      <c r="O2471" s="1">
        <f t="shared" si="347"/>
        <v>71.990000000000009</v>
      </c>
      <c r="P2471" s="1">
        <f t="shared" si="348"/>
        <v>36.729591836734699</v>
      </c>
    </row>
    <row r="2472" spans="1:16">
      <c r="A2472" s="2">
        <v>39475</v>
      </c>
      <c r="B2472" s="1">
        <v>76.91</v>
      </c>
      <c r="C2472" s="1">
        <v>77.400000000000006</v>
      </c>
      <c r="D2472" s="1">
        <v>74.34</v>
      </c>
      <c r="E2472" s="1">
        <v>75.819999999999993</v>
      </c>
      <c r="F2472" s="1">
        <v>8505300</v>
      </c>
      <c r="G2472" s="1">
        <v>75.819999999999993</v>
      </c>
      <c r="H2472" s="1">
        <f t="shared" si="342"/>
        <v>3.0600000000000023</v>
      </c>
      <c r="I2472" s="9">
        <f t="shared" si="349"/>
        <v>4.1162227602905596E-2</v>
      </c>
      <c r="J2472" s="1">
        <f t="shared" si="350"/>
        <v>-1.7800000000000011</v>
      </c>
      <c r="K2472" s="9">
        <f t="shared" si="343"/>
        <v>-2.2938144329896923E-2</v>
      </c>
      <c r="L2472" s="1">
        <f t="shared" si="344"/>
        <v>1</v>
      </c>
      <c r="M2472" s="1">
        <f t="shared" si="345"/>
        <v>77.400000000000006</v>
      </c>
      <c r="N2472" s="1">
        <f t="shared" si="346"/>
        <v>74.34</v>
      </c>
      <c r="O2472" s="1">
        <f t="shared" si="347"/>
        <v>73.86</v>
      </c>
      <c r="P2472" s="1">
        <f t="shared" si="348"/>
        <v>37.683673469387756</v>
      </c>
    </row>
    <row r="2473" spans="1:16">
      <c r="A2473" s="2">
        <v>39472</v>
      </c>
      <c r="B2473" s="1">
        <v>78.69</v>
      </c>
      <c r="C2473" s="1">
        <v>81.430000000000007</v>
      </c>
      <c r="D2473" s="1">
        <v>76.33</v>
      </c>
      <c r="E2473" s="1">
        <v>77.599999999999994</v>
      </c>
      <c r="F2473" s="1">
        <v>10027600</v>
      </c>
      <c r="G2473" s="1">
        <v>77.599999999999994</v>
      </c>
      <c r="H2473" s="1">
        <f t="shared" si="342"/>
        <v>5.1000000000000085</v>
      </c>
      <c r="I2473" s="9">
        <f t="shared" si="349"/>
        <v>6.6815144766147111E-2</v>
      </c>
      <c r="J2473" s="1">
        <f t="shared" si="350"/>
        <v>-7.000000000000739E-2</v>
      </c>
      <c r="K2473" s="9">
        <f t="shared" si="343"/>
        <v>-9.0124887343900331E-4</v>
      </c>
      <c r="L2473" s="1">
        <f t="shared" si="344"/>
        <v>1</v>
      </c>
      <c r="M2473" s="1">
        <f t="shared" si="345"/>
        <v>81.430000000000007</v>
      </c>
      <c r="N2473" s="1">
        <f t="shared" si="346"/>
        <v>76.33</v>
      </c>
      <c r="O2473" s="1">
        <f t="shared" si="347"/>
        <v>75.64</v>
      </c>
      <c r="P2473" s="1">
        <f t="shared" si="348"/>
        <v>38.591836734693878</v>
      </c>
    </row>
    <row r="2474" spans="1:16">
      <c r="A2474" s="2">
        <v>39471</v>
      </c>
      <c r="B2474" s="1">
        <v>74.53</v>
      </c>
      <c r="C2474" s="1">
        <v>77.88</v>
      </c>
      <c r="D2474" s="1">
        <v>74.19</v>
      </c>
      <c r="E2474" s="1">
        <v>77.67</v>
      </c>
      <c r="F2474" s="1">
        <v>9886600</v>
      </c>
      <c r="G2474" s="1">
        <v>77.67</v>
      </c>
      <c r="H2474" s="1">
        <f t="shared" si="342"/>
        <v>3.6899999999999977</v>
      </c>
      <c r="I2474" s="9">
        <f t="shared" si="349"/>
        <v>4.9737161342498962E-2</v>
      </c>
      <c r="J2474" s="1">
        <f t="shared" si="350"/>
        <v>3.7000000000000028</v>
      </c>
      <c r="K2474" s="9">
        <f t="shared" si="343"/>
        <v>5.0020278491280289E-2</v>
      </c>
      <c r="L2474" s="1">
        <f t="shared" si="344"/>
        <v>1</v>
      </c>
      <c r="M2474" s="1">
        <f t="shared" si="345"/>
        <v>77.88</v>
      </c>
      <c r="N2474" s="1">
        <f t="shared" si="346"/>
        <v>74.19</v>
      </c>
      <c r="O2474" s="1">
        <f t="shared" si="347"/>
        <v>75.710000000000008</v>
      </c>
      <c r="P2474" s="1">
        <f t="shared" si="348"/>
        <v>38.62755102040817</v>
      </c>
    </row>
    <row r="2475" spans="1:16">
      <c r="A2475" s="2">
        <v>39470</v>
      </c>
      <c r="B2475" s="1">
        <v>75.599999999999994</v>
      </c>
      <c r="C2475" s="1">
        <v>76.8</v>
      </c>
      <c r="D2475" s="1">
        <v>69.95</v>
      </c>
      <c r="E2475" s="1">
        <v>73.97</v>
      </c>
      <c r="F2475" s="1">
        <v>20405700</v>
      </c>
      <c r="G2475" s="1">
        <v>73.97</v>
      </c>
      <c r="H2475" s="1">
        <f t="shared" si="342"/>
        <v>6.8499999999999943</v>
      </c>
      <c r="I2475" s="9">
        <f t="shared" si="349"/>
        <v>9.7927090779127868E-2</v>
      </c>
      <c r="J2475" s="1">
        <f t="shared" si="350"/>
        <v>-4.5100000000000051</v>
      </c>
      <c r="K2475" s="9">
        <f t="shared" si="343"/>
        <v>-5.74668705402651E-2</v>
      </c>
      <c r="L2475" s="1">
        <f t="shared" si="344"/>
        <v>1</v>
      </c>
      <c r="M2475" s="1">
        <f t="shared" si="345"/>
        <v>76.8</v>
      </c>
      <c r="N2475" s="1">
        <f t="shared" si="346"/>
        <v>69.95</v>
      </c>
      <c r="O2475" s="1">
        <f t="shared" si="347"/>
        <v>72.010000000000005</v>
      </c>
      <c r="P2475" s="1">
        <f t="shared" si="348"/>
        <v>36.739795918367349</v>
      </c>
    </row>
    <row r="2476" spans="1:16">
      <c r="A2476" s="2">
        <v>39469</v>
      </c>
      <c r="B2476" s="1">
        <v>73.58</v>
      </c>
      <c r="C2476" s="1">
        <v>79.72</v>
      </c>
      <c r="D2476" s="1">
        <v>72.22</v>
      </c>
      <c r="E2476" s="1">
        <v>78.48</v>
      </c>
      <c r="F2476" s="1">
        <v>12822200</v>
      </c>
      <c r="G2476" s="1">
        <v>78.48</v>
      </c>
      <c r="H2476" s="1">
        <f t="shared" si="342"/>
        <v>7.5</v>
      </c>
      <c r="I2476" s="9">
        <f t="shared" si="349"/>
        <v>0.10384934921074494</v>
      </c>
      <c r="J2476" s="1">
        <f t="shared" si="350"/>
        <v>-1.2800000000000011</v>
      </c>
      <c r="K2476" s="9">
        <f t="shared" si="343"/>
        <v>-1.6048144433299914E-2</v>
      </c>
      <c r="L2476" s="1">
        <f t="shared" si="344"/>
        <v>1</v>
      </c>
      <c r="M2476" s="1">
        <f t="shared" si="345"/>
        <v>79.72</v>
      </c>
      <c r="N2476" s="1">
        <f t="shared" si="346"/>
        <v>72.22</v>
      </c>
      <c r="O2476" s="1">
        <f t="shared" si="347"/>
        <v>76.52000000000001</v>
      </c>
      <c r="P2476" s="1">
        <f t="shared" si="348"/>
        <v>39.040816326530617</v>
      </c>
    </row>
    <row r="2477" spans="1:16">
      <c r="A2477" s="2">
        <v>39465</v>
      </c>
      <c r="B2477" s="1">
        <v>79.930000000000007</v>
      </c>
      <c r="C2477" s="1">
        <v>82.31</v>
      </c>
      <c r="D2477" s="1">
        <v>78.040000000000006</v>
      </c>
      <c r="E2477" s="1">
        <v>79.760000000000005</v>
      </c>
      <c r="F2477" s="1">
        <v>13364300</v>
      </c>
      <c r="G2477" s="1">
        <v>79.760000000000005</v>
      </c>
      <c r="H2477" s="1">
        <f t="shared" si="342"/>
        <v>4.269999999999996</v>
      </c>
      <c r="I2477" s="9">
        <f t="shared" si="349"/>
        <v>5.4715530497180878E-2</v>
      </c>
      <c r="J2477" s="1">
        <f t="shared" si="350"/>
        <v>-0.35999999999999943</v>
      </c>
      <c r="K2477" s="9">
        <f t="shared" si="343"/>
        <v>-4.4932601098352397E-3</v>
      </c>
      <c r="L2477" s="1">
        <f t="shared" si="344"/>
        <v>1</v>
      </c>
      <c r="M2477" s="1">
        <f t="shared" si="345"/>
        <v>82.31</v>
      </c>
      <c r="N2477" s="1">
        <f t="shared" si="346"/>
        <v>78.040000000000006</v>
      </c>
      <c r="O2477" s="1">
        <f t="shared" si="347"/>
        <v>77.800000000000011</v>
      </c>
      <c r="P2477" s="1">
        <f t="shared" si="348"/>
        <v>39.693877551020414</v>
      </c>
    </row>
    <row r="2478" spans="1:16">
      <c r="A2478" s="2">
        <v>39464</v>
      </c>
      <c r="B2478" s="1">
        <v>80.16</v>
      </c>
      <c r="C2478" s="1">
        <v>82.25</v>
      </c>
      <c r="D2478" s="1">
        <v>79.540000000000006</v>
      </c>
      <c r="E2478" s="1">
        <v>80.12</v>
      </c>
      <c r="F2478" s="1">
        <v>9900900</v>
      </c>
      <c r="G2478" s="1">
        <v>80.12</v>
      </c>
      <c r="H2478" s="1">
        <f t="shared" si="342"/>
        <v>2.7099999999999937</v>
      </c>
      <c r="I2478" s="9">
        <f t="shared" si="349"/>
        <v>3.4070907719386388E-2</v>
      </c>
      <c r="J2478" s="1">
        <f t="shared" si="350"/>
        <v>-0.22999999999998977</v>
      </c>
      <c r="K2478" s="9">
        <f t="shared" si="343"/>
        <v>-2.862476664592281E-3</v>
      </c>
      <c r="L2478" s="1">
        <f t="shared" si="344"/>
        <v>1</v>
      </c>
      <c r="M2478" s="1">
        <f t="shared" si="345"/>
        <v>82.25</v>
      </c>
      <c r="N2478" s="1">
        <f t="shared" si="346"/>
        <v>79.540000000000006</v>
      </c>
      <c r="O2478" s="1">
        <f t="shared" si="347"/>
        <v>78.160000000000011</v>
      </c>
      <c r="P2478" s="1">
        <f t="shared" si="348"/>
        <v>39.87755102040817</v>
      </c>
    </row>
    <row r="2479" spans="1:16">
      <c r="A2479" s="2">
        <v>39463</v>
      </c>
      <c r="B2479" s="1">
        <v>79.58</v>
      </c>
      <c r="C2479" s="1">
        <v>82.36</v>
      </c>
      <c r="D2479" s="1">
        <v>78.44</v>
      </c>
      <c r="E2479" s="1">
        <v>80.349999999999994</v>
      </c>
      <c r="F2479" s="1">
        <v>12407000</v>
      </c>
      <c r="G2479" s="1">
        <v>80.349999999999994</v>
      </c>
      <c r="H2479" s="1">
        <f t="shared" si="342"/>
        <v>3.9200000000000017</v>
      </c>
      <c r="I2479" s="9">
        <f t="shared" si="349"/>
        <v>4.9974502804691505E-2</v>
      </c>
      <c r="J2479" s="1">
        <f t="shared" si="350"/>
        <v>0.10999999999999943</v>
      </c>
      <c r="K2479" s="9">
        <f t="shared" si="343"/>
        <v>1.3708873379860349E-3</v>
      </c>
      <c r="L2479" s="1">
        <f t="shared" si="344"/>
        <v>1</v>
      </c>
      <c r="M2479" s="1">
        <f t="shared" si="345"/>
        <v>82.36</v>
      </c>
      <c r="N2479" s="1">
        <f t="shared" si="346"/>
        <v>78.44</v>
      </c>
      <c r="O2479" s="1">
        <f t="shared" si="347"/>
        <v>78.39</v>
      </c>
      <c r="P2479" s="1">
        <f t="shared" si="348"/>
        <v>39.994897959183675</v>
      </c>
    </row>
    <row r="2480" spans="1:16">
      <c r="A2480" s="2">
        <v>39462</v>
      </c>
      <c r="B2480" s="1">
        <v>80.489999999999995</v>
      </c>
      <c r="C2480" s="1">
        <v>81.010000000000005</v>
      </c>
      <c r="D2480" s="1">
        <v>78.510000000000005</v>
      </c>
      <c r="E2480" s="1">
        <v>80.239999999999995</v>
      </c>
      <c r="F2480" s="1">
        <v>9655900</v>
      </c>
      <c r="G2480" s="1">
        <v>80.239999999999995</v>
      </c>
      <c r="H2480" s="1">
        <f t="shared" si="342"/>
        <v>2.5</v>
      </c>
      <c r="I2480" s="9">
        <f t="shared" si="349"/>
        <v>3.1843077314991718E-2</v>
      </c>
      <c r="J2480" s="1">
        <f t="shared" si="350"/>
        <v>-2.6300000000000097</v>
      </c>
      <c r="K2480" s="9">
        <f t="shared" si="343"/>
        <v>-3.1736454688065761E-2</v>
      </c>
      <c r="L2480" s="1">
        <f t="shared" si="344"/>
        <v>1</v>
      </c>
      <c r="M2480" s="1">
        <f t="shared" si="345"/>
        <v>81.010000000000005</v>
      </c>
      <c r="N2480" s="1">
        <f t="shared" si="346"/>
        <v>78.510000000000005</v>
      </c>
      <c r="O2480" s="1">
        <f t="shared" si="347"/>
        <v>78.28</v>
      </c>
      <c r="P2480" s="1">
        <f t="shared" si="348"/>
        <v>39.938775510204081</v>
      </c>
    </row>
    <row r="2481" spans="1:16">
      <c r="A2481" s="2">
        <v>39461</v>
      </c>
      <c r="B2481" s="1">
        <v>82.18</v>
      </c>
      <c r="C2481" s="1">
        <v>83.32</v>
      </c>
      <c r="D2481" s="1">
        <v>78.87</v>
      </c>
      <c r="E2481" s="1">
        <v>82.87</v>
      </c>
      <c r="F2481" s="1">
        <v>9056100</v>
      </c>
      <c r="G2481" s="1">
        <v>82.87</v>
      </c>
      <c r="H2481" s="1">
        <f t="shared" si="342"/>
        <v>4.4499999999999886</v>
      </c>
      <c r="I2481" s="9">
        <f t="shared" si="349"/>
        <v>5.6421960187650416E-2</v>
      </c>
      <c r="J2481" s="1">
        <f t="shared" si="350"/>
        <v>1.7900000000000063</v>
      </c>
      <c r="K2481" s="9">
        <f t="shared" si="343"/>
        <v>2.2076961026147094E-2</v>
      </c>
      <c r="L2481" s="1">
        <f t="shared" si="344"/>
        <v>1</v>
      </c>
      <c r="M2481" s="1">
        <f t="shared" si="345"/>
        <v>83.32</v>
      </c>
      <c r="N2481" s="1">
        <f t="shared" si="346"/>
        <v>78.87</v>
      </c>
      <c r="O2481" s="1">
        <f t="shared" si="347"/>
        <v>80.910000000000011</v>
      </c>
      <c r="P2481" s="1">
        <f t="shared" si="348"/>
        <v>41.280612244897966</v>
      </c>
    </row>
    <row r="2482" spans="1:16">
      <c r="A2482" s="2">
        <v>39458</v>
      </c>
      <c r="B2482" s="1">
        <v>84.03</v>
      </c>
      <c r="C2482" s="1">
        <v>84.03</v>
      </c>
      <c r="D2482" s="1">
        <v>80.290000000000006</v>
      </c>
      <c r="E2482" s="1">
        <v>81.08</v>
      </c>
      <c r="F2482" s="1">
        <v>10624300</v>
      </c>
      <c r="G2482" s="1">
        <v>81.08</v>
      </c>
      <c r="H2482" s="1">
        <f t="shared" si="342"/>
        <v>3.7399999999999949</v>
      </c>
      <c r="I2482" s="9">
        <f t="shared" si="349"/>
        <v>4.6581143355336835E-2</v>
      </c>
      <c r="J2482" s="1">
        <f t="shared" si="350"/>
        <v>-3.1800000000000068</v>
      </c>
      <c r="K2482" s="9">
        <f t="shared" si="343"/>
        <v>-3.7740327557560009E-2</v>
      </c>
      <c r="L2482" s="1">
        <f t="shared" si="344"/>
        <v>1</v>
      </c>
      <c r="M2482" s="1">
        <f t="shared" si="345"/>
        <v>84.03</v>
      </c>
      <c r="N2482" s="1">
        <f t="shared" si="346"/>
        <v>80.290000000000006</v>
      </c>
      <c r="O2482" s="1">
        <f t="shared" si="347"/>
        <v>79.12</v>
      </c>
      <c r="P2482" s="1">
        <f t="shared" si="348"/>
        <v>40.367346938775512</v>
      </c>
    </row>
    <row r="2483" spans="1:16">
      <c r="A2483" s="2">
        <v>39457</v>
      </c>
      <c r="B2483" s="1">
        <v>83.98</v>
      </c>
      <c r="C2483" s="1">
        <v>85.97</v>
      </c>
      <c r="D2483" s="1">
        <v>82.97</v>
      </c>
      <c r="E2483" s="1">
        <v>84.26</v>
      </c>
      <c r="F2483" s="1">
        <v>11609900</v>
      </c>
      <c r="G2483" s="1">
        <v>84.26</v>
      </c>
      <c r="H2483" s="1">
        <f t="shared" si="342"/>
        <v>3</v>
      </c>
      <c r="I2483" s="9">
        <f t="shared" si="349"/>
        <v>3.6157647342412919E-2</v>
      </c>
      <c r="J2483" s="1">
        <f t="shared" si="350"/>
        <v>-0.95999999999999375</v>
      </c>
      <c r="K2483" s="9">
        <f t="shared" si="343"/>
        <v>-1.1264961276695538E-2</v>
      </c>
      <c r="L2483" s="1">
        <f t="shared" si="344"/>
        <v>1</v>
      </c>
      <c r="M2483" s="1">
        <f t="shared" si="345"/>
        <v>85.97</v>
      </c>
      <c r="N2483" s="1">
        <f t="shared" si="346"/>
        <v>82.97</v>
      </c>
      <c r="O2483" s="1">
        <f t="shared" si="347"/>
        <v>82.300000000000011</v>
      </c>
      <c r="P2483" s="1">
        <f t="shared" si="348"/>
        <v>41.989795918367356</v>
      </c>
    </row>
    <row r="2484" spans="1:16">
      <c r="A2484" s="2">
        <v>39456</v>
      </c>
      <c r="B2484" s="1">
        <v>87.56</v>
      </c>
      <c r="C2484" s="1">
        <v>87.8</v>
      </c>
      <c r="D2484" s="1">
        <v>80.239999999999995</v>
      </c>
      <c r="E2484" s="1">
        <v>85.22</v>
      </c>
      <c r="F2484" s="1">
        <v>16410900</v>
      </c>
      <c r="G2484" s="1">
        <v>85.22</v>
      </c>
      <c r="H2484" s="1">
        <f t="shared" si="342"/>
        <v>7.5600000000000023</v>
      </c>
      <c r="I2484" s="9">
        <f t="shared" si="349"/>
        <v>9.4217347956131639E-2</v>
      </c>
      <c r="J2484" s="1">
        <f t="shared" si="350"/>
        <v>-2.6599999999999966</v>
      </c>
      <c r="K2484" s="9">
        <f t="shared" si="343"/>
        <v>-3.0268548020027274E-2</v>
      </c>
      <c r="L2484" s="1">
        <f t="shared" si="344"/>
        <v>1</v>
      </c>
      <c r="M2484" s="1">
        <f t="shared" si="345"/>
        <v>87.8</v>
      </c>
      <c r="N2484" s="1">
        <f t="shared" si="346"/>
        <v>80.239999999999995</v>
      </c>
      <c r="O2484" s="1">
        <f t="shared" si="347"/>
        <v>83.26</v>
      </c>
      <c r="P2484" s="1">
        <f t="shared" si="348"/>
        <v>42.479591836734699</v>
      </c>
    </row>
    <row r="2485" spans="1:16">
      <c r="A2485" s="2">
        <v>39455</v>
      </c>
      <c r="B2485" s="1">
        <v>87.55</v>
      </c>
      <c r="C2485" s="1">
        <v>91.83</v>
      </c>
      <c r="D2485" s="1">
        <v>86.93</v>
      </c>
      <c r="E2485" s="1">
        <v>87.88</v>
      </c>
      <c r="F2485" s="1">
        <v>12283300</v>
      </c>
      <c r="G2485" s="1">
        <v>87.88</v>
      </c>
      <c r="H2485" s="1">
        <f t="shared" si="342"/>
        <v>4.8999999999999915</v>
      </c>
      <c r="I2485" s="9">
        <f t="shared" si="349"/>
        <v>5.6367191993557934E-2</v>
      </c>
      <c r="J2485" s="1">
        <f t="shared" si="350"/>
        <v>-0.93999999999999773</v>
      </c>
      <c r="K2485" s="9">
        <f t="shared" si="343"/>
        <v>-1.0583201981535666E-2</v>
      </c>
      <c r="L2485" s="1">
        <f t="shared" si="344"/>
        <v>1</v>
      </c>
      <c r="M2485" s="1">
        <f t="shared" si="345"/>
        <v>91.83</v>
      </c>
      <c r="N2485" s="1">
        <f t="shared" si="346"/>
        <v>86.93</v>
      </c>
      <c r="O2485" s="1">
        <f t="shared" si="347"/>
        <v>85.92</v>
      </c>
      <c r="P2485" s="1">
        <f t="shared" si="348"/>
        <v>43.836734693877553</v>
      </c>
    </row>
    <row r="2486" spans="1:16">
      <c r="A2486" s="2">
        <v>39454</v>
      </c>
      <c r="B2486" s="1">
        <v>88.62</v>
      </c>
      <c r="C2486" s="1">
        <v>90.57</v>
      </c>
      <c r="D2486" s="1">
        <v>85.47</v>
      </c>
      <c r="E2486" s="1">
        <v>88.82</v>
      </c>
      <c r="F2486" s="1">
        <v>9981600</v>
      </c>
      <c r="G2486" s="1">
        <v>88.82</v>
      </c>
      <c r="H2486" s="1">
        <f t="shared" si="342"/>
        <v>5.0999999999999943</v>
      </c>
      <c r="I2486" s="9">
        <f t="shared" si="349"/>
        <v>5.9670059670059603E-2</v>
      </c>
      <c r="J2486" s="1">
        <f t="shared" si="350"/>
        <v>2.9999999999986926E-2</v>
      </c>
      <c r="K2486" s="9">
        <f t="shared" si="343"/>
        <v>3.3787588692405591E-4</v>
      </c>
      <c r="L2486" s="1">
        <f t="shared" si="344"/>
        <v>1</v>
      </c>
      <c r="M2486" s="1">
        <f t="shared" si="345"/>
        <v>90.57</v>
      </c>
      <c r="N2486" s="1">
        <f t="shared" si="346"/>
        <v>85.47</v>
      </c>
      <c r="O2486" s="1">
        <f t="shared" si="347"/>
        <v>86.86</v>
      </c>
      <c r="P2486" s="1">
        <f t="shared" si="348"/>
        <v>44.316326530612244</v>
      </c>
    </row>
    <row r="2487" spans="1:16">
      <c r="A2487" s="2">
        <v>39451</v>
      </c>
      <c r="B2487" s="1">
        <v>93.26</v>
      </c>
      <c r="C2487" s="1">
        <v>93.4</v>
      </c>
      <c r="D2487" s="1">
        <v>88.5</v>
      </c>
      <c r="E2487" s="1">
        <v>88.79</v>
      </c>
      <c r="F2487" s="1">
        <v>10270000</v>
      </c>
      <c r="G2487" s="1">
        <v>88.79</v>
      </c>
      <c r="H2487" s="1">
        <f t="shared" si="342"/>
        <v>4.9000000000000057</v>
      </c>
      <c r="I2487" s="9">
        <f t="shared" si="349"/>
        <v>5.5367231638418141E-2</v>
      </c>
      <c r="J2487" s="1">
        <f t="shared" si="350"/>
        <v>-6.4199999999999875</v>
      </c>
      <c r="K2487" s="9">
        <f t="shared" si="343"/>
        <v>-6.7429891818086202E-2</v>
      </c>
      <c r="L2487" s="1">
        <f t="shared" si="344"/>
        <v>1</v>
      </c>
      <c r="M2487" s="1">
        <f t="shared" si="345"/>
        <v>93.4</v>
      </c>
      <c r="N2487" s="1">
        <f t="shared" si="346"/>
        <v>88.5</v>
      </c>
      <c r="O2487" s="1">
        <f t="shared" si="347"/>
        <v>86.830000000000013</v>
      </c>
      <c r="P2487" s="1">
        <f t="shared" si="348"/>
        <v>44.301020408163275</v>
      </c>
    </row>
    <row r="2488" spans="1:16">
      <c r="A2488" s="2">
        <v>39450</v>
      </c>
      <c r="B2488" s="1">
        <v>96.06</v>
      </c>
      <c r="C2488" s="1">
        <v>97.25</v>
      </c>
      <c r="D2488" s="1">
        <v>94.52</v>
      </c>
      <c r="E2488" s="1">
        <v>95.21</v>
      </c>
      <c r="F2488" s="1">
        <v>9122500</v>
      </c>
      <c r="G2488" s="1">
        <v>95.21</v>
      </c>
      <c r="H2488" s="1">
        <f t="shared" si="342"/>
        <v>2.730000000000004</v>
      </c>
      <c r="I2488" s="9">
        <f t="shared" si="349"/>
        <v>2.888277613203559E-2</v>
      </c>
      <c r="J2488" s="1">
        <f t="shared" si="350"/>
        <v>-1.0400000000000063</v>
      </c>
      <c r="K2488" s="9">
        <f t="shared" si="343"/>
        <v>-1.080519480519487E-2</v>
      </c>
      <c r="L2488" s="1">
        <f t="shared" si="344"/>
        <v>1</v>
      </c>
      <c r="M2488" s="1">
        <f t="shared" si="345"/>
        <v>97.25</v>
      </c>
      <c r="N2488" s="1">
        <f t="shared" si="346"/>
        <v>94.52</v>
      </c>
      <c r="O2488" s="1">
        <f t="shared" si="347"/>
        <v>93.25</v>
      </c>
      <c r="P2488" s="1">
        <f t="shared" si="348"/>
        <v>47.576530612244902</v>
      </c>
    </row>
    <row r="2489" spans="1:16">
      <c r="A2489" s="2">
        <v>39449</v>
      </c>
      <c r="B2489" s="1">
        <v>95.35</v>
      </c>
      <c r="C2489" s="1">
        <v>97.43</v>
      </c>
      <c r="D2489" s="1">
        <v>94.7</v>
      </c>
      <c r="E2489" s="1">
        <v>96.25</v>
      </c>
      <c r="F2489" s="1">
        <v>13858700</v>
      </c>
      <c r="G2489" s="1">
        <v>96.25</v>
      </c>
      <c r="H2489" s="1">
        <f t="shared" si="342"/>
        <v>2.730000000000004</v>
      </c>
      <c r="I2489" s="9">
        <f t="shared" si="349"/>
        <v>2.8827877507919788E-2</v>
      </c>
      <c r="J2489" s="1">
        <f t="shared" si="350"/>
        <v>3.6099999999999994</v>
      </c>
      <c r="K2489" s="9">
        <f t="shared" si="343"/>
        <v>3.8968048359240059E-2</v>
      </c>
      <c r="L2489" s="1">
        <f t="shared" si="344"/>
        <v>1</v>
      </c>
      <c r="M2489" s="1">
        <f t="shared" si="345"/>
        <v>97.43</v>
      </c>
      <c r="N2489" s="1">
        <f t="shared" si="346"/>
        <v>94.7</v>
      </c>
      <c r="O2489" s="1">
        <f t="shared" si="347"/>
        <v>94.29</v>
      </c>
      <c r="P2489" s="1">
        <f t="shared" si="348"/>
        <v>48.107142857142861</v>
      </c>
    </row>
    <row r="2490" spans="1:16">
      <c r="A2490" s="2">
        <v>39447</v>
      </c>
      <c r="B2490" s="1">
        <v>93.81</v>
      </c>
      <c r="C2490" s="1">
        <v>94.37</v>
      </c>
      <c r="D2490" s="1">
        <v>92.45</v>
      </c>
      <c r="E2490" s="1">
        <v>92.64</v>
      </c>
      <c r="F2490" s="1">
        <v>5755200</v>
      </c>
      <c r="G2490" s="1">
        <v>92.64</v>
      </c>
      <c r="H2490" s="1">
        <f t="shared" si="342"/>
        <v>1.9200000000000017</v>
      </c>
      <c r="I2490" s="9">
        <f t="shared" si="349"/>
        <v>2.0767982693347772E-2</v>
      </c>
      <c r="J2490" s="1">
        <f t="shared" si="350"/>
        <v>-1.8100000000000023</v>
      </c>
      <c r="K2490" s="9">
        <f t="shared" si="343"/>
        <v>-1.9163578613022786E-2</v>
      </c>
      <c r="L2490" s="1">
        <f t="shared" si="344"/>
        <v>1</v>
      </c>
      <c r="M2490" s="1">
        <f t="shared" si="345"/>
        <v>94.37</v>
      </c>
      <c r="N2490" s="1">
        <f t="shared" si="346"/>
        <v>92.45</v>
      </c>
      <c r="O2490" s="1">
        <f t="shared" si="347"/>
        <v>90.68</v>
      </c>
      <c r="P2490" s="1">
        <f t="shared" si="348"/>
        <v>46.265306122448983</v>
      </c>
    </row>
    <row r="2491" spans="1:16">
      <c r="A2491" s="2">
        <v>39444</v>
      </c>
      <c r="B2491" s="1">
        <v>95.27</v>
      </c>
      <c r="C2491" s="1">
        <v>95.9</v>
      </c>
      <c r="D2491" s="1">
        <v>92.1</v>
      </c>
      <c r="E2491" s="1">
        <v>94.45</v>
      </c>
      <c r="F2491" s="1">
        <v>7587900</v>
      </c>
      <c r="G2491" s="1">
        <v>94.45</v>
      </c>
      <c r="H2491" s="1">
        <f t="shared" si="342"/>
        <v>3.8000000000000114</v>
      </c>
      <c r="I2491" s="9">
        <f t="shared" si="349"/>
        <v>4.1259500542888294E-2</v>
      </c>
      <c r="J2491" s="1">
        <f t="shared" si="350"/>
        <v>0.20000000000000284</v>
      </c>
      <c r="K2491" s="9">
        <f t="shared" si="343"/>
        <v>2.1220159151193936E-3</v>
      </c>
      <c r="L2491" s="1">
        <f t="shared" si="344"/>
        <v>1</v>
      </c>
      <c r="M2491" s="1">
        <f t="shared" si="345"/>
        <v>95.9</v>
      </c>
      <c r="N2491" s="1">
        <f t="shared" si="346"/>
        <v>92.1</v>
      </c>
      <c r="O2491" s="1">
        <f t="shared" si="347"/>
        <v>92.490000000000009</v>
      </c>
      <c r="P2491" s="1">
        <f t="shared" si="348"/>
        <v>47.188775510204088</v>
      </c>
    </row>
    <row r="2492" spans="1:16">
      <c r="A2492" s="2">
        <v>39443</v>
      </c>
      <c r="B2492" s="1">
        <v>92.67</v>
      </c>
      <c r="C2492" s="1">
        <v>95.29</v>
      </c>
      <c r="D2492" s="1">
        <v>92.5</v>
      </c>
      <c r="E2492" s="1">
        <v>94.25</v>
      </c>
      <c r="F2492" s="1">
        <v>7113700</v>
      </c>
      <c r="G2492" s="1">
        <v>94.25</v>
      </c>
      <c r="H2492" s="1">
        <f t="shared" si="342"/>
        <v>2.7900000000000063</v>
      </c>
      <c r="I2492" s="9">
        <f t="shared" si="349"/>
        <v>3.0162162162162231E-2</v>
      </c>
      <c r="J2492" s="1">
        <f t="shared" si="350"/>
        <v>1.4000000000000057</v>
      </c>
      <c r="K2492" s="9">
        <f t="shared" si="343"/>
        <v>1.5078082929456175E-2</v>
      </c>
      <c r="L2492" s="1">
        <f t="shared" si="344"/>
        <v>1</v>
      </c>
      <c r="M2492" s="1">
        <f t="shared" si="345"/>
        <v>95.29</v>
      </c>
      <c r="N2492" s="1">
        <f t="shared" si="346"/>
        <v>92.5</v>
      </c>
      <c r="O2492" s="1">
        <f t="shared" si="347"/>
        <v>92.29</v>
      </c>
      <c r="P2492" s="1">
        <f t="shared" si="348"/>
        <v>47.086734693877553</v>
      </c>
    </row>
    <row r="2493" spans="1:16">
      <c r="A2493" s="2">
        <v>39442</v>
      </c>
      <c r="B2493" s="1">
        <v>91.48</v>
      </c>
      <c r="C2493" s="1">
        <v>93.94</v>
      </c>
      <c r="D2493" s="1">
        <v>90.5</v>
      </c>
      <c r="E2493" s="1">
        <v>92.85</v>
      </c>
      <c r="F2493" s="1">
        <v>5442200</v>
      </c>
      <c r="G2493" s="1">
        <v>92.85</v>
      </c>
      <c r="H2493" s="1">
        <f t="shared" si="342"/>
        <v>3.4399999999999977</v>
      </c>
      <c r="I2493" s="9">
        <f t="shared" si="349"/>
        <v>3.8011049723756879E-2</v>
      </c>
      <c r="J2493" s="1">
        <f t="shared" si="350"/>
        <v>1.8399999999999892</v>
      </c>
      <c r="K2493" s="9">
        <f t="shared" si="343"/>
        <v>2.0217558510053722E-2</v>
      </c>
      <c r="L2493" s="1">
        <f t="shared" si="344"/>
        <v>1</v>
      </c>
      <c r="M2493" s="1">
        <f t="shared" si="345"/>
        <v>93.94</v>
      </c>
      <c r="N2493" s="1">
        <f t="shared" si="346"/>
        <v>90.5</v>
      </c>
      <c r="O2493" s="1">
        <f t="shared" si="347"/>
        <v>90.89</v>
      </c>
      <c r="P2493" s="1">
        <f t="shared" si="348"/>
        <v>46.372448979591837</v>
      </c>
    </row>
    <row r="2494" spans="1:16">
      <c r="A2494" s="2">
        <v>39440</v>
      </c>
      <c r="B2494" s="1">
        <v>91.05</v>
      </c>
      <c r="C2494" s="1">
        <v>91.56</v>
      </c>
      <c r="D2494" s="1">
        <v>90.3</v>
      </c>
      <c r="E2494" s="1">
        <v>91.01</v>
      </c>
      <c r="F2494" s="1">
        <v>2017100</v>
      </c>
      <c r="G2494" s="1">
        <v>91.01</v>
      </c>
      <c r="H2494" s="1">
        <f t="shared" si="342"/>
        <v>1.2600000000000051</v>
      </c>
      <c r="I2494" s="9">
        <f t="shared" si="349"/>
        <v>1.395348837209308E-2</v>
      </c>
      <c r="J2494" s="1">
        <f t="shared" si="350"/>
        <v>-0.25</v>
      </c>
      <c r="K2494" s="9">
        <f t="shared" si="343"/>
        <v>-2.7394258163488932E-3</v>
      </c>
      <c r="L2494" s="1">
        <f t="shared" si="344"/>
        <v>1</v>
      </c>
      <c r="M2494" s="1">
        <f t="shared" si="345"/>
        <v>91.56</v>
      </c>
      <c r="N2494" s="1">
        <f t="shared" si="346"/>
        <v>90.3</v>
      </c>
      <c r="O2494" s="1">
        <f t="shared" si="347"/>
        <v>89.050000000000011</v>
      </c>
      <c r="P2494" s="1">
        <f t="shared" si="348"/>
        <v>45.433673469387763</v>
      </c>
    </row>
    <row r="2495" spans="1:16">
      <c r="A2495" s="2">
        <v>39437</v>
      </c>
      <c r="B2495" s="1">
        <v>91.47</v>
      </c>
      <c r="C2495" s="1">
        <v>92.28</v>
      </c>
      <c r="D2495" s="1">
        <v>90.39</v>
      </c>
      <c r="E2495" s="1">
        <v>91.26</v>
      </c>
      <c r="F2495" s="1">
        <v>6604900</v>
      </c>
      <c r="G2495" s="1">
        <v>91.26</v>
      </c>
      <c r="H2495" s="1">
        <f t="shared" si="342"/>
        <v>1.8900000000000006</v>
      </c>
      <c r="I2495" s="9">
        <f t="shared" si="349"/>
        <v>2.0909392631928318E-2</v>
      </c>
      <c r="J2495" s="1">
        <f t="shared" si="350"/>
        <v>0.68000000000000682</v>
      </c>
      <c r="K2495" s="9">
        <f t="shared" si="343"/>
        <v>7.5071759770369492E-3</v>
      </c>
      <c r="L2495" s="1">
        <f t="shared" si="344"/>
        <v>1</v>
      </c>
      <c r="M2495" s="1">
        <f t="shared" si="345"/>
        <v>92.28</v>
      </c>
      <c r="N2495" s="1">
        <f t="shared" si="346"/>
        <v>90.39</v>
      </c>
      <c r="O2495" s="1">
        <f t="shared" si="347"/>
        <v>89.300000000000011</v>
      </c>
      <c r="P2495" s="1">
        <f t="shared" si="348"/>
        <v>45.561224489795926</v>
      </c>
    </row>
    <row r="2496" spans="1:16">
      <c r="A2496" s="2">
        <v>39436</v>
      </c>
      <c r="B2496" s="1">
        <v>90.14</v>
      </c>
      <c r="C2496" s="1">
        <v>90.75</v>
      </c>
      <c r="D2496" s="1">
        <v>89.09</v>
      </c>
      <c r="E2496" s="1">
        <v>90.58</v>
      </c>
      <c r="F2496" s="1">
        <v>5879800</v>
      </c>
      <c r="G2496" s="1">
        <v>90.58</v>
      </c>
      <c r="H2496" s="1">
        <f t="shared" si="342"/>
        <v>1.6599999999999966</v>
      </c>
      <c r="I2496" s="9">
        <f t="shared" si="349"/>
        <v>1.8632843192277433E-2</v>
      </c>
      <c r="J2496" s="1">
        <f t="shared" si="350"/>
        <v>1.2000000000000028</v>
      </c>
      <c r="K2496" s="9">
        <f t="shared" si="343"/>
        <v>1.3425822331617845E-2</v>
      </c>
      <c r="L2496" s="1">
        <f t="shared" si="344"/>
        <v>1</v>
      </c>
      <c r="M2496" s="1">
        <f t="shared" si="345"/>
        <v>90.75</v>
      </c>
      <c r="N2496" s="1">
        <f t="shared" si="346"/>
        <v>89.09</v>
      </c>
      <c r="O2496" s="1">
        <f t="shared" si="347"/>
        <v>88.62</v>
      </c>
      <c r="P2496" s="1">
        <f t="shared" si="348"/>
        <v>45.214285714285715</v>
      </c>
    </row>
    <row r="2497" spans="1:16">
      <c r="A2497" s="2">
        <v>39435</v>
      </c>
      <c r="B2497" s="1">
        <v>86.94</v>
      </c>
      <c r="C2497" s="1">
        <v>89.95</v>
      </c>
      <c r="D2497" s="1">
        <v>86.83</v>
      </c>
      <c r="E2497" s="1">
        <v>89.38</v>
      </c>
      <c r="F2497" s="1">
        <v>7616200</v>
      </c>
      <c r="G2497" s="1">
        <v>89.38</v>
      </c>
      <c r="H2497" s="1">
        <f t="shared" si="342"/>
        <v>3.1200000000000045</v>
      </c>
      <c r="I2497" s="9">
        <f t="shared" si="349"/>
        <v>3.5932281469538231E-2</v>
      </c>
      <c r="J2497" s="1">
        <f t="shared" si="350"/>
        <v>2.4899999999999949</v>
      </c>
      <c r="K2497" s="9">
        <f t="shared" si="343"/>
        <v>2.8656922545747438E-2</v>
      </c>
      <c r="L2497" s="1">
        <f t="shared" si="344"/>
        <v>1</v>
      </c>
      <c r="M2497" s="1">
        <f t="shared" si="345"/>
        <v>89.95</v>
      </c>
      <c r="N2497" s="1">
        <f t="shared" si="346"/>
        <v>86.83</v>
      </c>
      <c r="O2497" s="1">
        <f t="shared" si="347"/>
        <v>87.42</v>
      </c>
      <c r="P2497" s="1">
        <f t="shared" si="348"/>
        <v>44.602040816326536</v>
      </c>
    </row>
    <row r="2498" spans="1:16">
      <c r="A2498" s="2">
        <v>39434</v>
      </c>
      <c r="B2498" s="1">
        <v>85.83</v>
      </c>
      <c r="C2498" s="1">
        <v>87.46</v>
      </c>
      <c r="D2498" s="1">
        <v>83.86</v>
      </c>
      <c r="E2498" s="1">
        <v>86.89</v>
      </c>
      <c r="F2498" s="1">
        <v>7266100</v>
      </c>
      <c r="G2498" s="1">
        <v>86.89</v>
      </c>
      <c r="H2498" s="1">
        <f t="shared" si="342"/>
        <v>3.5999999999999943</v>
      </c>
      <c r="I2498" s="9">
        <f t="shared" si="349"/>
        <v>4.292869067493435E-2</v>
      </c>
      <c r="J2498" s="1">
        <f t="shared" si="350"/>
        <v>1.7999999999999972</v>
      </c>
      <c r="K2498" s="9">
        <f t="shared" si="343"/>
        <v>2.1154072158890553E-2</v>
      </c>
      <c r="L2498" s="1">
        <f t="shared" si="344"/>
        <v>1</v>
      </c>
      <c r="M2498" s="1">
        <f t="shared" si="345"/>
        <v>87.46</v>
      </c>
      <c r="N2498" s="1">
        <f t="shared" si="346"/>
        <v>83.86</v>
      </c>
      <c r="O2498" s="1">
        <f t="shared" si="347"/>
        <v>84.93</v>
      </c>
      <c r="P2498" s="1">
        <f t="shared" si="348"/>
        <v>43.331632653061227</v>
      </c>
    </row>
    <row r="2499" spans="1:16">
      <c r="A2499" s="2">
        <v>39433</v>
      </c>
      <c r="B2499" s="1">
        <v>89.01</v>
      </c>
      <c r="C2499" s="1">
        <v>89.06</v>
      </c>
      <c r="D2499" s="1">
        <v>84.99</v>
      </c>
      <c r="E2499" s="1">
        <v>85.09</v>
      </c>
      <c r="F2499" s="1">
        <v>7697700</v>
      </c>
      <c r="G2499" s="1">
        <v>85.09</v>
      </c>
      <c r="H2499" s="1">
        <f t="shared" ref="H2499:H2562" si="351">C2499-D2499</f>
        <v>4.0700000000000074</v>
      </c>
      <c r="I2499" s="9">
        <f t="shared" si="349"/>
        <v>4.7887986821979145E-2</v>
      </c>
      <c r="J2499" s="1">
        <f t="shared" si="350"/>
        <v>-3.9899999999999949</v>
      </c>
      <c r="K2499" s="9">
        <f t="shared" ref="K2499:K2562" si="352">(G2499-G2500)/G2500</f>
        <v>-4.4791198922316963E-2</v>
      </c>
      <c r="L2499" s="1">
        <f t="shared" ref="L2499:L2562" si="353">G2499/E2499</f>
        <v>1</v>
      </c>
      <c r="M2499" s="1">
        <f t="shared" ref="M2499:M2562" si="354">L2499*C2499</f>
        <v>89.06</v>
      </c>
      <c r="N2499" s="1">
        <f t="shared" ref="N2499:N2562" si="355">L2499*D2499</f>
        <v>84.99</v>
      </c>
      <c r="O2499" s="1">
        <f t="shared" ref="O2499:O2562" si="356">G2499-$G$5163</f>
        <v>83.13000000000001</v>
      </c>
      <c r="P2499" s="1">
        <f t="shared" ref="P2499:P2562" si="357">(G2499-$G$5163)/$G$5163</f>
        <v>42.413265306122454</v>
      </c>
    </row>
    <row r="2500" spans="1:16">
      <c r="A2500" s="2">
        <v>39430</v>
      </c>
      <c r="B2500" s="1">
        <v>90.77</v>
      </c>
      <c r="C2500" s="1">
        <v>91.24</v>
      </c>
      <c r="D2500" s="1">
        <v>88.93</v>
      </c>
      <c r="E2500" s="1">
        <v>89.08</v>
      </c>
      <c r="F2500" s="1">
        <v>6002300</v>
      </c>
      <c r="G2500" s="1">
        <v>89.08</v>
      </c>
      <c r="H2500" s="1">
        <f t="shared" si="351"/>
        <v>2.3099999999999881</v>
      </c>
      <c r="I2500" s="9">
        <f t="shared" ref="I2500:I2563" si="358">(C2500-D2500)/D2500</f>
        <v>2.5975486337568739E-2</v>
      </c>
      <c r="J2500" s="1">
        <f t="shared" ref="J2500:J2563" si="359">G2500-G2501</f>
        <v>-3.3200000000000074</v>
      </c>
      <c r="K2500" s="9">
        <f t="shared" si="352"/>
        <v>-3.5930735930736007E-2</v>
      </c>
      <c r="L2500" s="1">
        <f t="shared" si="353"/>
        <v>1</v>
      </c>
      <c r="M2500" s="1">
        <f t="shared" si="354"/>
        <v>91.24</v>
      </c>
      <c r="N2500" s="1">
        <f t="shared" si="355"/>
        <v>88.93</v>
      </c>
      <c r="O2500" s="1">
        <f t="shared" si="356"/>
        <v>87.12</v>
      </c>
      <c r="P2500" s="1">
        <f t="shared" si="357"/>
        <v>44.448979591836739</v>
      </c>
    </row>
    <row r="2501" spans="1:16">
      <c r="A2501" s="2">
        <v>39429</v>
      </c>
      <c r="B2501" s="1">
        <v>91.05</v>
      </c>
      <c r="C2501" s="1">
        <v>93</v>
      </c>
      <c r="D2501" s="1">
        <v>90.63</v>
      </c>
      <c r="E2501" s="1">
        <v>92.4</v>
      </c>
      <c r="F2501" s="1">
        <v>6046300</v>
      </c>
      <c r="G2501" s="1">
        <v>92.4</v>
      </c>
      <c r="H2501" s="1">
        <f t="shared" si="351"/>
        <v>2.3700000000000045</v>
      </c>
      <c r="I2501" s="9">
        <f t="shared" si="358"/>
        <v>2.6150281363786877E-2</v>
      </c>
      <c r="J2501" s="1">
        <f t="shared" si="359"/>
        <v>1.1200000000000045</v>
      </c>
      <c r="K2501" s="9">
        <f t="shared" si="352"/>
        <v>1.2269938650306797E-2</v>
      </c>
      <c r="L2501" s="1">
        <f t="shared" si="353"/>
        <v>1</v>
      </c>
      <c r="M2501" s="1">
        <f t="shared" si="354"/>
        <v>93</v>
      </c>
      <c r="N2501" s="1">
        <f t="shared" si="355"/>
        <v>90.63</v>
      </c>
      <c r="O2501" s="1">
        <f t="shared" si="356"/>
        <v>90.440000000000012</v>
      </c>
      <c r="P2501" s="1">
        <f t="shared" si="357"/>
        <v>46.142857142857153</v>
      </c>
    </row>
    <row r="2502" spans="1:16">
      <c r="A2502" s="2">
        <v>39428</v>
      </c>
      <c r="B2502" s="1">
        <v>92.84</v>
      </c>
      <c r="C2502" s="1">
        <v>93.75</v>
      </c>
      <c r="D2502" s="1">
        <v>89.32</v>
      </c>
      <c r="E2502" s="1">
        <v>91.28</v>
      </c>
      <c r="F2502" s="1">
        <v>7228100</v>
      </c>
      <c r="G2502" s="1">
        <v>91.28</v>
      </c>
      <c r="H2502" s="1">
        <f t="shared" si="351"/>
        <v>4.4300000000000068</v>
      </c>
      <c r="I2502" s="9">
        <f t="shared" si="358"/>
        <v>4.9596954769368644E-2</v>
      </c>
      <c r="J2502" s="1">
        <f t="shared" si="359"/>
        <v>0.53000000000000114</v>
      </c>
      <c r="K2502" s="9">
        <f t="shared" si="352"/>
        <v>5.8402203856749435E-3</v>
      </c>
      <c r="L2502" s="1">
        <f t="shared" si="353"/>
        <v>1</v>
      </c>
      <c r="M2502" s="1">
        <f t="shared" si="354"/>
        <v>93.75</v>
      </c>
      <c r="N2502" s="1">
        <f t="shared" si="355"/>
        <v>89.32</v>
      </c>
      <c r="O2502" s="1">
        <f t="shared" si="356"/>
        <v>89.320000000000007</v>
      </c>
      <c r="P2502" s="1">
        <f t="shared" si="357"/>
        <v>45.571428571428577</v>
      </c>
    </row>
    <row r="2503" spans="1:16">
      <c r="A2503" s="2">
        <v>39427</v>
      </c>
      <c r="B2503" s="1">
        <v>93.1</v>
      </c>
      <c r="C2503" s="1">
        <v>95.94</v>
      </c>
      <c r="D2503" s="1">
        <v>90.75</v>
      </c>
      <c r="E2503" s="1">
        <v>90.75</v>
      </c>
      <c r="F2503" s="1">
        <v>10269600</v>
      </c>
      <c r="G2503" s="1">
        <v>90.75</v>
      </c>
      <c r="H2503" s="1">
        <f t="shared" si="351"/>
        <v>5.1899999999999977</v>
      </c>
      <c r="I2503" s="9">
        <f t="shared" si="358"/>
        <v>5.7190082644628076E-2</v>
      </c>
      <c r="J2503" s="1">
        <f t="shared" si="359"/>
        <v>-2.269999999999996</v>
      </c>
      <c r="K2503" s="9">
        <f t="shared" si="352"/>
        <v>-2.4403354117394069E-2</v>
      </c>
      <c r="L2503" s="1">
        <f t="shared" si="353"/>
        <v>1</v>
      </c>
      <c r="M2503" s="1">
        <f t="shared" si="354"/>
        <v>95.94</v>
      </c>
      <c r="N2503" s="1">
        <f t="shared" si="355"/>
        <v>90.75</v>
      </c>
      <c r="O2503" s="1">
        <f t="shared" si="356"/>
        <v>88.79</v>
      </c>
      <c r="P2503" s="1">
        <f t="shared" si="357"/>
        <v>45.301020408163268</v>
      </c>
    </row>
    <row r="2504" spans="1:16">
      <c r="A2504" s="2">
        <v>39426</v>
      </c>
      <c r="B2504" s="1">
        <v>94.31</v>
      </c>
      <c r="C2504" s="1">
        <v>94.35</v>
      </c>
      <c r="D2504" s="1">
        <v>92.3</v>
      </c>
      <c r="E2504" s="1">
        <v>93.02</v>
      </c>
      <c r="F2504" s="1">
        <v>5180600</v>
      </c>
      <c r="G2504" s="1">
        <v>93.02</v>
      </c>
      <c r="H2504" s="1">
        <f t="shared" si="351"/>
        <v>2.0499999999999972</v>
      </c>
      <c r="I2504" s="9">
        <f t="shared" si="358"/>
        <v>2.2210184182015136E-2</v>
      </c>
      <c r="J2504" s="1">
        <f t="shared" si="359"/>
        <v>-1.2900000000000063</v>
      </c>
      <c r="K2504" s="9">
        <f t="shared" si="352"/>
        <v>-1.3678294984625238E-2</v>
      </c>
      <c r="L2504" s="1">
        <f t="shared" si="353"/>
        <v>1</v>
      </c>
      <c r="M2504" s="1">
        <f t="shared" si="354"/>
        <v>94.35</v>
      </c>
      <c r="N2504" s="1">
        <f t="shared" si="355"/>
        <v>92.3</v>
      </c>
      <c r="O2504" s="1">
        <f t="shared" si="356"/>
        <v>91.06</v>
      </c>
      <c r="P2504" s="1">
        <f t="shared" si="357"/>
        <v>46.45918367346939</v>
      </c>
    </row>
    <row r="2505" spans="1:16">
      <c r="A2505" s="2">
        <v>39423</v>
      </c>
      <c r="B2505" s="1">
        <v>94.56</v>
      </c>
      <c r="C2505" s="1">
        <v>94.68</v>
      </c>
      <c r="D2505" s="1">
        <v>92.91</v>
      </c>
      <c r="E2505" s="1">
        <v>94.31</v>
      </c>
      <c r="F2505" s="1">
        <v>3934800</v>
      </c>
      <c r="G2505" s="1">
        <v>94.31</v>
      </c>
      <c r="H2505" s="1">
        <f t="shared" si="351"/>
        <v>1.7700000000000102</v>
      </c>
      <c r="I2505" s="9">
        <f t="shared" si="358"/>
        <v>1.9050694220213219E-2</v>
      </c>
      <c r="J2505" s="1">
        <f t="shared" si="359"/>
        <v>0.10000000000000853</v>
      </c>
      <c r="K2505" s="9">
        <f t="shared" si="352"/>
        <v>1.0614584439020119E-3</v>
      </c>
      <c r="L2505" s="1">
        <f t="shared" si="353"/>
        <v>1</v>
      </c>
      <c r="M2505" s="1">
        <f t="shared" si="354"/>
        <v>94.68</v>
      </c>
      <c r="N2505" s="1">
        <f t="shared" si="355"/>
        <v>92.91</v>
      </c>
      <c r="O2505" s="1">
        <f t="shared" si="356"/>
        <v>92.350000000000009</v>
      </c>
      <c r="P2505" s="1">
        <f t="shared" si="357"/>
        <v>47.117346938775512</v>
      </c>
    </row>
    <row r="2506" spans="1:16">
      <c r="A2506" s="2">
        <v>39422</v>
      </c>
      <c r="B2506" s="1">
        <v>93.28</v>
      </c>
      <c r="C2506" s="1">
        <v>95</v>
      </c>
      <c r="D2506" s="1">
        <v>92.83</v>
      </c>
      <c r="E2506" s="1">
        <v>94.21</v>
      </c>
      <c r="F2506" s="1">
        <v>5472700</v>
      </c>
      <c r="G2506" s="1">
        <v>94.21</v>
      </c>
      <c r="H2506" s="1">
        <f t="shared" si="351"/>
        <v>2.1700000000000017</v>
      </c>
      <c r="I2506" s="9">
        <f t="shared" si="358"/>
        <v>2.3376063772487361E-2</v>
      </c>
      <c r="J2506" s="1">
        <f t="shared" si="359"/>
        <v>1.019999999999996</v>
      </c>
      <c r="K2506" s="9">
        <f t="shared" si="352"/>
        <v>1.0945380405622878E-2</v>
      </c>
      <c r="L2506" s="1">
        <f t="shared" si="353"/>
        <v>1</v>
      </c>
      <c r="M2506" s="1">
        <f t="shared" si="354"/>
        <v>95</v>
      </c>
      <c r="N2506" s="1">
        <f t="shared" si="355"/>
        <v>92.83</v>
      </c>
      <c r="O2506" s="1">
        <f t="shared" si="356"/>
        <v>92.25</v>
      </c>
      <c r="P2506" s="1">
        <f t="shared" si="357"/>
        <v>47.066326530612244</v>
      </c>
    </row>
    <row r="2507" spans="1:16">
      <c r="A2507" s="2">
        <v>39421</v>
      </c>
      <c r="B2507" s="1">
        <v>94.99</v>
      </c>
      <c r="C2507" s="1">
        <v>94.99</v>
      </c>
      <c r="D2507" s="1">
        <v>91.98</v>
      </c>
      <c r="E2507" s="1">
        <v>93.19</v>
      </c>
      <c r="F2507" s="1">
        <v>6608600</v>
      </c>
      <c r="G2507" s="1">
        <v>93.19</v>
      </c>
      <c r="H2507" s="1">
        <f t="shared" si="351"/>
        <v>3.0099999999999909</v>
      </c>
      <c r="I2507" s="9">
        <f t="shared" si="358"/>
        <v>3.2724505327244954E-2</v>
      </c>
      <c r="J2507" s="1">
        <f t="shared" si="359"/>
        <v>-1.2199999999999989</v>
      </c>
      <c r="K2507" s="9">
        <f t="shared" si="352"/>
        <v>-1.2922359919500042E-2</v>
      </c>
      <c r="L2507" s="1">
        <f t="shared" si="353"/>
        <v>1</v>
      </c>
      <c r="M2507" s="1">
        <f t="shared" si="354"/>
        <v>94.99</v>
      </c>
      <c r="N2507" s="1">
        <f t="shared" si="355"/>
        <v>91.98</v>
      </c>
      <c r="O2507" s="1">
        <f t="shared" si="356"/>
        <v>91.23</v>
      </c>
      <c r="P2507" s="1">
        <f t="shared" si="357"/>
        <v>46.545918367346943</v>
      </c>
    </row>
    <row r="2508" spans="1:16">
      <c r="A2508" s="2">
        <v>39420</v>
      </c>
      <c r="B2508" s="1">
        <v>90.04</v>
      </c>
      <c r="C2508" s="1">
        <v>94.56</v>
      </c>
      <c r="D2508" s="1">
        <v>90.04</v>
      </c>
      <c r="E2508" s="1">
        <v>94.41</v>
      </c>
      <c r="F2508" s="1">
        <v>7337900</v>
      </c>
      <c r="G2508" s="1">
        <v>94.41</v>
      </c>
      <c r="H2508" s="1">
        <f t="shared" si="351"/>
        <v>4.519999999999996</v>
      </c>
      <c r="I2508" s="9">
        <f t="shared" si="358"/>
        <v>5.0199911150599685E-2</v>
      </c>
      <c r="J2508" s="1">
        <f t="shared" si="359"/>
        <v>3.5</v>
      </c>
      <c r="K2508" s="9">
        <f t="shared" si="352"/>
        <v>3.8499615003849963E-2</v>
      </c>
      <c r="L2508" s="1">
        <f t="shared" si="353"/>
        <v>1</v>
      </c>
      <c r="M2508" s="1">
        <f t="shared" si="354"/>
        <v>94.56</v>
      </c>
      <c r="N2508" s="1">
        <f t="shared" si="355"/>
        <v>90.04</v>
      </c>
      <c r="O2508" s="1">
        <f t="shared" si="356"/>
        <v>92.45</v>
      </c>
      <c r="P2508" s="1">
        <f t="shared" si="357"/>
        <v>47.16836734693878</v>
      </c>
    </row>
    <row r="2509" spans="1:16">
      <c r="A2509" s="2">
        <v>39419</v>
      </c>
      <c r="B2509" s="1">
        <v>90.03</v>
      </c>
      <c r="C2509" s="1">
        <v>92.25</v>
      </c>
      <c r="D2509" s="1">
        <v>89.77</v>
      </c>
      <c r="E2509" s="1">
        <v>90.91</v>
      </c>
      <c r="F2509" s="1">
        <v>6000500</v>
      </c>
      <c r="G2509" s="1">
        <v>90.91</v>
      </c>
      <c r="H2509" s="1">
        <f t="shared" si="351"/>
        <v>2.480000000000004</v>
      </c>
      <c r="I2509" s="9">
        <f t="shared" si="358"/>
        <v>2.7626155731313402E-2</v>
      </c>
      <c r="J2509" s="1">
        <f t="shared" si="359"/>
        <v>0.34999999999999432</v>
      </c>
      <c r="K2509" s="9">
        <f t="shared" si="352"/>
        <v>3.8648409893992305E-3</v>
      </c>
      <c r="L2509" s="1">
        <f t="shared" si="353"/>
        <v>1</v>
      </c>
      <c r="M2509" s="1">
        <f t="shared" si="354"/>
        <v>92.25</v>
      </c>
      <c r="N2509" s="1">
        <f t="shared" si="355"/>
        <v>89.77</v>
      </c>
      <c r="O2509" s="1">
        <f t="shared" si="356"/>
        <v>88.95</v>
      </c>
      <c r="P2509" s="1">
        <f t="shared" si="357"/>
        <v>45.382653061224495</v>
      </c>
    </row>
    <row r="2510" spans="1:16">
      <c r="A2510" s="2">
        <v>39416</v>
      </c>
      <c r="B2510" s="1">
        <v>90.56</v>
      </c>
      <c r="C2510" s="1">
        <v>91.08</v>
      </c>
      <c r="D2510" s="1">
        <v>88.31</v>
      </c>
      <c r="E2510" s="1">
        <v>90.56</v>
      </c>
      <c r="F2510" s="1">
        <v>6881600</v>
      </c>
      <c r="G2510" s="1">
        <v>90.56</v>
      </c>
      <c r="H2510" s="1">
        <f t="shared" si="351"/>
        <v>2.769999999999996</v>
      </c>
      <c r="I2510" s="9">
        <f t="shared" si="358"/>
        <v>3.1366776129543604E-2</v>
      </c>
      <c r="J2510" s="1">
        <f t="shared" si="359"/>
        <v>1.4099999999999966</v>
      </c>
      <c r="K2510" s="9">
        <f t="shared" si="352"/>
        <v>1.5816040381379657E-2</v>
      </c>
      <c r="L2510" s="1">
        <f t="shared" si="353"/>
        <v>1</v>
      </c>
      <c r="M2510" s="1">
        <f t="shared" si="354"/>
        <v>91.08</v>
      </c>
      <c r="N2510" s="1">
        <f t="shared" si="355"/>
        <v>88.31</v>
      </c>
      <c r="O2510" s="1">
        <f t="shared" si="356"/>
        <v>88.600000000000009</v>
      </c>
      <c r="P2510" s="1">
        <f t="shared" si="357"/>
        <v>45.204081632653065</v>
      </c>
    </row>
    <row r="2511" spans="1:16">
      <c r="A2511" s="2">
        <v>39415</v>
      </c>
      <c r="B2511" s="1">
        <v>89.89</v>
      </c>
      <c r="C2511" s="1">
        <v>91.47</v>
      </c>
      <c r="D2511" s="1">
        <v>88.68</v>
      </c>
      <c r="E2511" s="1">
        <v>89.15</v>
      </c>
      <c r="F2511" s="1">
        <v>6977100</v>
      </c>
      <c r="G2511" s="1">
        <v>89.15</v>
      </c>
      <c r="H2511" s="1">
        <f t="shared" si="351"/>
        <v>2.789999999999992</v>
      </c>
      <c r="I2511" s="9">
        <f t="shared" si="358"/>
        <v>3.1461434370771223E-2</v>
      </c>
      <c r="J2511" s="1">
        <f t="shared" si="359"/>
        <v>-1.1499999999999915</v>
      </c>
      <c r="K2511" s="9">
        <f t="shared" si="352"/>
        <v>-1.2735326688814967E-2</v>
      </c>
      <c r="L2511" s="1">
        <f t="shared" si="353"/>
        <v>1</v>
      </c>
      <c r="M2511" s="1">
        <f t="shared" si="354"/>
        <v>91.47</v>
      </c>
      <c r="N2511" s="1">
        <f t="shared" si="355"/>
        <v>88.68</v>
      </c>
      <c r="O2511" s="1">
        <f t="shared" si="356"/>
        <v>87.190000000000012</v>
      </c>
      <c r="P2511" s="1">
        <f t="shared" si="357"/>
        <v>44.484693877551024</v>
      </c>
    </row>
    <row r="2512" spans="1:16">
      <c r="A2512" s="2">
        <v>39414</v>
      </c>
      <c r="B2512" s="1">
        <v>87.55</v>
      </c>
      <c r="C2512" s="1">
        <v>90.57</v>
      </c>
      <c r="D2512" s="1">
        <v>86.75</v>
      </c>
      <c r="E2512" s="1">
        <v>90.3</v>
      </c>
      <c r="F2512" s="1">
        <v>11403400</v>
      </c>
      <c r="G2512" s="1">
        <v>90.3</v>
      </c>
      <c r="H2512" s="1">
        <f t="shared" si="351"/>
        <v>3.8199999999999932</v>
      </c>
      <c r="I2512" s="9">
        <f t="shared" si="358"/>
        <v>4.403458213256476E-2</v>
      </c>
      <c r="J2512" s="1">
        <f t="shared" si="359"/>
        <v>4.7099999999999937</v>
      </c>
      <c r="K2512" s="9">
        <f t="shared" si="352"/>
        <v>5.5029793200140127E-2</v>
      </c>
      <c r="L2512" s="1">
        <f t="shared" si="353"/>
        <v>1</v>
      </c>
      <c r="M2512" s="1">
        <f t="shared" si="354"/>
        <v>90.57</v>
      </c>
      <c r="N2512" s="1">
        <f t="shared" si="355"/>
        <v>86.75</v>
      </c>
      <c r="O2512" s="1">
        <f t="shared" si="356"/>
        <v>88.34</v>
      </c>
      <c r="P2512" s="1">
        <f t="shared" si="357"/>
        <v>45.071428571428577</v>
      </c>
    </row>
    <row r="2513" spans="1:16">
      <c r="A2513" s="2">
        <v>39413</v>
      </c>
      <c r="B2513" s="1">
        <v>82.92</v>
      </c>
      <c r="C2513" s="1">
        <v>85.65</v>
      </c>
      <c r="D2513" s="1">
        <v>82.21</v>
      </c>
      <c r="E2513" s="1">
        <v>85.59</v>
      </c>
      <c r="F2513" s="1">
        <v>8634200</v>
      </c>
      <c r="G2513" s="1">
        <v>85.59</v>
      </c>
      <c r="H2513" s="1">
        <f t="shared" si="351"/>
        <v>3.4400000000000119</v>
      </c>
      <c r="I2513" s="9">
        <f t="shared" si="358"/>
        <v>4.1844057900498874E-2</v>
      </c>
      <c r="J2513" s="1">
        <f t="shared" si="359"/>
        <v>4.2900000000000063</v>
      </c>
      <c r="K2513" s="9">
        <f t="shared" si="352"/>
        <v>5.2767527675276829E-2</v>
      </c>
      <c r="L2513" s="1">
        <f t="shared" si="353"/>
        <v>1</v>
      </c>
      <c r="M2513" s="1">
        <f t="shared" si="354"/>
        <v>85.65</v>
      </c>
      <c r="N2513" s="1">
        <f t="shared" si="355"/>
        <v>82.21</v>
      </c>
      <c r="O2513" s="1">
        <f t="shared" si="356"/>
        <v>83.63000000000001</v>
      </c>
      <c r="P2513" s="1">
        <f t="shared" si="357"/>
        <v>42.66836734693878</v>
      </c>
    </row>
    <row r="2514" spans="1:16">
      <c r="A2514" s="2">
        <v>39412</v>
      </c>
      <c r="B2514" s="1">
        <v>82.3</v>
      </c>
      <c r="C2514" s="1">
        <v>84.49</v>
      </c>
      <c r="D2514" s="1">
        <v>81.14</v>
      </c>
      <c r="E2514" s="1">
        <v>81.3</v>
      </c>
      <c r="F2514" s="1">
        <v>8610500</v>
      </c>
      <c r="G2514" s="1">
        <v>81.3</v>
      </c>
      <c r="H2514" s="1">
        <f t="shared" si="351"/>
        <v>3.3499999999999943</v>
      </c>
      <c r="I2514" s="9">
        <f t="shared" si="358"/>
        <v>4.1286665023416248E-2</v>
      </c>
      <c r="J2514" s="1">
        <f t="shared" si="359"/>
        <v>-0.13000000000000966</v>
      </c>
      <c r="K2514" s="9">
        <f t="shared" si="352"/>
        <v>-1.5964632199436282E-3</v>
      </c>
      <c r="L2514" s="1">
        <f t="shared" si="353"/>
        <v>1</v>
      </c>
      <c r="M2514" s="1">
        <f t="shared" si="354"/>
        <v>84.49</v>
      </c>
      <c r="N2514" s="1">
        <f t="shared" si="355"/>
        <v>81.14</v>
      </c>
      <c r="O2514" s="1">
        <f t="shared" si="356"/>
        <v>79.34</v>
      </c>
      <c r="P2514" s="1">
        <f t="shared" si="357"/>
        <v>40.479591836734699</v>
      </c>
    </row>
    <row r="2515" spans="1:16">
      <c r="A2515" s="2">
        <v>39409</v>
      </c>
      <c r="B2515" s="1">
        <v>80.11</v>
      </c>
      <c r="C2515" s="1">
        <v>81.45</v>
      </c>
      <c r="D2515" s="1">
        <v>78.98</v>
      </c>
      <c r="E2515" s="1">
        <v>81.430000000000007</v>
      </c>
      <c r="F2515" s="1">
        <v>2780900</v>
      </c>
      <c r="G2515" s="1">
        <v>81.430000000000007</v>
      </c>
      <c r="H2515" s="1">
        <f t="shared" si="351"/>
        <v>2.4699999999999989</v>
      </c>
      <c r="I2515" s="9">
        <f t="shared" si="358"/>
        <v>3.1273740187389196E-2</v>
      </c>
      <c r="J2515" s="1">
        <f t="shared" si="359"/>
        <v>1.6700000000000017</v>
      </c>
      <c r="K2515" s="9">
        <f t="shared" si="352"/>
        <v>2.0937813440320984E-2</v>
      </c>
      <c r="L2515" s="1">
        <f t="shared" si="353"/>
        <v>1</v>
      </c>
      <c r="M2515" s="1">
        <f t="shared" si="354"/>
        <v>81.45</v>
      </c>
      <c r="N2515" s="1">
        <f t="shared" si="355"/>
        <v>78.98</v>
      </c>
      <c r="O2515" s="1">
        <f t="shared" si="356"/>
        <v>79.470000000000013</v>
      </c>
      <c r="P2515" s="1">
        <f t="shared" si="357"/>
        <v>40.54591836734695</v>
      </c>
    </row>
    <row r="2516" spans="1:16">
      <c r="A2516" s="2">
        <v>39407</v>
      </c>
      <c r="B2516" s="1">
        <v>79.239999999999995</v>
      </c>
      <c r="C2516" s="1">
        <v>80.86</v>
      </c>
      <c r="D2516" s="1">
        <v>78.650000000000006</v>
      </c>
      <c r="E2516" s="1">
        <v>79.760000000000005</v>
      </c>
      <c r="F2516" s="1">
        <v>6678300</v>
      </c>
      <c r="G2516" s="1">
        <v>79.760000000000005</v>
      </c>
      <c r="H2516" s="1">
        <f t="shared" si="351"/>
        <v>2.2099999999999937</v>
      </c>
      <c r="I2516" s="9">
        <f t="shared" si="358"/>
        <v>2.8099173553718926E-2</v>
      </c>
      <c r="J2516" s="1">
        <f t="shared" si="359"/>
        <v>-0.62999999999999545</v>
      </c>
      <c r="K2516" s="9">
        <f t="shared" si="352"/>
        <v>-7.8367956213458816E-3</v>
      </c>
      <c r="L2516" s="1">
        <f t="shared" si="353"/>
        <v>1</v>
      </c>
      <c r="M2516" s="1">
        <f t="shared" si="354"/>
        <v>80.86</v>
      </c>
      <c r="N2516" s="1">
        <f t="shared" si="355"/>
        <v>78.650000000000006</v>
      </c>
      <c r="O2516" s="1">
        <f t="shared" si="356"/>
        <v>77.800000000000011</v>
      </c>
      <c r="P2516" s="1">
        <f t="shared" si="357"/>
        <v>39.693877551020414</v>
      </c>
    </row>
    <row r="2517" spans="1:16">
      <c r="A2517" s="2">
        <v>39406</v>
      </c>
      <c r="B2517" s="1">
        <v>79.86</v>
      </c>
      <c r="C2517" s="1">
        <v>82</v>
      </c>
      <c r="D2517" s="1">
        <v>78.31</v>
      </c>
      <c r="E2517" s="1">
        <v>80.39</v>
      </c>
      <c r="F2517" s="1">
        <v>11610000</v>
      </c>
      <c r="G2517" s="1">
        <v>80.39</v>
      </c>
      <c r="H2517" s="1">
        <f t="shared" si="351"/>
        <v>3.6899999999999977</v>
      </c>
      <c r="I2517" s="9">
        <f t="shared" si="358"/>
        <v>4.7120418848167506E-2</v>
      </c>
      <c r="J2517" s="1">
        <f t="shared" si="359"/>
        <v>1.2099999999999937</v>
      </c>
      <c r="K2517" s="9">
        <f t="shared" si="352"/>
        <v>1.52816367769638E-2</v>
      </c>
      <c r="L2517" s="1">
        <f t="shared" si="353"/>
        <v>1</v>
      </c>
      <c r="M2517" s="1">
        <f t="shared" si="354"/>
        <v>82</v>
      </c>
      <c r="N2517" s="1">
        <f t="shared" si="355"/>
        <v>78.31</v>
      </c>
      <c r="O2517" s="1">
        <f t="shared" si="356"/>
        <v>78.430000000000007</v>
      </c>
      <c r="P2517" s="1">
        <f t="shared" si="357"/>
        <v>40.015306122448983</v>
      </c>
    </row>
    <row r="2518" spans="1:16">
      <c r="A2518" s="2">
        <v>39405</v>
      </c>
      <c r="B2518" s="1">
        <v>78.83</v>
      </c>
      <c r="C2518" s="1">
        <v>79.75</v>
      </c>
      <c r="D2518" s="1">
        <v>77.94</v>
      </c>
      <c r="E2518" s="1">
        <v>79.180000000000007</v>
      </c>
      <c r="F2518" s="1">
        <v>8649800</v>
      </c>
      <c r="G2518" s="1">
        <v>79.180000000000007</v>
      </c>
      <c r="H2518" s="1">
        <f t="shared" si="351"/>
        <v>1.8100000000000023</v>
      </c>
      <c r="I2518" s="9">
        <f t="shared" si="358"/>
        <v>2.3222992045162975E-2</v>
      </c>
      <c r="J2518" s="1">
        <f t="shared" si="359"/>
        <v>0.58000000000001251</v>
      </c>
      <c r="K2518" s="9">
        <f t="shared" si="352"/>
        <v>7.3791348600510502E-3</v>
      </c>
      <c r="L2518" s="1">
        <f t="shared" si="353"/>
        <v>1</v>
      </c>
      <c r="M2518" s="1">
        <f t="shared" si="354"/>
        <v>79.75</v>
      </c>
      <c r="N2518" s="1">
        <f t="shared" si="355"/>
        <v>77.94</v>
      </c>
      <c r="O2518" s="1">
        <f t="shared" si="356"/>
        <v>77.220000000000013</v>
      </c>
      <c r="P2518" s="1">
        <f t="shared" si="357"/>
        <v>39.397959183673478</v>
      </c>
    </row>
    <row r="2519" spans="1:16">
      <c r="A2519" s="2">
        <v>39402</v>
      </c>
      <c r="B2519" s="1">
        <v>77.010000000000005</v>
      </c>
      <c r="C2519" s="1">
        <v>78.989999999999995</v>
      </c>
      <c r="D2519" s="1">
        <v>76.63</v>
      </c>
      <c r="E2519" s="1">
        <v>78.599999999999994</v>
      </c>
      <c r="F2519" s="1">
        <v>7114100</v>
      </c>
      <c r="G2519" s="1">
        <v>78.599999999999994</v>
      </c>
      <c r="H2519" s="1">
        <f t="shared" si="351"/>
        <v>2.3599999999999994</v>
      </c>
      <c r="I2519" s="9">
        <f t="shared" si="358"/>
        <v>3.0797337857236064E-2</v>
      </c>
      <c r="J2519" s="1">
        <f t="shared" si="359"/>
        <v>0.75</v>
      </c>
      <c r="K2519" s="9">
        <f t="shared" si="352"/>
        <v>9.6339113680154152E-3</v>
      </c>
      <c r="L2519" s="1">
        <f t="shared" si="353"/>
        <v>1</v>
      </c>
      <c r="M2519" s="1">
        <f t="shared" si="354"/>
        <v>78.989999999999995</v>
      </c>
      <c r="N2519" s="1">
        <f t="shared" si="355"/>
        <v>76.63</v>
      </c>
      <c r="O2519" s="1">
        <f t="shared" si="356"/>
        <v>76.64</v>
      </c>
      <c r="P2519" s="1">
        <f t="shared" si="357"/>
        <v>39.102040816326529</v>
      </c>
    </row>
    <row r="2520" spans="1:16">
      <c r="A2520" s="2">
        <v>39401</v>
      </c>
      <c r="B2520" s="1">
        <v>79.430000000000007</v>
      </c>
      <c r="C2520" s="1">
        <v>79.73</v>
      </c>
      <c r="D2520" s="1">
        <v>76.7</v>
      </c>
      <c r="E2520" s="1">
        <v>77.849999999999994</v>
      </c>
      <c r="F2520" s="1">
        <v>7831500</v>
      </c>
      <c r="G2520" s="1">
        <v>77.849999999999994</v>
      </c>
      <c r="H2520" s="1">
        <f t="shared" si="351"/>
        <v>3.0300000000000011</v>
      </c>
      <c r="I2520" s="9">
        <f t="shared" si="358"/>
        <v>3.9504563233376803E-2</v>
      </c>
      <c r="J2520" s="1">
        <f t="shared" si="359"/>
        <v>-0.6600000000000108</v>
      </c>
      <c r="K2520" s="9">
        <f t="shared" si="352"/>
        <v>-8.4065724111579507E-3</v>
      </c>
      <c r="L2520" s="1">
        <f t="shared" si="353"/>
        <v>1</v>
      </c>
      <c r="M2520" s="1">
        <f t="shared" si="354"/>
        <v>79.73</v>
      </c>
      <c r="N2520" s="1">
        <f t="shared" si="355"/>
        <v>76.7</v>
      </c>
      <c r="O2520" s="1">
        <f t="shared" si="356"/>
        <v>75.89</v>
      </c>
      <c r="P2520" s="1">
        <f t="shared" si="357"/>
        <v>38.719387755102041</v>
      </c>
    </row>
    <row r="2521" spans="1:16">
      <c r="A2521" s="2">
        <v>39400</v>
      </c>
      <c r="B2521" s="1">
        <v>80.400000000000006</v>
      </c>
      <c r="C2521" s="1">
        <v>81.150000000000006</v>
      </c>
      <c r="D2521" s="1">
        <v>78.150000000000006</v>
      </c>
      <c r="E2521" s="1">
        <v>78.510000000000005</v>
      </c>
      <c r="F2521" s="1">
        <v>8427400</v>
      </c>
      <c r="G2521" s="1">
        <v>78.510000000000005</v>
      </c>
      <c r="H2521" s="1">
        <f t="shared" si="351"/>
        <v>3</v>
      </c>
      <c r="I2521" s="9">
        <f t="shared" si="358"/>
        <v>3.8387715930902108E-2</v>
      </c>
      <c r="J2521" s="1">
        <f t="shared" si="359"/>
        <v>-1.3499999999999943</v>
      </c>
      <c r="K2521" s="9">
        <f t="shared" si="352"/>
        <v>-1.6904583020285427E-2</v>
      </c>
      <c r="L2521" s="1">
        <f t="shared" si="353"/>
        <v>1</v>
      </c>
      <c r="M2521" s="1">
        <f t="shared" si="354"/>
        <v>81.150000000000006</v>
      </c>
      <c r="N2521" s="1">
        <f t="shared" si="355"/>
        <v>78.150000000000006</v>
      </c>
      <c r="O2521" s="1">
        <f t="shared" si="356"/>
        <v>76.550000000000011</v>
      </c>
      <c r="P2521" s="1">
        <f t="shared" si="357"/>
        <v>39.0561224489796</v>
      </c>
    </row>
    <row r="2522" spans="1:16">
      <c r="A2522" s="2">
        <v>39399</v>
      </c>
      <c r="B2522" s="1">
        <v>77.91</v>
      </c>
      <c r="C2522" s="1">
        <v>80.05</v>
      </c>
      <c r="D2522" s="1">
        <v>77.8</v>
      </c>
      <c r="E2522" s="1">
        <v>79.86</v>
      </c>
      <c r="F2522" s="1">
        <v>9496300</v>
      </c>
      <c r="G2522" s="1">
        <v>79.86</v>
      </c>
      <c r="H2522" s="1">
        <f t="shared" si="351"/>
        <v>2.25</v>
      </c>
      <c r="I2522" s="9">
        <f t="shared" si="358"/>
        <v>2.892030848329049E-2</v>
      </c>
      <c r="J2522" s="1">
        <f t="shared" si="359"/>
        <v>2.8599999999999994</v>
      </c>
      <c r="K2522" s="9">
        <f t="shared" si="352"/>
        <v>3.7142857142857137E-2</v>
      </c>
      <c r="L2522" s="1">
        <f t="shared" si="353"/>
        <v>1</v>
      </c>
      <c r="M2522" s="1">
        <f t="shared" si="354"/>
        <v>80.05</v>
      </c>
      <c r="N2522" s="1">
        <f t="shared" si="355"/>
        <v>77.8</v>
      </c>
      <c r="O2522" s="1">
        <f t="shared" si="356"/>
        <v>77.900000000000006</v>
      </c>
      <c r="P2522" s="1">
        <f t="shared" si="357"/>
        <v>39.744897959183675</v>
      </c>
    </row>
    <row r="2523" spans="1:16">
      <c r="A2523" s="2">
        <v>39398</v>
      </c>
      <c r="B2523" s="1">
        <v>78.260000000000005</v>
      </c>
      <c r="C2523" s="1">
        <v>80.09</v>
      </c>
      <c r="D2523" s="1">
        <v>76.5</v>
      </c>
      <c r="E2523" s="1">
        <v>77</v>
      </c>
      <c r="F2523" s="1">
        <v>9396900</v>
      </c>
      <c r="G2523" s="1">
        <v>77</v>
      </c>
      <c r="H2523" s="1">
        <f t="shared" si="351"/>
        <v>3.5900000000000034</v>
      </c>
      <c r="I2523" s="9">
        <f t="shared" si="358"/>
        <v>4.6928104575163443E-2</v>
      </c>
      <c r="J2523" s="1">
        <f t="shared" si="359"/>
        <v>-1.8900000000000006</v>
      </c>
      <c r="K2523" s="9">
        <f t="shared" si="352"/>
        <v>-2.395740905057676E-2</v>
      </c>
      <c r="L2523" s="1">
        <f t="shared" si="353"/>
        <v>1</v>
      </c>
      <c r="M2523" s="1">
        <f t="shared" si="354"/>
        <v>80.09</v>
      </c>
      <c r="N2523" s="1">
        <f t="shared" si="355"/>
        <v>76.5</v>
      </c>
      <c r="O2523" s="1">
        <f t="shared" si="356"/>
        <v>75.040000000000006</v>
      </c>
      <c r="P2523" s="1">
        <f t="shared" si="357"/>
        <v>38.285714285714292</v>
      </c>
    </row>
    <row r="2524" spans="1:16">
      <c r="A2524" s="2">
        <v>39395</v>
      </c>
      <c r="B2524" s="1">
        <v>82.42</v>
      </c>
      <c r="C2524" s="1">
        <v>82.42</v>
      </c>
      <c r="D2524" s="1">
        <v>78.84</v>
      </c>
      <c r="E2524" s="1">
        <v>78.89</v>
      </c>
      <c r="F2524" s="1">
        <v>11620200</v>
      </c>
      <c r="G2524" s="1">
        <v>78.89</v>
      </c>
      <c r="H2524" s="1">
        <f t="shared" si="351"/>
        <v>3.5799999999999983</v>
      </c>
      <c r="I2524" s="9">
        <f t="shared" si="358"/>
        <v>4.5408422120750865E-2</v>
      </c>
      <c r="J2524" s="1">
        <f t="shared" si="359"/>
        <v>-4.6899999999999977</v>
      </c>
      <c r="K2524" s="9">
        <f t="shared" si="352"/>
        <v>-5.6113902847571166E-2</v>
      </c>
      <c r="L2524" s="1">
        <f t="shared" si="353"/>
        <v>1</v>
      </c>
      <c r="M2524" s="1">
        <f t="shared" si="354"/>
        <v>82.42</v>
      </c>
      <c r="N2524" s="1">
        <f t="shared" si="355"/>
        <v>78.84</v>
      </c>
      <c r="O2524" s="1">
        <f t="shared" si="356"/>
        <v>76.930000000000007</v>
      </c>
      <c r="P2524" s="1">
        <f t="shared" si="357"/>
        <v>39.250000000000007</v>
      </c>
    </row>
    <row r="2525" spans="1:16">
      <c r="A2525" s="2">
        <v>39394</v>
      </c>
      <c r="B2525" s="1">
        <v>86.8</v>
      </c>
      <c r="C2525" s="1">
        <v>86.96</v>
      </c>
      <c r="D2525" s="1">
        <v>81.400000000000006</v>
      </c>
      <c r="E2525" s="1">
        <v>83.58</v>
      </c>
      <c r="F2525" s="1">
        <v>11803200</v>
      </c>
      <c r="G2525" s="1">
        <v>83.58</v>
      </c>
      <c r="H2525" s="1">
        <f t="shared" si="351"/>
        <v>5.5599999999999881</v>
      </c>
      <c r="I2525" s="9">
        <f t="shared" si="358"/>
        <v>6.8304668304668151E-2</v>
      </c>
      <c r="J2525" s="1">
        <f t="shared" si="359"/>
        <v>-3.460000000000008</v>
      </c>
      <c r="K2525" s="9">
        <f t="shared" si="352"/>
        <v>-3.9751838235294205E-2</v>
      </c>
      <c r="L2525" s="1">
        <f t="shared" si="353"/>
        <v>1</v>
      </c>
      <c r="M2525" s="1">
        <f t="shared" si="354"/>
        <v>86.96</v>
      </c>
      <c r="N2525" s="1">
        <f t="shared" si="355"/>
        <v>81.400000000000006</v>
      </c>
      <c r="O2525" s="1">
        <f t="shared" si="356"/>
        <v>81.62</v>
      </c>
      <c r="P2525" s="1">
        <f t="shared" si="357"/>
        <v>41.642857142857146</v>
      </c>
    </row>
    <row r="2526" spans="1:16">
      <c r="A2526" s="2">
        <v>39393</v>
      </c>
      <c r="B2526" s="1">
        <v>86.41</v>
      </c>
      <c r="C2526" s="1">
        <v>89.16</v>
      </c>
      <c r="D2526" s="1">
        <v>86.16</v>
      </c>
      <c r="E2526" s="1">
        <v>87.04</v>
      </c>
      <c r="F2526" s="1">
        <v>8397800</v>
      </c>
      <c r="G2526" s="1">
        <v>87.04</v>
      </c>
      <c r="H2526" s="1">
        <f t="shared" si="351"/>
        <v>3</v>
      </c>
      <c r="I2526" s="9">
        <f t="shared" si="358"/>
        <v>3.4818941504178275E-2</v>
      </c>
      <c r="J2526" s="1">
        <f t="shared" si="359"/>
        <v>-0.22999999999998977</v>
      </c>
      <c r="K2526" s="9">
        <f t="shared" si="352"/>
        <v>-2.6354990260111124E-3</v>
      </c>
      <c r="L2526" s="1">
        <f t="shared" si="353"/>
        <v>1</v>
      </c>
      <c r="M2526" s="1">
        <f t="shared" si="354"/>
        <v>89.16</v>
      </c>
      <c r="N2526" s="1">
        <f t="shared" si="355"/>
        <v>86.16</v>
      </c>
      <c r="O2526" s="1">
        <f t="shared" si="356"/>
        <v>85.080000000000013</v>
      </c>
      <c r="P2526" s="1">
        <f t="shared" si="357"/>
        <v>43.408163265306129</v>
      </c>
    </row>
    <row r="2527" spans="1:16">
      <c r="A2527" s="2">
        <v>39392</v>
      </c>
      <c r="B2527" s="1">
        <v>84.61</v>
      </c>
      <c r="C2527" s="1">
        <v>87.5</v>
      </c>
      <c r="D2527" s="1">
        <v>84.37</v>
      </c>
      <c r="E2527" s="1">
        <v>87.27</v>
      </c>
      <c r="F2527" s="1">
        <v>7934000</v>
      </c>
      <c r="G2527" s="1">
        <v>87.27</v>
      </c>
      <c r="H2527" s="1">
        <f t="shared" si="351"/>
        <v>3.1299999999999955</v>
      </c>
      <c r="I2527" s="9">
        <f t="shared" si="358"/>
        <v>3.7098494725613315E-2</v>
      </c>
      <c r="J2527" s="1">
        <f t="shared" si="359"/>
        <v>2.8999999999999915</v>
      </c>
      <c r="K2527" s="9">
        <f t="shared" si="352"/>
        <v>3.4372407253763081E-2</v>
      </c>
      <c r="L2527" s="1">
        <f t="shared" si="353"/>
        <v>1</v>
      </c>
      <c r="M2527" s="1">
        <f t="shared" si="354"/>
        <v>87.5</v>
      </c>
      <c r="N2527" s="1">
        <f t="shared" si="355"/>
        <v>84.37</v>
      </c>
      <c r="O2527" s="1">
        <f t="shared" si="356"/>
        <v>85.31</v>
      </c>
      <c r="P2527" s="1">
        <f t="shared" si="357"/>
        <v>43.525510204081634</v>
      </c>
    </row>
    <row r="2528" spans="1:16">
      <c r="A2528" s="2">
        <v>39391</v>
      </c>
      <c r="B2528" s="1">
        <v>84.35</v>
      </c>
      <c r="C2528" s="1">
        <v>86.02</v>
      </c>
      <c r="D2528" s="1">
        <v>82.76</v>
      </c>
      <c r="E2528" s="1">
        <v>84.37</v>
      </c>
      <c r="F2528" s="1">
        <v>7453100</v>
      </c>
      <c r="G2528" s="1">
        <v>84.37</v>
      </c>
      <c r="H2528" s="1">
        <f t="shared" si="351"/>
        <v>3.2599999999999909</v>
      </c>
      <c r="I2528" s="9">
        <f t="shared" si="358"/>
        <v>3.9391010149830721E-2</v>
      </c>
      <c r="J2528" s="1">
        <f t="shared" si="359"/>
        <v>-1.6099999999999994</v>
      </c>
      <c r="K2528" s="9">
        <f t="shared" si="352"/>
        <v>-1.8725284949988361E-2</v>
      </c>
      <c r="L2528" s="1">
        <f t="shared" si="353"/>
        <v>1</v>
      </c>
      <c r="M2528" s="1">
        <f t="shared" si="354"/>
        <v>86.02</v>
      </c>
      <c r="N2528" s="1">
        <f t="shared" si="355"/>
        <v>82.76</v>
      </c>
      <c r="O2528" s="1">
        <f t="shared" si="356"/>
        <v>82.410000000000011</v>
      </c>
      <c r="P2528" s="1">
        <f t="shared" si="357"/>
        <v>42.045918367346943</v>
      </c>
    </row>
    <row r="2529" spans="1:16">
      <c r="A2529" s="2">
        <v>39388</v>
      </c>
      <c r="B2529" s="1">
        <v>87.97</v>
      </c>
      <c r="C2529" s="1">
        <v>88.12</v>
      </c>
      <c r="D2529" s="1">
        <v>83.5</v>
      </c>
      <c r="E2529" s="1">
        <v>85.98</v>
      </c>
      <c r="F2529" s="1">
        <v>10230500</v>
      </c>
      <c r="G2529" s="1">
        <v>85.98</v>
      </c>
      <c r="H2529" s="1">
        <f t="shared" si="351"/>
        <v>4.6200000000000045</v>
      </c>
      <c r="I2529" s="9">
        <f t="shared" si="358"/>
        <v>5.5329341317365326E-2</v>
      </c>
      <c r="J2529" s="1">
        <f t="shared" si="359"/>
        <v>-1.6700000000000017</v>
      </c>
      <c r="K2529" s="9">
        <f t="shared" si="352"/>
        <v>-1.9053051911009717E-2</v>
      </c>
      <c r="L2529" s="1">
        <f t="shared" si="353"/>
        <v>1</v>
      </c>
      <c r="M2529" s="1">
        <f t="shared" si="354"/>
        <v>88.12</v>
      </c>
      <c r="N2529" s="1">
        <f t="shared" si="355"/>
        <v>83.5</v>
      </c>
      <c r="O2529" s="1">
        <f t="shared" si="356"/>
        <v>84.02000000000001</v>
      </c>
      <c r="P2529" s="1">
        <f t="shared" si="357"/>
        <v>42.867346938775519</v>
      </c>
    </row>
    <row r="2530" spans="1:16">
      <c r="A2530" s="2">
        <v>39387</v>
      </c>
      <c r="B2530" s="1">
        <v>87.75</v>
      </c>
      <c r="C2530" s="1">
        <v>89.58</v>
      </c>
      <c r="D2530" s="1">
        <v>86.5</v>
      </c>
      <c r="E2530" s="1">
        <v>87.65</v>
      </c>
      <c r="F2530" s="1">
        <v>8265700</v>
      </c>
      <c r="G2530" s="1">
        <v>87.65</v>
      </c>
      <c r="H2530" s="1">
        <f t="shared" si="351"/>
        <v>3.0799999999999983</v>
      </c>
      <c r="I2530" s="9">
        <f t="shared" si="358"/>
        <v>3.5606936416184953E-2</v>
      </c>
      <c r="J2530" s="1">
        <f t="shared" si="359"/>
        <v>-1.5</v>
      </c>
      <c r="K2530" s="9">
        <f t="shared" si="352"/>
        <v>-1.6825574873808188E-2</v>
      </c>
      <c r="L2530" s="1">
        <f t="shared" si="353"/>
        <v>1</v>
      </c>
      <c r="M2530" s="1">
        <f t="shared" si="354"/>
        <v>89.58</v>
      </c>
      <c r="N2530" s="1">
        <f t="shared" si="355"/>
        <v>86.5</v>
      </c>
      <c r="O2530" s="1">
        <f t="shared" si="356"/>
        <v>85.690000000000012</v>
      </c>
      <c r="P2530" s="1">
        <f t="shared" si="357"/>
        <v>43.719387755102048</v>
      </c>
    </row>
    <row r="2531" spans="1:16">
      <c r="A2531" s="2">
        <v>39386</v>
      </c>
      <c r="B2531" s="1">
        <v>88.05</v>
      </c>
      <c r="C2531" s="1">
        <v>89.6</v>
      </c>
      <c r="D2531" s="1">
        <v>87</v>
      </c>
      <c r="E2531" s="1">
        <v>89.15</v>
      </c>
      <c r="F2531" s="1">
        <v>7044800</v>
      </c>
      <c r="G2531" s="1">
        <v>89.15</v>
      </c>
      <c r="H2531" s="1">
        <f t="shared" si="351"/>
        <v>2.5999999999999943</v>
      </c>
      <c r="I2531" s="9">
        <f t="shared" si="358"/>
        <v>2.9885057471264301E-2</v>
      </c>
      <c r="J2531" s="1">
        <f t="shared" si="359"/>
        <v>0.9100000000000108</v>
      </c>
      <c r="K2531" s="9">
        <f t="shared" si="352"/>
        <v>1.0312783318223152E-2</v>
      </c>
      <c r="L2531" s="1">
        <f t="shared" si="353"/>
        <v>1</v>
      </c>
      <c r="M2531" s="1">
        <f t="shared" si="354"/>
        <v>89.6</v>
      </c>
      <c r="N2531" s="1">
        <f t="shared" si="355"/>
        <v>87</v>
      </c>
      <c r="O2531" s="1">
        <f t="shared" si="356"/>
        <v>87.190000000000012</v>
      </c>
      <c r="P2531" s="1">
        <f t="shared" si="357"/>
        <v>44.484693877551024</v>
      </c>
    </row>
    <row r="2532" spans="1:16">
      <c r="A2532" s="2">
        <v>39385</v>
      </c>
      <c r="B2532" s="1">
        <v>89.67</v>
      </c>
      <c r="C2532" s="1">
        <v>90.65</v>
      </c>
      <c r="D2532" s="1">
        <v>88.05</v>
      </c>
      <c r="E2532" s="1">
        <v>88.24</v>
      </c>
      <c r="F2532" s="1">
        <v>5405400</v>
      </c>
      <c r="G2532" s="1">
        <v>88.24</v>
      </c>
      <c r="H2532" s="1">
        <f t="shared" si="351"/>
        <v>2.6000000000000085</v>
      </c>
      <c r="I2532" s="9">
        <f t="shared" si="358"/>
        <v>2.9528676888131843E-2</v>
      </c>
      <c r="J2532" s="1">
        <f t="shared" si="359"/>
        <v>-1.8599999999999994</v>
      </c>
      <c r="K2532" s="9">
        <f t="shared" si="352"/>
        <v>-2.0643729189789118E-2</v>
      </c>
      <c r="L2532" s="1">
        <f t="shared" si="353"/>
        <v>1</v>
      </c>
      <c r="M2532" s="1">
        <f t="shared" si="354"/>
        <v>90.65</v>
      </c>
      <c r="N2532" s="1">
        <f t="shared" si="355"/>
        <v>88.05</v>
      </c>
      <c r="O2532" s="1">
        <f t="shared" si="356"/>
        <v>86.28</v>
      </c>
      <c r="P2532" s="1">
        <f t="shared" si="357"/>
        <v>44.020408163265309</v>
      </c>
    </row>
    <row r="2533" spans="1:16">
      <c r="A2533" s="2">
        <v>39384</v>
      </c>
      <c r="B2533" s="1">
        <v>90.41</v>
      </c>
      <c r="C2533" s="1">
        <v>91.47</v>
      </c>
      <c r="D2533" s="1">
        <v>89.48</v>
      </c>
      <c r="E2533" s="1">
        <v>90.1</v>
      </c>
      <c r="F2533" s="1">
        <v>7097200</v>
      </c>
      <c r="G2533" s="1">
        <v>90.1</v>
      </c>
      <c r="H2533" s="1">
        <f t="shared" si="351"/>
        <v>1.9899999999999949</v>
      </c>
      <c r="I2533" s="9">
        <f t="shared" si="358"/>
        <v>2.2239606616003518E-2</v>
      </c>
      <c r="J2533" s="1">
        <f t="shared" si="359"/>
        <v>9.9999999999994316E-2</v>
      </c>
      <c r="K2533" s="9">
        <f t="shared" si="352"/>
        <v>1.111111111111048E-3</v>
      </c>
      <c r="L2533" s="1">
        <f t="shared" si="353"/>
        <v>1</v>
      </c>
      <c r="M2533" s="1">
        <f t="shared" si="354"/>
        <v>91.47</v>
      </c>
      <c r="N2533" s="1">
        <f t="shared" si="355"/>
        <v>89.48</v>
      </c>
      <c r="O2533" s="1">
        <f t="shared" si="356"/>
        <v>88.14</v>
      </c>
      <c r="P2533" s="1">
        <f t="shared" si="357"/>
        <v>44.969387755102041</v>
      </c>
    </row>
    <row r="2534" spans="1:16">
      <c r="A2534" s="2">
        <v>39381</v>
      </c>
      <c r="B2534" s="1">
        <v>89</v>
      </c>
      <c r="C2534" s="1">
        <v>90.88</v>
      </c>
      <c r="D2534" s="1">
        <v>87.7</v>
      </c>
      <c r="E2534" s="1">
        <v>90</v>
      </c>
      <c r="F2534" s="1">
        <v>8826200</v>
      </c>
      <c r="G2534" s="1">
        <v>90</v>
      </c>
      <c r="H2534" s="1">
        <f t="shared" si="351"/>
        <v>3.1799999999999926</v>
      </c>
      <c r="I2534" s="9">
        <f t="shared" si="358"/>
        <v>3.6259977194982813E-2</v>
      </c>
      <c r="J2534" s="1">
        <f t="shared" si="359"/>
        <v>1.7900000000000063</v>
      </c>
      <c r="K2534" s="9">
        <f t="shared" si="352"/>
        <v>2.0292483845369077E-2</v>
      </c>
      <c r="L2534" s="1">
        <f t="shared" si="353"/>
        <v>1</v>
      </c>
      <c r="M2534" s="1">
        <f t="shared" si="354"/>
        <v>90.88</v>
      </c>
      <c r="N2534" s="1">
        <f t="shared" si="355"/>
        <v>87.7</v>
      </c>
      <c r="O2534" s="1">
        <f t="shared" si="356"/>
        <v>88.04</v>
      </c>
      <c r="P2534" s="1">
        <f t="shared" si="357"/>
        <v>44.91836734693878</v>
      </c>
    </row>
    <row r="2535" spans="1:16">
      <c r="A2535" s="2">
        <v>39380</v>
      </c>
      <c r="B2535" s="1">
        <v>88.23</v>
      </c>
      <c r="C2535" s="1">
        <v>89.5</v>
      </c>
      <c r="D2535" s="1">
        <v>86.32</v>
      </c>
      <c r="E2535" s="1">
        <v>88.21</v>
      </c>
      <c r="F2535" s="1">
        <v>11630900</v>
      </c>
      <c r="G2535" s="1">
        <v>88.21</v>
      </c>
      <c r="H2535" s="1">
        <f t="shared" si="351"/>
        <v>3.1800000000000068</v>
      </c>
      <c r="I2535" s="9">
        <f t="shared" si="358"/>
        <v>3.6839666357738728E-2</v>
      </c>
      <c r="J2535" s="1">
        <f t="shared" si="359"/>
        <v>-0.52000000000001023</v>
      </c>
      <c r="K2535" s="9">
        <f t="shared" si="352"/>
        <v>-5.8604756001353567E-3</v>
      </c>
      <c r="L2535" s="1">
        <f t="shared" si="353"/>
        <v>1</v>
      </c>
      <c r="M2535" s="1">
        <f t="shared" si="354"/>
        <v>89.5</v>
      </c>
      <c r="N2535" s="1">
        <f t="shared" si="355"/>
        <v>86.32</v>
      </c>
      <c r="O2535" s="1">
        <f t="shared" si="356"/>
        <v>86.25</v>
      </c>
      <c r="P2535" s="1">
        <f t="shared" si="357"/>
        <v>44.005102040816325</v>
      </c>
    </row>
    <row r="2536" spans="1:16">
      <c r="A2536" s="2">
        <v>39379</v>
      </c>
      <c r="B2536" s="1">
        <v>90.87</v>
      </c>
      <c r="C2536" s="1">
        <v>90.88</v>
      </c>
      <c r="D2536" s="1">
        <v>83.27</v>
      </c>
      <c r="E2536" s="1">
        <v>88.73</v>
      </c>
      <c r="F2536" s="1">
        <v>41617400</v>
      </c>
      <c r="G2536" s="1">
        <v>88.73</v>
      </c>
      <c r="H2536" s="1">
        <f t="shared" si="351"/>
        <v>7.6099999999999994</v>
      </c>
      <c r="I2536" s="9">
        <f t="shared" si="358"/>
        <v>9.1389455986549781E-2</v>
      </c>
      <c r="J2536" s="1">
        <f t="shared" si="359"/>
        <v>-12.089999999999989</v>
      </c>
      <c r="K2536" s="9">
        <f t="shared" si="352"/>
        <v>-0.11991668319777812</v>
      </c>
      <c r="L2536" s="1">
        <f t="shared" si="353"/>
        <v>1</v>
      </c>
      <c r="M2536" s="1">
        <f t="shared" si="354"/>
        <v>90.88</v>
      </c>
      <c r="N2536" s="1">
        <f t="shared" si="355"/>
        <v>83.27</v>
      </c>
      <c r="O2536" s="1">
        <f t="shared" si="356"/>
        <v>86.77000000000001</v>
      </c>
      <c r="P2536" s="1">
        <f t="shared" si="357"/>
        <v>44.270408163265316</v>
      </c>
    </row>
    <row r="2537" spans="1:16">
      <c r="A2537" s="2">
        <v>39378</v>
      </c>
      <c r="B2537" s="1">
        <v>95.28</v>
      </c>
      <c r="C2537" s="1">
        <v>101.09</v>
      </c>
      <c r="D2537" s="1">
        <v>94.21</v>
      </c>
      <c r="E2537" s="1">
        <v>100.82</v>
      </c>
      <c r="F2537" s="1">
        <v>41761800</v>
      </c>
      <c r="G2537" s="1">
        <v>100.82</v>
      </c>
      <c r="H2537" s="1">
        <f t="shared" si="351"/>
        <v>6.8800000000000097</v>
      </c>
      <c r="I2537" s="9">
        <f t="shared" si="358"/>
        <v>7.3028340940452283E-2</v>
      </c>
      <c r="J2537" s="1">
        <f t="shared" si="359"/>
        <v>9.5299999999999869</v>
      </c>
      <c r="K2537" s="9">
        <f t="shared" si="352"/>
        <v>0.1043925950268374</v>
      </c>
      <c r="L2537" s="1">
        <f t="shared" si="353"/>
        <v>1</v>
      </c>
      <c r="M2537" s="1">
        <f t="shared" si="354"/>
        <v>101.09</v>
      </c>
      <c r="N2537" s="1">
        <f t="shared" si="355"/>
        <v>94.21</v>
      </c>
      <c r="O2537" s="1">
        <f t="shared" si="356"/>
        <v>98.86</v>
      </c>
      <c r="P2537" s="1">
        <f t="shared" si="357"/>
        <v>50.438775510204081</v>
      </c>
    </row>
    <row r="2538" spans="1:16">
      <c r="A2538" s="2">
        <v>39377</v>
      </c>
      <c r="B2538" s="1">
        <v>89.25</v>
      </c>
      <c r="C2538" s="1">
        <v>91.69</v>
      </c>
      <c r="D2538" s="1">
        <v>89.02</v>
      </c>
      <c r="E2538" s="1">
        <v>91.29</v>
      </c>
      <c r="F2538" s="1">
        <v>9868400</v>
      </c>
      <c r="G2538" s="1">
        <v>91.29</v>
      </c>
      <c r="H2538" s="1">
        <f t="shared" si="351"/>
        <v>2.6700000000000017</v>
      </c>
      <c r="I2538" s="9">
        <f t="shared" si="358"/>
        <v>2.9993259941586182E-2</v>
      </c>
      <c r="J2538" s="1">
        <f t="shared" si="359"/>
        <v>1.5300000000000011</v>
      </c>
      <c r="K2538" s="9">
        <f t="shared" si="352"/>
        <v>1.7045454545454558E-2</v>
      </c>
      <c r="L2538" s="1">
        <f t="shared" si="353"/>
        <v>1</v>
      </c>
      <c r="M2538" s="1">
        <f t="shared" si="354"/>
        <v>91.69</v>
      </c>
      <c r="N2538" s="1">
        <f t="shared" si="355"/>
        <v>89.02</v>
      </c>
      <c r="O2538" s="1">
        <f t="shared" si="356"/>
        <v>89.330000000000013</v>
      </c>
      <c r="P2538" s="1">
        <f t="shared" si="357"/>
        <v>45.576530612244902</v>
      </c>
    </row>
    <row r="2539" spans="1:16">
      <c r="A2539" s="2">
        <v>39374</v>
      </c>
      <c r="B2539" s="1">
        <v>89.93</v>
      </c>
      <c r="C2539" s="1">
        <v>90.65</v>
      </c>
      <c r="D2539" s="1">
        <v>89.32</v>
      </c>
      <c r="E2539" s="1">
        <v>89.76</v>
      </c>
      <c r="F2539" s="1">
        <v>9126200</v>
      </c>
      <c r="G2539" s="1">
        <v>89.76</v>
      </c>
      <c r="H2539" s="1">
        <f t="shared" si="351"/>
        <v>1.3300000000000125</v>
      </c>
      <c r="I2539" s="9">
        <f t="shared" si="358"/>
        <v>1.4890282131661584E-2</v>
      </c>
      <c r="J2539" s="1">
        <f t="shared" si="359"/>
        <v>-8.99999999999892E-2</v>
      </c>
      <c r="K2539" s="9">
        <f t="shared" si="352"/>
        <v>-1.0016694490816828E-3</v>
      </c>
      <c r="L2539" s="1">
        <f t="shared" si="353"/>
        <v>1</v>
      </c>
      <c r="M2539" s="1">
        <f t="shared" si="354"/>
        <v>90.65</v>
      </c>
      <c r="N2539" s="1">
        <f t="shared" si="355"/>
        <v>89.32</v>
      </c>
      <c r="O2539" s="1">
        <f t="shared" si="356"/>
        <v>87.800000000000011</v>
      </c>
      <c r="P2539" s="1">
        <f t="shared" si="357"/>
        <v>44.795918367346943</v>
      </c>
    </row>
    <row r="2540" spans="1:16">
      <c r="A2540" s="2">
        <v>39373</v>
      </c>
      <c r="B2540" s="1">
        <v>89.37</v>
      </c>
      <c r="C2540" s="1">
        <v>90.43</v>
      </c>
      <c r="D2540" s="1">
        <v>89.15</v>
      </c>
      <c r="E2540" s="1">
        <v>89.85</v>
      </c>
      <c r="F2540" s="1">
        <v>5329500</v>
      </c>
      <c r="G2540" s="1">
        <v>89.85</v>
      </c>
      <c r="H2540" s="1">
        <f t="shared" si="351"/>
        <v>1.2800000000000011</v>
      </c>
      <c r="I2540" s="9">
        <f t="shared" si="358"/>
        <v>1.4357823892316332E-2</v>
      </c>
      <c r="J2540" s="1">
        <f t="shared" si="359"/>
        <v>-0.70000000000000284</v>
      </c>
      <c r="K2540" s="9">
        <f t="shared" si="352"/>
        <v>-7.7305356156819752E-3</v>
      </c>
      <c r="L2540" s="1">
        <f t="shared" si="353"/>
        <v>1</v>
      </c>
      <c r="M2540" s="1">
        <f t="shared" si="354"/>
        <v>90.43</v>
      </c>
      <c r="N2540" s="1">
        <f t="shared" si="355"/>
        <v>89.15</v>
      </c>
      <c r="O2540" s="1">
        <f t="shared" si="356"/>
        <v>87.89</v>
      </c>
      <c r="P2540" s="1">
        <f t="shared" si="357"/>
        <v>44.841836734693878</v>
      </c>
    </row>
    <row r="2541" spans="1:16">
      <c r="A2541" s="2">
        <v>39372</v>
      </c>
      <c r="B2541" s="1">
        <v>91.9</v>
      </c>
      <c r="C2541" s="1">
        <v>91.9</v>
      </c>
      <c r="D2541" s="1">
        <v>89.06</v>
      </c>
      <c r="E2541" s="1">
        <v>90.55</v>
      </c>
      <c r="F2541" s="1">
        <v>7678700</v>
      </c>
      <c r="G2541" s="1">
        <v>90.55</v>
      </c>
      <c r="H2541" s="1">
        <f t="shared" si="351"/>
        <v>2.8400000000000034</v>
      </c>
      <c r="I2541" s="9">
        <f t="shared" si="358"/>
        <v>3.1888614417246837E-2</v>
      </c>
      <c r="J2541" s="1">
        <f t="shared" si="359"/>
        <v>1.019999999999996</v>
      </c>
      <c r="K2541" s="9">
        <f t="shared" si="352"/>
        <v>1.139282921925607E-2</v>
      </c>
      <c r="L2541" s="1">
        <f t="shared" si="353"/>
        <v>1</v>
      </c>
      <c r="M2541" s="1">
        <f t="shared" si="354"/>
        <v>91.9</v>
      </c>
      <c r="N2541" s="1">
        <f t="shared" si="355"/>
        <v>89.06</v>
      </c>
      <c r="O2541" s="1">
        <f t="shared" si="356"/>
        <v>88.59</v>
      </c>
      <c r="P2541" s="1">
        <f t="shared" si="357"/>
        <v>45.198979591836739</v>
      </c>
    </row>
    <row r="2542" spans="1:16">
      <c r="A2542" s="2">
        <v>39371</v>
      </c>
      <c r="B2542" s="1">
        <v>88.69</v>
      </c>
      <c r="C2542" s="1">
        <v>90.05</v>
      </c>
      <c r="D2542" s="1">
        <v>88.5</v>
      </c>
      <c r="E2542" s="1">
        <v>89.53</v>
      </c>
      <c r="F2542" s="1">
        <v>8511500</v>
      </c>
      <c r="G2542" s="1">
        <v>89.53</v>
      </c>
      <c r="H2542" s="1">
        <f t="shared" si="351"/>
        <v>1.5499999999999972</v>
      </c>
      <c r="I2542" s="9">
        <f t="shared" si="358"/>
        <v>1.751412429378528E-2</v>
      </c>
      <c r="J2542" s="1">
        <f t="shared" si="359"/>
        <v>-1</v>
      </c>
      <c r="K2542" s="9">
        <f t="shared" si="352"/>
        <v>-1.1046062078868883E-2</v>
      </c>
      <c r="L2542" s="1">
        <f t="shared" si="353"/>
        <v>1</v>
      </c>
      <c r="M2542" s="1">
        <f t="shared" si="354"/>
        <v>90.05</v>
      </c>
      <c r="N2542" s="1">
        <f t="shared" si="355"/>
        <v>88.5</v>
      </c>
      <c r="O2542" s="1">
        <f t="shared" si="356"/>
        <v>87.570000000000007</v>
      </c>
      <c r="P2542" s="1">
        <f t="shared" si="357"/>
        <v>44.678571428571431</v>
      </c>
    </row>
    <row r="2543" spans="1:16">
      <c r="A2543" s="2">
        <v>39370</v>
      </c>
      <c r="B2543" s="1">
        <v>91.8</v>
      </c>
      <c r="C2543" s="1">
        <v>92.12</v>
      </c>
      <c r="D2543" s="1">
        <v>90.1</v>
      </c>
      <c r="E2543" s="1">
        <v>90.53</v>
      </c>
      <c r="F2543" s="1">
        <v>5608800</v>
      </c>
      <c r="G2543" s="1">
        <v>90.53</v>
      </c>
      <c r="H2543" s="1">
        <f t="shared" si="351"/>
        <v>2.0200000000000102</v>
      </c>
      <c r="I2543" s="9">
        <f t="shared" si="358"/>
        <v>2.2419533851276475E-2</v>
      </c>
      <c r="J2543" s="1">
        <f t="shared" si="359"/>
        <v>-1.8400000000000034</v>
      </c>
      <c r="K2543" s="9">
        <f t="shared" si="352"/>
        <v>-1.9919887409332069E-2</v>
      </c>
      <c r="L2543" s="1">
        <f t="shared" si="353"/>
        <v>1</v>
      </c>
      <c r="M2543" s="1">
        <f t="shared" si="354"/>
        <v>92.12</v>
      </c>
      <c r="N2543" s="1">
        <f t="shared" si="355"/>
        <v>90.1</v>
      </c>
      <c r="O2543" s="1">
        <f t="shared" si="356"/>
        <v>88.570000000000007</v>
      </c>
      <c r="P2543" s="1">
        <f t="shared" si="357"/>
        <v>45.188775510204088</v>
      </c>
    </row>
    <row r="2544" spans="1:16">
      <c r="A2544" s="2">
        <v>39367</v>
      </c>
      <c r="B2544" s="1">
        <v>89.42</v>
      </c>
      <c r="C2544" s="1">
        <v>92.39</v>
      </c>
      <c r="D2544" s="1">
        <v>88.92</v>
      </c>
      <c r="E2544" s="1">
        <v>92.37</v>
      </c>
      <c r="F2544" s="1">
        <v>8359900</v>
      </c>
      <c r="G2544" s="1">
        <v>92.37</v>
      </c>
      <c r="H2544" s="1">
        <f t="shared" si="351"/>
        <v>3.4699999999999989</v>
      </c>
      <c r="I2544" s="9">
        <f t="shared" si="358"/>
        <v>3.9023841655420589E-2</v>
      </c>
      <c r="J2544" s="1">
        <f t="shared" si="359"/>
        <v>3.0300000000000011</v>
      </c>
      <c r="K2544" s="9">
        <f t="shared" si="352"/>
        <v>3.391537944929484E-2</v>
      </c>
      <c r="L2544" s="1">
        <f t="shared" si="353"/>
        <v>1</v>
      </c>
      <c r="M2544" s="1">
        <f t="shared" si="354"/>
        <v>92.39</v>
      </c>
      <c r="N2544" s="1">
        <f t="shared" si="355"/>
        <v>88.92</v>
      </c>
      <c r="O2544" s="1">
        <f t="shared" si="356"/>
        <v>90.410000000000011</v>
      </c>
      <c r="P2544" s="1">
        <f t="shared" si="357"/>
        <v>46.12755102040817</v>
      </c>
    </row>
    <row r="2545" spans="1:16">
      <c r="A2545" s="2">
        <v>39366</v>
      </c>
      <c r="B2545" s="1">
        <v>95.33</v>
      </c>
      <c r="C2545" s="1">
        <v>95.74</v>
      </c>
      <c r="D2545" s="1">
        <v>88.13</v>
      </c>
      <c r="E2545" s="1">
        <v>89.34</v>
      </c>
      <c r="F2545" s="1">
        <v>9822400</v>
      </c>
      <c r="G2545" s="1">
        <v>89.34</v>
      </c>
      <c r="H2545" s="1">
        <f t="shared" si="351"/>
        <v>7.6099999999999994</v>
      </c>
      <c r="I2545" s="9">
        <f t="shared" si="358"/>
        <v>8.6349710654714626E-2</v>
      </c>
      <c r="J2545" s="1">
        <f t="shared" si="359"/>
        <v>-5.3199999999999932</v>
      </c>
      <c r="K2545" s="9">
        <f t="shared" si="352"/>
        <v>-5.6201140925417212E-2</v>
      </c>
      <c r="L2545" s="1">
        <f t="shared" si="353"/>
        <v>1</v>
      </c>
      <c r="M2545" s="1">
        <f t="shared" si="354"/>
        <v>95.74</v>
      </c>
      <c r="N2545" s="1">
        <f t="shared" si="355"/>
        <v>88.13</v>
      </c>
      <c r="O2545" s="1">
        <f t="shared" si="356"/>
        <v>87.38000000000001</v>
      </c>
      <c r="P2545" s="1">
        <f t="shared" si="357"/>
        <v>44.581632653061227</v>
      </c>
    </row>
    <row r="2546" spans="1:16">
      <c r="A2546" s="2">
        <v>39365</v>
      </c>
      <c r="B2546" s="1">
        <v>95.5</v>
      </c>
      <c r="C2546" s="1">
        <v>95.75</v>
      </c>
      <c r="D2546" s="1">
        <v>94.37</v>
      </c>
      <c r="E2546" s="1">
        <v>94.66</v>
      </c>
      <c r="F2546" s="1">
        <v>5567800</v>
      </c>
      <c r="G2546" s="1">
        <v>94.66</v>
      </c>
      <c r="H2546" s="1">
        <f t="shared" si="351"/>
        <v>1.3799999999999955</v>
      </c>
      <c r="I2546" s="9">
        <f t="shared" si="358"/>
        <v>1.4623291300201286E-2</v>
      </c>
      <c r="J2546" s="1">
        <f t="shared" si="359"/>
        <v>-0.65999999999999659</v>
      </c>
      <c r="K2546" s="9">
        <f t="shared" si="352"/>
        <v>-6.9240453210238839E-3</v>
      </c>
      <c r="L2546" s="1">
        <f t="shared" si="353"/>
        <v>1</v>
      </c>
      <c r="M2546" s="1">
        <f t="shared" si="354"/>
        <v>95.75</v>
      </c>
      <c r="N2546" s="1">
        <f t="shared" si="355"/>
        <v>94.37</v>
      </c>
      <c r="O2546" s="1">
        <f t="shared" si="356"/>
        <v>92.7</v>
      </c>
      <c r="P2546" s="1">
        <f t="shared" si="357"/>
        <v>47.295918367346943</v>
      </c>
    </row>
    <row r="2547" spans="1:16">
      <c r="A2547" s="2">
        <v>39364</v>
      </c>
      <c r="B2547" s="1">
        <v>96.59</v>
      </c>
      <c r="C2547" s="1">
        <v>96.73</v>
      </c>
      <c r="D2547" s="1">
        <v>94.75</v>
      </c>
      <c r="E2547" s="1">
        <v>95.32</v>
      </c>
      <c r="F2547" s="1">
        <v>7144600</v>
      </c>
      <c r="G2547" s="1">
        <v>95.32</v>
      </c>
      <c r="H2547" s="1">
        <f t="shared" si="351"/>
        <v>1.980000000000004</v>
      </c>
      <c r="I2547" s="9">
        <f t="shared" si="358"/>
        <v>2.0897097625329857E-2</v>
      </c>
      <c r="J2547" s="1">
        <f t="shared" si="359"/>
        <v>-0.53000000000000114</v>
      </c>
      <c r="K2547" s="9">
        <f t="shared" si="352"/>
        <v>-5.52947313510695E-3</v>
      </c>
      <c r="L2547" s="1">
        <f t="shared" si="353"/>
        <v>1</v>
      </c>
      <c r="M2547" s="1">
        <f t="shared" si="354"/>
        <v>96.73</v>
      </c>
      <c r="N2547" s="1">
        <f t="shared" si="355"/>
        <v>94.75</v>
      </c>
      <c r="O2547" s="1">
        <f t="shared" si="356"/>
        <v>93.36</v>
      </c>
      <c r="P2547" s="1">
        <f t="shared" si="357"/>
        <v>47.632653061224488</v>
      </c>
    </row>
    <row r="2548" spans="1:16">
      <c r="A2548" s="2">
        <v>39363</v>
      </c>
      <c r="B2548" s="1">
        <v>94.22</v>
      </c>
      <c r="C2548" s="1">
        <v>95.85</v>
      </c>
      <c r="D2548" s="1">
        <v>94</v>
      </c>
      <c r="E2548" s="1">
        <v>95.85</v>
      </c>
      <c r="F2548" s="1">
        <v>7428400</v>
      </c>
      <c r="G2548" s="1">
        <v>95.85</v>
      </c>
      <c r="H2548" s="1">
        <f t="shared" si="351"/>
        <v>1.8499999999999943</v>
      </c>
      <c r="I2548" s="9">
        <f t="shared" si="358"/>
        <v>1.9680851063829725E-2</v>
      </c>
      <c r="J2548" s="1">
        <f t="shared" si="359"/>
        <v>2.4199999999999875</v>
      </c>
      <c r="K2548" s="9">
        <f t="shared" si="352"/>
        <v>2.5901744621641735E-2</v>
      </c>
      <c r="L2548" s="1">
        <f t="shared" si="353"/>
        <v>1</v>
      </c>
      <c r="M2548" s="1">
        <f t="shared" si="354"/>
        <v>95.85</v>
      </c>
      <c r="N2548" s="1">
        <f t="shared" si="355"/>
        <v>94</v>
      </c>
      <c r="O2548" s="1">
        <f t="shared" si="356"/>
        <v>93.89</v>
      </c>
      <c r="P2548" s="1">
        <f t="shared" si="357"/>
        <v>47.903061224489797</v>
      </c>
    </row>
    <row r="2549" spans="1:16">
      <c r="A2549" s="2">
        <v>39360</v>
      </c>
      <c r="B2549" s="1">
        <v>93.55</v>
      </c>
      <c r="C2549" s="1">
        <v>93.71</v>
      </c>
      <c r="D2549" s="1">
        <v>92.34</v>
      </c>
      <c r="E2549" s="1">
        <v>93.43</v>
      </c>
      <c r="F2549" s="1">
        <v>5523500</v>
      </c>
      <c r="G2549" s="1">
        <v>93.43</v>
      </c>
      <c r="H2549" s="1">
        <f t="shared" si="351"/>
        <v>1.3699999999999903</v>
      </c>
      <c r="I2549" s="9">
        <f t="shared" si="358"/>
        <v>1.483647390080128E-2</v>
      </c>
      <c r="J2549" s="1">
        <f t="shared" si="359"/>
        <v>1.1700000000000017</v>
      </c>
      <c r="K2549" s="9">
        <f t="shared" si="352"/>
        <v>1.2681552135269907E-2</v>
      </c>
      <c r="L2549" s="1">
        <f t="shared" si="353"/>
        <v>1</v>
      </c>
      <c r="M2549" s="1">
        <f t="shared" si="354"/>
        <v>93.71</v>
      </c>
      <c r="N2549" s="1">
        <f t="shared" si="355"/>
        <v>92.34</v>
      </c>
      <c r="O2549" s="1">
        <f t="shared" si="356"/>
        <v>91.470000000000013</v>
      </c>
      <c r="P2549" s="1">
        <f t="shared" si="357"/>
        <v>46.66836734693878</v>
      </c>
    </row>
    <row r="2550" spans="1:16">
      <c r="A2550" s="2">
        <v>39359</v>
      </c>
      <c r="B2550" s="1">
        <v>92.55</v>
      </c>
      <c r="C2550" s="1">
        <v>92.57</v>
      </c>
      <c r="D2550" s="1">
        <v>91.45</v>
      </c>
      <c r="E2550" s="1">
        <v>92.26</v>
      </c>
      <c r="F2550" s="1">
        <v>3318300</v>
      </c>
      <c r="G2550" s="1">
        <v>92.26</v>
      </c>
      <c r="H2550" s="1">
        <f t="shared" si="351"/>
        <v>1.1199999999999903</v>
      </c>
      <c r="I2550" s="9">
        <f t="shared" si="358"/>
        <v>1.2247129579004815E-2</v>
      </c>
      <c r="J2550" s="1">
        <f t="shared" si="359"/>
        <v>-0.19999999999998863</v>
      </c>
      <c r="K2550" s="9">
        <f t="shared" si="352"/>
        <v>-2.1630975556996392E-3</v>
      </c>
      <c r="L2550" s="1">
        <f t="shared" si="353"/>
        <v>1</v>
      </c>
      <c r="M2550" s="1">
        <f t="shared" si="354"/>
        <v>92.57</v>
      </c>
      <c r="N2550" s="1">
        <f t="shared" si="355"/>
        <v>91.45</v>
      </c>
      <c r="O2550" s="1">
        <f t="shared" si="356"/>
        <v>90.300000000000011</v>
      </c>
      <c r="P2550" s="1">
        <f t="shared" si="357"/>
        <v>46.071428571428577</v>
      </c>
    </row>
    <row r="2551" spans="1:16">
      <c r="A2551" s="2">
        <v>39358</v>
      </c>
      <c r="B2551" s="1">
        <v>92.19</v>
      </c>
      <c r="C2551" s="1">
        <v>92.8</v>
      </c>
      <c r="D2551" s="1">
        <v>91.78</v>
      </c>
      <c r="E2551" s="1">
        <v>92.46</v>
      </c>
      <c r="F2551" s="1">
        <v>5052200</v>
      </c>
      <c r="G2551" s="1">
        <v>92.46</v>
      </c>
      <c r="H2551" s="1">
        <f t="shared" si="351"/>
        <v>1.019999999999996</v>
      </c>
      <c r="I2551" s="9">
        <f t="shared" si="358"/>
        <v>1.1113532359991241E-2</v>
      </c>
      <c r="J2551" s="1">
        <f t="shared" si="359"/>
        <v>9.9999999999994316E-2</v>
      </c>
      <c r="K2551" s="9">
        <f t="shared" si="352"/>
        <v>1.0827197921177384E-3</v>
      </c>
      <c r="L2551" s="1">
        <f t="shared" si="353"/>
        <v>1</v>
      </c>
      <c r="M2551" s="1">
        <f t="shared" si="354"/>
        <v>92.8</v>
      </c>
      <c r="N2551" s="1">
        <f t="shared" si="355"/>
        <v>91.78</v>
      </c>
      <c r="O2551" s="1">
        <f t="shared" si="356"/>
        <v>90.5</v>
      </c>
      <c r="P2551" s="1">
        <f t="shared" si="357"/>
        <v>46.173469387755105</v>
      </c>
    </row>
    <row r="2552" spans="1:16">
      <c r="A2552" s="2">
        <v>39357</v>
      </c>
      <c r="B2552" s="1">
        <v>93.86</v>
      </c>
      <c r="C2552" s="1">
        <v>93.9</v>
      </c>
      <c r="D2552" s="1">
        <v>91.4</v>
      </c>
      <c r="E2552" s="1">
        <v>92.36</v>
      </c>
      <c r="F2552" s="1">
        <v>4867200</v>
      </c>
      <c r="G2552" s="1">
        <v>92.36</v>
      </c>
      <c r="H2552" s="1">
        <f t="shared" si="351"/>
        <v>2.5</v>
      </c>
      <c r="I2552" s="9">
        <f t="shared" si="358"/>
        <v>2.7352297592997812E-2</v>
      </c>
      <c r="J2552" s="1">
        <f t="shared" si="359"/>
        <v>-1.0499999999999972</v>
      </c>
      <c r="K2552" s="9">
        <f t="shared" si="352"/>
        <v>-1.1240766513221253E-2</v>
      </c>
      <c r="L2552" s="1">
        <f t="shared" si="353"/>
        <v>1</v>
      </c>
      <c r="M2552" s="1">
        <f t="shared" si="354"/>
        <v>93.9</v>
      </c>
      <c r="N2552" s="1">
        <f t="shared" si="355"/>
        <v>91.4</v>
      </c>
      <c r="O2552" s="1">
        <f t="shared" si="356"/>
        <v>90.4</v>
      </c>
      <c r="P2552" s="1">
        <f t="shared" si="357"/>
        <v>46.122448979591837</v>
      </c>
    </row>
    <row r="2553" spans="1:16">
      <c r="A2553" s="2">
        <v>39356</v>
      </c>
      <c r="B2553" s="1">
        <v>93.42</v>
      </c>
      <c r="C2553" s="1">
        <v>94.1</v>
      </c>
      <c r="D2553" s="1">
        <v>92.83</v>
      </c>
      <c r="E2553" s="1">
        <v>93.41</v>
      </c>
      <c r="F2553" s="1">
        <v>5397400</v>
      </c>
      <c r="G2553" s="1">
        <v>93.41</v>
      </c>
      <c r="H2553" s="1">
        <f t="shared" si="351"/>
        <v>1.269999999999996</v>
      </c>
      <c r="I2553" s="9">
        <f t="shared" si="358"/>
        <v>1.3680922115695314E-2</v>
      </c>
      <c r="J2553" s="1">
        <f t="shared" si="359"/>
        <v>0.25999999999999091</v>
      </c>
      <c r="K2553" s="9">
        <f t="shared" si="352"/>
        <v>2.7911969940954471E-3</v>
      </c>
      <c r="L2553" s="1">
        <f t="shared" si="353"/>
        <v>1</v>
      </c>
      <c r="M2553" s="1">
        <f t="shared" si="354"/>
        <v>94.1</v>
      </c>
      <c r="N2553" s="1">
        <f t="shared" si="355"/>
        <v>92.83</v>
      </c>
      <c r="O2553" s="1">
        <f t="shared" si="356"/>
        <v>91.45</v>
      </c>
      <c r="P2553" s="1">
        <f t="shared" si="357"/>
        <v>46.658163265306122</v>
      </c>
    </row>
    <row r="2554" spans="1:16">
      <c r="A2554" s="2">
        <v>39353</v>
      </c>
      <c r="B2554" s="1">
        <v>92.77</v>
      </c>
      <c r="C2554" s="1">
        <v>93.6</v>
      </c>
      <c r="D2554" s="1">
        <v>91.7</v>
      </c>
      <c r="E2554" s="1">
        <v>93.15</v>
      </c>
      <c r="F2554" s="1">
        <v>4813700</v>
      </c>
      <c r="G2554" s="1">
        <v>93.15</v>
      </c>
      <c r="H2554" s="1">
        <f t="shared" si="351"/>
        <v>1.8999999999999915</v>
      </c>
      <c r="I2554" s="9">
        <f t="shared" si="358"/>
        <v>2.0719738276990092E-2</v>
      </c>
      <c r="J2554" s="1">
        <f t="shared" si="359"/>
        <v>-0.22999999999998977</v>
      </c>
      <c r="K2554" s="9">
        <f t="shared" si="352"/>
        <v>-2.463054187192009E-3</v>
      </c>
      <c r="L2554" s="1">
        <f t="shared" si="353"/>
        <v>1</v>
      </c>
      <c r="M2554" s="1">
        <f t="shared" si="354"/>
        <v>93.6</v>
      </c>
      <c r="N2554" s="1">
        <f t="shared" si="355"/>
        <v>91.7</v>
      </c>
      <c r="O2554" s="1">
        <f t="shared" si="356"/>
        <v>91.190000000000012</v>
      </c>
      <c r="P2554" s="1">
        <f t="shared" si="357"/>
        <v>46.525510204081641</v>
      </c>
    </row>
    <row r="2555" spans="1:16">
      <c r="A2555" s="2">
        <v>39352</v>
      </c>
      <c r="B2555" s="1">
        <v>94.07</v>
      </c>
      <c r="C2555" s="1">
        <v>94.11</v>
      </c>
      <c r="D2555" s="1">
        <v>93.11</v>
      </c>
      <c r="E2555" s="1">
        <v>93.38</v>
      </c>
      <c r="F2555" s="1">
        <v>2812700</v>
      </c>
      <c r="G2555" s="1">
        <v>93.38</v>
      </c>
      <c r="H2555" s="1">
        <f t="shared" si="351"/>
        <v>1</v>
      </c>
      <c r="I2555" s="9">
        <f t="shared" si="358"/>
        <v>1.073998496402105E-2</v>
      </c>
      <c r="J2555" s="1">
        <f t="shared" si="359"/>
        <v>-5.0000000000011369E-2</v>
      </c>
      <c r="K2555" s="9">
        <f t="shared" si="352"/>
        <v>-5.3516001284396192E-4</v>
      </c>
      <c r="L2555" s="1">
        <f t="shared" si="353"/>
        <v>1</v>
      </c>
      <c r="M2555" s="1">
        <f t="shared" si="354"/>
        <v>94.11</v>
      </c>
      <c r="N2555" s="1">
        <f t="shared" si="355"/>
        <v>93.11</v>
      </c>
      <c r="O2555" s="1">
        <f t="shared" si="356"/>
        <v>91.42</v>
      </c>
      <c r="P2555" s="1">
        <f t="shared" si="357"/>
        <v>46.642857142857146</v>
      </c>
    </row>
    <row r="2556" spans="1:16">
      <c r="A2556" s="2">
        <v>39351</v>
      </c>
      <c r="B2556" s="1">
        <v>94.04</v>
      </c>
      <c r="C2556" s="1">
        <v>94.26</v>
      </c>
      <c r="D2556" s="1">
        <v>92.29</v>
      </c>
      <c r="E2556" s="1">
        <v>93.43</v>
      </c>
      <c r="F2556" s="1">
        <v>5770300</v>
      </c>
      <c r="G2556" s="1">
        <v>93.43</v>
      </c>
      <c r="H2556" s="1">
        <f t="shared" si="351"/>
        <v>1.9699999999999989</v>
      </c>
      <c r="I2556" s="9">
        <f t="shared" si="358"/>
        <v>2.1345757936937899E-2</v>
      </c>
      <c r="J2556" s="1">
        <f t="shared" si="359"/>
        <v>-4.9999999999997158E-2</v>
      </c>
      <c r="K2556" s="9">
        <f t="shared" si="352"/>
        <v>-5.3487376979029905E-4</v>
      </c>
      <c r="L2556" s="1">
        <f t="shared" si="353"/>
        <v>1</v>
      </c>
      <c r="M2556" s="1">
        <f t="shared" si="354"/>
        <v>94.26</v>
      </c>
      <c r="N2556" s="1">
        <f t="shared" si="355"/>
        <v>92.29</v>
      </c>
      <c r="O2556" s="1">
        <f t="shared" si="356"/>
        <v>91.470000000000013</v>
      </c>
      <c r="P2556" s="1">
        <f t="shared" si="357"/>
        <v>46.66836734693878</v>
      </c>
    </row>
    <row r="2557" spans="1:16">
      <c r="A2557" s="2">
        <v>39350</v>
      </c>
      <c r="B2557" s="1">
        <v>91.99</v>
      </c>
      <c r="C2557" s="1">
        <v>93.5</v>
      </c>
      <c r="D2557" s="1">
        <v>90.95</v>
      </c>
      <c r="E2557" s="1">
        <v>93.48</v>
      </c>
      <c r="F2557" s="1">
        <v>5800300</v>
      </c>
      <c r="G2557" s="1">
        <v>93.48</v>
      </c>
      <c r="H2557" s="1">
        <f t="shared" si="351"/>
        <v>2.5499999999999972</v>
      </c>
      <c r="I2557" s="9">
        <f t="shared" si="358"/>
        <v>2.8037383177570062E-2</v>
      </c>
      <c r="J2557" s="1">
        <f t="shared" si="359"/>
        <v>0.89000000000000057</v>
      </c>
      <c r="K2557" s="9">
        <f t="shared" si="352"/>
        <v>9.6122691435360248E-3</v>
      </c>
      <c r="L2557" s="1">
        <f t="shared" si="353"/>
        <v>1</v>
      </c>
      <c r="M2557" s="1">
        <f t="shared" si="354"/>
        <v>93.5</v>
      </c>
      <c r="N2557" s="1">
        <f t="shared" si="355"/>
        <v>90.95</v>
      </c>
      <c r="O2557" s="1">
        <f t="shared" si="356"/>
        <v>91.52000000000001</v>
      </c>
      <c r="P2557" s="1">
        <f t="shared" si="357"/>
        <v>46.693877551020414</v>
      </c>
    </row>
    <row r="2558" spans="1:16">
      <c r="A2558" s="2">
        <v>39349</v>
      </c>
      <c r="B2558" s="1">
        <v>91.3</v>
      </c>
      <c r="C2558" s="1">
        <v>93.75</v>
      </c>
      <c r="D2558" s="1">
        <v>90.81</v>
      </c>
      <c r="E2558" s="1">
        <v>92.59</v>
      </c>
      <c r="F2558" s="1">
        <v>5321800</v>
      </c>
      <c r="G2558" s="1">
        <v>92.59</v>
      </c>
      <c r="H2558" s="1">
        <f t="shared" si="351"/>
        <v>2.9399999999999977</v>
      </c>
      <c r="I2558" s="9">
        <f t="shared" si="358"/>
        <v>3.2375289065080914E-2</v>
      </c>
      <c r="J2558" s="1">
        <f t="shared" si="359"/>
        <v>1.2900000000000063</v>
      </c>
      <c r="K2558" s="9">
        <f t="shared" si="352"/>
        <v>1.4129244249726246E-2</v>
      </c>
      <c r="L2558" s="1">
        <f t="shared" si="353"/>
        <v>1</v>
      </c>
      <c r="M2558" s="1">
        <f t="shared" si="354"/>
        <v>93.75</v>
      </c>
      <c r="N2558" s="1">
        <f t="shared" si="355"/>
        <v>90.81</v>
      </c>
      <c r="O2558" s="1">
        <f t="shared" si="356"/>
        <v>90.63000000000001</v>
      </c>
      <c r="P2558" s="1">
        <f t="shared" si="357"/>
        <v>46.239795918367349</v>
      </c>
    </row>
    <row r="2559" spans="1:16">
      <c r="A2559" s="2">
        <v>39346</v>
      </c>
      <c r="B2559" s="1">
        <v>90.29</v>
      </c>
      <c r="C2559" s="1">
        <v>91.9</v>
      </c>
      <c r="D2559" s="1">
        <v>89.65</v>
      </c>
      <c r="E2559" s="1">
        <v>91.3</v>
      </c>
      <c r="F2559" s="1">
        <v>6524500</v>
      </c>
      <c r="G2559" s="1">
        <v>91.3</v>
      </c>
      <c r="H2559" s="1">
        <f t="shared" si="351"/>
        <v>2.25</v>
      </c>
      <c r="I2559" s="9">
        <f t="shared" si="358"/>
        <v>2.5097601784718346E-2</v>
      </c>
      <c r="J2559" s="1">
        <f t="shared" si="359"/>
        <v>1.6499999999999915</v>
      </c>
      <c r="K2559" s="9">
        <f t="shared" si="352"/>
        <v>1.8404907975460027E-2</v>
      </c>
      <c r="L2559" s="1">
        <f t="shared" si="353"/>
        <v>1</v>
      </c>
      <c r="M2559" s="1">
        <f t="shared" si="354"/>
        <v>91.9</v>
      </c>
      <c r="N2559" s="1">
        <f t="shared" si="355"/>
        <v>89.65</v>
      </c>
      <c r="O2559" s="1">
        <f t="shared" si="356"/>
        <v>89.34</v>
      </c>
      <c r="P2559" s="1">
        <f t="shared" si="357"/>
        <v>45.581632653061227</v>
      </c>
    </row>
    <row r="2560" spans="1:16">
      <c r="A2560" s="2">
        <v>39345</v>
      </c>
      <c r="B2560" s="1">
        <v>88.9</v>
      </c>
      <c r="C2560" s="1">
        <v>90.42</v>
      </c>
      <c r="D2560" s="1">
        <v>88.82</v>
      </c>
      <c r="E2560" s="1">
        <v>89.65</v>
      </c>
      <c r="F2560" s="1">
        <v>5780800</v>
      </c>
      <c r="G2560" s="1">
        <v>89.65</v>
      </c>
      <c r="H2560" s="1">
        <f t="shared" si="351"/>
        <v>1.6000000000000085</v>
      </c>
      <c r="I2560" s="9">
        <f t="shared" si="358"/>
        <v>1.8013960819635313E-2</v>
      </c>
      <c r="J2560" s="1">
        <f t="shared" si="359"/>
        <v>0.65000000000000568</v>
      </c>
      <c r="K2560" s="9">
        <f t="shared" si="352"/>
        <v>7.3033707865169176E-3</v>
      </c>
      <c r="L2560" s="1">
        <f t="shared" si="353"/>
        <v>1</v>
      </c>
      <c r="M2560" s="1">
        <f t="shared" si="354"/>
        <v>90.42</v>
      </c>
      <c r="N2560" s="1">
        <f t="shared" si="355"/>
        <v>88.82</v>
      </c>
      <c r="O2560" s="1">
        <f t="shared" si="356"/>
        <v>87.690000000000012</v>
      </c>
      <c r="P2560" s="1">
        <f t="shared" si="357"/>
        <v>44.739795918367356</v>
      </c>
    </row>
    <row r="2561" spans="1:16">
      <c r="A2561" s="2">
        <v>39344</v>
      </c>
      <c r="B2561" s="1">
        <v>89.52</v>
      </c>
      <c r="C2561" s="1">
        <v>89.82</v>
      </c>
      <c r="D2561" s="1">
        <v>88.26</v>
      </c>
      <c r="E2561" s="1">
        <v>89</v>
      </c>
      <c r="F2561" s="1">
        <v>6458700</v>
      </c>
      <c r="G2561" s="1">
        <v>89</v>
      </c>
      <c r="H2561" s="1">
        <f t="shared" si="351"/>
        <v>1.5599999999999881</v>
      </c>
      <c r="I2561" s="9">
        <f t="shared" si="358"/>
        <v>1.7675050985723861E-2</v>
      </c>
      <c r="J2561" s="1">
        <f t="shared" si="359"/>
        <v>0.25</v>
      </c>
      <c r="K2561" s="9">
        <f t="shared" si="352"/>
        <v>2.8169014084507044E-3</v>
      </c>
      <c r="L2561" s="1">
        <f t="shared" si="353"/>
        <v>1</v>
      </c>
      <c r="M2561" s="1">
        <f t="shared" si="354"/>
        <v>89.82</v>
      </c>
      <c r="N2561" s="1">
        <f t="shared" si="355"/>
        <v>88.26</v>
      </c>
      <c r="O2561" s="1">
        <f t="shared" si="356"/>
        <v>87.04</v>
      </c>
      <c r="P2561" s="1">
        <f t="shared" si="357"/>
        <v>44.408163265306129</v>
      </c>
    </row>
    <row r="2562" spans="1:16">
      <c r="A2562" s="2">
        <v>39343</v>
      </c>
      <c r="B2562" s="1">
        <v>87.38</v>
      </c>
      <c r="C2562" s="1">
        <v>91.6</v>
      </c>
      <c r="D2562" s="1">
        <v>86.71</v>
      </c>
      <c r="E2562" s="1">
        <v>88.75</v>
      </c>
      <c r="F2562" s="1">
        <v>8924400</v>
      </c>
      <c r="G2562" s="1">
        <v>88.75</v>
      </c>
      <c r="H2562" s="1">
        <f t="shared" si="351"/>
        <v>4.8900000000000006</v>
      </c>
      <c r="I2562" s="9">
        <f t="shared" si="358"/>
        <v>5.6394879483335263E-2</v>
      </c>
      <c r="J2562" s="1">
        <f t="shared" si="359"/>
        <v>1.8400000000000034</v>
      </c>
      <c r="K2562" s="9">
        <f t="shared" si="352"/>
        <v>2.1171326659763012E-2</v>
      </c>
      <c r="L2562" s="1">
        <f t="shared" si="353"/>
        <v>1</v>
      </c>
      <c r="M2562" s="1">
        <f t="shared" si="354"/>
        <v>91.6</v>
      </c>
      <c r="N2562" s="1">
        <f t="shared" si="355"/>
        <v>86.71</v>
      </c>
      <c r="O2562" s="1">
        <f t="shared" si="356"/>
        <v>86.79</v>
      </c>
      <c r="P2562" s="1">
        <f t="shared" si="357"/>
        <v>44.280612244897966</v>
      </c>
    </row>
    <row r="2563" spans="1:16">
      <c r="A2563" s="2">
        <v>39342</v>
      </c>
      <c r="B2563" s="1">
        <v>86.98</v>
      </c>
      <c r="C2563" s="1">
        <v>87.34</v>
      </c>
      <c r="D2563" s="1">
        <v>85.98</v>
      </c>
      <c r="E2563" s="1">
        <v>86.91</v>
      </c>
      <c r="F2563" s="1">
        <v>4484500</v>
      </c>
      <c r="G2563" s="1">
        <v>86.91</v>
      </c>
      <c r="H2563" s="1">
        <f t="shared" ref="H2563:H2626" si="360">C2563-D2563</f>
        <v>1.3599999999999994</v>
      </c>
      <c r="I2563" s="9">
        <f t="shared" si="358"/>
        <v>1.5817632007443586E-2</v>
      </c>
      <c r="J2563" s="1">
        <f t="shared" si="359"/>
        <v>-0.85999999999999943</v>
      </c>
      <c r="K2563" s="9">
        <f t="shared" ref="K2563:K2626" si="361">(G2563-G2564)/G2564</f>
        <v>-9.7983365614674658E-3</v>
      </c>
      <c r="L2563" s="1">
        <f t="shared" ref="L2563:L2626" si="362">G2563/E2563</f>
        <v>1</v>
      </c>
      <c r="M2563" s="1">
        <f t="shared" ref="M2563:M2626" si="363">L2563*C2563</f>
        <v>87.34</v>
      </c>
      <c r="N2563" s="1">
        <f t="shared" ref="N2563:N2626" si="364">L2563*D2563</f>
        <v>85.98</v>
      </c>
      <c r="O2563" s="1">
        <f t="shared" ref="O2563:O2626" si="365">G2563-$G$5163</f>
        <v>84.95</v>
      </c>
      <c r="P2563" s="1">
        <f t="shared" ref="P2563:P2626" si="366">(G2563-$G$5163)/$G$5163</f>
        <v>43.341836734693878</v>
      </c>
    </row>
    <row r="2564" spans="1:16">
      <c r="A2564" s="2">
        <v>39339</v>
      </c>
      <c r="B2564" s="1">
        <v>86.41</v>
      </c>
      <c r="C2564" s="1">
        <v>88.09</v>
      </c>
      <c r="D2564" s="1">
        <v>86.31</v>
      </c>
      <c r="E2564" s="1">
        <v>87.77</v>
      </c>
      <c r="F2564" s="1">
        <v>3954700</v>
      </c>
      <c r="G2564" s="1">
        <v>87.77</v>
      </c>
      <c r="H2564" s="1">
        <f t="shared" si="360"/>
        <v>1.7800000000000011</v>
      </c>
      <c r="I2564" s="9">
        <f t="shared" ref="I2564:I2627" si="367">(C2564-D2564)/D2564</f>
        <v>2.0623334491947642E-2</v>
      </c>
      <c r="J2564" s="1">
        <f t="shared" ref="J2564:J2627" si="368">G2564-G2565</f>
        <v>0.50999999999999091</v>
      </c>
      <c r="K2564" s="9">
        <f t="shared" si="361"/>
        <v>5.8446023378408308E-3</v>
      </c>
      <c r="L2564" s="1">
        <f t="shared" si="362"/>
        <v>1</v>
      </c>
      <c r="M2564" s="1">
        <f t="shared" si="363"/>
        <v>88.09</v>
      </c>
      <c r="N2564" s="1">
        <f t="shared" si="364"/>
        <v>86.31</v>
      </c>
      <c r="O2564" s="1">
        <f t="shared" si="365"/>
        <v>85.81</v>
      </c>
      <c r="P2564" s="1">
        <f t="shared" si="366"/>
        <v>43.780612244897959</v>
      </c>
    </row>
    <row r="2565" spans="1:16">
      <c r="A2565" s="2">
        <v>39338</v>
      </c>
      <c r="B2565" s="1">
        <v>87.95</v>
      </c>
      <c r="C2565" s="1">
        <v>88.07</v>
      </c>
      <c r="D2565" s="1">
        <v>86.5</v>
      </c>
      <c r="E2565" s="1">
        <v>87.26</v>
      </c>
      <c r="F2565" s="1">
        <v>5983500</v>
      </c>
      <c r="G2565" s="1">
        <v>87.26</v>
      </c>
      <c r="H2565" s="1">
        <f t="shared" si="360"/>
        <v>1.5699999999999932</v>
      </c>
      <c r="I2565" s="9">
        <f t="shared" si="367"/>
        <v>1.8150289017340962E-2</v>
      </c>
      <c r="J2565" s="1">
        <f t="shared" si="368"/>
        <v>-3.9999999999992042E-2</v>
      </c>
      <c r="K2565" s="9">
        <f t="shared" si="361"/>
        <v>-4.5819014891170727E-4</v>
      </c>
      <c r="L2565" s="1">
        <f t="shared" si="362"/>
        <v>1</v>
      </c>
      <c r="M2565" s="1">
        <f t="shared" si="363"/>
        <v>88.07</v>
      </c>
      <c r="N2565" s="1">
        <f t="shared" si="364"/>
        <v>86.5</v>
      </c>
      <c r="O2565" s="1">
        <f t="shared" si="365"/>
        <v>85.300000000000011</v>
      </c>
      <c r="P2565" s="1">
        <f t="shared" si="366"/>
        <v>43.520408163265316</v>
      </c>
    </row>
    <row r="2566" spans="1:16">
      <c r="A2566" s="2">
        <v>39337</v>
      </c>
      <c r="B2566" s="1">
        <v>86.07</v>
      </c>
      <c r="C2566" s="1">
        <v>88.89</v>
      </c>
      <c r="D2566" s="1">
        <v>85.97</v>
      </c>
      <c r="E2566" s="1">
        <v>87.3</v>
      </c>
      <c r="F2566" s="1">
        <v>9030300</v>
      </c>
      <c r="G2566" s="1">
        <v>87.3</v>
      </c>
      <c r="H2566" s="1">
        <f t="shared" si="360"/>
        <v>2.9200000000000017</v>
      </c>
      <c r="I2566" s="9">
        <f t="shared" si="367"/>
        <v>3.3965336745376315E-2</v>
      </c>
      <c r="J2566" s="1">
        <f t="shared" si="368"/>
        <v>1.019999999999996</v>
      </c>
      <c r="K2566" s="9">
        <f t="shared" si="361"/>
        <v>1.1821974965229439E-2</v>
      </c>
      <c r="L2566" s="1">
        <f t="shared" si="362"/>
        <v>1</v>
      </c>
      <c r="M2566" s="1">
        <f t="shared" si="363"/>
        <v>88.89</v>
      </c>
      <c r="N2566" s="1">
        <f t="shared" si="364"/>
        <v>85.97</v>
      </c>
      <c r="O2566" s="1">
        <f t="shared" si="365"/>
        <v>85.34</v>
      </c>
      <c r="P2566" s="1">
        <f t="shared" si="366"/>
        <v>43.540816326530617</v>
      </c>
    </row>
    <row r="2567" spans="1:16">
      <c r="A2567" s="2">
        <v>39336</v>
      </c>
      <c r="B2567" s="1">
        <v>84.17</v>
      </c>
      <c r="C2567" s="1">
        <v>86.61</v>
      </c>
      <c r="D2567" s="1">
        <v>83.53</v>
      </c>
      <c r="E2567" s="1">
        <v>86.28</v>
      </c>
      <c r="F2567" s="1">
        <v>6859800</v>
      </c>
      <c r="G2567" s="1">
        <v>86.28</v>
      </c>
      <c r="H2567" s="1">
        <f t="shared" si="360"/>
        <v>3.0799999999999983</v>
      </c>
      <c r="I2567" s="9">
        <f t="shared" si="367"/>
        <v>3.6872979767748094E-2</v>
      </c>
      <c r="J2567" s="1">
        <f t="shared" si="368"/>
        <v>2.9399999999999977</v>
      </c>
      <c r="K2567" s="9">
        <f t="shared" si="361"/>
        <v>3.5277177825773907E-2</v>
      </c>
      <c r="L2567" s="1">
        <f t="shared" si="362"/>
        <v>1</v>
      </c>
      <c r="M2567" s="1">
        <f t="shared" si="363"/>
        <v>86.61</v>
      </c>
      <c r="N2567" s="1">
        <f t="shared" si="364"/>
        <v>83.53</v>
      </c>
      <c r="O2567" s="1">
        <f t="shared" si="365"/>
        <v>84.320000000000007</v>
      </c>
      <c r="P2567" s="1">
        <f t="shared" si="366"/>
        <v>43.020408163265309</v>
      </c>
    </row>
    <row r="2568" spans="1:16">
      <c r="A2568" s="2">
        <v>39335</v>
      </c>
      <c r="B2568" s="1">
        <v>84.93</v>
      </c>
      <c r="C2568" s="1">
        <v>85.16</v>
      </c>
      <c r="D2568" s="1">
        <v>82.51</v>
      </c>
      <c r="E2568" s="1">
        <v>83.34</v>
      </c>
      <c r="F2568" s="1">
        <v>5366900</v>
      </c>
      <c r="G2568" s="1">
        <v>83.34</v>
      </c>
      <c r="H2568" s="1">
        <f t="shared" si="360"/>
        <v>2.6499999999999915</v>
      </c>
      <c r="I2568" s="9">
        <f t="shared" si="367"/>
        <v>3.2117319112834705E-2</v>
      </c>
      <c r="J2568" s="1">
        <f t="shared" si="368"/>
        <v>-1.1799999999999926</v>
      </c>
      <c r="K2568" s="9">
        <f t="shared" si="361"/>
        <v>-1.3961192617131952E-2</v>
      </c>
      <c r="L2568" s="1">
        <f t="shared" si="362"/>
        <v>1</v>
      </c>
      <c r="M2568" s="1">
        <f t="shared" si="363"/>
        <v>85.16</v>
      </c>
      <c r="N2568" s="1">
        <f t="shared" si="364"/>
        <v>82.51</v>
      </c>
      <c r="O2568" s="1">
        <f t="shared" si="365"/>
        <v>81.38000000000001</v>
      </c>
      <c r="P2568" s="1">
        <f t="shared" si="366"/>
        <v>41.520408163265309</v>
      </c>
    </row>
    <row r="2569" spans="1:16">
      <c r="A2569" s="2">
        <v>39332</v>
      </c>
      <c r="B2569" s="1">
        <v>84.7</v>
      </c>
      <c r="C2569" s="1">
        <v>84.97</v>
      </c>
      <c r="D2569" s="1">
        <v>83.21</v>
      </c>
      <c r="E2569" s="1">
        <v>84.52</v>
      </c>
      <c r="F2569" s="1">
        <v>8231200</v>
      </c>
      <c r="G2569" s="1">
        <v>84.52</v>
      </c>
      <c r="H2569" s="1">
        <f t="shared" si="360"/>
        <v>1.7600000000000051</v>
      </c>
      <c r="I2569" s="9">
        <f t="shared" si="367"/>
        <v>2.1151303929816193E-2</v>
      </c>
      <c r="J2569" s="1">
        <f t="shared" si="368"/>
        <v>-1.6899999999999977</v>
      </c>
      <c r="K2569" s="9">
        <f t="shared" si="361"/>
        <v>-1.9603294281405843E-2</v>
      </c>
      <c r="L2569" s="1">
        <f t="shared" si="362"/>
        <v>1</v>
      </c>
      <c r="M2569" s="1">
        <f t="shared" si="363"/>
        <v>84.97</v>
      </c>
      <c r="N2569" s="1">
        <f t="shared" si="364"/>
        <v>83.21</v>
      </c>
      <c r="O2569" s="1">
        <f t="shared" si="365"/>
        <v>82.56</v>
      </c>
      <c r="P2569" s="1">
        <f t="shared" si="366"/>
        <v>42.122448979591837</v>
      </c>
    </row>
    <row r="2570" spans="1:16">
      <c r="A2570" s="2">
        <v>39331</v>
      </c>
      <c r="B2570" s="1">
        <v>84.5</v>
      </c>
      <c r="C2570" s="1">
        <v>86.46</v>
      </c>
      <c r="D2570" s="1">
        <v>82.85</v>
      </c>
      <c r="E2570" s="1">
        <v>86.21</v>
      </c>
      <c r="F2570" s="1">
        <v>8826900</v>
      </c>
      <c r="G2570" s="1">
        <v>86.21</v>
      </c>
      <c r="H2570" s="1">
        <f t="shared" si="360"/>
        <v>3.6099999999999994</v>
      </c>
      <c r="I2570" s="9">
        <f t="shared" si="367"/>
        <v>4.3572721786360888E-2</v>
      </c>
      <c r="J2570" s="1">
        <f t="shared" si="368"/>
        <v>2.4599999999999937</v>
      </c>
      <c r="K2570" s="9">
        <f t="shared" si="361"/>
        <v>2.9373134328358134E-2</v>
      </c>
      <c r="L2570" s="1">
        <f t="shared" si="362"/>
        <v>1</v>
      </c>
      <c r="M2570" s="1">
        <f t="shared" si="363"/>
        <v>86.46</v>
      </c>
      <c r="N2570" s="1">
        <f t="shared" si="364"/>
        <v>82.85</v>
      </c>
      <c r="O2570" s="1">
        <f t="shared" si="365"/>
        <v>84.25</v>
      </c>
      <c r="P2570" s="1">
        <f t="shared" si="366"/>
        <v>42.984693877551024</v>
      </c>
    </row>
    <row r="2571" spans="1:16">
      <c r="A2571" s="2">
        <v>39330</v>
      </c>
      <c r="B2571" s="1">
        <v>82.24</v>
      </c>
      <c r="C2571" s="1">
        <v>84.89</v>
      </c>
      <c r="D2571" s="1">
        <v>82.22</v>
      </c>
      <c r="E2571" s="1">
        <v>83.75</v>
      </c>
      <c r="F2571" s="1">
        <v>9062200</v>
      </c>
      <c r="G2571" s="1">
        <v>83.75</v>
      </c>
      <c r="H2571" s="1">
        <f t="shared" si="360"/>
        <v>2.6700000000000017</v>
      </c>
      <c r="I2571" s="9">
        <f t="shared" si="367"/>
        <v>3.2473850644612036E-2</v>
      </c>
      <c r="J2571" s="1">
        <f t="shared" si="368"/>
        <v>1.0499999999999972</v>
      </c>
      <c r="K2571" s="9">
        <f t="shared" si="361"/>
        <v>1.269649334945583E-2</v>
      </c>
      <c r="L2571" s="1">
        <f t="shared" si="362"/>
        <v>1</v>
      </c>
      <c r="M2571" s="1">
        <f t="shared" si="363"/>
        <v>84.89</v>
      </c>
      <c r="N2571" s="1">
        <f t="shared" si="364"/>
        <v>82.22</v>
      </c>
      <c r="O2571" s="1">
        <f t="shared" si="365"/>
        <v>81.790000000000006</v>
      </c>
      <c r="P2571" s="1">
        <f t="shared" si="366"/>
        <v>41.729591836734699</v>
      </c>
    </row>
    <row r="2572" spans="1:16">
      <c r="A2572" s="2">
        <v>39329</v>
      </c>
      <c r="B2572" s="1">
        <v>79.900000000000006</v>
      </c>
      <c r="C2572" s="1">
        <v>83.53</v>
      </c>
      <c r="D2572" s="1">
        <v>79.73</v>
      </c>
      <c r="E2572" s="1">
        <v>82.7</v>
      </c>
      <c r="F2572" s="1">
        <v>8266000</v>
      </c>
      <c r="G2572" s="1">
        <v>82.7</v>
      </c>
      <c r="H2572" s="1">
        <f t="shared" si="360"/>
        <v>3.7999999999999972</v>
      </c>
      <c r="I2572" s="9">
        <f t="shared" si="367"/>
        <v>4.766085538693085E-2</v>
      </c>
      <c r="J2572" s="1">
        <f t="shared" si="368"/>
        <v>2.7900000000000063</v>
      </c>
      <c r="K2572" s="9">
        <f t="shared" si="361"/>
        <v>3.4914278563383888E-2</v>
      </c>
      <c r="L2572" s="1">
        <f t="shared" si="362"/>
        <v>1</v>
      </c>
      <c r="M2572" s="1">
        <f t="shared" si="363"/>
        <v>83.53</v>
      </c>
      <c r="N2572" s="1">
        <f t="shared" si="364"/>
        <v>79.73</v>
      </c>
      <c r="O2572" s="1">
        <f t="shared" si="365"/>
        <v>80.740000000000009</v>
      </c>
      <c r="P2572" s="1">
        <f t="shared" si="366"/>
        <v>41.193877551020414</v>
      </c>
    </row>
    <row r="2573" spans="1:16">
      <c r="A2573" s="2">
        <v>39325</v>
      </c>
      <c r="B2573" s="1">
        <v>80</v>
      </c>
      <c r="C2573" s="1">
        <v>80.53</v>
      </c>
      <c r="D2573" s="1">
        <v>79.7</v>
      </c>
      <c r="E2573" s="1">
        <v>79.91</v>
      </c>
      <c r="F2573" s="1">
        <v>6157400</v>
      </c>
      <c r="G2573" s="1">
        <v>79.91</v>
      </c>
      <c r="H2573" s="1">
        <f t="shared" si="360"/>
        <v>0.82999999999999829</v>
      </c>
      <c r="I2573" s="9">
        <f t="shared" si="367"/>
        <v>1.0414052697616038E-2</v>
      </c>
      <c r="J2573" s="1">
        <f t="shared" si="368"/>
        <v>1.2299999999999898</v>
      </c>
      <c r="K2573" s="9">
        <f t="shared" si="361"/>
        <v>1.5632943568886497E-2</v>
      </c>
      <c r="L2573" s="1">
        <f t="shared" si="362"/>
        <v>1</v>
      </c>
      <c r="M2573" s="1">
        <f t="shared" si="363"/>
        <v>80.53</v>
      </c>
      <c r="N2573" s="1">
        <f t="shared" si="364"/>
        <v>79.7</v>
      </c>
      <c r="O2573" s="1">
        <f t="shared" si="365"/>
        <v>77.95</v>
      </c>
      <c r="P2573" s="1">
        <f t="shared" si="366"/>
        <v>39.770408163265309</v>
      </c>
    </row>
    <row r="2574" spans="1:16">
      <c r="A2574" s="2">
        <v>39324</v>
      </c>
      <c r="B2574" s="1">
        <v>78.400000000000006</v>
      </c>
      <c r="C2574" s="1">
        <v>80.11</v>
      </c>
      <c r="D2574" s="1">
        <v>78.3</v>
      </c>
      <c r="E2574" s="1">
        <v>78.680000000000007</v>
      </c>
      <c r="F2574" s="1">
        <v>4628800</v>
      </c>
      <c r="G2574" s="1">
        <v>78.680000000000007</v>
      </c>
      <c r="H2574" s="1">
        <f t="shared" si="360"/>
        <v>1.8100000000000023</v>
      </c>
      <c r="I2574" s="9">
        <f t="shared" si="367"/>
        <v>2.3116219667943836E-2</v>
      </c>
      <c r="J2574" s="1">
        <f t="shared" si="368"/>
        <v>-0.36999999999999034</v>
      </c>
      <c r="K2574" s="9">
        <f t="shared" si="361"/>
        <v>-4.680581910183306E-3</v>
      </c>
      <c r="L2574" s="1">
        <f t="shared" si="362"/>
        <v>1</v>
      </c>
      <c r="M2574" s="1">
        <f t="shared" si="363"/>
        <v>80.11</v>
      </c>
      <c r="N2574" s="1">
        <f t="shared" si="364"/>
        <v>78.3</v>
      </c>
      <c r="O2574" s="1">
        <f t="shared" si="365"/>
        <v>76.720000000000013</v>
      </c>
      <c r="P2574" s="1">
        <f t="shared" si="366"/>
        <v>39.142857142857153</v>
      </c>
    </row>
    <row r="2575" spans="1:16">
      <c r="A2575" s="2">
        <v>39323</v>
      </c>
      <c r="B2575" s="1">
        <v>76.959999999999994</v>
      </c>
      <c r="C2575" s="1">
        <v>79.05</v>
      </c>
      <c r="D2575" s="1">
        <v>76.86</v>
      </c>
      <c r="E2575" s="1">
        <v>79.05</v>
      </c>
      <c r="F2575" s="1">
        <v>5076800</v>
      </c>
      <c r="G2575" s="1">
        <v>79.05</v>
      </c>
      <c r="H2575" s="1">
        <f t="shared" si="360"/>
        <v>2.1899999999999977</v>
      </c>
      <c r="I2575" s="9">
        <f t="shared" si="367"/>
        <v>2.8493364558938299E-2</v>
      </c>
      <c r="J2575" s="1">
        <f t="shared" si="368"/>
        <v>2.8299999999999983</v>
      </c>
      <c r="K2575" s="9">
        <f t="shared" si="361"/>
        <v>3.7129362372080796E-2</v>
      </c>
      <c r="L2575" s="1">
        <f t="shared" si="362"/>
        <v>1</v>
      </c>
      <c r="M2575" s="1">
        <f t="shared" si="363"/>
        <v>79.05</v>
      </c>
      <c r="N2575" s="1">
        <f t="shared" si="364"/>
        <v>76.86</v>
      </c>
      <c r="O2575" s="1">
        <f t="shared" si="365"/>
        <v>77.09</v>
      </c>
      <c r="P2575" s="1">
        <f t="shared" si="366"/>
        <v>39.331632653061227</v>
      </c>
    </row>
    <row r="2576" spans="1:16">
      <c r="A2576" s="2">
        <v>39322</v>
      </c>
      <c r="B2576" s="1">
        <v>77.86</v>
      </c>
      <c r="C2576" s="1">
        <v>78.650000000000006</v>
      </c>
      <c r="D2576" s="1">
        <v>76.08</v>
      </c>
      <c r="E2576" s="1">
        <v>76.22</v>
      </c>
      <c r="F2576" s="1">
        <v>5767000</v>
      </c>
      <c r="G2576" s="1">
        <v>76.22</v>
      </c>
      <c r="H2576" s="1">
        <f t="shared" si="360"/>
        <v>2.5700000000000074</v>
      </c>
      <c r="I2576" s="9">
        <f t="shared" si="367"/>
        <v>3.3780231335436478E-2</v>
      </c>
      <c r="J2576" s="1">
        <f t="shared" si="368"/>
        <v>-2.4300000000000068</v>
      </c>
      <c r="K2576" s="9">
        <f t="shared" si="361"/>
        <v>-3.0896376350921888E-2</v>
      </c>
      <c r="L2576" s="1">
        <f t="shared" si="362"/>
        <v>1</v>
      </c>
      <c r="M2576" s="1">
        <f t="shared" si="363"/>
        <v>78.650000000000006</v>
      </c>
      <c r="N2576" s="1">
        <f t="shared" si="364"/>
        <v>76.08</v>
      </c>
      <c r="O2576" s="1">
        <f t="shared" si="365"/>
        <v>74.260000000000005</v>
      </c>
      <c r="P2576" s="1">
        <f t="shared" si="366"/>
        <v>37.887755102040821</v>
      </c>
    </row>
    <row r="2577" spans="1:16">
      <c r="A2577" s="2">
        <v>39321</v>
      </c>
      <c r="B2577" s="1">
        <v>80.56</v>
      </c>
      <c r="C2577" s="1">
        <v>80.8</v>
      </c>
      <c r="D2577" s="1">
        <v>78.42</v>
      </c>
      <c r="E2577" s="1">
        <v>78.650000000000006</v>
      </c>
      <c r="F2577" s="1">
        <v>6951300</v>
      </c>
      <c r="G2577" s="1">
        <v>78.650000000000006</v>
      </c>
      <c r="H2577" s="1">
        <f t="shared" si="360"/>
        <v>2.3799999999999955</v>
      </c>
      <c r="I2577" s="9">
        <f t="shared" si="367"/>
        <v>3.0349400663096091E-2</v>
      </c>
      <c r="J2577" s="1">
        <f t="shared" si="368"/>
        <v>-0.59999999999999432</v>
      </c>
      <c r="K2577" s="9">
        <f t="shared" si="361"/>
        <v>-7.5709779179810007E-3</v>
      </c>
      <c r="L2577" s="1">
        <f t="shared" si="362"/>
        <v>1</v>
      </c>
      <c r="M2577" s="1">
        <f t="shared" si="363"/>
        <v>80.8</v>
      </c>
      <c r="N2577" s="1">
        <f t="shared" si="364"/>
        <v>78.42</v>
      </c>
      <c r="O2577" s="1">
        <f t="shared" si="365"/>
        <v>76.690000000000012</v>
      </c>
      <c r="P2577" s="1">
        <f t="shared" si="366"/>
        <v>39.12755102040817</v>
      </c>
    </row>
    <row r="2578" spans="1:16">
      <c r="A2578" s="2">
        <v>39318</v>
      </c>
      <c r="B2578" s="1">
        <v>76.8</v>
      </c>
      <c r="C2578" s="1">
        <v>79.400000000000006</v>
      </c>
      <c r="D2578" s="1">
        <v>76.69</v>
      </c>
      <c r="E2578" s="1">
        <v>79.25</v>
      </c>
      <c r="F2578" s="1">
        <v>5665700</v>
      </c>
      <c r="G2578" s="1">
        <v>79.25</v>
      </c>
      <c r="H2578" s="1">
        <f t="shared" si="360"/>
        <v>2.710000000000008</v>
      </c>
      <c r="I2578" s="9">
        <f t="shared" si="367"/>
        <v>3.5337071326118241E-2</v>
      </c>
      <c r="J2578" s="1">
        <f t="shared" si="368"/>
        <v>1.9500000000000028</v>
      </c>
      <c r="K2578" s="9">
        <f t="shared" si="361"/>
        <v>2.52263906856404E-2</v>
      </c>
      <c r="L2578" s="1">
        <f t="shared" si="362"/>
        <v>1</v>
      </c>
      <c r="M2578" s="1">
        <f t="shared" si="363"/>
        <v>79.400000000000006</v>
      </c>
      <c r="N2578" s="1">
        <f t="shared" si="364"/>
        <v>76.69</v>
      </c>
      <c r="O2578" s="1">
        <f t="shared" si="365"/>
        <v>77.290000000000006</v>
      </c>
      <c r="P2578" s="1">
        <f t="shared" si="366"/>
        <v>39.433673469387756</v>
      </c>
    </row>
    <row r="2579" spans="1:16">
      <c r="A2579" s="2">
        <v>39317</v>
      </c>
      <c r="B2579" s="1">
        <v>78.94</v>
      </c>
      <c r="C2579" s="1">
        <v>79</v>
      </c>
      <c r="D2579" s="1">
        <v>76.510000000000005</v>
      </c>
      <c r="E2579" s="1">
        <v>77.3</v>
      </c>
      <c r="F2579" s="1">
        <v>5665000</v>
      </c>
      <c r="G2579" s="1">
        <v>77.3</v>
      </c>
      <c r="H2579" s="1">
        <f t="shared" si="360"/>
        <v>2.4899999999999949</v>
      </c>
      <c r="I2579" s="9">
        <f t="shared" si="367"/>
        <v>3.254476539014501E-2</v>
      </c>
      <c r="J2579" s="1">
        <f t="shared" si="368"/>
        <v>-1.2000000000000028</v>
      </c>
      <c r="K2579" s="9">
        <f t="shared" si="361"/>
        <v>-1.5286624203821693E-2</v>
      </c>
      <c r="L2579" s="1">
        <f t="shared" si="362"/>
        <v>1</v>
      </c>
      <c r="M2579" s="1">
        <f t="shared" si="363"/>
        <v>79</v>
      </c>
      <c r="N2579" s="1">
        <f t="shared" si="364"/>
        <v>76.510000000000005</v>
      </c>
      <c r="O2579" s="1">
        <f t="shared" si="365"/>
        <v>75.34</v>
      </c>
      <c r="P2579" s="1">
        <f t="shared" si="366"/>
        <v>38.438775510204081</v>
      </c>
    </row>
    <row r="2580" spans="1:16">
      <c r="A2580" s="2">
        <v>39316</v>
      </c>
      <c r="B2580" s="1">
        <v>78.239999999999995</v>
      </c>
      <c r="C2580" s="1">
        <v>79.489999999999995</v>
      </c>
      <c r="D2580" s="1">
        <v>77.84</v>
      </c>
      <c r="E2580" s="1">
        <v>78.5</v>
      </c>
      <c r="F2580" s="1">
        <v>6848100</v>
      </c>
      <c r="G2580" s="1">
        <v>78.5</v>
      </c>
      <c r="H2580" s="1">
        <f t="shared" si="360"/>
        <v>1.6499999999999915</v>
      </c>
      <c r="I2580" s="9">
        <f t="shared" si="367"/>
        <v>2.1197327852004001E-2</v>
      </c>
      <c r="J2580" s="1">
        <f t="shared" si="368"/>
        <v>1.0100000000000051</v>
      </c>
      <c r="K2580" s="9">
        <f t="shared" si="361"/>
        <v>1.3033939863208223E-2</v>
      </c>
      <c r="L2580" s="1">
        <f t="shared" si="362"/>
        <v>1</v>
      </c>
      <c r="M2580" s="1">
        <f t="shared" si="363"/>
        <v>79.489999999999995</v>
      </c>
      <c r="N2580" s="1">
        <f t="shared" si="364"/>
        <v>77.84</v>
      </c>
      <c r="O2580" s="1">
        <f t="shared" si="365"/>
        <v>76.540000000000006</v>
      </c>
      <c r="P2580" s="1">
        <f t="shared" si="366"/>
        <v>39.051020408163268</v>
      </c>
    </row>
    <row r="2581" spans="1:16">
      <c r="A2581" s="2">
        <v>39315</v>
      </c>
      <c r="B2581" s="1">
        <v>74.209999999999994</v>
      </c>
      <c r="C2581" s="1">
        <v>77.83</v>
      </c>
      <c r="D2581" s="1">
        <v>74.09</v>
      </c>
      <c r="E2581" s="1">
        <v>77.489999999999995</v>
      </c>
      <c r="F2581" s="1">
        <v>8429100</v>
      </c>
      <c r="G2581" s="1">
        <v>77.489999999999995</v>
      </c>
      <c r="H2581" s="1">
        <f t="shared" si="360"/>
        <v>3.7399999999999949</v>
      </c>
      <c r="I2581" s="9">
        <f t="shared" si="367"/>
        <v>5.0479146983398497E-2</v>
      </c>
      <c r="J2581" s="1">
        <f t="shared" si="368"/>
        <v>2.789999999999992</v>
      </c>
      <c r="K2581" s="9">
        <f t="shared" si="361"/>
        <v>3.7349397590361336E-2</v>
      </c>
      <c r="L2581" s="1">
        <f t="shared" si="362"/>
        <v>1</v>
      </c>
      <c r="M2581" s="1">
        <f t="shared" si="363"/>
        <v>77.83</v>
      </c>
      <c r="N2581" s="1">
        <f t="shared" si="364"/>
        <v>74.09</v>
      </c>
      <c r="O2581" s="1">
        <f t="shared" si="365"/>
        <v>75.53</v>
      </c>
      <c r="P2581" s="1">
        <f t="shared" si="366"/>
        <v>38.535714285714285</v>
      </c>
    </row>
    <row r="2582" spans="1:16">
      <c r="A2582" s="2">
        <v>39314</v>
      </c>
      <c r="B2582" s="1">
        <v>74.98</v>
      </c>
      <c r="C2582" s="1">
        <v>75.28</v>
      </c>
      <c r="D2582" s="1">
        <v>73.8</v>
      </c>
      <c r="E2582" s="1">
        <v>74.7</v>
      </c>
      <c r="F2582" s="1">
        <v>5916100</v>
      </c>
      <c r="G2582" s="1">
        <v>74.7</v>
      </c>
      <c r="H2582" s="1">
        <f t="shared" si="360"/>
        <v>1.480000000000004</v>
      </c>
      <c r="I2582" s="9">
        <f t="shared" si="367"/>
        <v>2.0054200542005476E-2</v>
      </c>
      <c r="J2582" s="1">
        <f t="shared" si="368"/>
        <v>-0.31999999999999318</v>
      </c>
      <c r="K2582" s="9">
        <f t="shared" si="361"/>
        <v>-4.2655291922153189E-3</v>
      </c>
      <c r="L2582" s="1">
        <f t="shared" si="362"/>
        <v>1</v>
      </c>
      <c r="M2582" s="1">
        <f t="shared" si="363"/>
        <v>75.28</v>
      </c>
      <c r="N2582" s="1">
        <f t="shared" si="364"/>
        <v>73.8</v>
      </c>
      <c r="O2582" s="1">
        <f t="shared" si="365"/>
        <v>72.740000000000009</v>
      </c>
      <c r="P2582" s="1">
        <f t="shared" si="366"/>
        <v>37.112244897959187</v>
      </c>
    </row>
    <row r="2583" spans="1:16">
      <c r="A2583" s="2">
        <v>39311</v>
      </c>
      <c r="B2583" s="1">
        <v>74.489999999999995</v>
      </c>
      <c r="C2583" s="1">
        <v>75.040000000000006</v>
      </c>
      <c r="D2583" s="1">
        <v>73.11</v>
      </c>
      <c r="E2583" s="1">
        <v>75.02</v>
      </c>
      <c r="F2583" s="1">
        <v>7240600</v>
      </c>
      <c r="G2583" s="1">
        <v>75.02</v>
      </c>
      <c r="H2583" s="1">
        <f t="shared" si="360"/>
        <v>1.9300000000000068</v>
      </c>
      <c r="I2583" s="9">
        <f t="shared" si="367"/>
        <v>2.6398577485980124E-2</v>
      </c>
      <c r="J2583" s="1">
        <f t="shared" si="368"/>
        <v>2.2299999999999898</v>
      </c>
      <c r="K2583" s="9">
        <f t="shared" si="361"/>
        <v>3.0636076384118555E-2</v>
      </c>
      <c r="L2583" s="1">
        <f t="shared" si="362"/>
        <v>1</v>
      </c>
      <c r="M2583" s="1">
        <f t="shared" si="363"/>
        <v>75.040000000000006</v>
      </c>
      <c r="N2583" s="1">
        <f t="shared" si="364"/>
        <v>73.11</v>
      </c>
      <c r="O2583" s="1">
        <f t="shared" si="365"/>
        <v>73.06</v>
      </c>
      <c r="P2583" s="1">
        <f t="shared" si="366"/>
        <v>37.275510204081634</v>
      </c>
    </row>
    <row r="2584" spans="1:16">
      <c r="A2584" s="2">
        <v>39310</v>
      </c>
      <c r="B2584" s="1">
        <v>72</v>
      </c>
      <c r="C2584" s="1">
        <v>73.239999999999995</v>
      </c>
      <c r="D2584" s="1">
        <v>70.05</v>
      </c>
      <c r="E2584" s="1">
        <v>72.790000000000006</v>
      </c>
      <c r="F2584" s="1">
        <v>10787300</v>
      </c>
      <c r="G2584" s="1">
        <v>72.790000000000006</v>
      </c>
      <c r="H2584" s="1">
        <f t="shared" si="360"/>
        <v>3.1899999999999977</v>
      </c>
      <c r="I2584" s="9">
        <f t="shared" si="367"/>
        <v>4.5538900785153429E-2</v>
      </c>
      <c r="J2584" s="1">
        <f t="shared" si="368"/>
        <v>0.4100000000000108</v>
      </c>
      <c r="K2584" s="9">
        <f t="shared" si="361"/>
        <v>5.6645482177398567E-3</v>
      </c>
      <c r="L2584" s="1">
        <f t="shared" si="362"/>
        <v>1</v>
      </c>
      <c r="M2584" s="1">
        <f t="shared" si="363"/>
        <v>73.239999999999995</v>
      </c>
      <c r="N2584" s="1">
        <f t="shared" si="364"/>
        <v>70.05</v>
      </c>
      <c r="O2584" s="1">
        <f t="shared" si="365"/>
        <v>70.830000000000013</v>
      </c>
      <c r="P2584" s="1">
        <f t="shared" si="366"/>
        <v>36.137755102040821</v>
      </c>
    </row>
    <row r="2585" spans="1:16">
      <c r="A2585" s="2">
        <v>39309</v>
      </c>
      <c r="B2585" s="1">
        <v>73.02</v>
      </c>
      <c r="C2585" s="1">
        <v>75.150000000000006</v>
      </c>
      <c r="D2585" s="1">
        <v>72.260000000000005</v>
      </c>
      <c r="E2585" s="1">
        <v>72.38</v>
      </c>
      <c r="F2585" s="1">
        <v>6375900</v>
      </c>
      <c r="G2585" s="1">
        <v>72.38</v>
      </c>
      <c r="H2585" s="1">
        <f t="shared" si="360"/>
        <v>2.8900000000000006</v>
      </c>
      <c r="I2585" s="9">
        <f t="shared" si="367"/>
        <v>3.999446443398838E-2</v>
      </c>
      <c r="J2585" s="1">
        <f t="shared" si="368"/>
        <v>-1.0700000000000074</v>
      </c>
      <c r="K2585" s="9">
        <f t="shared" si="361"/>
        <v>-1.4567733151804048E-2</v>
      </c>
      <c r="L2585" s="1">
        <f t="shared" si="362"/>
        <v>1</v>
      </c>
      <c r="M2585" s="1">
        <f t="shared" si="363"/>
        <v>75.150000000000006</v>
      </c>
      <c r="N2585" s="1">
        <f t="shared" si="364"/>
        <v>72.260000000000005</v>
      </c>
      <c r="O2585" s="1">
        <f t="shared" si="365"/>
        <v>70.42</v>
      </c>
      <c r="P2585" s="1">
        <f t="shared" si="366"/>
        <v>35.928571428571431</v>
      </c>
    </row>
    <row r="2586" spans="1:16">
      <c r="A2586" s="2">
        <v>39308</v>
      </c>
      <c r="B2586" s="1">
        <v>74.790000000000006</v>
      </c>
      <c r="C2586" s="1">
        <v>74.790000000000006</v>
      </c>
      <c r="D2586" s="1">
        <v>72.92</v>
      </c>
      <c r="E2586" s="1">
        <v>73.45</v>
      </c>
      <c r="F2586" s="1">
        <v>5946200</v>
      </c>
      <c r="G2586" s="1">
        <v>73.45</v>
      </c>
      <c r="H2586" s="1">
        <f t="shared" si="360"/>
        <v>1.8700000000000045</v>
      </c>
      <c r="I2586" s="9">
        <f t="shared" si="367"/>
        <v>2.5644541963796001E-2</v>
      </c>
      <c r="J2586" s="1">
        <f t="shared" si="368"/>
        <v>-1.4200000000000017</v>
      </c>
      <c r="K2586" s="9">
        <f t="shared" si="361"/>
        <v>-1.8966208094029675E-2</v>
      </c>
      <c r="L2586" s="1">
        <f t="shared" si="362"/>
        <v>1</v>
      </c>
      <c r="M2586" s="1">
        <f t="shared" si="363"/>
        <v>74.790000000000006</v>
      </c>
      <c r="N2586" s="1">
        <f t="shared" si="364"/>
        <v>72.92</v>
      </c>
      <c r="O2586" s="1">
        <f t="shared" si="365"/>
        <v>71.490000000000009</v>
      </c>
      <c r="P2586" s="1">
        <f t="shared" si="366"/>
        <v>36.474489795918373</v>
      </c>
    </row>
    <row r="2587" spans="1:16">
      <c r="A2587" s="2">
        <v>39307</v>
      </c>
      <c r="B2587" s="1">
        <v>76.09</v>
      </c>
      <c r="C2587" s="1">
        <v>76.319999999999993</v>
      </c>
      <c r="D2587" s="1">
        <v>74.7</v>
      </c>
      <c r="E2587" s="1">
        <v>74.87</v>
      </c>
      <c r="F2587" s="1">
        <v>6068600</v>
      </c>
      <c r="G2587" s="1">
        <v>74.87</v>
      </c>
      <c r="H2587" s="1">
        <f t="shared" si="360"/>
        <v>1.6199999999999903</v>
      </c>
      <c r="I2587" s="9">
        <f t="shared" si="367"/>
        <v>2.1686746987951679E-2</v>
      </c>
      <c r="J2587" s="1">
        <f t="shared" si="368"/>
        <v>9.0000000000003411E-2</v>
      </c>
      <c r="K2587" s="9">
        <f t="shared" si="361"/>
        <v>1.2035303557101284E-3</v>
      </c>
      <c r="L2587" s="1">
        <f t="shared" si="362"/>
        <v>1</v>
      </c>
      <c r="M2587" s="1">
        <f t="shared" si="363"/>
        <v>76.319999999999993</v>
      </c>
      <c r="N2587" s="1">
        <f t="shared" si="364"/>
        <v>74.7</v>
      </c>
      <c r="O2587" s="1">
        <f t="shared" si="365"/>
        <v>72.910000000000011</v>
      </c>
      <c r="P2587" s="1">
        <f t="shared" si="366"/>
        <v>37.198979591836739</v>
      </c>
    </row>
    <row r="2588" spans="1:16">
      <c r="A2588" s="2">
        <v>39304</v>
      </c>
      <c r="B2588" s="1">
        <v>73.150000000000006</v>
      </c>
      <c r="C2588" s="1">
        <v>76.5</v>
      </c>
      <c r="D2588" s="1">
        <v>72.37</v>
      </c>
      <c r="E2588" s="1">
        <v>74.78</v>
      </c>
      <c r="F2588" s="1">
        <v>9067600</v>
      </c>
      <c r="G2588" s="1">
        <v>74.78</v>
      </c>
      <c r="H2588" s="1">
        <f t="shared" si="360"/>
        <v>4.1299999999999955</v>
      </c>
      <c r="I2588" s="9">
        <f t="shared" si="367"/>
        <v>5.7067845792455371E-2</v>
      </c>
      <c r="J2588" s="1">
        <f t="shared" si="368"/>
        <v>0.67000000000000171</v>
      </c>
      <c r="K2588" s="9">
        <f t="shared" si="361"/>
        <v>9.0406153015787569E-3</v>
      </c>
      <c r="L2588" s="1">
        <f t="shared" si="362"/>
        <v>1</v>
      </c>
      <c r="M2588" s="1">
        <f t="shared" si="363"/>
        <v>76.5</v>
      </c>
      <c r="N2588" s="1">
        <f t="shared" si="364"/>
        <v>72.37</v>
      </c>
      <c r="O2588" s="1">
        <f t="shared" si="365"/>
        <v>72.820000000000007</v>
      </c>
      <c r="P2588" s="1">
        <f t="shared" si="366"/>
        <v>37.153061224489804</v>
      </c>
    </row>
    <row r="2589" spans="1:16">
      <c r="A2589" s="2">
        <v>39303</v>
      </c>
      <c r="B2589" s="1">
        <v>76.400000000000006</v>
      </c>
      <c r="C2589" s="1">
        <v>77.260000000000005</v>
      </c>
      <c r="D2589" s="1">
        <v>74.11</v>
      </c>
      <c r="E2589" s="1">
        <v>74.11</v>
      </c>
      <c r="F2589" s="1">
        <v>8348400</v>
      </c>
      <c r="G2589" s="1">
        <v>74.11</v>
      </c>
      <c r="H2589" s="1">
        <f t="shared" si="360"/>
        <v>3.1500000000000057</v>
      </c>
      <c r="I2589" s="9">
        <f t="shared" si="367"/>
        <v>4.2504385373094124E-2</v>
      </c>
      <c r="J2589" s="1">
        <f t="shared" si="368"/>
        <v>-3.6700000000000017</v>
      </c>
      <c r="K2589" s="9">
        <f t="shared" si="361"/>
        <v>-4.7184366160966849E-2</v>
      </c>
      <c r="L2589" s="1">
        <f t="shared" si="362"/>
        <v>1</v>
      </c>
      <c r="M2589" s="1">
        <f t="shared" si="363"/>
        <v>77.260000000000005</v>
      </c>
      <c r="N2589" s="1">
        <f t="shared" si="364"/>
        <v>74.11</v>
      </c>
      <c r="O2589" s="1">
        <f t="shared" si="365"/>
        <v>72.150000000000006</v>
      </c>
      <c r="P2589" s="1">
        <f t="shared" si="366"/>
        <v>36.811224489795919</v>
      </c>
    </row>
    <row r="2590" spans="1:16">
      <c r="A2590" s="2">
        <v>39302</v>
      </c>
      <c r="B2590" s="1">
        <v>79.77</v>
      </c>
      <c r="C2590" s="1">
        <v>79.88</v>
      </c>
      <c r="D2590" s="1">
        <v>76.56</v>
      </c>
      <c r="E2590" s="1">
        <v>77.78</v>
      </c>
      <c r="F2590" s="1">
        <v>8244800</v>
      </c>
      <c r="G2590" s="1">
        <v>77.78</v>
      </c>
      <c r="H2590" s="1">
        <f t="shared" si="360"/>
        <v>3.3199999999999932</v>
      </c>
      <c r="I2590" s="9">
        <f t="shared" si="367"/>
        <v>4.336468129571569E-2</v>
      </c>
      <c r="J2590" s="1">
        <f t="shared" si="368"/>
        <v>-1.3599999999999994</v>
      </c>
      <c r="K2590" s="9">
        <f t="shared" si="361"/>
        <v>-1.7184735911043712E-2</v>
      </c>
      <c r="L2590" s="1">
        <f t="shared" si="362"/>
        <v>1</v>
      </c>
      <c r="M2590" s="1">
        <f t="shared" si="363"/>
        <v>79.88</v>
      </c>
      <c r="N2590" s="1">
        <f t="shared" si="364"/>
        <v>76.56</v>
      </c>
      <c r="O2590" s="1">
        <f t="shared" si="365"/>
        <v>75.820000000000007</v>
      </c>
      <c r="P2590" s="1">
        <f t="shared" si="366"/>
        <v>38.683673469387763</v>
      </c>
    </row>
    <row r="2591" spans="1:16">
      <c r="A2591" s="2">
        <v>39301</v>
      </c>
      <c r="B2591" s="1">
        <v>78.55</v>
      </c>
      <c r="C2591" s="1">
        <v>80</v>
      </c>
      <c r="D2591" s="1">
        <v>77.89</v>
      </c>
      <c r="E2591" s="1">
        <v>79.14</v>
      </c>
      <c r="F2591" s="1">
        <v>8059300</v>
      </c>
      <c r="G2591" s="1">
        <v>79.14</v>
      </c>
      <c r="H2591" s="1">
        <f t="shared" si="360"/>
        <v>2.1099999999999994</v>
      </c>
      <c r="I2591" s="9">
        <f t="shared" si="367"/>
        <v>2.708948517139555E-2</v>
      </c>
      <c r="J2591" s="1">
        <f t="shared" si="368"/>
        <v>0.14000000000000057</v>
      </c>
      <c r="K2591" s="9">
        <f t="shared" si="361"/>
        <v>1.7721518987341843E-3</v>
      </c>
      <c r="L2591" s="1">
        <f t="shared" si="362"/>
        <v>1</v>
      </c>
      <c r="M2591" s="1">
        <f t="shared" si="363"/>
        <v>80</v>
      </c>
      <c r="N2591" s="1">
        <f t="shared" si="364"/>
        <v>77.89</v>
      </c>
      <c r="O2591" s="1">
        <f t="shared" si="365"/>
        <v>77.180000000000007</v>
      </c>
      <c r="P2591" s="1">
        <f t="shared" si="366"/>
        <v>39.37755102040817</v>
      </c>
    </row>
    <row r="2592" spans="1:16">
      <c r="A2592" s="2">
        <v>39300</v>
      </c>
      <c r="B2592" s="1">
        <v>77.06</v>
      </c>
      <c r="C2592" s="1">
        <v>79</v>
      </c>
      <c r="D2592" s="1">
        <v>76.599999999999994</v>
      </c>
      <c r="E2592" s="1">
        <v>79</v>
      </c>
      <c r="F2592" s="1">
        <v>9002900</v>
      </c>
      <c r="G2592" s="1">
        <v>79</v>
      </c>
      <c r="H2592" s="1">
        <f t="shared" si="360"/>
        <v>2.4000000000000057</v>
      </c>
      <c r="I2592" s="9">
        <f t="shared" si="367"/>
        <v>3.1331592689295112E-2</v>
      </c>
      <c r="J2592" s="1">
        <f t="shared" si="368"/>
        <v>2.2000000000000028</v>
      </c>
      <c r="K2592" s="9">
        <f t="shared" si="361"/>
        <v>2.864583333333337E-2</v>
      </c>
      <c r="L2592" s="1">
        <f t="shared" si="362"/>
        <v>1</v>
      </c>
      <c r="M2592" s="1">
        <f t="shared" si="363"/>
        <v>79</v>
      </c>
      <c r="N2592" s="1">
        <f t="shared" si="364"/>
        <v>76.599999999999994</v>
      </c>
      <c r="O2592" s="1">
        <f t="shared" si="365"/>
        <v>77.040000000000006</v>
      </c>
      <c r="P2592" s="1">
        <f t="shared" si="366"/>
        <v>39.306122448979593</v>
      </c>
    </row>
    <row r="2593" spans="1:16">
      <c r="A2593" s="2">
        <v>39297</v>
      </c>
      <c r="B2593" s="1">
        <v>79.540000000000006</v>
      </c>
      <c r="C2593" s="1">
        <v>80.75</v>
      </c>
      <c r="D2593" s="1">
        <v>76.709999999999994</v>
      </c>
      <c r="E2593" s="1">
        <v>76.8</v>
      </c>
      <c r="F2593" s="1">
        <v>7987500</v>
      </c>
      <c r="G2593" s="1">
        <v>76.8</v>
      </c>
      <c r="H2593" s="1">
        <f t="shared" si="360"/>
        <v>4.0400000000000063</v>
      </c>
      <c r="I2593" s="9">
        <f t="shared" si="367"/>
        <v>5.2665884500065263E-2</v>
      </c>
      <c r="J2593" s="1">
        <f t="shared" si="368"/>
        <v>-2.9099999999999966</v>
      </c>
      <c r="K2593" s="9">
        <f t="shared" si="361"/>
        <v>-3.6507339104252877E-2</v>
      </c>
      <c r="L2593" s="1">
        <f t="shared" si="362"/>
        <v>1</v>
      </c>
      <c r="M2593" s="1">
        <f t="shared" si="363"/>
        <v>80.75</v>
      </c>
      <c r="N2593" s="1">
        <f t="shared" si="364"/>
        <v>76.709999999999994</v>
      </c>
      <c r="O2593" s="1">
        <f t="shared" si="365"/>
        <v>74.84</v>
      </c>
      <c r="P2593" s="1">
        <f t="shared" si="366"/>
        <v>38.183673469387756</v>
      </c>
    </row>
    <row r="2594" spans="1:16">
      <c r="A2594" s="2">
        <v>39296</v>
      </c>
      <c r="B2594" s="1">
        <v>77.86</v>
      </c>
      <c r="C2594" s="1">
        <v>79.760000000000005</v>
      </c>
      <c r="D2594" s="1">
        <v>76.12</v>
      </c>
      <c r="E2594" s="1">
        <v>79.709999999999994</v>
      </c>
      <c r="F2594" s="1">
        <v>10361600</v>
      </c>
      <c r="G2594" s="1">
        <v>79.709999999999994</v>
      </c>
      <c r="H2594" s="1">
        <f t="shared" si="360"/>
        <v>3.6400000000000006</v>
      </c>
      <c r="I2594" s="9">
        <f t="shared" si="367"/>
        <v>4.7819232790331061E-2</v>
      </c>
      <c r="J2594" s="1">
        <f t="shared" si="368"/>
        <v>2.3999999999999915</v>
      </c>
      <c r="K2594" s="9">
        <f t="shared" si="361"/>
        <v>3.1043849437330118E-2</v>
      </c>
      <c r="L2594" s="1">
        <f t="shared" si="362"/>
        <v>1</v>
      </c>
      <c r="M2594" s="1">
        <f t="shared" si="363"/>
        <v>79.760000000000005</v>
      </c>
      <c r="N2594" s="1">
        <f t="shared" si="364"/>
        <v>76.12</v>
      </c>
      <c r="O2594" s="1">
        <f t="shared" si="365"/>
        <v>77.75</v>
      </c>
      <c r="P2594" s="1">
        <f t="shared" si="366"/>
        <v>39.668367346938773</v>
      </c>
    </row>
    <row r="2595" spans="1:16">
      <c r="A2595" s="2">
        <v>39295</v>
      </c>
      <c r="B2595" s="1">
        <v>78.099999999999994</v>
      </c>
      <c r="C2595" s="1">
        <v>78.150000000000006</v>
      </c>
      <c r="D2595" s="1">
        <v>75.06</v>
      </c>
      <c r="E2595" s="1">
        <v>77.31</v>
      </c>
      <c r="F2595" s="1">
        <v>16918000</v>
      </c>
      <c r="G2595" s="1">
        <v>77.31</v>
      </c>
      <c r="H2595" s="1">
        <f t="shared" si="360"/>
        <v>3.0900000000000034</v>
      </c>
      <c r="I2595" s="9">
        <f t="shared" si="367"/>
        <v>4.1167066346922507E-2</v>
      </c>
      <c r="J2595" s="1">
        <f t="shared" si="368"/>
        <v>-1.230000000000004</v>
      </c>
      <c r="K2595" s="9">
        <f t="shared" si="361"/>
        <v>-1.5660809778456887E-2</v>
      </c>
      <c r="L2595" s="1">
        <f t="shared" si="362"/>
        <v>1</v>
      </c>
      <c r="M2595" s="1">
        <f t="shared" si="363"/>
        <v>78.150000000000006</v>
      </c>
      <c r="N2595" s="1">
        <f t="shared" si="364"/>
        <v>75.06</v>
      </c>
      <c r="O2595" s="1">
        <f t="shared" si="365"/>
        <v>75.350000000000009</v>
      </c>
      <c r="P2595" s="1">
        <f t="shared" si="366"/>
        <v>38.443877551020414</v>
      </c>
    </row>
    <row r="2596" spans="1:16">
      <c r="A2596" s="2">
        <v>39294</v>
      </c>
      <c r="B2596" s="1">
        <v>83.7</v>
      </c>
      <c r="C2596" s="1">
        <v>83.73</v>
      </c>
      <c r="D2596" s="1">
        <v>78</v>
      </c>
      <c r="E2596" s="1">
        <v>78.540000000000006</v>
      </c>
      <c r="F2596" s="1">
        <v>14104500</v>
      </c>
      <c r="G2596" s="1">
        <v>78.540000000000006</v>
      </c>
      <c r="H2596" s="1">
        <f t="shared" si="360"/>
        <v>5.730000000000004</v>
      </c>
      <c r="I2596" s="9">
        <f t="shared" si="367"/>
        <v>7.3461538461538509E-2</v>
      </c>
      <c r="J2596" s="1">
        <f t="shared" si="368"/>
        <v>-4.1599999999999966</v>
      </c>
      <c r="K2596" s="9">
        <f t="shared" si="361"/>
        <v>-5.0302297460701285E-2</v>
      </c>
      <c r="L2596" s="1">
        <f t="shared" si="362"/>
        <v>1</v>
      </c>
      <c r="M2596" s="1">
        <f t="shared" si="363"/>
        <v>83.73</v>
      </c>
      <c r="N2596" s="1">
        <f t="shared" si="364"/>
        <v>78</v>
      </c>
      <c r="O2596" s="1">
        <f t="shared" si="365"/>
        <v>76.580000000000013</v>
      </c>
      <c r="P2596" s="1">
        <f t="shared" si="366"/>
        <v>39.071428571428577</v>
      </c>
    </row>
    <row r="2597" spans="1:16">
      <c r="A2597" s="2">
        <v>39293</v>
      </c>
      <c r="B2597" s="1">
        <v>83</v>
      </c>
      <c r="C2597" s="1">
        <v>84.05</v>
      </c>
      <c r="D2597" s="1">
        <v>81.510000000000005</v>
      </c>
      <c r="E2597" s="1">
        <v>82.7</v>
      </c>
      <c r="F2597" s="1">
        <v>12855600</v>
      </c>
      <c r="G2597" s="1">
        <v>82.7</v>
      </c>
      <c r="H2597" s="1">
        <f t="shared" si="360"/>
        <v>2.539999999999992</v>
      </c>
      <c r="I2597" s="9">
        <f t="shared" si="367"/>
        <v>3.1161820635504746E-2</v>
      </c>
      <c r="J2597" s="1">
        <f t="shared" si="368"/>
        <v>-1.3400000000000034</v>
      </c>
      <c r="K2597" s="9">
        <f t="shared" si="361"/>
        <v>-1.5944788196097136E-2</v>
      </c>
      <c r="L2597" s="1">
        <f t="shared" si="362"/>
        <v>1</v>
      </c>
      <c r="M2597" s="1">
        <f t="shared" si="363"/>
        <v>84.05</v>
      </c>
      <c r="N2597" s="1">
        <f t="shared" si="364"/>
        <v>81.510000000000005</v>
      </c>
      <c r="O2597" s="1">
        <f t="shared" si="365"/>
        <v>80.740000000000009</v>
      </c>
      <c r="P2597" s="1">
        <f t="shared" si="366"/>
        <v>41.193877551020414</v>
      </c>
    </row>
    <row r="2598" spans="1:16">
      <c r="A2598" s="2">
        <v>39290</v>
      </c>
      <c r="B2598" s="1">
        <v>84.27</v>
      </c>
      <c r="C2598" s="1">
        <v>85.33</v>
      </c>
      <c r="D2598" s="1">
        <v>82.48</v>
      </c>
      <c r="E2598" s="1">
        <v>84.04</v>
      </c>
      <c r="F2598" s="1">
        <v>13942600</v>
      </c>
      <c r="G2598" s="1">
        <v>84.04</v>
      </c>
      <c r="H2598" s="1">
        <f t="shared" si="360"/>
        <v>2.8499999999999943</v>
      </c>
      <c r="I2598" s="9">
        <f t="shared" si="367"/>
        <v>3.45538312318137E-2</v>
      </c>
      <c r="J2598" s="1">
        <f t="shared" si="368"/>
        <v>3.0000000000001137E-2</v>
      </c>
      <c r="K2598" s="9">
        <f t="shared" si="361"/>
        <v>3.5710034519701388E-4</v>
      </c>
      <c r="L2598" s="1">
        <f t="shared" si="362"/>
        <v>1</v>
      </c>
      <c r="M2598" s="1">
        <f t="shared" si="363"/>
        <v>85.33</v>
      </c>
      <c r="N2598" s="1">
        <f t="shared" si="364"/>
        <v>82.48</v>
      </c>
      <c r="O2598" s="1">
        <f t="shared" si="365"/>
        <v>82.080000000000013</v>
      </c>
      <c r="P2598" s="1">
        <f t="shared" si="366"/>
        <v>41.87755102040817</v>
      </c>
    </row>
    <row r="2599" spans="1:16">
      <c r="A2599" s="2">
        <v>39289</v>
      </c>
      <c r="B2599" s="1">
        <v>85.02</v>
      </c>
      <c r="C2599" s="1">
        <v>89</v>
      </c>
      <c r="D2599" s="1">
        <v>83.43</v>
      </c>
      <c r="E2599" s="1">
        <v>84.01</v>
      </c>
      <c r="F2599" s="1">
        <v>23267100</v>
      </c>
      <c r="G2599" s="1">
        <v>84.01</v>
      </c>
      <c r="H2599" s="1">
        <f t="shared" si="360"/>
        <v>5.5699999999999932</v>
      </c>
      <c r="I2599" s="9">
        <f t="shared" si="367"/>
        <v>6.6762555435694509E-2</v>
      </c>
      <c r="J2599" s="1">
        <f t="shared" si="368"/>
        <v>-2.1700000000000017</v>
      </c>
      <c r="K2599" s="9">
        <f t="shared" si="361"/>
        <v>-2.5179856115107931E-2</v>
      </c>
      <c r="L2599" s="1">
        <f t="shared" si="362"/>
        <v>1</v>
      </c>
      <c r="M2599" s="1">
        <f t="shared" si="363"/>
        <v>89</v>
      </c>
      <c r="N2599" s="1">
        <f t="shared" si="364"/>
        <v>83.43</v>
      </c>
      <c r="O2599" s="1">
        <f t="shared" si="365"/>
        <v>82.050000000000011</v>
      </c>
      <c r="P2599" s="1">
        <f t="shared" si="366"/>
        <v>41.862244897959194</v>
      </c>
    </row>
    <row r="2600" spans="1:16">
      <c r="A2600" s="2">
        <v>39288</v>
      </c>
      <c r="B2600" s="1">
        <v>84.66</v>
      </c>
      <c r="C2600" s="1">
        <v>88.8</v>
      </c>
      <c r="D2600" s="1">
        <v>83.65</v>
      </c>
      <c r="E2600" s="1">
        <v>86.18</v>
      </c>
      <c r="F2600" s="1">
        <v>60452400</v>
      </c>
      <c r="G2600" s="1">
        <v>86.18</v>
      </c>
      <c r="H2600" s="1">
        <f t="shared" si="360"/>
        <v>5.1499999999999915</v>
      </c>
      <c r="I2600" s="9">
        <f t="shared" si="367"/>
        <v>6.1566049013747653E-2</v>
      </c>
      <c r="J2600" s="1">
        <f t="shared" si="368"/>
        <v>16.930000000000007</v>
      </c>
      <c r="K2600" s="9">
        <f t="shared" si="361"/>
        <v>0.24447653429602897</v>
      </c>
      <c r="L2600" s="1">
        <f t="shared" si="362"/>
        <v>1</v>
      </c>
      <c r="M2600" s="1">
        <f t="shared" si="363"/>
        <v>88.8</v>
      </c>
      <c r="N2600" s="1">
        <f t="shared" si="364"/>
        <v>83.65</v>
      </c>
      <c r="O2600" s="1">
        <f t="shared" si="365"/>
        <v>84.220000000000013</v>
      </c>
      <c r="P2600" s="1">
        <f t="shared" si="366"/>
        <v>42.969387755102048</v>
      </c>
    </row>
    <row r="2601" spans="1:16">
      <c r="A2601" s="2">
        <v>39287</v>
      </c>
      <c r="B2601" s="1">
        <v>71.040000000000006</v>
      </c>
      <c r="C2601" s="1">
        <v>72.16</v>
      </c>
      <c r="D2601" s="1">
        <v>68.849999999999994</v>
      </c>
      <c r="E2601" s="1">
        <v>69.25</v>
      </c>
      <c r="F2601" s="1">
        <v>25342300</v>
      </c>
      <c r="G2601" s="1">
        <v>69.25</v>
      </c>
      <c r="H2601" s="1">
        <f t="shared" si="360"/>
        <v>3.3100000000000023</v>
      </c>
      <c r="I2601" s="9">
        <f t="shared" si="367"/>
        <v>4.8075526506899093E-2</v>
      </c>
      <c r="J2601" s="1">
        <f t="shared" si="368"/>
        <v>-2.4899999999999949</v>
      </c>
      <c r="K2601" s="9">
        <f t="shared" si="361"/>
        <v>-3.4708670197936928E-2</v>
      </c>
      <c r="L2601" s="1">
        <f t="shared" si="362"/>
        <v>1</v>
      </c>
      <c r="M2601" s="1">
        <f t="shared" si="363"/>
        <v>72.16</v>
      </c>
      <c r="N2601" s="1">
        <f t="shared" si="364"/>
        <v>68.849999999999994</v>
      </c>
      <c r="O2601" s="1">
        <f t="shared" si="365"/>
        <v>67.290000000000006</v>
      </c>
      <c r="P2601" s="1">
        <f t="shared" si="366"/>
        <v>34.331632653061227</v>
      </c>
    </row>
    <row r="2602" spans="1:16">
      <c r="A2602" s="2">
        <v>39286</v>
      </c>
      <c r="B2602" s="1">
        <v>71.78</v>
      </c>
      <c r="C2602" s="1">
        <v>72.67</v>
      </c>
      <c r="D2602" s="1">
        <v>70.849999999999994</v>
      </c>
      <c r="E2602" s="1">
        <v>71.739999999999995</v>
      </c>
      <c r="F2602" s="1">
        <v>9267800</v>
      </c>
      <c r="G2602" s="1">
        <v>71.739999999999995</v>
      </c>
      <c r="H2602" s="1">
        <f t="shared" si="360"/>
        <v>1.8200000000000074</v>
      </c>
      <c r="I2602" s="9">
        <f t="shared" si="367"/>
        <v>2.5688073394495518E-2</v>
      </c>
      <c r="J2602" s="1">
        <f t="shared" si="368"/>
        <v>0.10999999999999943</v>
      </c>
      <c r="K2602" s="9">
        <f t="shared" si="361"/>
        <v>1.5356694122574263E-3</v>
      </c>
      <c r="L2602" s="1">
        <f t="shared" si="362"/>
        <v>1</v>
      </c>
      <c r="M2602" s="1">
        <f t="shared" si="363"/>
        <v>72.67</v>
      </c>
      <c r="N2602" s="1">
        <f t="shared" si="364"/>
        <v>70.849999999999994</v>
      </c>
      <c r="O2602" s="1">
        <f t="shared" si="365"/>
        <v>69.78</v>
      </c>
      <c r="P2602" s="1">
        <f t="shared" si="366"/>
        <v>35.602040816326529</v>
      </c>
    </row>
    <row r="2603" spans="1:16">
      <c r="A2603" s="2">
        <v>39283</v>
      </c>
      <c r="B2603" s="1">
        <v>72.62</v>
      </c>
      <c r="C2603" s="1">
        <v>72.959999999999994</v>
      </c>
      <c r="D2603" s="1">
        <v>70.5</v>
      </c>
      <c r="E2603" s="1">
        <v>71.63</v>
      </c>
      <c r="F2603" s="1">
        <v>9130700</v>
      </c>
      <c r="G2603" s="1">
        <v>71.63</v>
      </c>
      <c r="H2603" s="1">
        <f t="shared" si="360"/>
        <v>2.4599999999999937</v>
      </c>
      <c r="I2603" s="9">
        <f t="shared" si="367"/>
        <v>3.489361702127651E-2</v>
      </c>
      <c r="J2603" s="1">
        <f t="shared" si="368"/>
        <v>-1.7199999999999989</v>
      </c>
      <c r="K2603" s="9">
        <f t="shared" si="361"/>
        <v>-2.3449216087252884E-2</v>
      </c>
      <c r="L2603" s="1">
        <f t="shared" si="362"/>
        <v>1</v>
      </c>
      <c r="M2603" s="1">
        <f t="shared" si="363"/>
        <v>72.959999999999994</v>
      </c>
      <c r="N2603" s="1">
        <f t="shared" si="364"/>
        <v>70.5</v>
      </c>
      <c r="O2603" s="1">
        <f t="shared" si="365"/>
        <v>69.67</v>
      </c>
      <c r="P2603" s="1">
        <f t="shared" si="366"/>
        <v>35.545918367346943</v>
      </c>
    </row>
    <row r="2604" spans="1:16">
      <c r="A2604" s="2">
        <v>39282</v>
      </c>
      <c r="B2604" s="1">
        <v>74.239999999999995</v>
      </c>
      <c r="C2604" s="1">
        <v>74.319999999999993</v>
      </c>
      <c r="D2604" s="1">
        <v>73.12</v>
      </c>
      <c r="E2604" s="1">
        <v>73.349999999999994</v>
      </c>
      <c r="F2604" s="1">
        <v>5273500</v>
      </c>
      <c r="G2604" s="1">
        <v>73.349999999999994</v>
      </c>
      <c r="H2604" s="1">
        <f t="shared" si="360"/>
        <v>1.1999999999999886</v>
      </c>
      <c r="I2604" s="9">
        <f t="shared" si="367"/>
        <v>1.6411378555798529E-2</v>
      </c>
      <c r="J2604" s="1">
        <f t="shared" si="368"/>
        <v>3.0000000000001137E-2</v>
      </c>
      <c r="K2604" s="9">
        <f t="shared" si="361"/>
        <v>4.0916530278233958E-4</v>
      </c>
      <c r="L2604" s="1">
        <f t="shared" si="362"/>
        <v>1</v>
      </c>
      <c r="M2604" s="1">
        <f t="shared" si="363"/>
        <v>74.319999999999993</v>
      </c>
      <c r="N2604" s="1">
        <f t="shared" si="364"/>
        <v>73.12</v>
      </c>
      <c r="O2604" s="1">
        <f t="shared" si="365"/>
        <v>71.39</v>
      </c>
      <c r="P2604" s="1">
        <f t="shared" si="366"/>
        <v>36.423469387755105</v>
      </c>
    </row>
    <row r="2605" spans="1:16">
      <c r="A2605" s="2">
        <v>39281</v>
      </c>
      <c r="B2605" s="1">
        <v>73.27</v>
      </c>
      <c r="C2605" s="1">
        <v>73.489999999999995</v>
      </c>
      <c r="D2605" s="1">
        <v>72.25</v>
      </c>
      <c r="E2605" s="1">
        <v>73.319999999999993</v>
      </c>
      <c r="F2605" s="1">
        <v>6289700</v>
      </c>
      <c r="G2605" s="1">
        <v>73.319999999999993</v>
      </c>
      <c r="H2605" s="1">
        <f t="shared" si="360"/>
        <v>1.2399999999999949</v>
      </c>
      <c r="I2605" s="9">
        <f t="shared" si="367"/>
        <v>1.7162629757785396E-2</v>
      </c>
      <c r="J2605" s="1">
        <f t="shared" si="368"/>
        <v>-0.47000000000001307</v>
      </c>
      <c r="K2605" s="9">
        <f t="shared" si="361"/>
        <v>-6.3694267515925331E-3</v>
      </c>
      <c r="L2605" s="1">
        <f t="shared" si="362"/>
        <v>1</v>
      </c>
      <c r="M2605" s="1">
        <f t="shared" si="363"/>
        <v>73.489999999999995</v>
      </c>
      <c r="N2605" s="1">
        <f t="shared" si="364"/>
        <v>72.25</v>
      </c>
      <c r="O2605" s="1">
        <f t="shared" si="365"/>
        <v>71.36</v>
      </c>
      <c r="P2605" s="1">
        <f t="shared" si="366"/>
        <v>36.408163265306122</v>
      </c>
    </row>
    <row r="2606" spans="1:16">
      <c r="A2606" s="2">
        <v>39280</v>
      </c>
      <c r="B2606" s="1">
        <v>74.39</v>
      </c>
      <c r="C2606" s="1">
        <v>74.52</v>
      </c>
      <c r="D2606" s="1">
        <v>73.59</v>
      </c>
      <c r="E2606" s="1">
        <v>73.790000000000006</v>
      </c>
      <c r="F2606" s="1">
        <v>6084400</v>
      </c>
      <c r="G2606" s="1">
        <v>73.790000000000006</v>
      </c>
      <c r="H2606" s="1">
        <f t="shared" si="360"/>
        <v>0.92999999999999261</v>
      </c>
      <c r="I2606" s="9">
        <f t="shared" si="367"/>
        <v>1.2637586628617917E-2</v>
      </c>
      <c r="J2606" s="1">
        <f t="shared" si="368"/>
        <v>0.10000000000000853</v>
      </c>
      <c r="K2606" s="9">
        <f t="shared" si="361"/>
        <v>1.3570362328675332E-3</v>
      </c>
      <c r="L2606" s="1">
        <f t="shared" si="362"/>
        <v>1</v>
      </c>
      <c r="M2606" s="1">
        <f t="shared" si="363"/>
        <v>74.52</v>
      </c>
      <c r="N2606" s="1">
        <f t="shared" si="364"/>
        <v>73.59</v>
      </c>
      <c r="O2606" s="1">
        <f t="shared" si="365"/>
        <v>71.830000000000013</v>
      </c>
      <c r="P2606" s="1">
        <f t="shared" si="366"/>
        <v>36.647959183673478</v>
      </c>
    </row>
    <row r="2607" spans="1:16">
      <c r="A2607" s="2">
        <v>39279</v>
      </c>
      <c r="B2607" s="1">
        <v>74.73</v>
      </c>
      <c r="C2607" s="1">
        <v>74.84</v>
      </c>
      <c r="D2607" s="1">
        <v>73</v>
      </c>
      <c r="E2607" s="1">
        <v>73.69</v>
      </c>
      <c r="F2607" s="1">
        <v>8334900</v>
      </c>
      <c r="G2607" s="1">
        <v>73.69</v>
      </c>
      <c r="H2607" s="1">
        <f t="shared" si="360"/>
        <v>1.8400000000000034</v>
      </c>
      <c r="I2607" s="9">
        <f t="shared" si="367"/>
        <v>2.5205479452054841E-2</v>
      </c>
      <c r="J2607" s="1">
        <f t="shared" si="368"/>
        <v>-1.4099999999999966</v>
      </c>
      <c r="K2607" s="9">
        <f t="shared" si="361"/>
        <v>-1.8774966711051888E-2</v>
      </c>
      <c r="L2607" s="1">
        <f t="shared" si="362"/>
        <v>1</v>
      </c>
      <c r="M2607" s="1">
        <f t="shared" si="363"/>
        <v>74.84</v>
      </c>
      <c r="N2607" s="1">
        <f t="shared" si="364"/>
        <v>73</v>
      </c>
      <c r="O2607" s="1">
        <f t="shared" si="365"/>
        <v>71.73</v>
      </c>
      <c r="P2607" s="1">
        <f t="shared" si="366"/>
        <v>36.596938775510203</v>
      </c>
    </row>
    <row r="2608" spans="1:16">
      <c r="A2608" s="2">
        <v>39276</v>
      </c>
      <c r="B2608" s="1">
        <v>73.08</v>
      </c>
      <c r="C2608" s="1">
        <v>75.349999999999994</v>
      </c>
      <c r="D2608" s="1">
        <v>72.97</v>
      </c>
      <c r="E2608" s="1">
        <v>75.099999999999994</v>
      </c>
      <c r="F2608" s="1">
        <v>12502000</v>
      </c>
      <c r="G2608" s="1">
        <v>75.099999999999994</v>
      </c>
      <c r="H2608" s="1">
        <f t="shared" si="360"/>
        <v>2.3799999999999955</v>
      </c>
      <c r="I2608" s="9">
        <f t="shared" si="367"/>
        <v>3.2616143620665963E-2</v>
      </c>
      <c r="J2608" s="1">
        <f t="shared" si="368"/>
        <v>2.3099999999999881</v>
      </c>
      <c r="K2608" s="9">
        <f t="shared" si="361"/>
        <v>3.1735128451710233E-2</v>
      </c>
      <c r="L2608" s="1">
        <f t="shared" si="362"/>
        <v>1</v>
      </c>
      <c r="M2608" s="1">
        <f t="shared" si="363"/>
        <v>75.349999999999994</v>
      </c>
      <c r="N2608" s="1">
        <f t="shared" si="364"/>
        <v>72.97</v>
      </c>
      <c r="O2608" s="1">
        <f t="shared" si="365"/>
        <v>73.14</v>
      </c>
      <c r="P2608" s="1">
        <f t="shared" si="366"/>
        <v>37.316326530612244</v>
      </c>
    </row>
    <row r="2609" spans="1:16">
      <c r="A2609" s="2">
        <v>39275</v>
      </c>
      <c r="B2609" s="1">
        <v>71.31</v>
      </c>
      <c r="C2609" s="1">
        <v>73.569999999999993</v>
      </c>
      <c r="D2609" s="1">
        <v>70.73</v>
      </c>
      <c r="E2609" s="1">
        <v>72.790000000000006</v>
      </c>
      <c r="F2609" s="1">
        <v>11451600</v>
      </c>
      <c r="G2609" s="1">
        <v>72.790000000000006</v>
      </c>
      <c r="H2609" s="1">
        <f t="shared" si="360"/>
        <v>2.8399999999999892</v>
      </c>
      <c r="I2609" s="9">
        <f t="shared" si="367"/>
        <v>4.0152693340873589E-2</v>
      </c>
      <c r="J2609" s="1">
        <f t="shared" si="368"/>
        <v>2.0600000000000023</v>
      </c>
      <c r="K2609" s="9">
        <f t="shared" si="361"/>
        <v>2.9124840944436622E-2</v>
      </c>
      <c r="L2609" s="1">
        <f t="shared" si="362"/>
        <v>1</v>
      </c>
      <c r="M2609" s="1">
        <f t="shared" si="363"/>
        <v>73.569999999999993</v>
      </c>
      <c r="N2609" s="1">
        <f t="shared" si="364"/>
        <v>70.73</v>
      </c>
      <c r="O2609" s="1">
        <f t="shared" si="365"/>
        <v>70.830000000000013</v>
      </c>
      <c r="P2609" s="1">
        <f t="shared" si="366"/>
        <v>36.137755102040821</v>
      </c>
    </row>
    <row r="2610" spans="1:16">
      <c r="A2610" s="2">
        <v>39274</v>
      </c>
      <c r="B2610" s="1">
        <v>70.58</v>
      </c>
      <c r="C2610" s="1">
        <v>71.650000000000006</v>
      </c>
      <c r="D2610" s="1">
        <v>70.150000000000006</v>
      </c>
      <c r="E2610" s="1">
        <v>70.73</v>
      </c>
      <c r="F2610" s="1">
        <v>6593600</v>
      </c>
      <c r="G2610" s="1">
        <v>70.73</v>
      </c>
      <c r="H2610" s="1">
        <f t="shared" si="360"/>
        <v>1.5</v>
      </c>
      <c r="I2610" s="9">
        <f t="shared" si="367"/>
        <v>2.1382751247327154E-2</v>
      </c>
      <c r="J2610" s="1">
        <f t="shared" si="368"/>
        <v>0.45000000000000284</v>
      </c>
      <c r="K2610" s="9">
        <f t="shared" si="361"/>
        <v>6.4029595902106266E-3</v>
      </c>
      <c r="L2610" s="1">
        <f t="shared" si="362"/>
        <v>1</v>
      </c>
      <c r="M2610" s="1">
        <f t="shared" si="363"/>
        <v>71.650000000000006</v>
      </c>
      <c r="N2610" s="1">
        <f t="shared" si="364"/>
        <v>70.150000000000006</v>
      </c>
      <c r="O2610" s="1">
        <f t="shared" si="365"/>
        <v>68.77000000000001</v>
      </c>
      <c r="P2610" s="1">
        <f t="shared" si="366"/>
        <v>35.08673469387756</v>
      </c>
    </row>
    <row r="2611" spans="1:16">
      <c r="A2611" s="2">
        <v>39273</v>
      </c>
      <c r="B2611" s="1">
        <v>71.650000000000006</v>
      </c>
      <c r="C2611" s="1">
        <v>71.94</v>
      </c>
      <c r="D2611" s="1">
        <v>70.069999999999993</v>
      </c>
      <c r="E2611" s="1">
        <v>70.28</v>
      </c>
      <c r="F2611" s="1">
        <v>8885400</v>
      </c>
      <c r="G2611" s="1">
        <v>70.28</v>
      </c>
      <c r="H2611" s="1">
        <f t="shared" si="360"/>
        <v>1.8700000000000045</v>
      </c>
      <c r="I2611" s="9">
        <f t="shared" si="367"/>
        <v>2.6687598116169612E-2</v>
      </c>
      <c r="J2611" s="1">
        <f t="shared" si="368"/>
        <v>-1.789999999999992</v>
      </c>
      <c r="K2611" s="9">
        <f t="shared" si="361"/>
        <v>-2.4836964062716696E-2</v>
      </c>
      <c r="L2611" s="1">
        <f t="shared" si="362"/>
        <v>1</v>
      </c>
      <c r="M2611" s="1">
        <f t="shared" si="363"/>
        <v>71.94</v>
      </c>
      <c r="N2611" s="1">
        <f t="shared" si="364"/>
        <v>70.069999999999993</v>
      </c>
      <c r="O2611" s="1">
        <f t="shared" si="365"/>
        <v>68.320000000000007</v>
      </c>
      <c r="P2611" s="1">
        <f t="shared" si="366"/>
        <v>34.857142857142861</v>
      </c>
    </row>
    <row r="2612" spans="1:16">
      <c r="A2612" s="2">
        <v>39272</v>
      </c>
      <c r="B2612" s="1">
        <v>69.38</v>
      </c>
      <c r="C2612" s="1">
        <v>72.349999999999994</v>
      </c>
      <c r="D2612" s="1">
        <v>69.02</v>
      </c>
      <c r="E2612" s="1">
        <v>72.069999999999993</v>
      </c>
      <c r="F2612" s="1">
        <v>14816900</v>
      </c>
      <c r="G2612" s="1">
        <v>72.069999999999993</v>
      </c>
      <c r="H2612" s="1">
        <f t="shared" si="360"/>
        <v>3.3299999999999983</v>
      </c>
      <c r="I2612" s="9">
        <f t="shared" si="367"/>
        <v>4.8246884960880886E-2</v>
      </c>
      <c r="J2612" s="1">
        <f t="shared" si="368"/>
        <v>3.0999999999999943</v>
      </c>
      <c r="K2612" s="9">
        <f t="shared" si="361"/>
        <v>4.4947078439901325E-2</v>
      </c>
      <c r="L2612" s="1">
        <f t="shared" si="362"/>
        <v>1</v>
      </c>
      <c r="M2612" s="1">
        <f t="shared" si="363"/>
        <v>72.349999999999994</v>
      </c>
      <c r="N2612" s="1">
        <f t="shared" si="364"/>
        <v>69.02</v>
      </c>
      <c r="O2612" s="1">
        <f t="shared" si="365"/>
        <v>70.11</v>
      </c>
      <c r="P2612" s="1">
        <f t="shared" si="366"/>
        <v>35.770408163265309</v>
      </c>
    </row>
    <row r="2613" spans="1:16">
      <c r="A2613" s="2">
        <v>39269</v>
      </c>
      <c r="B2613" s="1">
        <v>68.75</v>
      </c>
      <c r="C2613" s="1">
        <v>69.3</v>
      </c>
      <c r="D2613" s="1">
        <v>68.010000000000005</v>
      </c>
      <c r="E2613" s="1">
        <v>68.97</v>
      </c>
      <c r="F2613" s="1">
        <v>4615300</v>
      </c>
      <c r="G2613" s="1">
        <v>68.97</v>
      </c>
      <c r="H2613" s="1">
        <f t="shared" si="360"/>
        <v>1.289999999999992</v>
      </c>
      <c r="I2613" s="9">
        <f t="shared" si="367"/>
        <v>1.8967798853109719E-2</v>
      </c>
      <c r="J2613" s="1">
        <f t="shared" si="368"/>
        <v>0.23999999999999488</v>
      </c>
      <c r="K2613" s="9">
        <f t="shared" si="361"/>
        <v>3.4919249236140676E-3</v>
      </c>
      <c r="L2613" s="1">
        <f t="shared" si="362"/>
        <v>1</v>
      </c>
      <c r="M2613" s="1">
        <f t="shared" si="363"/>
        <v>69.3</v>
      </c>
      <c r="N2613" s="1">
        <f t="shared" si="364"/>
        <v>68.010000000000005</v>
      </c>
      <c r="O2613" s="1">
        <f t="shared" si="365"/>
        <v>67.010000000000005</v>
      </c>
      <c r="P2613" s="1">
        <f t="shared" si="366"/>
        <v>34.188775510204081</v>
      </c>
    </row>
    <row r="2614" spans="1:16">
      <c r="A2614" s="2">
        <v>39268</v>
      </c>
      <c r="B2614" s="1">
        <v>69.36</v>
      </c>
      <c r="C2614" s="1">
        <v>69.650000000000006</v>
      </c>
      <c r="D2614" s="1">
        <v>68.06</v>
      </c>
      <c r="E2614" s="1">
        <v>68.73</v>
      </c>
      <c r="F2614" s="1">
        <v>4487900</v>
      </c>
      <c r="G2614" s="1">
        <v>68.73</v>
      </c>
      <c r="H2614" s="1">
        <f t="shared" si="360"/>
        <v>1.5900000000000034</v>
      </c>
      <c r="I2614" s="9">
        <f t="shared" si="367"/>
        <v>2.3361739641492851E-2</v>
      </c>
      <c r="J2614" s="1">
        <f t="shared" si="368"/>
        <v>-0.71999999999999886</v>
      </c>
      <c r="K2614" s="9">
        <f t="shared" si="361"/>
        <v>-1.0367170626349875E-2</v>
      </c>
      <c r="L2614" s="1">
        <f t="shared" si="362"/>
        <v>1</v>
      </c>
      <c r="M2614" s="1">
        <f t="shared" si="363"/>
        <v>69.650000000000006</v>
      </c>
      <c r="N2614" s="1">
        <f t="shared" si="364"/>
        <v>68.06</v>
      </c>
      <c r="O2614" s="1">
        <f t="shared" si="365"/>
        <v>66.77000000000001</v>
      </c>
      <c r="P2614" s="1">
        <f t="shared" si="366"/>
        <v>34.066326530612251</v>
      </c>
    </row>
    <row r="2615" spans="1:16">
      <c r="A2615" s="2">
        <v>39266</v>
      </c>
      <c r="B2615" s="1">
        <v>70.040000000000006</v>
      </c>
      <c r="C2615" s="1">
        <v>70.05</v>
      </c>
      <c r="D2615" s="1">
        <v>69.02</v>
      </c>
      <c r="E2615" s="1">
        <v>69.45</v>
      </c>
      <c r="F2615" s="1">
        <v>2223500</v>
      </c>
      <c r="G2615" s="1">
        <v>69.45</v>
      </c>
      <c r="H2615" s="1">
        <f t="shared" si="360"/>
        <v>1.0300000000000011</v>
      </c>
      <c r="I2615" s="9">
        <f t="shared" si="367"/>
        <v>1.4923210663575793E-2</v>
      </c>
      <c r="J2615" s="1">
        <f t="shared" si="368"/>
        <v>-0.15999999999999659</v>
      </c>
      <c r="K2615" s="9">
        <f t="shared" si="361"/>
        <v>-2.2985203275390975E-3</v>
      </c>
      <c r="L2615" s="1">
        <f t="shared" si="362"/>
        <v>1</v>
      </c>
      <c r="M2615" s="1">
        <f t="shared" si="363"/>
        <v>70.05</v>
      </c>
      <c r="N2615" s="1">
        <f t="shared" si="364"/>
        <v>69.02</v>
      </c>
      <c r="O2615" s="1">
        <f t="shared" si="365"/>
        <v>67.490000000000009</v>
      </c>
      <c r="P2615" s="1">
        <f t="shared" si="366"/>
        <v>34.433673469387763</v>
      </c>
    </row>
    <row r="2616" spans="1:16">
      <c r="A2616" s="2">
        <v>39265</v>
      </c>
      <c r="B2616" s="1">
        <v>68.81</v>
      </c>
      <c r="C2616" s="1">
        <v>69.709999999999994</v>
      </c>
      <c r="D2616" s="1">
        <v>68.2</v>
      </c>
      <c r="E2616" s="1">
        <v>69.61</v>
      </c>
      <c r="F2616" s="1">
        <v>4906100</v>
      </c>
      <c r="G2616" s="1">
        <v>69.61</v>
      </c>
      <c r="H2616" s="1">
        <f t="shared" si="360"/>
        <v>1.5099999999999909</v>
      </c>
      <c r="I2616" s="9">
        <f t="shared" si="367"/>
        <v>2.2140762463342973E-2</v>
      </c>
      <c r="J2616" s="1">
        <f t="shared" si="368"/>
        <v>1.2000000000000028</v>
      </c>
      <c r="K2616" s="9">
        <f t="shared" si="361"/>
        <v>1.7541295132290642E-2</v>
      </c>
      <c r="L2616" s="1">
        <f t="shared" si="362"/>
        <v>1</v>
      </c>
      <c r="M2616" s="1">
        <f t="shared" si="363"/>
        <v>69.709999999999994</v>
      </c>
      <c r="N2616" s="1">
        <f t="shared" si="364"/>
        <v>68.2</v>
      </c>
      <c r="O2616" s="1">
        <f t="shared" si="365"/>
        <v>67.650000000000006</v>
      </c>
      <c r="P2616" s="1">
        <f t="shared" si="366"/>
        <v>34.515306122448983</v>
      </c>
    </row>
    <row r="2617" spans="1:16">
      <c r="A2617" s="2">
        <v>39262</v>
      </c>
      <c r="B2617" s="1">
        <v>69.03</v>
      </c>
      <c r="C2617" s="1">
        <v>69.19</v>
      </c>
      <c r="D2617" s="1">
        <v>68.150000000000006</v>
      </c>
      <c r="E2617" s="1">
        <v>68.41</v>
      </c>
      <c r="F2617" s="1">
        <v>5316600</v>
      </c>
      <c r="G2617" s="1">
        <v>68.41</v>
      </c>
      <c r="H2617" s="1">
        <f t="shared" si="360"/>
        <v>1.039999999999992</v>
      </c>
      <c r="I2617" s="9">
        <f t="shared" si="367"/>
        <v>1.5260454878943388E-2</v>
      </c>
      <c r="J2617" s="1">
        <f t="shared" si="368"/>
        <v>-0.48000000000000398</v>
      </c>
      <c r="K2617" s="9">
        <f t="shared" si="361"/>
        <v>-6.9676295543620844E-3</v>
      </c>
      <c r="L2617" s="1">
        <f t="shared" si="362"/>
        <v>1</v>
      </c>
      <c r="M2617" s="1">
        <f t="shared" si="363"/>
        <v>69.19</v>
      </c>
      <c r="N2617" s="1">
        <f t="shared" si="364"/>
        <v>68.150000000000006</v>
      </c>
      <c r="O2617" s="1">
        <f t="shared" si="365"/>
        <v>66.45</v>
      </c>
      <c r="P2617" s="1">
        <f t="shared" si="366"/>
        <v>33.903061224489797</v>
      </c>
    </row>
    <row r="2618" spans="1:16">
      <c r="A2618" s="2">
        <v>39261</v>
      </c>
      <c r="B2618" s="1">
        <v>68.459999999999994</v>
      </c>
      <c r="C2618" s="1">
        <v>70.23</v>
      </c>
      <c r="D2618" s="1">
        <v>68.150000000000006</v>
      </c>
      <c r="E2618" s="1">
        <v>68.89</v>
      </c>
      <c r="F2618" s="1">
        <v>9782200</v>
      </c>
      <c r="G2618" s="1">
        <v>68.89</v>
      </c>
      <c r="H2618" s="1">
        <f t="shared" si="360"/>
        <v>2.0799999999999983</v>
      </c>
      <c r="I2618" s="9">
        <f t="shared" si="367"/>
        <v>3.0520909757886985E-2</v>
      </c>
      <c r="J2618" s="1">
        <f t="shared" si="368"/>
        <v>0.75</v>
      </c>
      <c r="K2618" s="9">
        <f t="shared" si="361"/>
        <v>1.1006750807161726E-2</v>
      </c>
      <c r="L2618" s="1">
        <f t="shared" si="362"/>
        <v>1</v>
      </c>
      <c r="M2618" s="1">
        <f t="shared" si="363"/>
        <v>70.23</v>
      </c>
      <c r="N2618" s="1">
        <f t="shared" si="364"/>
        <v>68.150000000000006</v>
      </c>
      <c r="O2618" s="1">
        <f t="shared" si="365"/>
        <v>66.930000000000007</v>
      </c>
      <c r="P2618" s="1">
        <f t="shared" si="366"/>
        <v>34.147959183673471</v>
      </c>
    </row>
    <row r="2619" spans="1:16">
      <c r="A2619" s="2">
        <v>39260</v>
      </c>
      <c r="B2619" s="1">
        <v>66.959999999999994</v>
      </c>
      <c r="C2619" s="1">
        <v>68.209999999999994</v>
      </c>
      <c r="D2619" s="1">
        <v>66.709999999999994</v>
      </c>
      <c r="E2619" s="1">
        <v>68.14</v>
      </c>
      <c r="F2619" s="1">
        <v>8242900</v>
      </c>
      <c r="G2619" s="1">
        <v>68.14</v>
      </c>
      <c r="H2619" s="1">
        <f t="shared" si="360"/>
        <v>1.5</v>
      </c>
      <c r="I2619" s="9">
        <f t="shared" si="367"/>
        <v>2.2485384500074954E-2</v>
      </c>
      <c r="J2619" s="1">
        <f t="shared" si="368"/>
        <v>0.65999999999999659</v>
      </c>
      <c r="K2619" s="9">
        <f t="shared" si="361"/>
        <v>9.7806757557794399E-3</v>
      </c>
      <c r="L2619" s="1">
        <f t="shared" si="362"/>
        <v>1</v>
      </c>
      <c r="M2619" s="1">
        <f t="shared" si="363"/>
        <v>68.209999999999994</v>
      </c>
      <c r="N2619" s="1">
        <f t="shared" si="364"/>
        <v>66.709999999999994</v>
      </c>
      <c r="O2619" s="1">
        <f t="shared" si="365"/>
        <v>66.180000000000007</v>
      </c>
      <c r="P2619" s="1">
        <f t="shared" si="366"/>
        <v>33.765306122448983</v>
      </c>
    </row>
    <row r="2620" spans="1:16">
      <c r="A2620" s="2">
        <v>39259</v>
      </c>
      <c r="B2620" s="1">
        <v>68.53</v>
      </c>
      <c r="C2620" s="1">
        <v>68.63</v>
      </c>
      <c r="D2620" s="1">
        <v>67.38</v>
      </c>
      <c r="E2620" s="1">
        <v>67.48</v>
      </c>
      <c r="F2620" s="1">
        <v>11247800</v>
      </c>
      <c r="G2620" s="1">
        <v>67.48</v>
      </c>
      <c r="H2620" s="1">
        <f t="shared" si="360"/>
        <v>1.25</v>
      </c>
      <c r="I2620" s="9">
        <f t="shared" si="367"/>
        <v>1.8551498961116058E-2</v>
      </c>
      <c r="J2620" s="1">
        <f t="shared" si="368"/>
        <v>-1.1799999999999926</v>
      </c>
      <c r="K2620" s="9">
        <f t="shared" si="361"/>
        <v>-1.7186134576172338E-2</v>
      </c>
      <c r="L2620" s="1">
        <f t="shared" si="362"/>
        <v>1</v>
      </c>
      <c r="M2620" s="1">
        <f t="shared" si="363"/>
        <v>68.63</v>
      </c>
      <c r="N2620" s="1">
        <f t="shared" si="364"/>
        <v>67.38</v>
      </c>
      <c r="O2620" s="1">
        <f t="shared" si="365"/>
        <v>65.52000000000001</v>
      </c>
      <c r="P2620" s="1">
        <f t="shared" si="366"/>
        <v>33.428571428571438</v>
      </c>
    </row>
    <row r="2621" spans="1:16">
      <c r="A2621" s="2">
        <v>39258</v>
      </c>
      <c r="B2621" s="1">
        <v>69.349999999999994</v>
      </c>
      <c r="C2621" s="1">
        <v>69.63</v>
      </c>
      <c r="D2621" s="1">
        <v>68.3</v>
      </c>
      <c r="E2621" s="1">
        <v>68.66</v>
      </c>
      <c r="F2621" s="1">
        <v>7593500</v>
      </c>
      <c r="G2621" s="1">
        <v>68.66</v>
      </c>
      <c r="H2621" s="1">
        <f t="shared" si="360"/>
        <v>1.3299999999999983</v>
      </c>
      <c r="I2621" s="9">
        <f t="shared" si="367"/>
        <v>1.9472913616398219E-2</v>
      </c>
      <c r="J2621" s="1">
        <f t="shared" si="368"/>
        <v>-0.20000000000000284</v>
      </c>
      <c r="K2621" s="9">
        <f t="shared" si="361"/>
        <v>-2.9044437990125302E-3</v>
      </c>
      <c r="L2621" s="1">
        <f t="shared" si="362"/>
        <v>1</v>
      </c>
      <c r="M2621" s="1">
        <f t="shared" si="363"/>
        <v>69.63</v>
      </c>
      <c r="N2621" s="1">
        <f t="shared" si="364"/>
        <v>68.3</v>
      </c>
      <c r="O2621" s="1">
        <f t="shared" si="365"/>
        <v>66.7</v>
      </c>
      <c r="P2621" s="1">
        <f t="shared" si="366"/>
        <v>34.030612244897959</v>
      </c>
    </row>
    <row r="2622" spans="1:16">
      <c r="A2622" s="2">
        <v>39255</v>
      </c>
      <c r="B2622" s="1">
        <v>69.55</v>
      </c>
      <c r="C2622" s="1">
        <v>69.88</v>
      </c>
      <c r="D2622" s="1">
        <v>68.42</v>
      </c>
      <c r="E2622" s="1">
        <v>68.86</v>
      </c>
      <c r="F2622" s="1">
        <v>8382600</v>
      </c>
      <c r="G2622" s="1">
        <v>68.86</v>
      </c>
      <c r="H2622" s="1">
        <f t="shared" si="360"/>
        <v>1.4599999999999937</v>
      </c>
      <c r="I2622" s="9">
        <f t="shared" si="367"/>
        <v>2.1338789827535717E-2</v>
      </c>
      <c r="J2622" s="1">
        <f t="shared" si="368"/>
        <v>-0.81000000000000227</v>
      </c>
      <c r="K2622" s="9">
        <f t="shared" si="361"/>
        <v>-1.1626237979044097E-2</v>
      </c>
      <c r="L2622" s="1">
        <f t="shared" si="362"/>
        <v>1</v>
      </c>
      <c r="M2622" s="1">
        <f t="shared" si="363"/>
        <v>69.88</v>
      </c>
      <c r="N2622" s="1">
        <f t="shared" si="364"/>
        <v>68.42</v>
      </c>
      <c r="O2622" s="1">
        <f t="shared" si="365"/>
        <v>66.900000000000006</v>
      </c>
      <c r="P2622" s="1">
        <f t="shared" si="366"/>
        <v>34.132653061224495</v>
      </c>
    </row>
    <row r="2623" spans="1:16">
      <c r="A2623" s="2">
        <v>39254</v>
      </c>
      <c r="B2623" s="1">
        <v>69.16</v>
      </c>
      <c r="C2623" s="1">
        <v>69.77</v>
      </c>
      <c r="D2623" s="1">
        <v>68.66</v>
      </c>
      <c r="E2623" s="1">
        <v>69.67</v>
      </c>
      <c r="F2623" s="1">
        <v>7609700</v>
      </c>
      <c r="G2623" s="1">
        <v>69.67</v>
      </c>
      <c r="H2623" s="1">
        <f t="shared" si="360"/>
        <v>1.1099999999999994</v>
      </c>
      <c r="I2623" s="9">
        <f t="shared" si="367"/>
        <v>1.6166618118263903E-2</v>
      </c>
      <c r="J2623" s="1">
        <f t="shared" si="368"/>
        <v>0.57000000000000739</v>
      </c>
      <c r="K2623" s="9">
        <f t="shared" si="361"/>
        <v>8.2489146164979373E-3</v>
      </c>
      <c r="L2623" s="1">
        <f t="shared" si="362"/>
        <v>1</v>
      </c>
      <c r="M2623" s="1">
        <f t="shared" si="363"/>
        <v>69.77</v>
      </c>
      <c r="N2623" s="1">
        <f t="shared" si="364"/>
        <v>68.66</v>
      </c>
      <c r="O2623" s="1">
        <f t="shared" si="365"/>
        <v>67.710000000000008</v>
      </c>
      <c r="P2623" s="1">
        <f t="shared" si="366"/>
        <v>34.545918367346943</v>
      </c>
    </row>
    <row r="2624" spans="1:16">
      <c r="A2624" s="2">
        <v>39253</v>
      </c>
      <c r="B2624" s="1">
        <v>70.25</v>
      </c>
      <c r="C2624" s="1">
        <v>70.5</v>
      </c>
      <c r="D2624" s="1">
        <v>69.05</v>
      </c>
      <c r="E2624" s="1">
        <v>69.099999999999994</v>
      </c>
      <c r="F2624" s="1">
        <v>9172600</v>
      </c>
      <c r="G2624" s="1">
        <v>69.099999999999994</v>
      </c>
      <c r="H2624" s="1">
        <f t="shared" si="360"/>
        <v>1.4500000000000028</v>
      </c>
      <c r="I2624" s="9">
        <f t="shared" si="367"/>
        <v>2.099927588703842E-2</v>
      </c>
      <c r="J2624" s="1">
        <f t="shared" si="368"/>
        <v>-0.71000000000000796</v>
      </c>
      <c r="K2624" s="9">
        <f t="shared" si="361"/>
        <v>-1.0170462684429279E-2</v>
      </c>
      <c r="L2624" s="1">
        <f t="shared" si="362"/>
        <v>1</v>
      </c>
      <c r="M2624" s="1">
        <f t="shared" si="363"/>
        <v>70.5</v>
      </c>
      <c r="N2624" s="1">
        <f t="shared" si="364"/>
        <v>69.05</v>
      </c>
      <c r="O2624" s="1">
        <f t="shared" si="365"/>
        <v>67.14</v>
      </c>
      <c r="P2624" s="1">
        <f t="shared" si="366"/>
        <v>34.255102040816325</v>
      </c>
    </row>
    <row r="2625" spans="1:16">
      <c r="A2625" s="2">
        <v>39252</v>
      </c>
      <c r="B2625" s="1">
        <v>71.55</v>
      </c>
      <c r="C2625" s="1">
        <v>71.66</v>
      </c>
      <c r="D2625" s="1">
        <v>69.680000000000007</v>
      </c>
      <c r="E2625" s="1">
        <v>69.81</v>
      </c>
      <c r="F2625" s="1">
        <v>11871000</v>
      </c>
      <c r="G2625" s="1">
        <v>69.81</v>
      </c>
      <c r="H2625" s="1">
        <f t="shared" si="360"/>
        <v>1.9799999999999898</v>
      </c>
      <c r="I2625" s="9">
        <f t="shared" si="367"/>
        <v>2.8415614236509609E-2</v>
      </c>
      <c r="J2625" s="1">
        <f t="shared" si="368"/>
        <v>-2.019999999999996</v>
      </c>
      <c r="K2625" s="9">
        <f t="shared" si="361"/>
        <v>-2.812195461506329E-2</v>
      </c>
      <c r="L2625" s="1">
        <f t="shared" si="362"/>
        <v>1</v>
      </c>
      <c r="M2625" s="1">
        <f t="shared" si="363"/>
        <v>71.66</v>
      </c>
      <c r="N2625" s="1">
        <f t="shared" si="364"/>
        <v>69.680000000000007</v>
      </c>
      <c r="O2625" s="1">
        <f t="shared" si="365"/>
        <v>67.850000000000009</v>
      </c>
      <c r="P2625" s="1">
        <f t="shared" si="366"/>
        <v>34.617346938775512</v>
      </c>
    </row>
    <row r="2626" spans="1:16">
      <c r="A2626" s="2">
        <v>39251</v>
      </c>
      <c r="B2626" s="1">
        <v>72.34</v>
      </c>
      <c r="C2626" s="1">
        <v>72.64</v>
      </c>
      <c r="D2626" s="1">
        <v>71.400000000000006</v>
      </c>
      <c r="E2626" s="1">
        <v>71.83</v>
      </c>
      <c r="F2626" s="1">
        <v>7813600</v>
      </c>
      <c r="G2626" s="1">
        <v>71.83</v>
      </c>
      <c r="H2626" s="1">
        <f t="shared" si="360"/>
        <v>1.2399999999999949</v>
      </c>
      <c r="I2626" s="9">
        <f t="shared" si="367"/>
        <v>1.7366946778711412E-2</v>
      </c>
      <c r="J2626" s="1">
        <f t="shared" si="368"/>
        <v>-0.57000000000000739</v>
      </c>
      <c r="K2626" s="9">
        <f t="shared" si="361"/>
        <v>-7.8729281767956818E-3</v>
      </c>
      <c r="L2626" s="1">
        <f t="shared" si="362"/>
        <v>1</v>
      </c>
      <c r="M2626" s="1">
        <f t="shared" si="363"/>
        <v>72.64</v>
      </c>
      <c r="N2626" s="1">
        <f t="shared" si="364"/>
        <v>71.400000000000006</v>
      </c>
      <c r="O2626" s="1">
        <f t="shared" si="365"/>
        <v>69.87</v>
      </c>
      <c r="P2626" s="1">
        <f t="shared" si="366"/>
        <v>35.647959183673471</v>
      </c>
    </row>
    <row r="2627" spans="1:16">
      <c r="A2627" s="2">
        <v>39248</v>
      </c>
      <c r="B2627" s="1">
        <v>72.849999999999994</v>
      </c>
      <c r="C2627" s="1">
        <v>72.87</v>
      </c>
      <c r="D2627" s="1">
        <v>71.19</v>
      </c>
      <c r="E2627" s="1">
        <v>72.400000000000006</v>
      </c>
      <c r="F2627" s="1">
        <v>9833200</v>
      </c>
      <c r="G2627" s="1">
        <v>72.400000000000006</v>
      </c>
      <c r="H2627" s="1">
        <f t="shared" ref="H2627:H2690" si="369">C2627-D2627</f>
        <v>1.6800000000000068</v>
      </c>
      <c r="I2627" s="9">
        <f t="shared" si="367"/>
        <v>2.3598820058997147E-2</v>
      </c>
      <c r="J2627" s="1">
        <f t="shared" si="368"/>
        <v>0.46000000000000796</v>
      </c>
      <c r="K2627" s="9">
        <f t="shared" ref="K2627:K2690" si="370">(G2627-G2628)/G2628</f>
        <v>6.3942174033918258E-3</v>
      </c>
      <c r="L2627" s="1">
        <f t="shared" ref="L2627:L2690" si="371">G2627/E2627</f>
        <v>1</v>
      </c>
      <c r="M2627" s="1">
        <f t="shared" ref="M2627:M2690" si="372">L2627*C2627</f>
        <v>72.87</v>
      </c>
      <c r="N2627" s="1">
        <f t="shared" ref="N2627:N2690" si="373">L2627*D2627</f>
        <v>71.19</v>
      </c>
      <c r="O2627" s="1">
        <f t="shared" ref="O2627:O2690" si="374">G2627-$G$5163</f>
        <v>70.440000000000012</v>
      </c>
      <c r="P2627" s="1">
        <f t="shared" ref="P2627:P2690" si="375">(G2627-$G$5163)/$G$5163</f>
        <v>35.938775510204088</v>
      </c>
    </row>
    <row r="2628" spans="1:16">
      <c r="A2628" s="2">
        <v>39247</v>
      </c>
      <c r="B2628" s="1">
        <v>70.900000000000006</v>
      </c>
      <c r="C2628" s="1">
        <v>72.12</v>
      </c>
      <c r="D2628" s="1">
        <v>70.8</v>
      </c>
      <c r="E2628" s="1">
        <v>71.94</v>
      </c>
      <c r="F2628" s="1">
        <v>8245300</v>
      </c>
      <c r="G2628" s="1">
        <v>71.94</v>
      </c>
      <c r="H2628" s="1">
        <f t="shared" si="369"/>
        <v>1.3200000000000074</v>
      </c>
      <c r="I2628" s="9">
        <f t="shared" ref="I2628:I2691" si="376">(C2628-D2628)/D2628</f>
        <v>1.8644067796610275E-2</v>
      </c>
      <c r="J2628" s="1">
        <f t="shared" ref="J2628:J2691" si="377">G2628-G2629</f>
        <v>1.0499999999999972</v>
      </c>
      <c r="K2628" s="9">
        <f t="shared" si="370"/>
        <v>1.4811680067710498E-2</v>
      </c>
      <c r="L2628" s="1">
        <f t="shared" si="371"/>
        <v>1</v>
      </c>
      <c r="M2628" s="1">
        <f t="shared" si="372"/>
        <v>72.12</v>
      </c>
      <c r="N2628" s="1">
        <f t="shared" si="373"/>
        <v>70.8</v>
      </c>
      <c r="O2628" s="1">
        <f t="shared" si="374"/>
        <v>69.98</v>
      </c>
      <c r="P2628" s="1">
        <f t="shared" si="375"/>
        <v>35.704081632653065</v>
      </c>
    </row>
    <row r="2629" spans="1:16">
      <c r="A2629" s="2">
        <v>39246</v>
      </c>
      <c r="B2629" s="1">
        <v>70.900000000000006</v>
      </c>
      <c r="C2629" s="1">
        <v>71.89</v>
      </c>
      <c r="D2629" s="1">
        <v>69.25</v>
      </c>
      <c r="E2629" s="1">
        <v>70.89</v>
      </c>
      <c r="F2629" s="1">
        <v>11917900</v>
      </c>
      <c r="G2629" s="1">
        <v>70.89</v>
      </c>
      <c r="H2629" s="1">
        <f t="shared" si="369"/>
        <v>2.6400000000000006</v>
      </c>
      <c r="I2629" s="9">
        <f t="shared" si="376"/>
        <v>3.812274368231048E-2</v>
      </c>
      <c r="J2629" s="1">
        <f t="shared" si="377"/>
        <v>0.82000000000000739</v>
      </c>
      <c r="K2629" s="9">
        <f t="shared" si="370"/>
        <v>1.1702583131154666E-2</v>
      </c>
      <c r="L2629" s="1">
        <f t="shared" si="371"/>
        <v>1</v>
      </c>
      <c r="M2629" s="1">
        <f t="shared" si="372"/>
        <v>71.89</v>
      </c>
      <c r="N2629" s="1">
        <f t="shared" si="373"/>
        <v>69.25</v>
      </c>
      <c r="O2629" s="1">
        <f t="shared" si="374"/>
        <v>68.930000000000007</v>
      </c>
      <c r="P2629" s="1">
        <f t="shared" si="375"/>
        <v>35.16836734693878</v>
      </c>
    </row>
    <row r="2630" spans="1:16">
      <c r="A2630" s="2">
        <v>39245</v>
      </c>
      <c r="B2630" s="1">
        <v>70.44</v>
      </c>
      <c r="C2630" s="1">
        <v>70.760000000000005</v>
      </c>
      <c r="D2630" s="1">
        <v>69.42</v>
      </c>
      <c r="E2630" s="1">
        <v>70.069999999999993</v>
      </c>
      <c r="F2630" s="1">
        <v>11829500</v>
      </c>
      <c r="G2630" s="1">
        <v>70.069999999999993</v>
      </c>
      <c r="H2630" s="1">
        <f t="shared" si="369"/>
        <v>1.3400000000000034</v>
      </c>
      <c r="I2630" s="9">
        <f t="shared" si="376"/>
        <v>1.9302794583693508E-2</v>
      </c>
      <c r="J2630" s="1">
        <f t="shared" si="377"/>
        <v>-1.1000000000000085</v>
      </c>
      <c r="K2630" s="9">
        <f t="shared" si="370"/>
        <v>-1.5455950540958389E-2</v>
      </c>
      <c r="L2630" s="1">
        <f t="shared" si="371"/>
        <v>1</v>
      </c>
      <c r="M2630" s="1">
        <f t="shared" si="372"/>
        <v>70.760000000000005</v>
      </c>
      <c r="N2630" s="1">
        <f t="shared" si="373"/>
        <v>69.42</v>
      </c>
      <c r="O2630" s="1">
        <f t="shared" si="374"/>
        <v>68.11</v>
      </c>
      <c r="P2630" s="1">
        <f t="shared" si="375"/>
        <v>34.75</v>
      </c>
    </row>
    <row r="2631" spans="1:16">
      <c r="A2631" s="2">
        <v>39244</v>
      </c>
      <c r="B2631" s="1">
        <v>73</v>
      </c>
      <c r="C2631" s="1">
        <v>73.05</v>
      </c>
      <c r="D2631" s="1">
        <v>71</v>
      </c>
      <c r="E2631" s="1">
        <v>71.17</v>
      </c>
      <c r="F2631" s="1">
        <v>11159100</v>
      </c>
      <c r="G2631" s="1">
        <v>71.17</v>
      </c>
      <c r="H2631" s="1">
        <f t="shared" si="369"/>
        <v>2.0499999999999972</v>
      </c>
      <c r="I2631" s="9">
        <f t="shared" si="376"/>
        <v>2.887323943661968E-2</v>
      </c>
      <c r="J2631" s="1">
        <f t="shared" si="377"/>
        <v>-2.0699999999999932</v>
      </c>
      <c r="K2631" s="9">
        <f t="shared" si="370"/>
        <v>-2.8263244128891224E-2</v>
      </c>
      <c r="L2631" s="1">
        <f t="shared" si="371"/>
        <v>1</v>
      </c>
      <c r="M2631" s="1">
        <f t="shared" si="372"/>
        <v>73.05</v>
      </c>
      <c r="N2631" s="1">
        <f t="shared" si="373"/>
        <v>71</v>
      </c>
      <c r="O2631" s="1">
        <f t="shared" si="374"/>
        <v>69.210000000000008</v>
      </c>
      <c r="P2631" s="1">
        <f t="shared" si="375"/>
        <v>35.311224489795926</v>
      </c>
    </row>
    <row r="2632" spans="1:16">
      <c r="A2632" s="2">
        <v>39241</v>
      </c>
      <c r="B2632" s="1">
        <v>72.47</v>
      </c>
      <c r="C2632" s="1">
        <v>73.239999999999995</v>
      </c>
      <c r="D2632" s="1">
        <v>71.05</v>
      </c>
      <c r="E2632" s="1">
        <v>73.239999999999995</v>
      </c>
      <c r="F2632" s="1">
        <v>10204500</v>
      </c>
      <c r="G2632" s="1">
        <v>73.239999999999995</v>
      </c>
      <c r="H2632" s="1">
        <f t="shared" si="369"/>
        <v>2.1899999999999977</v>
      </c>
      <c r="I2632" s="9">
        <f t="shared" si="376"/>
        <v>3.0823363828289905E-2</v>
      </c>
      <c r="J2632" s="1">
        <f t="shared" si="377"/>
        <v>1.1999999999999886</v>
      </c>
      <c r="K2632" s="9">
        <f t="shared" si="370"/>
        <v>1.6657412548583959E-2</v>
      </c>
      <c r="L2632" s="1">
        <f t="shared" si="371"/>
        <v>1</v>
      </c>
      <c r="M2632" s="1">
        <f t="shared" si="372"/>
        <v>73.239999999999995</v>
      </c>
      <c r="N2632" s="1">
        <f t="shared" si="373"/>
        <v>71.05</v>
      </c>
      <c r="O2632" s="1">
        <f t="shared" si="374"/>
        <v>71.28</v>
      </c>
      <c r="P2632" s="1">
        <f t="shared" si="375"/>
        <v>36.367346938775512</v>
      </c>
    </row>
    <row r="2633" spans="1:16">
      <c r="A2633" s="2">
        <v>39240</v>
      </c>
      <c r="B2633" s="1">
        <v>72.569999999999993</v>
      </c>
      <c r="C2633" s="1">
        <v>74.72</v>
      </c>
      <c r="D2633" s="1">
        <v>70.88</v>
      </c>
      <c r="E2633" s="1">
        <v>72.040000000000006</v>
      </c>
      <c r="F2633" s="1">
        <v>24138200</v>
      </c>
      <c r="G2633" s="1">
        <v>72.040000000000006</v>
      </c>
      <c r="H2633" s="1">
        <f t="shared" si="369"/>
        <v>3.8400000000000034</v>
      </c>
      <c r="I2633" s="9">
        <f t="shared" si="376"/>
        <v>5.4176072234763034E-2</v>
      </c>
      <c r="J2633" s="1">
        <f t="shared" si="377"/>
        <v>-0.25</v>
      </c>
      <c r="K2633" s="9">
        <f t="shared" si="370"/>
        <v>-3.4582929865818227E-3</v>
      </c>
      <c r="L2633" s="1">
        <f t="shared" si="371"/>
        <v>1</v>
      </c>
      <c r="M2633" s="1">
        <f t="shared" si="372"/>
        <v>74.72</v>
      </c>
      <c r="N2633" s="1">
        <f t="shared" si="373"/>
        <v>70.88</v>
      </c>
      <c r="O2633" s="1">
        <f t="shared" si="374"/>
        <v>70.080000000000013</v>
      </c>
      <c r="P2633" s="1">
        <f t="shared" si="375"/>
        <v>35.755102040816332</v>
      </c>
    </row>
    <row r="2634" spans="1:16">
      <c r="A2634" s="2">
        <v>39239</v>
      </c>
      <c r="B2634" s="1">
        <v>73.14</v>
      </c>
      <c r="C2634" s="1">
        <v>73.75</v>
      </c>
      <c r="D2634" s="1">
        <v>71.86</v>
      </c>
      <c r="E2634" s="1">
        <v>72.290000000000006</v>
      </c>
      <c r="F2634" s="1">
        <v>15591000</v>
      </c>
      <c r="G2634" s="1">
        <v>72.290000000000006</v>
      </c>
      <c r="H2634" s="1">
        <f t="shared" si="369"/>
        <v>1.8900000000000006</v>
      </c>
      <c r="I2634" s="9">
        <f t="shared" si="376"/>
        <v>2.6301141107709442E-2</v>
      </c>
      <c r="J2634" s="1">
        <f t="shared" si="377"/>
        <v>-1.3599999999999994</v>
      </c>
      <c r="K2634" s="9">
        <f t="shared" si="370"/>
        <v>-1.8465716225390352E-2</v>
      </c>
      <c r="L2634" s="1">
        <f t="shared" si="371"/>
        <v>1</v>
      </c>
      <c r="M2634" s="1">
        <f t="shared" si="372"/>
        <v>73.75</v>
      </c>
      <c r="N2634" s="1">
        <f t="shared" si="373"/>
        <v>71.86</v>
      </c>
      <c r="O2634" s="1">
        <f t="shared" si="374"/>
        <v>70.330000000000013</v>
      </c>
      <c r="P2634" s="1">
        <f t="shared" si="375"/>
        <v>35.882653061224495</v>
      </c>
    </row>
    <row r="2635" spans="1:16">
      <c r="A2635" s="2">
        <v>39238</v>
      </c>
      <c r="B2635" s="1">
        <v>71.099999999999994</v>
      </c>
      <c r="C2635" s="1">
        <v>74.239999999999995</v>
      </c>
      <c r="D2635" s="1">
        <v>70.86</v>
      </c>
      <c r="E2635" s="1">
        <v>73.650000000000006</v>
      </c>
      <c r="F2635" s="1">
        <v>30442500</v>
      </c>
      <c r="G2635" s="1">
        <v>73.650000000000006</v>
      </c>
      <c r="H2635" s="1">
        <f t="shared" si="369"/>
        <v>3.3799999999999955</v>
      </c>
      <c r="I2635" s="9">
        <f t="shared" si="376"/>
        <v>4.7699689528647976E-2</v>
      </c>
      <c r="J2635" s="1">
        <f t="shared" si="377"/>
        <v>3.230000000000004</v>
      </c>
      <c r="K2635" s="9">
        <f t="shared" si="370"/>
        <v>4.5867651235444534E-2</v>
      </c>
      <c r="L2635" s="1">
        <f t="shared" si="371"/>
        <v>1</v>
      </c>
      <c r="M2635" s="1">
        <f t="shared" si="372"/>
        <v>74.239999999999995</v>
      </c>
      <c r="N2635" s="1">
        <f t="shared" si="373"/>
        <v>70.86</v>
      </c>
      <c r="O2635" s="1">
        <f t="shared" si="374"/>
        <v>71.690000000000012</v>
      </c>
      <c r="P2635" s="1">
        <f t="shared" si="375"/>
        <v>36.576530612244902</v>
      </c>
    </row>
    <row r="2636" spans="1:16">
      <c r="A2636" s="2">
        <v>39237</v>
      </c>
      <c r="B2636" s="1">
        <v>68.25</v>
      </c>
      <c r="C2636" s="1">
        <v>70.650000000000006</v>
      </c>
      <c r="D2636" s="1">
        <v>67.650000000000006</v>
      </c>
      <c r="E2636" s="1">
        <v>70.42</v>
      </c>
      <c r="F2636" s="1">
        <v>11380500</v>
      </c>
      <c r="G2636" s="1">
        <v>70.42</v>
      </c>
      <c r="H2636" s="1">
        <f t="shared" si="369"/>
        <v>3</v>
      </c>
      <c r="I2636" s="9">
        <f t="shared" si="376"/>
        <v>4.4345898004434586E-2</v>
      </c>
      <c r="J2636" s="1">
        <f t="shared" si="377"/>
        <v>1.8400000000000034</v>
      </c>
      <c r="K2636" s="9">
        <f t="shared" si="370"/>
        <v>2.682997958588515E-2</v>
      </c>
      <c r="L2636" s="1">
        <f t="shared" si="371"/>
        <v>1</v>
      </c>
      <c r="M2636" s="1">
        <f t="shared" si="372"/>
        <v>70.650000000000006</v>
      </c>
      <c r="N2636" s="1">
        <f t="shared" si="373"/>
        <v>67.650000000000006</v>
      </c>
      <c r="O2636" s="1">
        <f t="shared" si="374"/>
        <v>68.460000000000008</v>
      </c>
      <c r="P2636" s="1">
        <f t="shared" si="375"/>
        <v>34.928571428571431</v>
      </c>
    </row>
    <row r="2637" spans="1:16">
      <c r="A2637" s="2">
        <v>39234</v>
      </c>
      <c r="B2637" s="1">
        <v>68.900000000000006</v>
      </c>
      <c r="C2637" s="1">
        <v>69.3</v>
      </c>
      <c r="D2637" s="1">
        <v>68.349999999999994</v>
      </c>
      <c r="E2637" s="1">
        <v>68.58</v>
      </c>
      <c r="F2637" s="1">
        <v>7014500</v>
      </c>
      <c r="G2637" s="1">
        <v>68.58</v>
      </c>
      <c r="H2637" s="1">
        <f t="shared" si="369"/>
        <v>0.95000000000000284</v>
      </c>
      <c r="I2637" s="9">
        <f t="shared" si="376"/>
        <v>1.3899049012436033E-2</v>
      </c>
      <c r="J2637" s="1">
        <f t="shared" si="377"/>
        <v>-0.56000000000000227</v>
      </c>
      <c r="K2637" s="9">
        <f t="shared" si="370"/>
        <v>-8.0995082441423522E-3</v>
      </c>
      <c r="L2637" s="1">
        <f t="shared" si="371"/>
        <v>1</v>
      </c>
      <c r="M2637" s="1">
        <f t="shared" si="372"/>
        <v>69.3</v>
      </c>
      <c r="N2637" s="1">
        <f t="shared" si="373"/>
        <v>68.349999999999994</v>
      </c>
      <c r="O2637" s="1">
        <f t="shared" si="374"/>
        <v>66.62</v>
      </c>
      <c r="P2637" s="1">
        <f t="shared" si="375"/>
        <v>33.989795918367349</v>
      </c>
    </row>
    <row r="2638" spans="1:16">
      <c r="A2638" s="2">
        <v>39233</v>
      </c>
      <c r="B2638" s="1">
        <v>70.680000000000007</v>
      </c>
      <c r="C2638" s="1">
        <v>70.739999999999995</v>
      </c>
      <c r="D2638" s="1">
        <v>68.569999999999993</v>
      </c>
      <c r="E2638" s="1">
        <v>69.14</v>
      </c>
      <c r="F2638" s="1">
        <v>9310200</v>
      </c>
      <c r="G2638" s="1">
        <v>69.14</v>
      </c>
      <c r="H2638" s="1">
        <f t="shared" si="369"/>
        <v>2.1700000000000017</v>
      </c>
      <c r="I2638" s="9">
        <f t="shared" si="376"/>
        <v>3.1646492635263264E-2</v>
      </c>
      <c r="J2638" s="1">
        <f t="shared" si="377"/>
        <v>-0.71999999999999886</v>
      </c>
      <c r="K2638" s="9">
        <f t="shared" si="370"/>
        <v>-1.0306326939593456E-2</v>
      </c>
      <c r="L2638" s="1">
        <f t="shared" si="371"/>
        <v>1</v>
      </c>
      <c r="M2638" s="1">
        <f t="shared" si="372"/>
        <v>70.739999999999995</v>
      </c>
      <c r="N2638" s="1">
        <f t="shared" si="373"/>
        <v>68.569999999999993</v>
      </c>
      <c r="O2638" s="1">
        <f t="shared" si="374"/>
        <v>67.180000000000007</v>
      </c>
      <c r="P2638" s="1">
        <f t="shared" si="375"/>
        <v>34.275510204081634</v>
      </c>
    </row>
    <row r="2639" spans="1:16">
      <c r="A2639" s="2">
        <v>39232</v>
      </c>
      <c r="B2639" s="1">
        <v>69.06</v>
      </c>
      <c r="C2639" s="1">
        <v>70.08</v>
      </c>
      <c r="D2639" s="1">
        <v>68.86</v>
      </c>
      <c r="E2639" s="1">
        <v>69.86</v>
      </c>
      <c r="F2639" s="1">
        <v>10576100</v>
      </c>
      <c r="G2639" s="1">
        <v>69.86</v>
      </c>
      <c r="H2639" s="1">
        <f t="shared" si="369"/>
        <v>1.2199999999999989</v>
      </c>
      <c r="I2639" s="9">
        <f t="shared" si="376"/>
        <v>1.7717107173976166E-2</v>
      </c>
      <c r="J2639" s="1">
        <f t="shared" si="377"/>
        <v>0.23000000000000398</v>
      </c>
      <c r="K2639" s="9">
        <f t="shared" si="370"/>
        <v>3.3031739192877206E-3</v>
      </c>
      <c r="L2639" s="1">
        <f t="shared" si="371"/>
        <v>1</v>
      </c>
      <c r="M2639" s="1">
        <f t="shared" si="372"/>
        <v>70.08</v>
      </c>
      <c r="N2639" s="1">
        <f t="shared" si="373"/>
        <v>68.86</v>
      </c>
      <c r="O2639" s="1">
        <f t="shared" si="374"/>
        <v>67.900000000000006</v>
      </c>
      <c r="P2639" s="1">
        <f t="shared" si="375"/>
        <v>34.642857142857146</v>
      </c>
    </row>
    <row r="2640" spans="1:16">
      <c r="A2640" s="2">
        <v>39231</v>
      </c>
      <c r="B2640" s="1">
        <v>68.430000000000007</v>
      </c>
      <c r="C2640" s="1">
        <v>69.78</v>
      </c>
      <c r="D2640" s="1">
        <v>67.72</v>
      </c>
      <c r="E2640" s="1">
        <v>69.63</v>
      </c>
      <c r="F2640" s="1">
        <v>11730800</v>
      </c>
      <c r="G2640" s="1">
        <v>69.63</v>
      </c>
      <c r="H2640" s="1">
        <f t="shared" si="369"/>
        <v>2.0600000000000023</v>
      </c>
      <c r="I2640" s="9">
        <f t="shared" si="376"/>
        <v>3.0419373892498557E-2</v>
      </c>
      <c r="J2640" s="1">
        <f t="shared" si="377"/>
        <v>1.0799999999999983</v>
      </c>
      <c r="K2640" s="9">
        <f t="shared" si="370"/>
        <v>1.5754923413566716E-2</v>
      </c>
      <c r="L2640" s="1">
        <f t="shared" si="371"/>
        <v>1</v>
      </c>
      <c r="M2640" s="1">
        <f t="shared" si="372"/>
        <v>69.78</v>
      </c>
      <c r="N2640" s="1">
        <f t="shared" si="373"/>
        <v>67.72</v>
      </c>
      <c r="O2640" s="1">
        <f t="shared" si="374"/>
        <v>67.67</v>
      </c>
      <c r="P2640" s="1">
        <f t="shared" si="375"/>
        <v>34.525510204081634</v>
      </c>
    </row>
    <row r="2641" spans="1:16">
      <c r="A2641" s="2">
        <v>39227</v>
      </c>
      <c r="B2641" s="1">
        <v>69.69</v>
      </c>
      <c r="C2641" s="1">
        <v>69.7</v>
      </c>
      <c r="D2641" s="1">
        <v>68.25</v>
      </c>
      <c r="E2641" s="1">
        <v>68.55</v>
      </c>
      <c r="F2641" s="1">
        <v>9987200</v>
      </c>
      <c r="G2641" s="1">
        <v>68.55</v>
      </c>
      <c r="H2641" s="1">
        <f t="shared" si="369"/>
        <v>1.4500000000000028</v>
      </c>
      <c r="I2641" s="9">
        <f t="shared" si="376"/>
        <v>2.1245421245421288E-2</v>
      </c>
      <c r="J2641" s="1">
        <f t="shared" si="377"/>
        <v>-0.79999999999999716</v>
      </c>
      <c r="K2641" s="9">
        <f t="shared" si="370"/>
        <v>-1.1535688536409476E-2</v>
      </c>
      <c r="L2641" s="1">
        <f t="shared" si="371"/>
        <v>1</v>
      </c>
      <c r="M2641" s="1">
        <f t="shared" si="372"/>
        <v>69.7</v>
      </c>
      <c r="N2641" s="1">
        <f t="shared" si="373"/>
        <v>68.25</v>
      </c>
      <c r="O2641" s="1">
        <f t="shared" si="374"/>
        <v>66.59</v>
      </c>
      <c r="P2641" s="1">
        <f t="shared" si="375"/>
        <v>33.974489795918373</v>
      </c>
    </row>
    <row r="2642" spans="1:16">
      <c r="A2642" s="2">
        <v>39226</v>
      </c>
      <c r="B2642" s="1">
        <v>69.040000000000006</v>
      </c>
      <c r="C2642" s="1">
        <v>70.42</v>
      </c>
      <c r="D2642" s="1">
        <v>67.709999999999994</v>
      </c>
      <c r="E2642" s="1">
        <v>69.349999999999994</v>
      </c>
      <c r="F2642" s="1">
        <v>23824600</v>
      </c>
      <c r="G2642" s="1">
        <v>69.349999999999994</v>
      </c>
      <c r="H2642" s="1">
        <f t="shared" si="369"/>
        <v>2.710000000000008</v>
      </c>
      <c r="I2642" s="9">
        <f t="shared" si="376"/>
        <v>4.0023630187564732E-2</v>
      </c>
      <c r="J2642" s="1">
        <f t="shared" si="377"/>
        <v>0.34999999999999432</v>
      </c>
      <c r="K2642" s="9">
        <f t="shared" si="370"/>
        <v>5.0724637681158593E-3</v>
      </c>
      <c r="L2642" s="1">
        <f t="shared" si="371"/>
        <v>1</v>
      </c>
      <c r="M2642" s="1">
        <f t="shared" si="372"/>
        <v>70.42</v>
      </c>
      <c r="N2642" s="1">
        <f t="shared" si="373"/>
        <v>67.709999999999994</v>
      </c>
      <c r="O2642" s="1">
        <f t="shared" si="374"/>
        <v>67.39</v>
      </c>
      <c r="P2642" s="1">
        <f t="shared" si="375"/>
        <v>34.382653061224488</v>
      </c>
    </row>
    <row r="2643" spans="1:16">
      <c r="A2643" s="2">
        <v>39225</v>
      </c>
      <c r="B2643" s="1">
        <v>69.209999999999994</v>
      </c>
      <c r="C2643" s="1">
        <v>73.31</v>
      </c>
      <c r="D2643" s="1">
        <v>68.790000000000006</v>
      </c>
      <c r="E2643" s="1">
        <v>69</v>
      </c>
      <c r="F2643" s="1">
        <v>42582500</v>
      </c>
      <c r="G2643" s="1">
        <v>69</v>
      </c>
      <c r="H2643" s="1">
        <f t="shared" si="369"/>
        <v>4.519999999999996</v>
      </c>
      <c r="I2643" s="9">
        <f t="shared" si="376"/>
        <v>6.5707224887338211E-2</v>
      </c>
      <c r="J2643" s="1">
        <f t="shared" si="377"/>
        <v>0.12000000000000455</v>
      </c>
      <c r="K2643" s="9">
        <f t="shared" si="370"/>
        <v>1.7421602787457107E-3</v>
      </c>
      <c r="L2643" s="1">
        <f t="shared" si="371"/>
        <v>1</v>
      </c>
      <c r="M2643" s="1">
        <f t="shared" si="372"/>
        <v>73.31</v>
      </c>
      <c r="N2643" s="1">
        <f t="shared" si="373"/>
        <v>68.790000000000006</v>
      </c>
      <c r="O2643" s="1">
        <f t="shared" si="374"/>
        <v>67.040000000000006</v>
      </c>
      <c r="P2643" s="1">
        <f t="shared" si="375"/>
        <v>34.204081632653065</v>
      </c>
    </row>
    <row r="2644" spans="1:16">
      <c r="A2644" s="2">
        <v>39224</v>
      </c>
      <c r="B2644" s="1">
        <v>68.48</v>
      </c>
      <c r="C2644" s="1">
        <v>69.069999999999993</v>
      </c>
      <c r="D2644" s="1">
        <v>67.209999999999994</v>
      </c>
      <c r="E2644" s="1">
        <v>68.88</v>
      </c>
      <c r="F2644" s="1">
        <v>17211300</v>
      </c>
      <c r="G2644" s="1">
        <v>68.88</v>
      </c>
      <c r="H2644" s="1">
        <f t="shared" si="369"/>
        <v>1.8599999999999994</v>
      </c>
      <c r="I2644" s="9">
        <f t="shared" si="376"/>
        <v>2.7674453206368094E-2</v>
      </c>
      <c r="J2644" s="1">
        <f t="shared" si="377"/>
        <v>0.57999999999999829</v>
      </c>
      <c r="K2644" s="9">
        <f t="shared" si="370"/>
        <v>8.4919472913616151E-3</v>
      </c>
      <c r="L2644" s="1">
        <f t="shared" si="371"/>
        <v>1</v>
      </c>
      <c r="M2644" s="1">
        <f t="shared" si="372"/>
        <v>69.069999999999993</v>
      </c>
      <c r="N2644" s="1">
        <f t="shared" si="373"/>
        <v>67.209999999999994</v>
      </c>
      <c r="O2644" s="1">
        <f t="shared" si="374"/>
        <v>66.92</v>
      </c>
      <c r="P2644" s="1">
        <f t="shared" si="375"/>
        <v>34.142857142857146</v>
      </c>
    </row>
    <row r="2645" spans="1:16">
      <c r="A2645" s="2">
        <v>39223</v>
      </c>
      <c r="B2645" s="1">
        <v>63.58</v>
      </c>
      <c r="C2645" s="1">
        <v>68.680000000000007</v>
      </c>
      <c r="D2645" s="1">
        <v>63.3</v>
      </c>
      <c r="E2645" s="1">
        <v>68.3</v>
      </c>
      <c r="F2645" s="1">
        <v>36468800</v>
      </c>
      <c r="G2645" s="1">
        <v>68.3</v>
      </c>
      <c r="H2645" s="1">
        <f t="shared" si="369"/>
        <v>5.3800000000000097</v>
      </c>
      <c r="I2645" s="9">
        <f t="shared" si="376"/>
        <v>8.4992101105845333E-2</v>
      </c>
      <c r="J2645" s="1">
        <f t="shared" si="377"/>
        <v>5</v>
      </c>
      <c r="K2645" s="9">
        <f t="shared" si="370"/>
        <v>7.8988941548183256E-2</v>
      </c>
      <c r="L2645" s="1">
        <f t="shared" si="371"/>
        <v>1</v>
      </c>
      <c r="M2645" s="1">
        <f t="shared" si="372"/>
        <v>68.680000000000007</v>
      </c>
      <c r="N2645" s="1">
        <f t="shared" si="373"/>
        <v>63.3</v>
      </c>
      <c r="O2645" s="1">
        <f t="shared" si="374"/>
        <v>66.34</v>
      </c>
      <c r="P2645" s="1">
        <f t="shared" si="375"/>
        <v>33.846938775510203</v>
      </c>
    </row>
    <row r="2646" spans="1:16">
      <c r="A2646" s="2">
        <v>39220</v>
      </c>
      <c r="B2646" s="1">
        <v>62.48</v>
      </c>
      <c r="C2646" s="1">
        <v>63.3</v>
      </c>
      <c r="D2646" s="1">
        <v>62.28</v>
      </c>
      <c r="E2646" s="1">
        <v>63.3</v>
      </c>
      <c r="F2646" s="1">
        <v>9799200</v>
      </c>
      <c r="G2646" s="1">
        <v>63.3</v>
      </c>
      <c r="H2646" s="1">
        <f t="shared" si="369"/>
        <v>1.019999999999996</v>
      </c>
      <c r="I2646" s="9">
        <f t="shared" si="376"/>
        <v>1.6377649325626142E-2</v>
      </c>
      <c r="J2646" s="1">
        <f t="shared" si="377"/>
        <v>1.1299999999999955</v>
      </c>
      <c r="K2646" s="9">
        <f t="shared" si="370"/>
        <v>1.8175969116937356E-2</v>
      </c>
      <c r="L2646" s="1">
        <f t="shared" si="371"/>
        <v>1</v>
      </c>
      <c r="M2646" s="1">
        <f t="shared" si="372"/>
        <v>63.3</v>
      </c>
      <c r="N2646" s="1">
        <f t="shared" si="373"/>
        <v>62.28</v>
      </c>
      <c r="O2646" s="1">
        <f t="shared" si="374"/>
        <v>61.339999999999996</v>
      </c>
      <c r="P2646" s="1">
        <f t="shared" si="375"/>
        <v>31.295918367346939</v>
      </c>
    </row>
    <row r="2647" spans="1:16">
      <c r="A2647" s="2">
        <v>39219</v>
      </c>
      <c r="B2647" s="1">
        <v>62.88</v>
      </c>
      <c r="C2647" s="1">
        <v>63.52</v>
      </c>
      <c r="D2647" s="1">
        <v>62.02</v>
      </c>
      <c r="E2647" s="1">
        <v>62.17</v>
      </c>
      <c r="F2647" s="1">
        <v>11870900</v>
      </c>
      <c r="G2647" s="1">
        <v>62.17</v>
      </c>
      <c r="H2647" s="1">
        <f t="shared" si="369"/>
        <v>1.5</v>
      </c>
      <c r="I2647" s="9">
        <f t="shared" si="376"/>
        <v>2.418574653337633E-2</v>
      </c>
      <c r="J2647" s="1">
        <f t="shared" si="377"/>
        <v>-1.0499999999999972</v>
      </c>
      <c r="K2647" s="9">
        <f t="shared" si="370"/>
        <v>-1.660866814299268E-2</v>
      </c>
      <c r="L2647" s="1">
        <f t="shared" si="371"/>
        <v>1</v>
      </c>
      <c r="M2647" s="1">
        <f t="shared" si="372"/>
        <v>63.52</v>
      </c>
      <c r="N2647" s="1">
        <f t="shared" si="373"/>
        <v>62.02</v>
      </c>
      <c r="O2647" s="1">
        <f t="shared" si="374"/>
        <v>60.21</v>
      </c>
      <c r="P2647" s="1">
        <f t="shared" si="375"/>
        <v>30.719387755102041</v>
      </c>
    </row>
    <row r="2648" spans="1:16">
      <c r="A2648" s="2">
        <v>39218</v>
      </c>
      <c r="B2648" s="1">
        <v>61.02</v>
      </c>
      <c r="C2648" s="1">
        <v>63.34</v>
      </c>
      <c r="D2648" s="1">
        <v>60.1</v>
      </c>
      <c r="E2648" s="1">
        <v>63.22</v>
      </c>
      <c r="F2648" s="1">
        <v>14485400</v>
      </c>
      <c r="G2648" s="1">
        <v>63.22</v>
      </c>
      <c r="H2648" s="1">
        <f t="shared" si="369"/>
        <v>3.240000000000002</v>
      </c>
      <c r="I2648" s="9">
        <f t="shared" si="376"/>
        <v>5.3910149750416005E-2</v>
      </c>
      <c r="J2648" s="1">
        <f t="shared" si="377"/>
        <v>2.6400000000000006</v>
      </c>
      <c r="K2648" s="9">
        <f t="shared" si="370"/>
        <v>4.3578738857708826E-2</v>
      </c>
      <c r="L2648" s="1">
        <f t="shared" si="371"/>
        <v>1</v>
      </c>
      <c r="M2648" s="1">
        <f t="shared" si="372"/>
        <v>63.34</v>
      </c>
      <c r="N2648" s="1">
        <f t="shared" si="373"/>
        <v>60.1</v>
      </c>
      <c r="O2648" s="1">
        <f t="shared" si="374"/>
        <v>61.26</v>
      </c>
      <c r="P2648" s="1">
        <f t="shared" si="375"/>
        <v>31.255102040816325</v>
      </c>
    </row>
    <row r="2649" spans="1:16">
      <c r="A2649" s="2">
        <v>39217</v>
      </c>
      <c r="B2649" s="1">
        <v>61.4</v>
      </c>
      <c r="C2649" s="1">
        <v>61.97</v>
      </c>
      <c r="D2649" s="1">
        <v>60.52</v>
      </c>
      <c r="E2649" s="1">
        <v>60.58</v>
      </c>
      <c r="F2649" s="1">
        <v>8702100</v>
      </c>
      <c r="G2649" s="1">
        <v>60.58</v>
      </c>
      <c r="H2649" s="1">
        <f t="shared" si="369"/>
        <v>1.4499999999999957</v>
      </c>
      <c r="I2649" s="9">
        <f t="shared" si="376"/>
        <v>2.3959021810971509E-2</v>
      </c>
      <c r="J2649" s="1">
        <f t="shared" si="377"/>
        <v>-1.1200000000000045</v>
      </c>
      <c r="K2649" s="9">
        <f t="shared" si="370"/>
        <v>-1.8152350081037352E-2</v>
      </c>
      <c r="L2649" s="1">
        <f t="shared" si="371"/>
        <v>1</v>
      </c>
      <c r="M2649" s="1">
        <f t="shared" si="372"/>
        <v>61.97</v>
      </c>
      <c r="N2649" s="1">
        <f t="shared" si="373"/>
        <v>60.52</v>
      </c>
      <c r="O2649" s="1">
        <f t="shared" si="374"/>
        <v>58.62</v>
      </c>
      <c r="P2649" s="1">
        <f t="shared" si="375"/>
        <v>29.908163265306122</v>
      </c>
    </row>
    <row r="2650" spans="1:16">
      <c r="A2650" s="2">
        <v>39216</v>
      </c>
      <c r="B2650" s="1">
        <v>61.68</v>
      </c>
      <c r="C2650" s="1">
        <v>61.74</v>
      </c>
      <c r="D2650" s="1">
        <v>60.6</v>
      </c>
      <c r="E2650" s="1">
        <v>61.7</v>
      </c>
      <c r="F2650" s="1">
        <v>7760400</v>
      </c>
      <c r="G2650" s="1">
        <v>61.7</v>
      </c>
      <c r="H2650" s="1">
        <f t="shared" si="369"/>
        <v>1.1400000000000006</v>
      </c>
      <c r="I2650" s="9">
        <f t="shared" si="376"/>
        <v>1.8811881188118822E-2</v>
      </c>
      <c r="J2650" s="1">
        <f t="shared" si="377"/>
        <v>0.14000000000000057</v>
      </c>
      <c r="K2650" s="9">
        <f t="shared" si="370"/>
        <v>2.2742040285900025E-3</v>
      </c>
      <c r="L2650" s="1">
        <f t="shared" si="371"/>
        <v>1</v>
      </c>
      <c r="M2650" s="1">
        <f t="shared" si="372"/>
        <v>61.74</v>
      </c>
      <c r="N2650" s="1">
        <f t="shared" si="373"/>
        <v>60.6</v>
      </c>
      <c r="O2650" s="1">
        <f t="shared" si="374"/>
        <v>59.74</v>
      </c>
      <c r="P2650" s="1">
        <f t="shared" si="375"/>
        <v>30.479591836734695</v>
      </c>
    </row>
    <row r="2651" spans="1:16">
      <c r="A2651" s="2">
        <v>39213</v>
      </c>
      <c r="B2651" s="1">
        <v>60.96</v>
      </c>
      <c r="C2651" s="1">
        <v>61.6</v>
      </c>
      <c r="D2651" s="1">
        <v>60.56</v>
      </c>
      <c r="E2651" s="1">
        <v>61.56</v>
      </c>
      <c r="F2651" s="1">
        <v>7919100</v>
      </c>
      <c r="G2651" s="1">
        <v>61.56</v>
      </c>
      <c r="H2651" s="1">
        <f t="shared" si="369"/>
        <v>1.0399999999999991</v>
      </c>
      <c r="I2651" s="9">
        <f t="shared" si="376"/>
        <v>1.7173051519154544E-2</v>
      </c>
      <c r="J2651" s="1">
        <f t="shared" si="377"/>
        <v>0.64000000000000057</v>
      </c>
      <c r="K2651" s="9">
        <f t="shared" si="370"/>
        <v>1.0505581089954048E-2</v>
      </c>
      <c r="L2651" s="1">
        <f t="shared" si="371"/>
        <v>1</v>
      </c>
      <c r="M2651" s="1">
        <f t="shared" si="372"/>
        <v>61.6</v>
      </c>
      <c r="N2651" s="1">
        <f t="shared" si="373"/>
        <v>60.56</v>
      </c>
      <c r="O2651" s="1">
        <f t="shared" si="374"/>
        <v>59.6</v>
      </c>
      <c r="P2651" s="1">
        <f t="shared" si="375"/>
        <v>30.408163265306122</v>
      </c>
    </row>
    <row r="2652" spans="1:16">
      <c r="A2652" s="2">
        <v>39212</v>
      </c>
      <c r="B2652" s="1">
        <v>62.44</v>
      </c>
      <c r="C2652" s="1">
        <v>62.65</v>
      </c>
      <c r="D2652" s="1">
        <v>60.85</v>
      </c>
      <c r="E2652" s="1">
        <v>60.92</v>
      </c>
      <c r="F2652" s="1">
        <v>10052000</v>
      </c>
      <c r="G2652" s="1">
        <v>60.92</v>
      </c>
      <c r="H2652" s="1">
        <f t="shared" si="369"/>
        <v>1.7999999999999972</v>
      </c>
      <c r="I2652" s="9">
        <f t="shared" si="376"/>
        <v>2.9580936729663058E-2</v>
      </c>
      <c r="J2652" s="1">
        <f t="shared" si="377"/>
        <v>-1.9299999999999997</v>
      </c>
      <c r="K2652" s="9">
        <f t="shared" si="370"/>
        <v>-3.0708035003977719E-2</v>
      </c>
      <c r="L2652" s="1">
        <f t="shared" si="371"/>
        <v>1</v>
      </c>
      <c r="M2652" s="1">
        <f t="shared" si="372"/>
        <v>62.65</v>
      </c>
      <c r="N2652" s="1">
        <f t="shared" si="373"/>
        <v>60.85</v>
      </c>
      <c r="O2652" s="1">
        <f t="shared" si="374"/>
        <v>58.96</v>
      </c>
      <c r="P2652" s="1">
        <f t="shared" si="375"/>
        <v>30.081632653061227</v>
      </c>
    </row>
    <row r="2653" spans="1:16">
      <c r="A2653" s="2">
        <v>39211</v>
      </c>
      <c r="B2653" s="1">
        <v>62</v>
      </c>
      <c r="C2653" s="1">
        <v>62.95</v>
      </c>
      <c r="D2653" s="1">
        <v>61.3</v>
      </c>
      <c r="E2653" s="1">
        <v>62.85</v>
      </c>
      <c r="F2653" s="1">
        <v>8874900</v>
      </c>
      <c r="G2653" s="1">
        <v>62.85</v>
      </c>
      <c r="H2653" s="1">
        <f t="shared" si="369"/>
        <v>1.6500000000000057</v>
      </c>
      <c r="I2653" s="9">
        <f t="shared" si="376"/>
        <v>2.6916802610114286E-2</v>
      </c>
      <c r="J2653" s="1">
        <f t="shared" si="377"/>
        <v>1.0200000000000031</v>
      </c>
      <c r="K2653" s="9">
        <f t="shared" si="370"/>
        <v>1.6496846191169385E-2</v>
      </c>
      <c r="L2653" s="1">
        <f t="shared" si="371"/>
        <v>1</v>
      </c>
      <c r="M2653" s="1">
        <f t="shared" si="372"/>
        <v>62.95</v>
      </c>
      <c r="N2653" s="1">
        <f t="shared" si="373"/>
        <v>61.3</v>
      </c>
      <c r="O2653" s="1">
        <f t="shared" si="374"/>
        <v>60.89</v>
      </c>
      <c r="P2653" s="1">
        <f t="shared" si="375"/>
        <v>31.066326530612244</v>
      </c>
    </row>
    <row r="2654" spans="1:16">
      <c r="A2654" s="2">
        <v>39210</v>
      </c>
      <c r="B2654" s="1">
        <v>60.54</v>
      </c>
      <c r="C2654" s="1">
        <v>61.84</v>
      </c>
      <c r="D2654" s="1">
        <v>59.7</v>
      </c>
      <c r="E2654" s="1">
        <v>61.83</v>
      </c>
      <c r="F2654" s="1">
        <v>13551100</v>
      </c>
      <c r="G2654" s="1">
        <v>61.83</v>
      </c>
      <c r="H2654" s="1">
        <f t="shared" si="369"/>
        <v>2.1400000000000006</v>
      </c>
      <c r="I2654" s="9">
        <f t="shared" si="376"/>
        <v>3.5845896147403696E-2</v>
      </c>
      <c r="J2654" s="1">
        <f t="shared" si="377"/>
        <v>1.009999999999998</v>
      </c>
      <c r="K2654" s="9">
        <f t="shared" si="370"/>
        <v>1.6606379480434034E-2</v>
      </c>
      <c r="L2654" s="1">
        <f t="shared" si="371"/>
        <v>1</v>
      </c>
      <c r="M2654" s="1">
        <f t="shared" si="372"/>
        <v>61.84</v>
      </c>
      <c r="N2654" s="1">
        <f t="shared" si="373"/>
        <v>59.7</v>
      </c>
      <c r="O2654" s="1">
        <f t="shared" si="374"/>
        <v>59.87</v>
      </c>
      <c r="P2654" s="1">
        <f t="shared" si="375"/>
        <v>30.545918367346939</v>
      </c>
    </row>
    <row r="2655" spans="1:16">
      <c r="A2655" s="2">
        <v>39209</v>
      </c>
      <c r="B2655" s="1">
        <v>62.43</v>
      </c>
      <c r="C2655" s="1">
        <v>63.23</v>
      </c>
      <c r="D2655" s="1">
        <v>60.71</v>
      </c>
      <c r="E2655" s="1">
        <v>60.82</v>
      </c>
      <c r="F2655" s="1">
        <v>14808300</v>
      </c>
      <c r="G2655" s="1">
        <v>60.82</v>
      </c>
      <c r="H2655" s="1">
        <f t="shared" si="369"/>
        <v>2.519999999999996</v>
      </c>
      <c r="I2655" s="9">
        <f t="shared" si="376"/>
        <v>4.1508812386756647E-2</v>
      </c>
      <c r="J2655" s="1">
        <f t="shared" si="377"/>
        <v>-2.4099999999999966</v>
      </c>
      <c r="K2655" s="9">
        <f t="shared" si="370"/>
        <v>-3.8114818915071909E-2</v>
      </c>
      <c r="L2655" s="1">
        <f t="shared" si="371"/>
        <v>1</v>
      </c>
      <c r="M2655" s="1">
        <f t="shared" si="372"/>
        <v>63.23</v>
      </c>
      <c r="N2655" s="1">
        <f t="shared" si="373"/>
        <v>60.71</v>
      </c>
      <c r="O2655" s="1">
        <f t="shared" si="374"/>
        <v>58.86</v>
      </c>
      <c r="P2655" s="1">
        <f t="shared" si="375"/>
        <v>30.030612244897959</v>
      </c>
    </row>
    <row r="2656" spans="1:16">
      <c r="A2656" s="2">
        <v>39206</v>
      </c>
      <c r="B2656" s="1">
        <v>62.39</v>
      </c>
      <c r="C2656" s="1">
        <v>63.75</v>
      </c>
      <c r="D2656" s="1">
        <v>62.35</v>
      </c>
      <c r="E2656" s="1">
        <v>63.23</v>
      </c>
      <c r="F2656" s="1">
        <v>14299300</v>
      </c>
      <c r="G2656" s="1">
        <v>63.23</v>
      </c>
      <c r="H2656" s="1">
        <f t="shared" si="369"/>
        <v>1.3999999999999986</v>
      </c>
      <c r="I2656" s="9">
        <f t="shared" si="376"/>
        <v>2.2453889334402542E-2</v>
      </c>
      <c r="J2656" s="1">
        <f t="shared" si="377"/>
        <v>1.0399999999999991</v>
      </c>
      <c r="K2656" s="9">
        <f t="shared" si="370"/>
        <v>1.6722945811223657E-2</v>
      </c>
      <c r="L2656" s="1">
        <f t="shared" si="371"/>
        <v>1</v>
      </c>
      <c r="M2656" s="1">
        <f t="shared" si="372"/>
        <v>63.75</v>
      </c>
      <c r="N2656" s="1">
        <f t="shared" si="373"/>
        <v>62.35</v>
      </c>
      <c r="O2656" s="1">
        <f t="shared" si="374"/>
        <v>61.269999999999996</v>
      </c>
      <c r="P2656" s="1">
        <f t="shared" si="375"/>
        <v>31.260204081632651</v>
      </c>
    </row>
    <row r="2657" spans="1:16">
      <c r="A2657" s="2">
        <v>39205</v>
      </c>
      <c r="B2657" s="1">
        <v>61.08</v>
      </c>
      <c r="C2657" s="1">
        <v>62.54</v>
      </c>
      <c r="D2657" s="1">
        <v>60.76</v>
      </c>
      <c r="E2657" s="1">
        <v>62.19</v>
      </c>
      <c r="F2657" s="1">
        <v>13482000</v>
      </c>
      <c r="G2657" s="1">
        <v>62.19</v>
      </c>
      <c r="H2657" s="1">
        <f t="shared" si="369"/>
        <v>1.7800000000000011</v>
      </c>
      <c r="I2657" s="9">
        <f t="shared" si="376"/>
        <v>2.9295589203423324E-2</v>
      </c>
      <c r="J2657" s="1">
        <f t="shared" si="377"/>
        <v>1.009999999999998</v>
      </c>
      <c r="K2657" s="9">
        <f t="shared" si="370"/>
        <v>1.6508662961752175E-2</v>
      </c>
      <c r="L2657" s="1">
        <f t="shared" si="371"/>
        <v>1</v>
      </c>
      <c r="M2657" s="1">
        <f t="shared" si="372"/>
        <v>62.54</v>
      </c>
      <c r="N2657" s="1">
        <f t="shared" si="373"/>
        <v>60.76</v>
      </c>
      <c r="O2657" s="1">
        <f t="shared" si="374"/>
        <v>60.23</v>
      </c>
      <c r="P2657" s="1">
        <f t="shared" si="375"/>
        <v>30.729591836734691</v>
      </c>
    </row>
    <row r="2658" spans="1:16">
      <c r="A2658" s="2">
        <v>39204</v>
      </c>
      <c r="B2658" s="1">
        <v>61.68</v>
      </c>
      <c r="C2658" s="1">
        <v>62.25</v>
      </c>
      <c r="D2658" s="1">
        <v>60.9</v>
      </c>
      <c r="E2658" s="1">
        <v>61.18</v>
      </c>
      <c r="F2658" s="1">
        <v>14427200</v>
      </c>
      <c r="G2658" s="1">
        <v>61.18</v>
      </c>
      <c r="H2658" s="1">
        <f t="shared" si="369"/>
        <v>1.3500000000000014</v>
      </c>
      <c r="I2658" s="9">
        <f t="shared" si="376"/>
        <v>2.2167487684729089E-2</v>
      </c>
      <c r="J2658" s="1">
        <f t="shared" si="377"/>
        <v>-0.85999999999999943</v>
      </c>
      <c r="K2658" s="9">
        <f t="shared" si="370"/>
        <v>-1.3862024500322364E-2</v>
      </c>
      <c r="L2658" s="1">
        <f t="shared" si="371"/>
        <v>1</v>
      </c>
      <c r="M2658" s="1">
        <f t="shared" si="372"/>
        <v>62.25</v>
      </c>
      <c r="N2658" s="1">
        <f t="shared" si="373"/>
        <v>60.9</v>
      </c>
      <c r="O2658" s="1">
        <f t="shared" si="374"/>
        <v>59.22</v>
      </c>
      <c r="P2658" s="1">
        <f t="shared" si="375"/>
        <v>30.214285714285715</v>
      </c>
    </row>
    <row r="2659" spans="1:16">
      <c r="A2659" s="2">
        <v>39203</v>
      </c>
      <c r="B2659" s="1">
        <v>61.12</v>
      </c>
      <c r="C2659" s="1">
        <v>62.04</v>
      </c>
      <c r="D2659" s="1">
        <v>60.28</v>
      </c>
      <c r="E2659" s="1">
        <v>62.04</v>
      </c>
      <c r="F2659" s="1">
        <v>18519000</v>
      </c>
      <c r="G2659" s="1">
        <v>62.04</v>
      </c>
      <c r="H2659" s="1">
        <f t="shared" si="369"/>
        <v>1.759999999999998</v>
      </c>
      <c r="I2659" s="9">
        <f t="shared" si="376"/>
        <v>2.9197080291970771E-2</v>
      </c>
      <c r="J2659" s="1">
        <f t="shared" si="377"/>
        <v>0.71000000000000085</v>
      </c>
      <c r="K2659" s="9">
        <f t="shared" si="370"/>
        <v>1.1576716125876421E-2</v>
      </c>
      <c r="L2659" s="1">
        <f t="shared" si="371"/>
        <v>1</v>
      </c>
      <c r="M2659" s="1">
        <f t="shared" si="372"/>
        <v>62.04</v>
      </c>
      <c r="N2659" s="1">
        <f t="shared" si="373"/>
        <v>60.28</v>
      </c>
      <c r="O2659" s="1">
        <f t="shared" si="374"/>
        <v>60.08</v>
      </c>
      <c r="P2659" s="1">
        <f t="shared" si="375"/>
        <v>30.653061224489797</v>
      </c>
    </row>
    <row r="2660" spans="1:16">
      <c r="A2660" s="2">
        <v>39202</v>
      </c>
      <c r="B2660" s="1">
        <v>61.91</v>
      </c>
      <c r="C2660" s="1">
        <v>62.44</v>
      </c>
      <c r="D2660" s="1">
        <v>61.18</v>
      </c>
      <c r="E2660" s="1">
        <v>61.33</v>
      </c>
      <c r="F2660" s="1">
        <v>23979200</v>
      </c>
      <c r="G2660" s="1">
        <v>61.33</v>
      </c>
      <c r="H2660" s="1">
        <f t="shared" si="369"/>
        <v>1.259999999999998</v>
      </c>
      <c r="I2660" s="9">
        <f t="shared" si="376"/>
        <v>2.0594965675057177E-2</v>
      </c>
      <c r="J2660" s="1">
        <f t="shared" si="377"/>
        <v>-1.2700000000000031</v>
      </c>
      <c r="K2660" s="9">
        <f t="shared" si="370"/>
        <v>-2.0287539936102286E-2</v>
      </c>
      <c r="L2660" s="1">
        <f t="shared" si="371"/>
        <v>1</v>
      </c>
      <c r="M2660" s="1">
        <f t="shared" si="372"/>
        <v>62.44</v>
      </c>
      <c r="N2660" s="1">
        <f t="shared" si="373"/>
        <v>61.18</v>
      </c>
      <c r="O2660" s="1">
        <f t="shared" si="374"/>
        <v>59.37</v>
      </c>
      <c r="P2660" s="1">
        <f t="shared" si="375"/>
        <v>30.29081632653061</v>
      </c>
    </row>
    <row r="2661" spans="1:16">
      <c r="A2661" s="2">
        <v>39199</v>
      </c>
      <c r="B2661" s="1">
        <v>61.24</v>
      </c>
      <c r="C2661" s="1">
        <v>63.84</v>
      </c>
      <c r="D2661" s="1">
        <v>60.62</v>
      </c>
      <c r="E2661" s="1">
        <v>62.6</v>
      </c>
      <c r="F2661" s="1">
        <v>50733400</v>
      </c>
      <c r="G2661" s="1">
        <v>62.6</v>
      </c>
      <c r="H2661" s="1">
        <f t="shared" si="369"/>
        <v>3.220000000000006</v>
      </c>
      <c r="I2661" s="9">
        <f t="shared" si="376"/>
        <v>5.3117782909930814E-2</v>
      </c>
      <c r="J2661" s="1">
        <f t="shared" si="377"/>
        <v>-0.17999999999999972</v>
      </c>
      <c r="K2661" s="9">
        <f t="shared" si="370"/>
        <v>-2.8671551449506168E-3</v>
      </c>
      <c r="L2661" s="1">
        <f t="shared" si="371"/>
        <v>1</v>
      </c>
      <c r="M2661" s="1">
        <f t="shared" si="372"/>
        <v>63.84</v>
      </c>
      <c r="N2661" s="1">
        <f t="shared" si="373"/>
        <v>60.62</v>
      </c>
      <c r="O2661" s="1">
        <f t="shared" si="374"/>
        <v>60.64</v>
      </c>
      <c r="P2661" s="1">
        <f t="shared" si="375"/>
        <v>30.938775510204081</v>
      </c>
    </row>
    <row r="2662" spans="1:16">
      <c r="A2662" s="2">
        <v>39198</v>
      </c>
      <c r="B2662" s="1">
        <v>56.5</v>
      </c>
      <c r="C2662" s="1">
        <v>63.04</v>
      </c>
      <c r="D2662" s="1">
        <v>56.07</v>
      </c>
      <c r="E2662" s="1">
        <v>62.78</v>
      </c>
      <c r="F2662" s="1">
        <v>62179500</v>
      </c>
      <c r="G2662" s="1">
        <v>62.78</v>
      </c>
      <c r="H2662" s="1">
        <f t="shared" si="369"/>
        <v>6.9699999999999989</v>
      </c>
      <c r="I2662" s="9">
        <f t="shared" si="376"/>
        <v>0.12430889958979845</v>
      </c>
      <c r="J2662" s="1">
        <f t="shared" si="377"/>
        <v>5.9699999999999989</v>
      </c>
      <c r="K2662" s="9">
        <f t="shared" si="370"/>
        <v>0.10508713254708675</v>
      </c>
      <c r="L2662" s="1">
        <f t="shared" si="371"/>
        <v>1</v>
      </c>
      <c r="M2662" s="1">
        <f t="shared" si="372"/>
        <v>63.04</v>
      </c>
      <c r="N2662" s="1">
        <f t="shared" si="373"/>
        <v>56.07</v>
      </c>
      <c r="O2662" s="1">
        <f t="shared" si="374"/>
        <v>60.82</v>
      </c>
      <c r="P2662" s="1">
        <f t="shared" si="375"/>
        <v>31.030612244897959</v>
      </c>
    </row>
    <row r="2663" spans="1:16">
      <c r="A2663" s="2">
        <v>39197</v>
      </c>
      <c r="B2663" s="1">
        <v>53.12</v>
      </c>
      <c r="C2663" s="1">
        <v>57.18</v>
      </c>
      <c r="D2663" s="1">
        <v>52.95</v>
      </c>
      <c r="E2663" s="1">
        <v>56.81</v>
      </c>
      <c r="F2663" s="1">
        <v>104329200</v>
      </c>
      <c r="G2663" s="1">
        <v>56.81</v>
      </c>
      <c r="H2663" s="1">
        <f t="shared" si="369"/>
        <v>4.2299999999999969</v>
      </c>
      <c r="I2663" s="9">
        <f t="shared" si="376"/>
        <v>7.9886685552407868E-2</v>
      </c>
      <c r="J2663" s="1">
        <f t="shared" si="377"/>
        <v>12.060000000000002</v>
      </c>
      <c r="K2663" s="9">
        <f t="shared" si="370"/>
        <v>0.26949720670391064</v>
      </c>
      <c r="L2663" s="1">
        <f t="shared" si="371"/>
        <v>1</v>
      </c>
      <c r="M2663" s="1">
        <f t="shared" si="372"/>
        <v>57.18</v>
      </c>
      <c r="N2663" s="1">
        <f t="shared" si="373"/>
        <v>52.95</v>
      </c>
      <c r="O2663" s="1">
        <f t="shared" si="374"/>
        <v>54.85</v>
      </c>
      <c r="P2663" s="1">
        <f t="shared" si="375"/>
        <v>27.98469387755102</v>
      </c>
    </row>
    <row r="2664" spans="1:16">
      <c r="A2664" s="2">
        <v>39196</v>
      </c>
      <c r="B2664" s="1">
        <v>44.75</v>
      </c>
      <c r="C2664" s="1">
        <v>45</v>
      </c>
      <c r="D2664" s="1">
        <v>44.43</v>
      </c>
      <c r="E2664" s="1">
        <v>44.75</v>
      </c>
      <c r="F2664" s="1">
        <v>19887600</v>
      </c>
      <c r="G2664" s="1">
        <v>44.75</v>
      </c>
      <c r="H2664" s="1">
        <f t="shared" si="369"/>
        <v>0.57000000000000028</v>
      </c>
      <c r="I2664" s="9">
        <f t="shared" si="376"/>
        <v>1.2829169480081034E-2</v>
      </c>
      <c r="J2664" s="1">
        <f t="shared" si="377"/>
        <v>-2.0000000000003126E-2</v>
      </c>
      <c r="K2664" s="9">
        <f t="shared" si="370"/>
        <v>-4.4672771945506199E-4</v>
      </c>
      <c r="L2664" s="1">
        <f t="shared" si="371"/>
        <v>1</v>
      </c>
      <c r="M2664" s="1">
        <f t="shared" si="372"/>
        <v>45</v>
      </c>
      <c r="N2664" s="1">
        <f t="shared" si="373"/>
        <v>44.43</v>
      </c>
      <c r="O2664" s="1">
        <f t="shared" si="374"/>
        <v>42.79</v>
      </c>
      <c r="P2664" s="1">
        <f t="shared" si="375"/>
        <v>21.831632653061224</v>
      </c>
    </row>
    <row r="2665" spans="1:16">
      <c r="A2665" s="2">
        <v>39195</v>
      </c>
      <c r="B2665" s="1">
        <v>44.27</v>
      </c>
      <c r="C2665" s="1">
        <v>44.81</v>
      </c>
      <c r="D2665" s="1">
        <v>44.16</v>
      </c>
      <c r="E2665" s="1">
        <v>44.77</v>
      </c>
      <c r="F2665" s="1">
        <v>7088600</v>
      </c>
      <c r="G2665" s="1">
        <v>44.77</v>
      </c>
      <c r="H2665" s="1">
        <f t="shared" si="369"/>
        <v>0.65000000000000568</v>
      </c>
      <c r="I2665" s="9">
        <f t="shared" si="376"/>
        <v>1.4719202898550854E-2</v>
      </c>
      <c r="J2665" s="1">
        <f t="shared" si="377"/>
        <v>-0.17999999999999972</v>
      </c>
      <c r="K2665" s="9">
        <f t="shared" si="370"/>
        <v>-4.0044493882091144E-3</v>
      </c>
      <c r="L2665" s="1">
        <f t="shared" si="371"/>
        <v>1</v>
      </c>
      <c r="M2665" s="1">
        <f t="shared" si="372"/>
        <v>44.81</v>
      </c>
      <c r="N2665" s="1">
        <f t="shared" si="373"/>
        <v>44.16</v>
      </c>
      <c r="O2665" s="1">
        <f t="shared" si="374"/>
        <v>42.81</v>
      </c>
      <c r="P2665" s="1">
        <f t="shared" si="375"/>
        <v>21.841836734693878</v>
      </c>
    </row>
    <row r="2666" spans="1:16">
      <c r="A2666" s="2">
        <v>39192</v>
      </c>
      <c r="B2666" s="1">
        <v>45.09</v>
      </c>
      <c r="C2666" s="1">
        <v>45.17</v>
      </c>
      <c r="D2666" s="1">
        <v>44.52</v>
      </c>
      <c r="E2666" s="1">
        <v>44.95</v>
      </c>
      <c r="F2666" s="1">
        <v>5980500</v>
      </c>
      <c r="G2666" s="1">
        <v>44.95</v>
      </c>
      <c r="H2666" s="1">
        <f t="shared" si="369"/>
        <v>0.64999999999999858</v>
      </c>
      <c r="I2666" s="9">
        <f t="shared" si="376"/>
        <v>1.4600179694519284E-2</v>
      </c>
      <c r="J2666" s="1">
        <f t="shared" si="377"/>
        <v>0.31000000000000227</v>
      </c>
      <c r="K2666" s="9">
        <f t="shared" si="370"/>
        <v>6.9444444444444952E-3</v>
      </c>
      <c r="L2666" s="1">
        <f t="shared" si="371"/>
        <v>1</v>
      </c>
      <c r="M2666" s="1">
        <f t="shared" si="372"/>
        <v>45.17</v>
      </c>
      <c r="N2666" s="1">
        <f t="shared" si="373"/>
        <v>44.52</v>
      </c>
      <c r="O2666" s="1">
        <f t="shared" si="374"/>
        <v>42.99</v>
      </c>
      <c r="P2666" s="1">
        <f t="shared" si="375"/>
        <v>21.933673469387756</v>
      </c>
    </row>
    <row r="2667" spans="1:16">
      <c r="A2667" s="2">
        <v>39191</v>
      </c>
      <c r="B2667" s="1">
        <v>44.61</v>
      </c>
      <c r="C2667" s="1">
        <v>45.15</v>
      </c>
      <c r="D2667" s="1">
        <v>44.41</v>
      </c>
      <c r="E2667" s="1">
        <v>44.64</v>
      </c>
      <c r="F2667" s="1">
        <v>4809700</v>
      </c>
      <c r="G2667" s="1">
        <v>44.64</v>
      </c>
      <c r="H2667" s="1">
        <f t="shared" si="369"/>
        <v>0.74000000000000199</v>
      </c>
      <c r="I2667" s="9">
        <f t="shared" si="376"/>
        <v>1.6662913758162621E-2</v>
      </c>
      <c r="J2667" s="1">
        <f t="shared" si="377"/>
        <v>-0.35000000000000142</v>
      </c>
      <c r="K2667" s="9">
        <f t="shared" si="370"/>
        <v>-7.779506557012701E-3</v>
      </c>
      <c r="L2667" s="1">
        <f t="shared" si="371"/>
        <v>1</v>
      </c>
      <c r="M2667" s="1">
        <f t="shared" si="372"/>
        <v>45.15</v>
      </c>
      <c r="N2667" s="1">
        <f t="shared" si="373"/>
        <v>44.41</v>
      </c>
      <c r="O2667" s="1">
        <f t="shared" si="374"/>
        <v>42.68</v>
      </c>
      <c r="P2667" s="1">
        <f t="shared" si="375"/>
        <v>21.775510204081634</v>
      </c>
    </row>
    <row r="2668" spans="1:16">
      <c r="A2668" s="2">
        <v>39190</v>
      </c>
      <c r="B2668" s="1">
        <v>44.8</v>
      </c>
      <c r="C2668" s="1">
        <v>45.15</v>
      </c>
      <c r="D2668" s="1">
        <v>44.63</v>
      </c>
      <c r="E2668" s="1">
        <v>44.99</v>
      </c>
      <c r="F2668" s="1">
        <v>4996400</v>
      </c>
      <c r="G2668" s="1">
        <v>44.99</v>
      </c>
      <c r="H2668" s="1">
        <f t="shared" si="369"/>
        <v>0.51999999999999602</v>
      </c>
      <c r="I2668" s="9">
        <f t="shared" si="376"/>
        <v>1.1651355590409949E-2</v>
      </c>
      <c r="J2668" s="1">
        <f t="shared" si="377"/>
        <v>-7.9999999999998295E-2</v>
      </c>
      <c r="K2668" s="9">
        <f t="shared" si="370"/>
        <v>-1.7750166407809694E-3</v>
      </c>
      <c r="L2668" s="1">
        <f t="shared" si="371"/>
        <v>1</v>
      </c>
      <c r="M2668" s="1">
        <f t="shared" si="372"/>
        <v>45.15</v>
      </c>
      <c r="N2668" s="1">
        <f t="shared" si="373"/>
        <v>44.63</v>
      </c>
      <c r="O2668" s="1">
        <f t="shared" si="374"/>
        <v>43.03</v>
      </c>
      <c r="P2668" s="1">
        <f t="shared" si="375"/>
        <v>21.954081632653061</v>
      </c>
    </row>
    <row r="2669" spans="1:16">
      <c r="A2669" s="2">
        <v>39189</v>
      </c>
      <c r="B2669" s="1">
        <v>45.28</v>
      </c>
      <c r="C2669" s="1">
        <v>45.32</v>
      </c>
      <c r="D2669" s="1">
        <v>44.75</v>
      </c>
      <c r="E2669" s="1">
        <v>45.07</v>
      </c>
      <c r="F2669" s="1">
        <v>7398900</v>
      </c>
      <c r="G2669" s="1">
        <v>45.07</v>
      </c>
      <c r="H2669" s="1">
        <f t="shared" si="369"/>
        <v>0.57000000000000028</v>
      </c>
      <c r="I2669" s="9">
        <f t="shared" si="376"/>
        <v>1.2737430167597772E-2</v>
      </c>
      <c r="J2669" s="1">
        <f t="shared" si="377"/>
        <v>-0.13000000000000256</v>
      </c>
      <c r="K2669" s="9">
        <f t="shared" si="370"/>
        <v>-2.8761061946903218E-3</v>
      </c>
      <c r="L2669" s="1">
        <f t="shared" si="371"/>
        <v>1</v>
      </c>
      <c r="M2669" s="1">
        <f t="shared" si="372"/>
        <v>45.32</v>
      </c>
      <c r="N2669" s="1">
        <f t="shared" si="373"/>
        <v>44.75</v>
      </c>
      <c r="O2669" s="1">
        <f t="shared" si="374"/>
        <v>43.11</v>
      </c>
      <c r="P2669" s="1">
        <f t="shared" si="375"/>
        <v>21.994897959183675</v>
      </c>
    </row>
    <row r="2670" spans="1:16">
      <c r="A2670" s="2">
        <v>39188</v>
      </c>
      <c r="B2670" s="1">
        <v>43.77</v>
      </c>
      <c r="C2670" s="1">
        <v>45.3</v>
      </c>
      <c r="D2670" s="1">
        <v>43.67</v>
      </c>
      <c r="E2670" s="1">
        <v>45.2</v>
      </c>
      <c r="F2670" s="1">
        <v>13444000</v>
      </c>
      <c r="G2670" s="1">
        <v>45.2</v>
      </c>
      <c r="H2670" s="1">
        <f t="shared" si="369"/>
        <v>1.6299999999999955</v>
      </c>
      <c r="I2670" s="9">
        <f t="shared" si="376"/>
        <v>3.7325395008014552E-2</v>
      </c>
      <c r="J2670" s="1">
        <f t="shared" si="377"/>
        <v>2.7900000000000063</v>
      </c>
      <c r="K2670" s="9">
        <f t="shared" si="370"/>
        <v>6.5786371138882485E-2</v>
      </c>
      <c r="L2670" s="1">
        <f t="shared" si="371"/>
        <v>1</v>
      </c>
      <c r="M2670" s="1">
        <f t="shared" si="372"/>
        <v>45.3</v>
      </c>
      <c r="N2670" s="1">
        <f t="shared" si="373"/>
        <v>43.67</v>
      </c>
      <c r="O2670" s="1">
        <f t="shared" si="374"/>
        <v>43.24</v>
      </c>
      <c r="P2670" s="1">
        <f t="shared" si="375"/>
        <v>22.061224489795919</v>
      </c>
    </row>
    <row r="2671" spans="1:16">
      <c r="A2671" s="2">
        <v>39185</v>
      </c>
      <c r="B2671" s="1">
        <v>42.19</v>
      </c>
      <c r="C2671" s="1">
        <v>42.5</v>
      </c>
      <c r="D2671" s="1">
        <v>41.93</v>
      </c>
      <c r="E2671" s="1">
        <v>42.41</v>
      </c>
      <c r="F2671" s="1">
        <v>3610000</v>
      </c>
      <c r="G2671" s="1">
        <v>42.41</v>
      </c>
      <c r="H2671" s="1">
        <f t="shared" si="369"/>
        <v>0.57000000000000028</v>
      </c>
      <c r="I2671" s="9">
        <f t="shared" si="376"/>
        <v>1.3594085380395905E-2</v>
      </c>
      <c r="J2671" s="1">
        <f t="shared" si="377"/>
        <v>0.13999999999999346</v>
      </c>
      <c r="K2671" s="9">
        <f t="shared" si="370"/>
        <v>3.3120416370947116E-3</v>
      </c>
      <c r="L2671" s="1">
        <f t="shared" si="371"/>
        <v>1</v>
      </c>
      <c r="M2671" s="1">
        <f t="shared" si="372"/>
        <v>42.5</v>
      </c>
      <c r="N2671" s="1">
        <f t="shared" si="373"/>
        <v>41.93</v>
      </c>
      <c r="O2671" s="1">
        <f t="shared" si="374"/>
        <v>40.449999999999996</v>
      </c>
      <c r="P2671" s="1">
        <f t="shared" si="375"/>
        <v>20.637755102040813</v>
      </c>
    </row>
    <row r="2672" spans="1:16">
      <c r="A2672" s="2">
        <v>39184</v>
      </c>
      <c r="B2672" s="1">
        <v>41.73</v>
      </c>
      <c r="C2672" s="1">
        <v>42.37</v>
      </c>
      <c r="D2672" s="1">
        <v>41.4</v>
      </c>
      <c r="E2672" s="1">
        <v>42.27</v>
      </c>
      <c r="F2672" s="1">
        <v>4754500</v>
      </c>
      <c r="G2672" s="1">
        <v>42.27</v>
      </c>
      <c r="H2672" s="1">
        <f t="shared" si="369"/>
        <v>0.96999999999999886</v>
      </c>
      <c r="I2672" s="9">
        <f t="shared" si="376"/>
        <v>2.3429951690821231E-2</v>
      </c>
      <c r="J2672" s="1">
        <f t="shared" si="377"/>
        <v>0.59000000000000341</v>
      </c>
      <c r="K2672" s="9">
        <f t="shared" si="370"/>
        <v>1.4155470249520236E-2</v>
      </c>
      <c r="L2672" s="1">
        <f t="shared" si="371"/>
        <v>1</v>
      </c>
      <c r="M2672" s="1">
        <f t="shared" si="372"/>
        <v>42.37</v>
      </c>
      <c r="N2672" s="1">
        <f t="shared" si="373"/>
        <v>41.4</v>
      </c>
      <c r="O2672" s="1">
        <f t="shared" si="374"/>
        <v>40.31</v>
      </c>
      <c r="P2672" s="1">
        <f t="shared" si="375"/>
        <v>20.566326530612248</v>
      </c>
    </row>
    <row r="2673" spans="1:16">
      <c r="A2673" s="2">
        <v>39183</v>
      </c>
      <c r="B2673" s="1">
        <v>41.73</v>
      </c>
      <c r="C2673" s="1">
        <v>41.87</v>
      </c>
      <c r="D2673" s="1">
        <v>41.24</v>
      </c>
      <c r="E2673" s="1">
        <v>41.68</v>
      </c>
      <c r="F2673" s="1">
        <v>5078400</v>
      </c>
      <c r="G2673" s="1">
        <v>41.68</v>
      </c>
      <c r="H2673" s="1">
        <f t="shared" si="369"/>
        <v>0.62999999999999545</v>
      </c>
      <c r="I2673" s="9">
        <f t="shared" si="376"/>
        <v>1.52764306498544E-2</v>
      </c>
      <c r="J2673" s="1">
        <f t="shared" si="377"/>
        <v>-0.17999999999999972</v>
      </c>
      <c r="K2673" s="9">
        <f t="shared" si="370"/>
        <v>-4.300047778308641E-3</v>
      </c>
      <c r="L2673" s="1">
        <f t="shared" si="371"/>
        <v>1</v>
      </c>
      <c r="M2673" s="1">
        <f t="shared" si="372"/>
        <v>41.87</v>
      </c>
      <c r="N2673" s="1">
        <f t="shared" si="373"/>
        <v>41.24</v>
      </c>
      <c r="O2673" s="1">
        <f t="shared" si="374"/>
        <v>39.72</v>
      </c>
      <c r="P2673" s="1">
        <f t="shared" si="375"/>
        <v>20.26530612244898</v>
      </c>
    </row>
    <row r="2674" spans="1:16">
      <c r="A2674" s="2">
        <v>39182</v>
      </c>
      <c r="B2674" s="1">
        <v>41.57</v>
      </c>
      <c r="C2674" s="1">
        <v>41.96</v>
      </c>
      <c r="D2674" s="1">
        <v>41.46</v>
      </c>
      <c r="E2674" s="1">
        <v>41.86</v>
      </c>
      <c r="F2674" s="1">
        <v>3421800</v>
      </c>
      <c r="G2674" s="1">
        <v>41.86</v>
      </c>
      <c r="H2674" s="1">
        <f t="shared" si="369"/>
        <v>0.5</v>
      </c>
      <c r="I2674" s="9">
        <f t="shared" si="376"/>
        <v>1.2059816690786299E-2</v>
      </c>
      <c r="J2674" s="1">
        <f t="shared" si="377"/>
        <v>0.20000000000000284</v>
      </c>
      <c r="K2674" s="9">
        <f t="shared" si="370"/>
        <v>4.8007681228997325E-3</v>
      </c>
      <c r="L2674" s="1">
        <f t="shared" si="371"/>
        <v>1</v>
      </c>
      <c r="M2674" s="1">
        <f t="shared" si="372"/>
        <v>41.96</v>
      </c>
      <c r="N2674" s="1">
        <f t="shared" si="373"/>
        <v>41.46</v>
      </c>
      <c r="O2674" s="1">
        <f t="shared" si="374"/>
        <v>39.9</v>
      </c>
      <c r="P2674" s="1">
        <f t="shared" si="375"/>
        <v>20.357142857142858</v>
      </c>
    </row>
    <row r="2675" spans="1:16">
      <c r="A2675" s="2">
        <v>39181</v>
      </c>
      <c r="B2675" s="1">
        <v>41.72</v>
      </c>
      <c r="C2675" s="1">
        <v>42.14</v>
      </c>
      <c r="D2675" s="1">
        <v>41.61</v>
      </c>
      <c r="E2675" s="1">
        <v>41.66</v>
      </c>
      <c r="F2675" s="1">
        <v>4182700</v>
      </c>
      <c r="G2675" s="1">
        <v>41.66</v>
      </c>
      <c r="H2675" s="1">
        <f t="shared" si="369"/>
        <v>0.53000000000000114</v>
      </c>
      <c r="I2675" s="9">
        <f t="shared" si="376"/>
        <v>1.2737322758952202E-2</v>
      </c>
      <c r="J2675" s="1">
        <f t="shared" si="377"/>
        <v>-2.0000000000003126E-2</v>
      </c>
      <c r="K2675" s="9">
        <f t="shared" si="370"/>
        <v>-4.798464491363514E-4</v>
      </c>
      <c r="L2675" s="1">
        <f t="shared" si="371"/>
        <v>1</v>
      </c>
      <c r="M2675" s="1">
        <f t="shared" si="372"/>
        <v>42.14</v>
      </c>
      <c r="N2675" s="1">
        <f t="shared" si="373"/>
        <v>41.61</v>
      </c>
      <c r="O2675" s="1">
        <f t="shared" si="374"/>
        <v>39.699999999999996</v>
      </c>
      <c r="P2675" s="1">
        <f t="shared" si="375"/>
        <v>20.255102040816325</v>
      </c>
    </row>
    <row r="2676" spans="1:16">
      <c r="A2676" s="2">
        <v>39177</v>
      </c>
      <c r="B2676" s="1">
        <v>41.57</v>
      </c>
      <c r="C2676" s="1">
        <v>41.76</v>
      </c>
      <c r="D2676" s="1">
        <v>41.44</v>
      </c>
      <c r="E2676" s="1">
        <v>41.68</v>
      </c>
      <c r="F2676" s="1">
        <v>3288400</v>
      </c>
      <c r="G2676" s="1">
        <v>41.68</v>
      </c>
      <c r="H2676" s="1">
        <f t="shared" si="369"/>
        <v>0.32000000000000028</v>
      </c>
      <c r="I2676" s="9">
        <f t="shared" si="376"/>
        <v>7.7220077220077291E-3</v>
      </c>
      <c r="J2676" s="1">
        <f t="shared" si="377"/>
        <v>0.14999999999999858</v>
      </c>
      <c r="K2676" s="9">
        <f t="shared" si="370"/>
        <v>3.6118468576931996E-3</v>
      </c>
      <c r="L2676" s="1">
        <f t="shared" si="371"/>
        <v>1</v>
      </c>
      <c r="M2676" s="1">
        <f t="shared" si="372"/>
        <v>41.76</v>
      </c>
      <c r="N2676" s="1">
        <f t="shared" si="373"/>
        <v>41.44</v>
      </c>
      <c r="O2676" s="1">
        <f t="shared" si="374"/>
        <v>39.72</v>
      </c>
      <c r="P2676" s="1">
        <f t="shared" si="375"/>
        <v>20.26530612244898</v>
      </c>
    </row>
    <row r="2677" spans="1:16">
      <c r="A2677" s="2">
        <v>39176</v>
      </c>
      <c r="B2677" s="1">
        <v>41.22</v>
      </c>
      <c r="C2677" s="1">
        <v>41.55</v>
      </c>
      <c r="D2677" s="1">
        <v>40.92</v>
      </c>
      <c r="E2677" s="1">
        <v>41.53</v>
      </c>
      <c r="F2677" s="1">
        <v>4064700</v>
      </c>
      <c r="G2677" s="1">
        <v>41.53</v>
      </c>
      <c r="H2677" s="1">
        <f t="shared" si="369"/>
        <v>0.62999999999999545</v>
      </c>
      <c r="I2677" s="9">
        <f t="shared" si="376"/>
        <v>1.539589442815238E-2</v>
      </c>
      <c r="J2677" s="1">
        <f t="shared" si="377"/>
        <v>0.34000000000000341</v>
      </c>
      <c r="K2677" s="9">
        <f t="shared" si="370"/>
        <v>8.2544306870600496E-3</v>
      </c>
      <c r="L2677" s="1">
        <f t="shared" si="371"/>
        <v>1</v>
      </c>
      <c r="M2677" s="1">
        <f t="shared" si="372"/>
        <v>41.55</v>
      </c>
      <c r="N2677" s="1">
        <f t="shared" si="373"/>
        <v>40.92</v>
      </c>
      <c r="O2677" s="1">
        <f t="shared" si="374"/>
        <v>39.57</v>
      </c>
      <c r="P2677" s="1">
        <f t="shared" si="375"/>
        <v>20.188775510204081</v>
      </c>
    </row>
    <row r="2678" spans="1:16">
      <c r="A2678" s="2">
        <v>39175</v>
      </c>
      <c r="B2678" s="1">
        <v>40.42</v>
      </c>
      <c r="C2678" s="1">
        <v>41.38</v>
      </c>
      <c r="D2678" s="1">
        <v>40.4</v>
      </c>
      <c r="E2678" s="1">
        <v>41.19</v>
      </c>
      <c r="F2678" s="1">
        <v>5968200</v>
      </c>
      <c r="G2678" s="1">
        <v>41.19</v>
      </c>
      <c r="H2678" s="1">
        <f t="shared" si="369"/>
        <v>0.98000000000000398</v>
      </c>
      <c r="I2678" s="9">
        <f t="shared" si="376"/>
        <v>2.4257425742574355E-2</v>
      </c>
      <c r="J2678" s="1">
        <f t="shared" si="377"/>
        <v>0.76999999999999602</v>
      </c>
      <c r="K2678" s="9">
        <f t="shared" si="370"/>
        <v>1.9049975259772291E-2</v>
      </c>
      <c r="L2678" s="1">
        <f t="shared" si="371"/>
        <v>1</v>
      </c>
      <c r="M2678" s="1">
        <f t="shared" si="372"/>
        <v>41.38</v>
      </c>
      <c r="N2678" s="1">
        <f t="shared" si="373"/>
        <v>40.4</v>
      </c>
      <c r="O2678" s="1">
        <f t="shared" si="374"/>
        <v>39.229999999999997</v>
      </c>
      <c r="P2678" s="1">
        <f t="shared" si="375"/>
        <v>20.01530612244898</v>
      </c>
    </row>
    <row r="2679" spans="1:16">
      <c r="A2679" s="2">
        <v>39174</v>
      </c>
      <c r="B2679" s="1">
        <v>39.85</v>
      </c>
      <c r="C2679" s="1">
        <v>40.47</v>
      </c>
      <c r="D2679" s="1">
        <v>39.549999999999997</v>
      </c>
      <c r="E2679" s="1">
        <v>40.42</v>
      </c>
      <c r="F2679" s="1">
        <v>7091300</v>
      </c>
      <c r="G2679" s="1">
        <v>40.42</v>
      </c>
      <c r="H2679" s="1">
        <f t="shared" si="369"/>
        <v>0.92000000000000171</v>
      </c>
      <c r="I2679" s="9">
        <f t="shared" si="376"/>
        <v>2.3261694058154279E-2</v>
      </c>
      <c r="J2679" s="1">
        <f t="shared" si="377"/>
        <v>0.63000000000000256</v>
      </c>
      <c r="K2679" s="9">
        <f t="shared" si="370"/>
        <v>1.5833123900477572E-2</v>
      </c>
      <c r="L2679" s="1">
        <f t="shared" si="371"/>
        <v>1</v>
      </c>
      <c r="M2679" s="1">
        <f t="shared" si="372"/>
        <v>40.47</v>
      </c>
      <c r="N2679" s="1">
        <f t="shared" si="373"/>
        <v>39.549999999999997</v>
      </c>
      <c r="O2679" s="1">
        <f t="shared" si="374"/>
        <v>38.46</v>
      </c>
      <c r="P2679" s="1">
        <f t="shared" si="375"/>
        <v>19.622448979591837</v>
      </c>
    </row>
    <row r="2680" spans="1:16">
      <c r="A2680" s="2">
        <v>39171</v>
      </c>
      <c r="B2680" s="1">
        <v>39.75</v>
      </c>
      <c r="C2680" s="1">
        <v>40.24</v>
      </c>
      <c r="D2680" s="1">
        <v>39.42</v>
      </c>
      <c r="E2680" s="1">
        <v>39.79</v>
      </c>
      <c r="F2680" s="1">
        <v>5996900</v>
      </c>
      <c r="G2680" s="1">
        <v>39.79</v>
      </c>
      <c r="H2680" s="1">
        <f t="shared" si="369"/>
        <v>0.82000000000000028</v>
      </c>
      <c r="I2680" s="9">
        <f t="shared" si="376"/>
        <v>2.0801623541349575E-2</v>
      </c>
      <c r="J2680" s="1">
        <f t="shared" si="377"/>
        <v>-2.0000000000003126E-2</v>
      </c>
      <c r="K2680" s="9">
        <f t="shared" si="370"/>
        <v>-5.0238633509176397E-4</v>
      </c>
      <c r="L2680" s="1">
        <f t="shared" si="371"/>
        <v>1</v>
      </c>
      <c r="M2680" s="1">
        <f t="shared" si="372"/>
        <v>40.24</v>
      </c>
      <c r="N2680" s="1">
        <f t="shared" si="373"/>
        <v>39.42</v>
      </c>
      <c r="O2680" s="1">
        <f t="shared" si="374"/>
        <v>37.83</v>
      </c>
      <c r="P2680" s="1">
        <f t="shared" si="375"/>
        <v>19.301020408163264</v>
      </c>
    </row>
    <row r="2681" spans="1:16">
      <c r="A2681" s="2">
        <v>39170</v>
      </c>
      <c r="B2681" s="1">
        <v>39.65</v>
      </c>
      <c r="C2681" s="1">
        <v>39.92</v>
      </c>
      <c r="D2681" s="1">
        <v>39.299999999999997</v>
      </c>
      <c r="E2681" s="1">
        <v>39.81</v>
      </c>
      <c r="F2681" s="1">
        <v>6405200</v>
      </c>
      <c r="G2681" s="1">
        <v>39.81</v>
      </c>
      <c r="H2681" s="1">
        <f t="shared" si="369"/>
        <v>0.62000000000000455</v>
      </c>
      <c r="I2681" s="9">
        <f t="shared" si="376"/>
        <v>1.5776081424936503E-2</v>
      </c>
      <c r="J2681" s="1">
        <f t="shared" si="377"/>
        <v>0.46999999999999886</v>
      </c>
      <c r="K2681" s="9">
        <f t="shared" si="370"/>
        <v>1.1947127605490564E-2</v>
      </c>
      <c r="L2681" s="1">
        <f t="shared" si="371"/>
        <v>1</v>
      </c>
      <c r="M2681" s="1">
        <f t="shared" si="372"/>
        <v>39.92</v>
      </c>
      <c r="N2681" s="1">
        <f t="shared" si="373"/>
        <v>39.299999999999997</v>
      </c>
      <c r="O2681" s="1">
        <f t="shared" si="374"/>
        <v>37.85</v>
      </c>
      <c r="P2681" s="1">
        <f t="shared" si="375"/>
        <v>19.311224489795919</v>
      </c>
    </row>
    <row r="2682" spans="1:16">
      <c r="A2682" s="2">
        <v>39169</v>
      </c>
      <c r="B2682" s="1">
        <v>39.090000000000003</v>
      </c>
      <c r="C2682" s="1">
        <v>39.51</v>
      </c>
      <c r="D2682" s="1">
        <v>38.74</v>
      </c>
      <c r="E2682" s="1">
        <v>39.340000000000003</v>
      </c>
      <c r="F2682" s="1">
        <v>6202200</v>
      </c>
      <c r="G2682" s="1">
        <v>39.340000000000003</v>
      </c>
      <c r="H2682" s="1">
        <f t="shared" si="369"/>
        <v>0.76999999999999602</v>
      </c>
      <c r="I2682" s="9">
        <f t="shared" si="376"/>
        <v>1.9876097057305007E-2</v>
      </c>
      <c r="J2682" s="1">
        <f t="shared" si="377"/>
        <v>-2.9999999999994031E-2</v>
      </c>
      <c r="K2682" s="9">
        <f t="shared" si="370"/>
        <v>-7.6200152400289641E-4</v>
      </c>
      <c r="L2682" s="1">
        <f t="shared" si="371"/>
        <v>1</v>
      </c>
      <c r="M2682" s="1">
        <f t="shared" si="372"/>
        <v>39.51</v>
      </c>
      <c r="N2682" s="1">
        <f t="shared" si="373"/>
        <v>38.74</v>
      </c>
      <c r="O2682" s="1">
        <f t="shared" si="374"/>
        <v>37.380000000000003</v>
      </c>
      <c r="P2682" s="1">
        <f t="shared" si="375"/>
        <v>19.071428571428573</v>
      </c>
    </row>
    <row r="2683" spans="1:16">
      <c r="A2683" s="2">
        <v>39168</v>
      </c>
      <c r="B2683" s="1">
        <v>38.82</v>
      </c>
      <c r="C2683" s="1">
        <v>39.42</v>
      </c>
      <c r="D2683" s="1">
        <v>38.76</v>
      </c>
      <c r="E2683" s="1">
        <v>39.369999999999997</v>
      </c>
      <c r="F2683" s="1">
        <v>3993600</v>
      </c>
      <c r="G2683" s="1">
        <v>39.369999999999997</v>
      </c>
      <c r="H2683" s="1">
        <f t="shared" si="369"/>
        <v>0.66000000000000369</v>
      </c>
      <c r="I2683" s="9">
        <f t="shared" si="376"/>
        <v>1.7027863777089879E-2</v>
      </c>
      <c r="J2683" s="1">
        <f t="shared" si="377"/>
        <v>0.35999999999999943</v>
      </c>
      <c r="K2683" s="9">
        <f t="shared" si="370"/>
        <v>9.2284029735965004E-3</v>
      </c>
      <c r="L2683" s="1">
        <f t="shared" si="371"/>
        <v>1</v>
      </c>
      <c r="M2683" s="1">
        <f t="shared" si="372"/>
        <v>39.42</v>
      </c>
      <c r="N2683" s="1">
        <f t="shared" si="373"/>
        <v>38.76</v>
      </c>
      <c r="O2683" s="1">
        <f t="shared" si="374"/>
        <v>37.409999999999997</v>
      </c>
      <c r="P2683" s="1">
        <f t="shared" si="375"/>
        <v>19.086734693877549</v>
      </c>
    </row>
    <row r="2684" spans="1:16">
      <c r="A2684" s="2">
        <v>39167</v>
      </c>
      <c r="B2684" s="1">
        <v>38.979999999999997</v>
      </c>
      <c r="C2684" s="1">
        <v>39.049999999999997</v>
      </c>
      <c r="D2684" s="1">
        <v>38.43</v>
      </c>
      <c r="E2684" s="1">
        <v>39.01</v>
      </c>
      <c r="F2684" s="1">
        <v>3521100</v>
      </c>
      <c r="G2684" s="1">
        <v>39.01</v>
      </c>
      <c r="H2684" s="1">
        <f t="shared" si="369"/>
        <v>0.61999999999999744</v>
      </c>
      <c r="I2684" s="9">
        <f t="shared" si="376"/>
        <v>1.6133229247983279E-2</v>
      </c>
      <c r="J2684" s="1">
        <f t="shared" si="377"/>
        <v>3.0000000000001137E-2</v>
      </c>
      <c r="K2684" s="9">
        <f t="shared" si="370"/>
        <v>7.6962544894820773E-4</v>
      </c>
      <c r="L2684" s="1">
        <f t="shared" si="371"/>
        <v>1</v>
      </c>
      <c r="M2684" s="1">
        <f t="shared" si="372"/>
        <v>39.049999999999997</v>
      </c>
      <c r="N2684" s="1">
        <f t="shared" si="373"/>
        <v>38.43</v>
      </c>
      <c r="O2684" s="1">
        <f t="shared" si="374"/>
        <v>37.049999999999997</v>
      </c>
      <c r="P2684" s="1">
        <f t="shared" si="375"/>
        <v>18.903061224489793</v>
      </c>
    </row>
    <row r="2685" spans="1:16">
      <c r="A2685" s="2">
        <v>39164</v>
      </c>
      <c r="B2685" s="1">
        <v>39.56</v>
      </c>
      <c r="C2685" s="1">
        <v>39.6</v>
      </c>
      <c r="D2685" s="1">
        <v>38.979999999999997</v>
      </c>
      <c r="E2685" s="1">
        <v>38.979999999999997</v>
      </c>
      <c r="F2685" s="1">
        <v>2941500</v>
      </c>
      <c r="G2685" s="1">
        <v>38.979999999999997</v>
      </c>
      <c r="H2685" s="1">
        <f t="shared" si="369"/>
        <v>0.62000000000000455</v>
      </c>
      <c r="I2685" s="9">
        <f t="shared" si="376"/>
        <v>1.5905592611595808E-2</v>
      </c>
      <c r="J2685" s="1">
        <f t="shared" si="377"/>
        <v>-0.51000000000000512</v>
      </c>
      <c r="K2685" s="9">
        <f t="shared" si="370"/>
        <v>-1.2914661939731707E-2</v>
      </c>
      <c r="L2685" s="1">
        <f t="shared" si="371"/>
        <v>1</v>
      </c>
      <c r="M2685" s="1">
        <f t="shared" si="372"/>
        <v>39.6</v>
      </c>
      <c r="N2685" s="1">
        <f t="shared" si="373"/>
        <v>38.979999999999997</v>
      </c>
      <c r="O2685" s="1">
        <f t="shared" si="374"/>
        <v>37.019999999999996</v>
      </c>
      <c r="P2685" s="1">
        <f t="shared" si="375"/>
        <v>18.887755102040813</v>
      </c>
    </row>
    <row r="2686" spans="1:16">
      <c r="A2686" s="2">
        <v>39163</v>
      </c>
      <c r="B2686" s="1">
        <v>39.479999999999997</v>
      </c>
      <c r="C2686" s="1">
        <v>39.72</v>
      </c>
      <c r="D2686" s="1">
        <v>38.909999999999997</v>
      </c>
      <c r="E2686" s="1">
        <v>39.49</v>
      </c>
      <c r="F2686" s="1">
        <v>5331500</v>
      </c>
      <c r="G2686" s="1">
        <v>39.49</v>
      </c>
      <c r="H2686" s="1">
        <f t="shared" si="369"/>
        <v>0.81000000000000227</v>
      </c>
      <c r="I2686" s="9">
        <f t="shared" si="376"/>
        <v>2.0817270624518179E-2</v>
      </c>
      <c r="J2686" s="1">
        <f t="shared" si="377"/>
        <v>-0.30999999999999517</v>
      </c>
      <c r="K2686" s="9">
        <f t="shared" si="370"/>
        <v>-7.7889447236179693E-3</v>
      </c>
      <c r="L2686" s="1">
        <f t="shared" si="371"/>
        <v>1</v>
      </c>
      <c r="M2686" s="1">
        <f t="shared" si="372"/>
        <v>39.72</v>
      </c>
      <c r="N2686" s="1">
        <f t="shared" si="373"/>
        <v>38.909999999999997</v>
      </c>
      <c r="O2686" s="1">
        <f t="shared" si="374"/>
        <v>37.53</v>
      </c>
      <c r="P2686" s="1">
        <f t="shared" si="375"/>
        <v>19.147959183673471</v>
      </c>
    </row>
    <row r="2687" spans="1:16">
      <c r="A2687" s="2">
        <v>39162</v>
      </c>
      <c r="B2687" s="1">
        <v>38.549999999999997</v>
      </c>
      <c r="C2687" s="1">
        <v>39.799999999999997</v>
      </c>
      <c r="D2687" s="1">
        <v>38.31</v>
      </c>
      <c r="E2687" s="1">
        <v>39.799999999999997</v>
      </c>
      <c r="F2687" s="1">
        <v>4996400</v>
      </c>
      <c r="G2687" s="1">
        <v>39.799999999999997</v>
      </c>
      <c r="H2687" s="1">
        <f t="shared" si="369"/>
        <v>1.4899999999999949</v>
      </c>
      <c r="I2687" s="9">
        <f t="shared" si="376"/>
        <v>3.8893239363090443E-2</v>
      </c>
      <c r="J2687" s="1">
        <f t="shared" si="377"/>
        <v>1.2199999999999989</v>
      </c>
      <c r="K2687" s="9">
        <f t="shared" si="370"/>
        <v>3.1622602384655231E-2</v>
      </c>
      <c r="L2687" s="1">
        <f t="shared" si="371"/>
        <v>1</v>
      </c>
      <c r="M2687" s="1">
        <f t="shared" si="372"/>
        <v>39.799999999999997</v>
      </c>
      <c r="N2687" s="1">
        <f t="shared" si="373"/>
        <v>38.31</v>
      </c>
      <c r="O2687" s="1">
        <f t="shared" si="374"/>
        <v>37.839999999999996</v>
      </c>
      <c r="P2687" s="1">
        <f t="shared" si="375"/>
        <v>19.30612244897959</v>
      </c>
    </row>
    <row r="2688" spans="1:16">
      <c r="A2688" s="2">
        <v>39161</v>
      </c>
      <c r="B2688" s="1">
        <v>38.53</v>
      </c>
      <c r="C2688" s="1">
        <v>38.69</v>
      </c>
      <c r="D2688" s="1">
        <v>38.229999999999997</v>
      </c>
      <c r="E2688" s="1">
        <v>38.58</v>
      </c>
      <c r="F2688" s="1">
        <v>3801300</v>
      </c>
      <c r="G2688" s="1">
        <v>38.58</v>
      </c>
      <c r="H2688" s="1">
        <f t="shared" si="369"/>
        <v>0.46000000000000085</v>
      </c>
      <c r="I2688" s="9">
        <f t="shared" si="376"/>
        <v>1.203243526026683E-2</v>
      </c>
      <c r="J2688" s="1">
        <f t="shared" si="377"/>
        <v>0.12999999999999545</v>
      </c>
      <c r="K2688" s="9">
        <f t="shared" si="370"/>
        <v>3.381014304291169E-3</v>
      </c>
      <c r="L2688" s="1">
        <f t="shared" si="371"/>
        <v>1</v>
      </c>
      <c r="M2688" s="1">
        <f t="shared" si="372"/>
        <v>38.69</v>
      </c>
      <c r="N2688" s="1">
        <f t="shared" si="373"/>
        <v>38.229999999999997</v>
      </c>
      <c r="O2688" s="1">
        <f t="shared" si="374"/>
        <v>36.619999999999997</v>
      </c>
      <c r="P2688" s="1">
        <f t="shared" si="375"/>
        <v>18.683673469387752</v>
      </c>
    </row>
    <row r="2689" spans="1:16">
      <c r="A2689" s="2">
        <v>39160</v>
      </c>
      <c r="B2689" s="1">
        <v>38</v>
      </c>
      <c r="C2689" s="1">
        <v>38.54</v>
      </c>
      <c r="D2689" s="1">
        <v>38</v>
      </c>
      <c r="E2689" s="1">
        <v>38.450000000000003</v>
      </c>
      <c r="F2689" s="1">
        <v>4226600</v>
      </c>
      <c r="G2689" s="1">
        <v>38.450000000000003</v>
      </c>
      <c r="H2689" s="1">
        <f t="shared" si="369"/>
        <v>0.53999999999999915</v>
      </c>
      <c r="I2689" s="9">
        <f t="shared" si="376"/>
        <v>1.4210526315789451E-2</v>
      </c>
      <c r="J2689" s="1">
        <f t="shared" si="377"/>
        <v>0.60000000000000142</v>
      </c>
      <c r="K2689" s="9">
        <f t="shared" si="370"/>
        <v>1.5852047556142706E-2</v>
      </c>
      <c r="L2689" s="1">
        <f t="shared" si="371"/>
        <v>1</v>
      </c>
      <c r="M2689" s="1">
        <f t="shared" si="372"/>
        <v>38.54</v>
      </c>
      <c r="N2689" s="1">
        <f t="shared" si="373"/>
        <v>38</v>
      </c>
      <c r="O2689" s="1">
        <f t="shared" si="374"/>
        <v>36.49</v>
      </c>
      <c r="P2689" s="1">
        <f t="shared" si="375"/>
        <v>18.617346938775512</v>
      </c>
    </row>
    <row r="2690" spans="1:16">
      <c r="A2690" s="2">
        <v>39157</v>
      </c>
      <c r="B2690" s="1">
        <v>37.72</v>
      </c>
      <c r="C2690" s="1">
        <v>38.08</v>
      </c>
      <c r="D2690" s="1">
        <v>37.520000000000003</v>
      </c>
      <c r="E2690" s="1">
        <v>37.85</v>
      </c>
      <c r="F2690" s="1">
        <v>6865500</v>
      </c>
      <c r="G2690" s="1">
        <v>37.85</v>
      </c>
      <c r="H2690" s="1">
        <f t="shared" si="369"/>
        <v>0.55999999999999517</v>
      </c>
      <c r="I2690" s="9">
        <f t="shared" si="376"/>
        <v>1.4925373134328228E-2</v>
      </c>
      <c r="J2690" s="1">
        <f t="shared" si="377"/>
        <v>7.0000000000000284E-2</v>
      </c>
      <c r="K2690" s="9">
        <f t="shared" si="370"/>
        <v>1.8528321863419874E-3</v>
      </c>
      <c r="L2690" s="1">
        <f t="shared" si="371"/>
        <v>1</v>
      </c>
      <c r="M2690" s="1">
        <f t="shared" si="372"/>
        <v>38.08</v>
      </c>
      <c r="N2690" s="1">
        <f t="shared" si="373"/>
        <v>37.520000000000003</v>
      </c>
      <c r="O2690" s="1">
        <f t="shared" si="374"/>
        <v>35.89</v>
      </c>
      <c r="P2690" s="1">
        <f t="shared" si="375"/>
        <v>18.311224489795919</v>
      </c>
    </row>
    <row r="2691" spans="1:16">
      <c r="A2691" s="2">
        <v>39156</v>
      </c>
      <c r="B2691" s="1">
        <v>38.1</v>
      </c>
      <c r="C2691" s="1">
        <v>38.29</v>
      </c>
      <c r="D2691" s="1">
        <v>37.549999999999997</v>
      </c>
      <c r="E2691" s="1">
        <v>37.78</v>
      </c>
      <c r="F2691" s="1">
        <v>7265700</v>
      </c>
      <c r="G2691" s="1">
        <v>37.78</v>
      </c>
      <c r="H2691" s="1">
        <f t="shared" ref="H2691:H2754" si="378">C2691-D2691</f>
        <v>0.74000000000000199</v>
      </c>
      <c r="I2691" s="9">
        <f t="shared" si="376"/>
        <v>1.9707057256990734E-2</v>
      </c>
      <c r="J2691" s="1">
        <f t="shared" si="377"/>
        <v>-0.29999999999999716</v>
      </c>
      <c r="K2691" s="9">
        <f t="shared" ref="K2691:K2754" si="379">(G2691-G2692)/G2692</f>
        <v>-7.8781512605041269E-3</v>
      </c>
      <c r="L2691" s="1">
        <f t="shared" ref="L2691:L2754" si="380">G2691/E2691</f>
        <v>1</v>
      </c>
      <c r="M2691" s="1">
        <f t="shared" ref="M2691:M2754" si="381">L2691*C2691</f>
        <v>38.29</v>
      </c>
      <c r="N2691" s="1">
        <f t="shared" ref="N2691:N2754" si="382">L2691*D2691</f>
        <v>37.549999999999997</v>
      </c>
      <c r="O2691" s="1">
        <f t="shared" ref="O2691:O2754" si="383">G2691-$G$5163</f>
        <v>35.82</v>
      </c>
      <c r="P2691" s="1">
        <f t="shared" ref="P2691:P2754" si="384">(G2691-$G$5163)/$G$5163</f>
        <v>18.275510204081634</v>
      </c>
    </row>
    <row r="2692" spans="1:16">
      <c r="A2692" s="2">
        <v>39155</v>
      </c>
      <c r="B2692" s="1">
        <v>37.76</v>
      </c>
      <c r="C2692" s="1">
        <v>38.22</v>
      </c>
      <c r="D2692" s="1">
        <v>37.26</v>
      </c>
      <c r="E2692" s="1">
        <v>38.08</v>
      </c>
      <c r="F2692" s="1">
        <v>8591100</v>
      </c>
      <c r="G2692" s="1">
        <v>38.08</v>
      </c>
      <c r="H2692" s="1">
        <f t="shared" si="378"/>
        <v>0.96000000000000085</v>
      </c>
      <c r="I2692" s="9">
        <f t="shared" ref="I2692:I2755" si="385">(C2692-D2692)/D2692</f>
        <v>2.5764895330112746E-2</v>
      </c>
      <c r="J2692" s="1">
        <f t="shared" ref="J2692:J2755" si="386">G2692-G2693</f>
        <v>0.25999999999999801</v>
      </c>
      <c r="K2692" s="9">
        <f t="shared" si="379"/>
        <v>6.8746694870438392E-3</v>
      </c>
      <c r="L2692" s="1">
        <f t="shared" si="380"/>
        <v>1</v>
      </c>
      <c r="M2692" s="1">
        <f t="shared" si="381"/>
        <v>38.22</v>
      </c>
      <c r="N2692" s="1">
        <f t="shared" si="382"/>
        <v>37.26</v>
      </c>
      <c r="O2692" s="1">
        <f t="shared" si="383"/>
        <v>36.119999999999997</v>
      </c>
      <c r="P2692" s="1">
        <f t="shared" si="384"/>
        <v>18.428571428571427</v>
      </c>
    </row>
    <row r="2693" spans="1:16">
      <c r="A2693" s="2">
        <v>39154</v>
      </c>
      <c r="B2693" s="1">
        <v>38.299999999999997</v>
      </c>
      <c r="C2693" s="1">
        <v>38.880000000000003</v>
      </c>
      <c r="D2693" s="1">
        <v>37.69</v>
      </c>
      <c r="E2693" s="1">
        <v>37.82</v>
      </c>
      <c r="F2693" s="1">
        <v>5204100</v>
      </c>
      <c r="G2693" s="1">
        <v>37.82</v>
      </c>
      <c r="H2693" s="1">
        <f t="shared" si="378"/>
        <v>1.1900000000000048</v>
      </c>
      <c r="I2693" s="9">
        <f t="shared" si="385"/>
        <v>3.1573361634385906E-2</v>
      </c>
      <c r="J2693" s="1">
        <f t="shared" si="386"/>
        <v>-0.99000000000000199</v>
      </c>
      <c r="K2693" s="9">
        <f t="shared" si="379"/>
        <v>-2.5508889461479049E-2</v>
      </c>
      <c r="L2693" s="1">
        <f t="shared" si="380"/>
        <v>1</v>
      </c>
      <c r="M2693" s="1">
        <f t="shared" si="381"/>
        <v>38.880000000000003</v>
      </c>
      <c r="N2693" s="1">
        <f t="shared" si="382"/>
        <v>37.69</v>
      </c>
      <c r="O2693" s="1">
        <f t="shared" si="383"/>
        <v>35.86</v>
      </c>
      <c r="P2693" s="1">
        <f t="shared" si="384"/>
        <v>18.295918367346939</v>
      </c>
    </row>
    <row r="2694" spans="1:16">
      <c r="A2694" s="2">
        <v>39153</v>
      </c>
      <c r="B2694" s="1">
        <v>38.64</v>
      </c>
      <c r="C2694" s="1">
        <v>39.049999999999997</v>
      </c>
      <c r="D2694" s="1">
        <v>38.380000000000003</v>
      </c>
      <c r="E2694" s="1">
        <v>38.81</v>
      </c>
      <c r="F2694" s="1">
        <v>4879000</v>
      </c>
      <c r="G2694" s="1">
        <v>38.81</v>
      </c>
      <c r="H2694" s="1">
        <f t="shared" si="378"/>
        <v>0.6699999999999946</v>
      </c>
      <c r="I2694" s="9">
        <f t="shared" si="385"/>
        <v>1.7457008858780473E-2</v>
      </c>
      <c r="J2694" s="1">
        <f t="shared" si="386"/>
        <v>-3.0000000000001137E-2</v>
      </c>
      <c r="K2694" s="9">
        <f t="shared" si="379"/>
        <v>-7.7239958805358229E-4</v>
      </c>
      <c r="L2694" s="1">
        <f t="shared" si="380"/>
        <v>1</v>
      </c>
      <c r="M2694" s="1">
        <f t="shared" si="381"/>
        <v>39.049999999999997</v>
      </c>
      <c r="N2694" s="1">
        <f t="shared" si="382"/>
        <v>38.380000000000003</v>
      </c>
      <c r="O2694" s="1">
        <f t="shared" si="383"/>
        <v>36.85</v>
      </c>
      <c r="P2694" s="1">
        <f t="shared" si="384"/>
        <v>18.801020408163268</v>
      </c>
    </row>
    <row r="2695" spans="1:16">
      <c r="A2695" s="2">
        <v>39150</v>
      </c>
      <c r="B2695" s="1">
        <v>38.479999999999997</v>
      </c>
      <c r="C2695" s="1">
        <v>38.89</v>
      </c>
      <c r="D2695" s="1">
        <v>38</v>
      </c>
      <c r="E2695" s="1">
        <v>38.840000000000003</v>
      </c>
      <c r="F2695" s="1">
        <v>6200100</v>
      </c>
      <c r="G2695" s="1">
        <v>38.840000000000003</v>
      </c>
      <c r="H2695" s="1">
        <f t="shared" si="378"/>
        <v>0.89000000000000057</v>
      </c>
      <c r="I2695" s="9">
        <f t="shared" si="385"/>
        <v>2.3421052631578964E-2</v>
      </c>
      <c r="J2695" s="1">
        <f t="shared" si="386"/>
        <v>0.74000000000000199</v>
      </c>
      <c r="K2695" s="9">
        <f t="shared" si="379"/>
        <v>1.9422572178477742E-2</v>
      </c>
      <c r="L2695" s="1">
        <f t="shared" si="380"/>
        <v>1</v>
      </c>
      <c r="M2695" s="1">
        <f t="shared" si="381"/>
        <v>38.89</v>
      </c>
      <c r="N2695" s="1">
        <f t="shared" si="382"/>
        <v>38</v>
      </c>
      <c r="O2695" s="1">
        <f t="shared" si="383"/>
        <v>36.880000000000003</v>
      </c>
      <c r="P2695" s="1">
        <f t="shared" si="384"/>
        <v>18.816326530612248</v>
      </c>
    </row>
    <row r="2696" spans="1:16">
      <c r="A2696" s="2">
        <v>39149</v>
      </c>
      <c r="B2696" s="1">
        <v>38.770000000000003</v>
      </c>
      <c r="C2696" s="1">
        <v>39.22</v>
      </c>
      <c r="D2696" s="1">
        <v>37.979999999999997</v>
      </c>
      <c r="E2696" s="1">
        <v>38.1</v>
      </c>
      <c r="F2696" s="1">
        <v>7629300</v>
      </c>
      <c r="G2696" s="1">
        <v>38.1</v>
      </c>
      <c r="H2696" s="1">
        <f t="shared" si="378"/>
        <v>1.240000000000002</v>
      </c>
      <c r="I2696" s="9">
        <f t="shared" si="385"/>
        <v>3.2648762506582468E-2</v>
      </c>
      <c r="J2696" s="1">
        <f t="shared" si="386"/>
        <v>-0.25999999999999801</v>
      </c>
      <c r="K2696" s="9">
        <f t="shared" si="379"/>
        <v>-6.7778936392074562E-3</v>
      </c>
      <c r="L2696" s="1">
        <f t="shared" si="380"/>
        <v>1</v>
      </c>
      <c r="M2696" s="1">
        <f t="shared" si="381"/>
        <v>39.22</v>
      </c>
      <c r="N2696" s="1">
        <f t="shared" si="382"/>
        <v>37.979999999999997</v>
      </c>
      <c r="O2696" s="1">
        <f t="shared" si="383"/>
        <v>36.14</v>
      </c>
      <c r="P2696" s="1">
        <f t="shared" si="384"/>
        <v>18.438775510204081</v>
      </c>
    </row>
    <row r="2697" spans="1:16">
      <c r="A2697" s="2">
        <v>39148</v>
      </c>
      <c r="B2697" s="1">
        <v>38.68</v>
      </c>
      <c r="C2697" s="1">
        <v>39.32</v>
      </c>
      <c r="D2697" s="1">
        <v>38.28</v>
      </c>
      <c r="E2697" s="1">
        <v>38.36</v>
      </c>
      <c r="F2697" s="1">
        <v>8644600</v>
      </c>
      <c r="G2697" s="1">
        <v>38.36</v>
      </c>
      <c r="H2697" s="1">
        <f t="shared" si="378"/>
        <v>1.0399999999999991</v>
      </c>
      <c r="I2697" s="9">
        <f t="shared" si="385"/>
        <v>2.7168234064785766E-2</v>
      </c>
      <c r="J2697" s="1">
        <f t="shared" si="386"/>
        <v>-0.21999999999999886</v>
      </c>
      <c r="K2697" s="9">
        <f t="shared" si="379"/>
        <v>-5.7024364955935427E-3</v>
      </c>
      <c r="L2697" s="1">
        <f t="shared" si="380"/>
        <v>1</v>
      </c>
      <c r="M2697" s="1">
        <f t="shared" si="381"/>
        <v>39.32</v>
      </c>
      <c r="N2697" s="1">
        <f t="shared" si="382"/>
        <v>38.28</v>
      </c>
      <c r="O2697" s="1">
        <f t="shared" si="383"/>
        <v>36.4</v>
      </c>
      <c r="P2697" s="1">
        <f t="shared" si="384"/>
        <v>18.571428571428569</v>
      </c>
    </row>
    <row r="2698" spans="1:16">
      <c r="A2698" s="2">
        <v>39147</v>
      </c>
      <c r="B2698" s="1">
        <v>37.69</v>
      </c>
      <c r="C2698" s="1">
        <v>38.659999999999997</v>
      </c>
      <c r="D2698" s="1">
        <v>37.409999999999997</v>
      </c>
      <c r="E2698" s="1">
        <v>38.58</v>
      </c>
      <c r="F2698" s="1">
        <v>12848200</v>
      </c>
      <c r="G2698" s="1">
        <v>38.58</v>
      </c>
      <c r="H2698" s="1">
        <f t="shared" si="378"/>
        <v>1.25</v>
      </c>
      <c r="I2698" s="9">
        <f t="shared" si="385"/>
        <v>3.341352579524192E-2</v>
      </c>
      <c r="J2698" s="1">
        <f t="shared" si="386"/>
        <v>1.5300000000000011</v>
      </c>
      <c r="K2698" s="9">
        <f t="shared" si="379"/>
        <v>4.1295546558704488E-2</v>
      </c>
      <c r="L2698" s="1">
        <f t="shared" si="380"/>
        <v>1</v>
      </c>
      <c r="M2698" s="1">
        <f t="shared" si="381"/>
        <v>38.659999999999997</v>
      </c>
      <c r="N2698" s="1">
        <f t="shared" si="382"/>
        <v>37.409999999999997</v>
      </c>
      <c r="O2698" s="1">
        <f t="shared" si="383"/>
        <v>36.619999999999997</v>
      </c>
      <c r="P2698" s="1">
        <f t="shared" si="384"/>
        <v>18.683673469387752</v>
      </c>
    </row>
    <row r="2699" spans="1:16">
      <c r="A2699" s="2">
        <v>39146</v>
      </c>
      <c r="B2699" s="1">
        <v>37.15</v>
      </c>
      <c r="C2699" s="1">
        <v>38.32</v>
      </c>
      <c r="D2699" s="1">
        <v>37.04</v>
      </c>
      <c r="E2699" s="1">
        <v>37.049999999999997</v>
      </c>
      <c r="F2699" s="1">
        <v>9565600</v>
      </c>
      <c r="G2699" s="1">
        <v>37.049999999999997</v>
      </c>
      <c r="H2699" s="1">
        <f t="shared" si="378"/>
        <v>1.2800000000000011</v>
      </c>
      <c r="I2699" s="9">
        <f t="shared" si="385"/>
        <v>3.4557235421166337E-2</v>
      </c>
      <c r="J2699" s="1">
        <f t="shared" si="386"/>
        <v>-0.64000000000000057</v>
      </c>
      <c r="K2699" s="9">
        <f t="shared" si="379"/>
        <v>-1.6980631467232703E-2</v>
      </c>
      <c r="L2699" s="1">
        <f t="shared" si="380"/>
        <v>1</v>
      </c>
      <c r="M2699" s="1">
        <f t="shared" si="381"/>
        <v>38.32</v>
      </c>
      <c r="N2699" s="1">
        <f t="shared" si="382"/>
        <v>37.04</v>
      </c>
      <c r="O2699" s="1">
        <f t="shared" si="383"/>
        <v>35.089999999999996</v>
      </c>
      <c r="P2699" s="1">
        <f t="shared" si="384"/>
        <v>17.903061224489793</v>
      </c>
    </row>
    <row r="2700" spans="1:16">
      <c r="A2700" s="2">
        <v>39143</v>
      </c>
      <c r="B2700" s="1">
        <v>38.32</v>
      </c>
      <c r="C2700" s="1">
        <v>38.869999999999997</v>
      </c>
      <c r="D2700" s="1">
        <v>37.69</v>
      </c>
      <c r="E2700" s="1">
        <v>37.69</v>
      </c>
      <c r="F2700" s="1">
        <v>7787800</v>
      </c>
      <c r="G2700" s="1">
        <v>37.69</v>
      </c>
      <c r="H2700" s="1">
        <f t="shared" si="378"/>
        <v>1.1799999999999997</v>
      </c>
      <c r="I2700" s="9">
        <f t="shared" si="385"/>
        <v>3.130803926771026E-2</v>
      </c>
      <c r="J2700" s="1">
        <f t="shared" si="386"/>
        <v>-1.1600000000000037</v>
      </c>
      <c r="K2700" s="9">
        <f t="shared" si="379"/>
        <v>-2.9858429858429951E-2</v>
      </c>
      <c r="L2700" s="1">
        <f t="shared" si="380"/>
        <v>1</v>
      </c>
      <c r="M2700" s="1">
        <f t="shared" si="381"/>
        <v>38.869999999999997</v>
      </c>
      <c r="N2700" s="1">
        <f t="shared" si="382"/>
        <v>37.69</v>
      </c>
      <c r="O2700" s="1">
        <f t="shared" si="383"/>
        <v>35.729999999999997</v>
      </c>
      <c r="P2700" s="1">
        <f t="shared" si="384"/>
        <v>18.229591836734691</v>
      </c>
    </row>
    <row r="2701" spans="1:16">
      <c r="A2701" s="2">
        <v>39142</v>
      </c>
      <c r="B2701" s="1">
        <v>39.32</v>
      </c>
      <c r="C2701" s="1">
        <v>39.32</v>
      </c>
      <c r="D2701" s="1">
        <v>38.049999999999997</v>
      </c>
      <c r="E2701" s="1">
        <v>38.85</v>
      </c>
      <c r="F2701" s="1">
        <v>9255800</v>
      </c>
      <c r="G2701" s="1">
        <v>38.85</v>
      </c>
      <c r="H2701" s="1">
        <f t="shared" si="378"/>
        <v>1.2700000000000031</v>
      </c>
      <c r="I2701" s="9">
        <f t="shared" si="385"/>
        <v>3.3377135348226103E-2</v>
      </c>
      <c r="J2701" s="1">
        <f t="shared" si="386"/>
        <v>-0.28999999999999915</v>
      </c>
      <c r="K2701" s="9">
        <f t="shared" si="379"/>
        <v>-7.4092999489013579E-3</v>
      </c>
      <c r="L2701" s="1">
        <f t="shared" si="380"/>
        <v>1</v>
      </c>
      <c r="M2701" s="1">
        <f t="shared" si="381"/>
        <v>39.32</v>
      </c>
      <c r="N2701" s="1">
        <f t="shared" si="382"/>
        <v>38.049999999999997</v>
      </c>
      <c r="O2701" s="1">
        <f t="shared" si="383"/>
        <v>36.89</v>
      </c>
      <c r="P2701" s="1">
        <f t="shared" si="384"/>
        <v>18.821428571428573</v>
      </c>
    </row>
    <row r="2702" spans="1:16">
      <c r="A2702" s="2">
        <v>39141</v>
      </c>
      <c r="B2702" s="1">
        <v>38.909999999999997</v>
      </c>
      <c r="C2702" s="1">
        <v>39.58</v>
      </c>
      <c r="D2702" s="1">
        <v>38.08</v>
      </c>
      <c r="E2702" s="1">
        <v>39.14</v>
      </c>
      <c r="F2702" s="1">
        <v>7687400</v>
      </c>
      <c r="G2702" s="1">
        <v>39.14</v>
      </c>
      <c r="H2702" s="1">
        <f t="shared" si="378"/>
        <v>1.5</v>
      </c>
      <c r="I2702" s="9">
        <f t="shared" si="385"/>
        <v>3.9390756302521007E-2</v>
      </c>
      <c r="J2702" s="1">
        <f t="shared" si="386"/>
        <v>0.31000000000000227</v>
      </c>
      <c r="K2702" s="9">
        <f t="shared" si="379"/>
        <v>7.983517898532121E-3</v>
      </c>
      <c r="L2702" s="1">
        <f t="shared" si="380"/>
        <v>1</v>
      </c>
      <c r="M2702" s="1">
        <f t="shared" si="381"/>
        <v>39.58</v>
      </c>
      <c r="N2702" s="1">
        <f t="shared" si="382"/>
        <v>38.08</v>
      </c>
      <c r="O2702" s="1">
        <f t="shared" si="383"/>
        <v>37.18</v>
      </c>
      <c r="P2702" s="1">
        <f t="shared" si="384"/>
        <v>18.969387755102041</v>
      </c>
    </row>
    <row r="2703" spans="1:16">
      <c r="A2703" s="2">
        <v>39140</v>
      </c>
      <c r="B2703" s="1">
        <v>40.19</v>
      </c>
      <c r="C2703" s="1">
        <v>40.54</v>
      </c>
      <c r="D2703" s="1">
        <v>38.78</v>
      </c>
      <c r="E2703" s="1">
        <v>38.83</v>
      </c>
      <c r="F2703" s="1">
        <v>8850700</v>
      </c>
      <c r="G2703" s="1">
        <v>38.83</v>
      </c>
      <c r="H2703" s="1">
        <f t="shared" si="378"/>
        <v>1.759999999999998</v>
      </c>
      <c r="I2703" s="9">
        <f t="shared" si="385"/>
        <v>4.5384218669417171E-2</v>
      </c>
      <c r="J2703" s="1">
        <f t="shared" si="386"/>
        <v>-2.0500000000000043</v>
      </c>
      <c r="K2703" s="9">
        <f t="shared" si="379"/>
        <v>-5.0146771037182097E-2</v>
      </c>
      <c r="L2703" s="1">
        <f t="shared" si="380"/>
        <v>1</v>
      </c>
      <c r="M2703" s="1">
        <f t="shared" si="381"/>
        <v>40.54</v>
      </c>
      <c r="N2703" s="1">
        <f t="shared" si="382"/>
        <v>38.78</v>
      </c>
      <c r="O2703" s="1">
        <f t="shared" si="383"/>
        <v>36.869999999999997</v>
      </c>
      <c r="P2703" s="1">
        <f t="shared" si="384"/>
        <v>18.811224489795919</v>
      </c>
    </row>
    <row r="2704" spans="1:16">
      <c r="A2704" s="2">
        <v>39139</v>
      </c>
      <c r="B2704" s="1">
        <v>40.86</v>
      </c>
      <c r="C2704" s="1">
        <v>41.2</v>
      </c>
      <c r="D2704" s="1">
        <v>40.4</v>
      </c>
      <c r="E2704" s="1">
        <v>40.880000000000003</v>
      </c>
      <c r="F2704" s="1">
        <v>4035200</v>
      </c>
      <c r="G2704" s="1">
        <v>40.880000000000003</v>
      </c>
      <c r="H2704" s="1">
        <f t="shared" si="378"/>
        <v>0.80000000000000426</v>
      </c>
      <c r="I2704" s="9">
        <f t="shared" si="385"/>
        <v>1.980198019801991E-2</v>
      </c>
      <c r="J2704" s="1">
        <f t="shared" si="386"/>
        <v>0.10000000000000142</v>
      </c>
      <c r="K2704" s="9">
        <f t="shared" si="379"/>
        <v>2.4521824423737472E-3</v>
      </c>
      <c r="L2704" s="1">
        <f t="shared" si="380"/>
        <v>1</v>
      </c>
      <c r="M2704" s="1">
        <f t="shared" si="381"/>
        <v>41.2</v>
      </c>
      <c r="N2704" s="1">
        <f t="shared" si="382"/>
        <v>40.4</v>
      </c>
      <c r="O2704" s="1">
        <f t="shared" si="383"/>
        <v>38.92</v>
      </c>
      <c r="P2704" s="1">
        <f t="shared" si="384"/>
        <v>19.857142857142858</v>
      </c>
    </row>
    <row r="2705" spans="1:16">
      <c r="A2705" s="2">
        <v>39136</v>
      </c>
      <c r="B2705" s="1">
        <v>41</v>
      </c>
      <c r="C2705" s="1">
        <v>41.2</v>
      </c>
      <c r="D2705" s="1">
        <v>40.74</v>
      </c>
      <c r="E2705" s="1">
        <v>40.78</v>
      </c>
      <c r="F2705" s="1">
        <v>5497400</v>
      </c>
      <c r="G2705" s="1">
        <v>40.78</v>
      </c>
      <c r="H2705" s="1">
        <f t="shared" si="378"/>
        <v>0.46000000000000085</v>
      </c>
      <c r="I2705" s="9">
        <f t="shared" si="385"/>
        <v>1.129111438389791E-2</v>
      </c>
      <c r="J2705" s="1">
        <f t="shared" si="386"/>
        <v>-0.21999999999999886</v>
      </c>
      <c r="K2705" s="9">
        <f t="shared" si="379"/>
        <v>-5.365853658536558E-3</v>
      </c>
      <c r="L2705" s="1">
        <f t="shared" si="380"/>
        <v>1</v>
      </c>
      <c r="M2705" s="1">
        <f t="shared" si="381"/>
        <v>41.2</v>
      </c>
      <c r="N2705" s="1">
        <f t="shared" si="382"/>
        <v>40.74</v>
      </c>
      <c r="O2705" s="1">
        <f t="shared" si="383"/>
        <v>38.82</v>
      </c>
      <c r="P2705" s="1">
        <f t="shared" si="384"/>
        <v>19.806122448979593</v>
      </c>
    </row>
    <row r="2706" spans="1:16">
      <c r="A2706" s="2">
        <v>39135</v>
      </c>
      <c r="B2706" s="1">
        <v>41.4</v>
      </c>
      <c r="C2706" s="1">
        <v>42</v>
      </c>
      <c r="D2706" s="1">
        <v>40.89</v>
      </c>
      <c r="E2706" s="1">
        <v>41</v>
      </c>
      <c r="F2706" s="1">
        <v>4926100</v>
      </c>
      <c r="G2706" s="1">
        <v>41</v>
      </c>
      <c r="H2706" s="1">
        <f t="shared" si="378"/>
        <v>1.1099999999999994</v>
      </c>
      <c r="I2706" s="9">
        <f t="shared" si="385"/>
        <v>2.7146001467351417E-2</v>
      </c>
      <c r="J2706" s="1">
        <f t="shared" si="386"/>
        <v>-0.25999999999999801</v>
      </c>
      <c r="K2706" s="9">
        <f t="shared" si="379"/>
        <v>-6.3015026660203106E-3</v>
      </c>
      <c r="L2706" s="1">
        <f t="shared" si="380"/>
        <v>1</v>
      </c>
      <c r="M2706" s="1">
        <f t="shared" si="381"/>
        <v>42</v>
      </c>
      <c r="N2706" s="1">
        <f t="shared" si="382"/>
        <v>40.89</v>
      </c>
      <c r="O2706" s="1">
        <f t="shared" si="383"/>
        <v>39.04</v>
      </c>
      <c r="P2706" s="1">
        <f t="shared" si="384"/>
        <v>19.918367346938776</v>
      </c>
    </row>
    <row r="2707" spans="1:16">
      <c r="A2707" s="2">
        <v>39134</v>
      </c>
      <c r="B2707" s="1">
        <v>41.19</v>
      </c>
      <c r="C2707" s="1">
        <v>41.32</v>
      </c>
      <c r="D2707" s="1">
        <v>40.92</v>
      </c>
      <c r="E2707" s="1">
        <v>41.26</v>
      </c>
      <c r="F2707" s="1">
        <v>4508400</v>
      </c>
      <c r="G2707" s="1">
        <v>41.26</v>
      </c>
      <c r="H2707" s="1">
        <f t="shared" si="378"/>
        <v>0.39999999999999858</v>
      </c>
      <c r="I2707" s="9">
        <f t="shared" si="385"/>
        <v>9.7751710654936114E-3</v>
      </c>
      <c r="J2707" s="1">
        <f t="shared" si="386"/>
        <v>-0.25</v>
      </c>
      <c r="K2707" s="9">
        <f t="shared" si="379"/>
        <v>-6.0226451457480127E-3</v>
      </c>
      <c r="L2707" s="1">
        <f t="shared" si="380"/>
        <v>1</v>
      </c>
      <c r="M2707" s="1">
        <f t="shared" si="381"/>
        <v>41.32</v>
      </c>
      <c r="N2707" s="1">
        <f t="shared" si="382"/>
        <v>40.92</v>
      </c>
      <c r="O2707" s="1">
        <f t="shared" si="383"/>
        <v>39.299999999999997</v>
      </c>
      <c r="P2707" s="1">
        <f t="shared" si="384"/>
        <v>20.051020408163264</v>
      </c>
    </row>
    <row r="2708" spans="1:16">
      <c r="A2708" s="2">
        <v>39133</v>
      </c>
      <c r="B2708" s="1">
        <v>40.130000000000003</v>
      </c>
      <c r="C2708" s="1">
        <v>41.74</v>
      </c>
      <c r="D2708" s="1">
        <v>40</v>
      </c>
      <c r="E2708" s="1">
        <v>41.51</v>
      </c>
      <c r="F2708" s="1">
        <v>8903400</v>
      </c>
      <c r="G2708" s="1">
        <v>41.51</v>
      </c>
      <c r="H2708" s="1">
        <f t="shared" si="378"/>
        <v>1.740000000000002</v>
      </c>
      <c r="I2708" s="9">
        <f t="shared" si="385"/>
        <v>4.3500000000000053E-2</v>
      </c>
      <c r="J2708" s="1">
        <f t="shared" si="386"/>
        <v>1.1799999999999997</v>
      </c>
      <c r="K2708" s="9">
        <f t="shared" si="379"/>
        <v>2.9258616414579712E-2</v>
      </c>
      <c r="L2708" s="1">
        <f t="shared" si="380"/>
        <v>1</v>
      </c>
      <c r="M2708" s="1">
        <f t="shared" si="381"/>
        <v>41.74</v>
      </c>
      <c r="N2708" s="1">
        <f t="shared" si="382"/>
        <v>40</v>
      </c>
      <c r="O2708" s="1">
        <f t="shared" si="383"/>
        <v>39.549999999999997</v>
      </c>
      <c r="P2708" s="1">
        <f t="shared" si="384"/>
        <v>20.178571428571427</v>
      </c>
    </row>
    <row r="2709" spans="1:16">
      <c r="A2709" s="2">
        <v>39129</v>
      </c>
      <c r="B2709" s="1">
        <v>39.9</v>
      </c>
      <c r="C2709" s="1">
        <v>40.44</v>
      </c>
      <c r="D2709" s="1">
        <v>39.869999999999997</v>
      </c>
      <c r="E2709" s="1">
        <v>40.33</v>
      </c>
      <c r="F2709" s="1">
        <v>4679000</v>
      </c>
      <c r="G2709" s="1">
        <v>40.33</v>
      </c>
      <c r="H2709" s="1">
        <f t="shared" si="378"/>
        <v>0.57000000000000028</v>
      </c>
      <c r="I2709" s="9">
        <f t="shared" si="385"/>
        <v>1.4296463506395794E-2</v>
      </c>
      <c r="J2709" s="1">
        <f t="shared" si="386"/>
        <v>0.26999999999999602</v>
      </c>
      <c r="K2709" s="9">
        <f t="shared" si="379"/>
        <v>6.7398901647527706E-3</v>
      </c>
      <c r="L2709" s="1">
        <f t="shared" si="380"/>
        <v>1</v>
      </c>
      <c r="M2709" s="1">
        <f t="shared" si="381"/>
        <v>40.44</v>
      </c>
      <c r="N2709" s="1">
        <f t="shared" si="382"/>
        <v>39.869999999999997</v>
      </c>
      <c r="O2709" s="1">
        <f t="shared" si="383"/>
        <v>38.369999999999997</v>
      </c>
      <c r="P2709" s="1">
        <f t="shared" si="384"/>
        <v>19.576530612244898</v>
      </c>
    </row>
    <row r="2710" spans="1:16">
      <c r="A2710" s="2">
        <v>39128</v>
      </c>
      <c r="B2710" s="1">
        <v>40.14</v>
      </c>
      <c r="C2710" s="1">
        <v>40.32</v>
      </c>
      <c r="D2710" s="1">
        <v>39.86</v>
      </c>
      <c r="E2710" s="1">
        <v>40.06</v>
      </c>
      <c r="F2710" s="1">
        <v>5088200</v>
      </c>
      <c r="G2710" s="1">
        <v>40.06</v>
      </c>
      <c r="H2710" s="1">
        <f t="shared" si="378"/>
        <v>0.46000000000000085</v>
      </c>
      <c r="I2710" s="9">
        <f t="shared" si="385"/>
        <v>1.1540391369794302E-2</v>
      </c>
      <c r="J2710" s="1">
        <f t="shared" si="386"/>
        <v>-7.9999999999998295E-2</v>
      </c>
      <c r="K2710" s="9">
        <f t="shared" si="379"/>
        <v>-1.9930244145490356E-3</v>
      </c>
      <c r="L2710" s="1">
        <f t="shared" si="380"/>
        <v>1</v>
      </c>
      <c r="M2710" s="1">
        <f t="shared" si="381"/>
        <v>40.32</v>
      </c>
      <c r="N2710" s="1">
        <f t="shared" si="382"/>
        <v>39.86</v>
      </c>
      <c r="O2710" s="1">
        <f t="shared" si="383"/>
        <v>38.1</v>
      </c>
      <c r="P2710" s="1">
        <f t="shared" si="384"/>
        <v>19.438775510204081</v>
      </c>
    </row>
    <row r="2711" spans="1:16">
      <c r="A2711" s="2">
        <v>39127</v>
      </c>
      <c r="B2711" s="1">
        <v>39.229999999999997</v>
      </c>
      <c r="C2711" s="1">
        <v>40.28</v>
      </c>
      <c r="D2711" s="1">
        <v>39.14</v>
      </c>
      <c r="E2711" s="1">
        <v>40.14</v>
      </c>
      <c r="F2711" s="1">
        <v>6814100</v>
      </c>
      <c r="G2711" s="1">
        <v>40.14</v>
      </c>
      <c r="H2711" s="1">
        <f t="shared" si="378"/>
        <v>1.1400000000000006</v>
      </c>
      <c r="I2711" s="9">
        <f t="shared" si="385"/>
        <v>2.9126213592233025E-2</v>
      </c>
      <c r="J2711" s="1">
        <f t="shared" si="386"/>
        <v>0.82999999999999829</v>
      </c>
      <c r="K2711" s="9">
        <f t="shared" si="379"/>
        <v>2.1114220300178028E-2</v>
      </c>
      <c r="L2711" s="1">
        <f t="shared" si="380"/>
        <v>1</v>
      </c>
      <c r="M2711" s="1">
        <f t="shared" si="381"/>
        <v>40.28</v>
      </c>
      <c r="N2711" s="1">
        <f t="shared" si="382"/>
        <v>39.14</v>
      </c>
      <c r="O2711" s="1">
        <f t="shared" si="383"/>
        <v>38.18</v>
      </c>
      <c r="P2711" s="1">
        <f t="shared" si="384"/>
        <v>19.479591836734695</v>
      </c>
    </row>
    <row r="2712" spans="1:16">
      <c r="A2712" s="2">
        <v>39126</v>
      </c>
      <c r="B2712" s="1">
        <v>38.85</v>
      </c>
      <c r="C2712" s="1">
        <v>39.61</v>
      </c>
      <c r="D2712" s="1">
        <v>38.85</v>
      </c>
      <c r="E2712" s="1">
        <v>39.31</v>
      </c>
      <c r="F2712" s="1">
        <v>4505500</v>
      </c>
      <c r="G2712" s="1">
        <v>39.31</v>
      </c>
      <c r="H2712" s="1">
        <f t="shared" si="378"/>
        <v>0.75999999999999801</v>
      </c>
      <c r="I2712" s="9">
        <f t="shared" si="385"/>
        <v>1.9562419562419511E-2</v>
      </c>
      <c r="J2712" s="1">
        <f t="shared" si="386"/>
        <v>0.46000000000000085</v>
      </c>
      <c r="K2712" s="9">
        <f t="shared" si="379"/>
        <v>1.1840411840411862E-2</v>
      </c>
      <c r="L2712" s="1">
        <f t="shared" si="380"/>
        <v>1</v>
      </c>
      <c r="M2712" s="1">
        <f t="shared" si="381"/>
        <v>39.61</v>
      </c>
      <c r="N2712" s="1">
        <f t="shared" si="382"/>
        <v>38.85</v>
      </c>
      <c r="O2712" s="1">
        <f t="shared" si="383"/>
        <v>37.35</v>
      </c>
      <c r="P2712" s="1">
        <f t="shared" si="384"/>
        <v>19.056122448979593</v>
      </c>
    </row>
    <row r="2713" spans="1:16">
      <c r="A2713" s="2">
        <v>39125</v>
      </c>
      <c r="B2713" s="1">
        <v>38.79</v>
      </c>
      <c r="C2713" s="1">
        <v>38.99</v>
      </c>
      <c r="D2713" s="1">
        <v>38.36</v>
      </c>
      <c r="E2713" s="1">
        <v>38.85</v>
      </c>
      <c r="F2713" s="1">
        <v>3835700</v>
      </c>
      <c r="G2713" s="1">
        <v>38.85</v>
      </c>
      <c r="H2713" s="1">
        <f t="shared" si="378"/>
        <v>0.63000000000000256</v>
      </c>
      <c r="I2713" s="9">
        <f t="shared" si="385"/>
        <v>1.6423357664233643E-2</v>
      </c>
      <c r="J2713" s="1">
        <f t="shared" si="386"/>
        <v>0.13000000000000256</v>
      </c>
      <c r="K2713" s="9">
        <f t="shared" si="379"/>
        <v>3.3574380165289916E-3</v>
      </c>
      <c r="L2713" s="1">
        <f t="shared" si="380"/>
        <v>1</v>
      </c>
      <c r="M2713" s="1">
        <f t="shared" si="381"/>
        <v>38.99</v>
      </c>
      <c r="N2713" s="1">
        <f t="shared" si="382"/>
        <v>38.36</v>
      </c>
      <c r="O2713" s="1">
        <f t="shared" si="383"/>
        <v>36.89</v>
      </c>
      <c r="P2713" s="1">
        <f t="shared" si="384"/>
        <v>18.821428571428573</v>
      </c>
    </row>
    <row r="2714" spans="1:16">
      <c r="A2714" s="2">
        <v>39122</v>
      </c>
      <c r="B2714" s="1">
        <v>39.19</v>
      </c>
      <c r="C2714" s="1">
        <v>39.31</v>
      </c>
      <c r="D2714" s="1">
        <v>38.659999999999997</v>
      </c>
      <c r="E2714" s="1">
        <v>38.72</v>
      </c>
      <c r="F2714" s="1">
        <v>5960100</v>
      </c>
      <c r="G2714" s="1">
        <v>38.72</v>
      </c>
      <c r="H2714" s="1">
        <f t="shared" si="378"/>
        <v>0.65000000000000568</v>
      </c>
      <c r="I2714" s="9">
        <f t="shared" si="385"/>
        <v>1.6813243662700615E-2</v>
      </c>
      <c r="J2714" s="1">
        <f t="shared" si="386"/>
        <v>-0.38000000000000256</v>
      </c>
      <c r="K2714" s="9">
        <f t="shared" si="379"/>
        <v>-9.7186700767264069E-3</v>
      </c>
      <c r="L2714" s="1">
        <f t="shared" si="380"/>
        <v>1</v>
      </c>
      <c r="M2714" s="1">
        <f t="shared" si="381"/>
        <v>39.31</v>
      </c>
      <c r="N2714" s="1">
        <f t="shared" si="382"/>
        <v>38.659999999999997</v>
      </c>
      <c r="O2714" s="1">
        <f t="shared" si="383"/>
        <v>36.76</v>
      </c>
      <c r="P2714" s="1">
        <f t="shared" si="384"/>
        <v>18.755102040816325</v>
      </c>
    </row>
    <row r="2715" spans="1:16">
      <c r="A2715" s="2">
        <v>39121</v>
      </c>
      <c r="B2715" s="1">
        <v>38.950000000000003</v>
      </c>
      <c r="C2715" s="1">
        <v>39.51</v>
      </c>
      <c r="D2715" s="1">
        <v>38.67</v>
      </c>
      <c r="E2715" s="1">
        <v>39.1</v>
      </c>
      <c r="F2715" s="1">
        <v>5483600</v>
      </c>
      <c r="G2715" s="1">
        <v>39.1</v>
      </c>
      <c r="H2715" s="1">
        <f t="shared" si="378"/>
        <v>0.83999999999999631</v>
      </c>
      <c r="I2715" s="9">
        <f t="shared" si="385"/>
        <v>2.1722265321954908E-2</v>
      </c>
      <c r="J2715" s="1">
        <f t="shared" si="386"/>
        <v>0.12000000000000455</v>
      </c>
      <c r="K2715" s="9">
        <f t="shared" si="379"/>
        <v>3.0785017957928309E-3</v>
      </c>
      <c r="L2715" s="1">
        <f t="shared" si="380"/>
        <v>1</v>
      </c>
      <c r="M2715" s="1">
        <f t="shared" si="381"/>
        <v>39.51</v>
      </c>
      <c r="N2715" s="1">
        <f t="shared" si="382"/>
        <v>38.67</v>
      </c>
      <c r="O2715" s="1">
        <f t="shared" si="383"/>
        <v>37.14</v>
      </c>
      <c r="P2715" s="1">
        <f t="shared" si="384"/>
        <v>18.948979591836736</v>
      </c>
    </row>
    <row r="2716" spans="1:16">
      <c r="A2716" s="2">
        <v>39120</v>
      </c>
      <c r="B2716" s="1">
        <v>38.49</v>
      </c>
      <c r="C2716" s="1">
        <v>39.520000000000003</v>
      </c>
      <c r="D2716" s="1">
        <v>38.4</v>
      </c>
      <c r="E2716" s="1">
        <v>38.979999999999997</v>
      </c>
      <c r="F2716" s="1">
        <v>10503200</v>
      </c>
      <c r="G2716" s="1">
        <v>38.979999999999997</v>
      </c>
      <c r="H2716" s="1">
        <f t="shared" si="378"/>
        <v>1.1200000000000045</v>
      </c>
      <c r="I2716" s="9">
        <f t="shared" si="385"/>
        <v>2.9166666666666785E-2</v>
      </c>
      <c r="J2716" s="1">
        <f t="shared" si="386"/>
        <v>0.70999999999999375</v>
      </c>
      <c r="K2716" s="9">
        <f t="shared" si="379"/>
        <v>1.8552390906715278E-2</v>
      </c>
      <c r="L2716" s="1">
        <f t="shared" si="380"/>
        <v>1</v>
      </c>
      <c r="M2716" s="1">
        <f t="shared" si="381"/>
        <v>39.520000000000003</v>
      </c>
      <c r="N2716" s="1">
        <f t="shared" si="382"/>
        <v>38.4</v>
      </c>
      <c r="O2716" s="1">
        <f t="shared" si="383"/>
        <v>37.019999999999996</v>
      </c>
      <c r="P2716" s="1">
        <f t="shared" si="384"/>
        <v>18.887755102040813</v>
      </c>
    </row>
    <row r="2717" spans="1:16">
      <c r="A2717" s="2">
        <v>39119</v>
      </c>
      <c r="B2717" s="1">
        <v>37.200000000000003</v>
      </c>
      <c r="C2717" s="1">
        <v>38.409999999999997</v>
      </c>
      <c r="D2717" s="1">
        <v>37.08</v>
      </c>
      <c r="E2717" s="1">
        <v>38.270000000000003</v>
      </c>
      <c r="F2717" s="1">
        <v>8612700</v>
      </c>
      <c r="G2717" s="1">
        <v>38.270000000000003</v>
      </c>
      <c r="H2717" s="1">
        <f t="shared" si="378"/>
        <v>1.3299999999999983</v>
      </c>
      <c r="I2717" s="9">
        <f t="shared" si="385"/>
        <v>3.5868392664509127E-2</v>
      </c>
      <c r="J2717" s="1">
        <f t="shared" si="386"/>
        <v>1.1100000000000065</v>
      </c>
      <c r="K2717" s="9">
        <f t="shared" si="379"/>
        <v>2.9870828848224076E-2</v>
      </c>
      <c r="L2717" s="1">
        <f t="shared" si="380"/>
        <v>1</v>
      </c>
      <c r="M2717" s="1">
        <f t="shared" si="381"/>
        <v>38.409999999999997</v>
      </c>
      <c r="N2717" s="1">
        <f t="shared" si="382"/>
        <v>37.08</v>
      </c>
      <c r="O2717" s="1">
        <f t="shared" si="383"/>
        <v>36.31</v>
      </c>
      <c r="P2717" s="1">
        <f t="shared" si="384"/>
        <v>18.525510204081634</v>
      </c>
    </row>
    <row r="2718" spans="1:16">
      <c r="A2718" s="2">
        <v>39118</v>
      </c>
      <c r="B2718" s="1">
        <v>37.25</v>
      </c>
      <c r="C2718" s="1">
        <v>37.42</v>
      </c>
      <c r="D2718" s="1">
        <v>36.770000000000003</v>
      </c>
      <c r="E2718" s="1">
        <v>37.159999999999997</v>
      </c>
      <c r="F2718" s="1">
        <v>6110900</v>
      </c>
      <c r="G2718" s="1">
        <v>37.159999999999997</v>
      </c>
      <c r="H2718" s="1">
        <f t="shared" si="378"/>
        <v>0.64999999999999858</v>
      </c>
      <c r="I2718" s="9">
        <f t="shared" si="385"/>
        <v>1.7677454446559656E-2</v>
      </c>
      <c r="J2718" s="1">
        <f t="shared" si="386"/>
        <v>-0.23000000000000398</v>
      </c>
      <c r="K2718" s="9">
        <f t="shared" si="379"/>
        <v>-6.1513773736294186E-3</v>
      </c>
      <c r="L2718" s="1">
        <f t="shared" si="380"/>
        <v>1</v>
      </c>
      <c r="M2718" s="1">
        <f t="shared" si="381"/>
        <v>37.42</v>
      </c>
      <c r="N2718" s="1">
        <f t="shared" si="382"/>
        <v>36.770000000000003</v>
      </c>
      <c r="O2718" s="1">
        <f t="shared" si="383"/>
        <v>35.199999999999996</v>
      </c>
      <c r="P2718" s="1">
        <f t="shared" si="384"/>
        <v>17.959183673469386</v>
      </c>
    </row>
    <row r="2719" spans="1:16">
      <c r="A2719" s="2">
        <v>39115</v>
      </c>
      <c r="B2719" s="1">
        <v>37.229999999999997</v>
      </c>
      <c r="C2719" s="1">
        <v>37.74</v>
      </c>
      <c r="D2719" s="1">
        <v>36.68</v>
      </c>
      <c r="E2719" s="1">
        <v>37.39</v>
      </c>
      <c r="F2719" s="1">
        <v>25850700</v>
      </c>
      <c r="G2719" s="1">
        <v>37.39</v>
      </c>
      <c r="H2719" s="1">
        <f t="shared" si="378"/>
        <v>1.0600000000000023</v>
      </c>
      <c r="I2719" s="9">
        <f t="shared" si="385"/>
        <v>2.8898582333696899E-2</v>
      </c>
      <c r="J2719" s="1">
        <f t="shared" si="386"/>
        <v>-1.3100000000000023</v>
      </c>
      <c r="K2719" s="9">
        <f t="shared" si="379"/>
        <v>-3.3850129198966468E-2</v>
      </c>
      <c r="L2719" s="1">
        <f t="shared" si="380"/>
        <v>1</v>
      </c>
      <c r="M2719" s="1">
        <f t="shared" si="381"/>
        <v>37.74</v>
      </c>
      <c r="N2719" s="1">
        <f t="shared" si="382"/>
        <v>36.68</v>
      </c>
      <c r="O2719" s="1">
        <f t="shared" si="383"/>
        <v>35.43</v>
      </c>
      <c r="P2719" s="1">
        <f t="shared" si="384"/>
        <v>18.076530612244898</v>
      </c>
    </row>
    <row r="2720" spans="1:16">
      <c r="A2720" s="2">
        <v>39114</v>
      </c>
      <c r="B2720" s="1">
        <v>37.950000000000003</v>
      </c>
      <c r="C2720" s="1">
        <v>39.299999999999997</v>
      </c>
      <c r="D2720" s="1">
        <v>37.85</v>
      </c>
      <c r="E2720" s="1">
        <v>38.700000000000003</v>
      </c>
      <c r="F2720" s="1">
        <v>26123100</v>
      </c>
      <c r="G2720" s="1">
        <v>38.700000000000003</v>
      </c>
      <c r="H2720" s="1">
        <f t="shared" si="378"/>
        <v>1.4499999999999957</v>
      </c>
      <c r="I2720" s="9">
        <f t="shared" si="385"/>
        <v>3.8309114927344665E-2</v>
      </c>
      <c r="J2720" s="1">
        <f t="shared" si="386"/>
        <v>1.0300000000000011</v>
      </c>
      <c r="K2720" s="9">
        <f t="shared" si="379"/>
        <v>2.7342713034244785E-2</v>
      </c>
      <c r="L2720" s="1">
        <f t="shared" si="380"/>
        <v>1</v>
      </c>
      <c r="M2720" s="1">
        <f t="shared" si="381"/>
        <v>39.299999999999997</v>
      </c>
      <c r="N2720" s="1">
        <f t="shared" si="382"/>
        <v>37.85</v>
      </c>
      <c r="O2720" s="1">
        <f t="shared" si="383"/>
        <v>36.74</v>
      </c>
      <c r="P2720" s="1">
        <f t="shared" si="384"/>
        <v>18.744897959183675</v>
      </c>
    </row>
    <row r="2721" spans="1:16">
      <c r="A2721" s="2">
        <v>39113</v>
      </c>
      <c r="B2721" s="1">
        <v>36.950000000000003</v>
      </c>
      <c r="C2721" s="1">
        <v>38.19</v>
      </c>
      <c r="D2721" s="1">
        <v>36.76</v>
      </c>
      <c r="E2721" s="1">
        <v>37.67</v>
      </c>
      <c r="F2721" s="1">
        <v>7277500</v>
      </c>
      <c r="G2721" s="1">
        <v>37.67</v>
      </c>
      <c r="H2721" s="1">
        <f t="shared" si="378"/>
        <v>1.4299999999999997</v>
      </c>
      <c r="I2721" s="9">
        <f t="shared" si="385"/>
        <v>3.8900979325353642E-2</v>
      </c>
      <c r="J2721" s="1">
        <f t="shared" si="386"/>
        <v>0.62000000000000455</v>
      </c>
      <c r="K2721" s="9">
        <f t="shared" si="379"/>
        <v>1.6734143049932648E-2</v>
      </c>
      <c r="L2721" s="1">
        <f t="shared" si="380"/>
        <v>1</v>
      </c>
      <c r="M2721" s="1">
        <f t="shared" si="381"/>
        <v>38.19</v>
      </c>
      <c r="N2721" s="1">
        <f t="shared" si="382"/>
        <v>36.76</v>
      </c>
      <c r="O2721" s="1">
        <f t="shared" si="383"/>
        <v>35.71</v>
      </c>
      <c r="P2721" s="1">
        <f t="shared" si="384"/>
        <v>18.219387755102041</v>
      </c>
    </row>
    <row r="2722" spans="1:16">
      <c r="A2722" s="2">
        <v>39112</v>
      </c>
      <c r="B2722" s="1">
        <v>37.29</v>
      </c>
      <c r="C2722" s="1">
        <v>37.42</v>
      </c>
      <c r="D2722" s="1">
        <v>36.630000000000003</v>
      </c>
      <c r="E2722" s="1">
        <v>37.049999999999997</v>
      </c>
      <c r="F2722" s="1">
        <v>4813500</v>
      </c>
      <c r="G2722" s="1">
        <v>37.049999999999997</v>
      </c>
      <c r="H2722" s="1">
        <f t="shared" si="378"/>
        <v>0.78999999999999915</v>
      </c>
      <c r="I2722" s="9">
        <f t="shared" si="385"/>
        <v>2.1567021567021543E-2</v>
      </c>
      <c r="J2722" s="1">
        <f t="shared" si="386"/>
        <v>-0.38000000000000256</v>
      </c>
      <c r="K2722" s="9">
        <f t="shared" si="379"/>
        <v>-1.0152284263959459E-2</v>
      </c>
      <c r="L2722" s="1">
        <f t="shared" si="380"/>
        <v>1</v>
      </c>
      <c r="M2722" s="1">
        <f t="shared" si="381"/>
        <v>37.42</v>
      </c>
      <c r="N2722" s="1">
        <f t="shared" si="382"/>
        <v>36.630000000000003</v>
      </c>
      <c r="O2722" s="1">
        <f t="shared" si="383"/>
        <v>35.089999999999996</v>
      </c>
      <c r="P2722" s="1">
        <f t="shared" si="384"/>
        <v>17.903061224489793</v>
      </c>
    </row>
    <row r="2723" spans="1:16">
      <c r="A2723" s="2">
        <v>39111</v>
      </c>
      <c r="B2723" s="1">
        <v>36.700000000000003</v>
      </c>
      <c r="C2723" s="1">
        <v>37.450000000000003</v>
      </c>
      <c r="D2723" s="1">
        <v>36.54</v>
      </c>
      <c r="E2723" s="1">
        <v>37.43</v>
      </c>
      <c r="F2723" s="1">
        <v>7395000</v>
      </c>
      <c r="G2723" s="1">
        <v>37.43</v>
      </c>
      <c r="H2723" s="1">
        <f t="shared" si="378"/>
        <v>0.91000000000000369</v>
      </c>
      <c r="I2723" s="9">
        <f t="shared" si="385"/>
        <v>2.4904214559387076E-2</v>
      </c>
      <c r="J2723" s="1">
        <f t="shared" si="386"/>
        <v>0.57999999999999829</v>
      </c>
      <c r="K2723" s="9">
        <f t="shared" si="379"/>
        <v>1.5739484396200768E-2</v>
      </c>
      <c r="L2723" s="1">
        <f t="shared" si="380"/>
        <v>1</v>
      </c>
      <c r="M2723" s="1">
        <f t="shared" si="381"/>
        <v>37.450000000000003</v>
      </c>
      <c r="N2723" s="1">
        <f t="shared" si="382"/>
        <v>36.54</v>
      </c>
      <c r="O2723" s="1">
        <f t="shared" si="383"/>
        <v>35.47</v>
      </c>
      <c r="P2723" s="1">
        <f t="shared" si="384"/>
        <v>18.096938775510203</v>
      </c>
    </row>
    <row r="2724" spans="1:16">
      <c r="A2724" s="2">
        <v>39108</v>
      </c>
      <c r="B2724" s="1">
        <v>37.26</v>
      </c>
      <c r="C2724" s="1">
        <v>37.26</v>
      </c>
      <c r="D2724" s="1">
        <v>36.299999999999997</v>
      </c>
      <c r="E2724" s="1">
        <v>36.85</v>
      </c>
      <c r="F2724" s="1">
        <v>4139300</v>
      </c>
      <c r="G2724" s="1">
        <v>36.85</v>
      </c>
      <c r="H2724" s="1">
        <f t="shared" si="378"/>
        <v>0.96000000000000085</v>
      </c>
      <c r="I2724" s="9">
        <f t="shared" si="385"/>
        <v>2.6446280991735564E-2</v>
      </c>
      <c r="J2724" s="1">
        <f t="shared" si="386"/>
        <v>-0.22999999999999687</v>
      </c>
      <c r="K2724" s="9">
        <f t="shared" si="379"/>
        <v>-6.2028047464939831E-3</v>
      </c>
      <c r="L2724" s="1">
        <f t="shared" si="380"/>
        <v>1</v>
      </c>
      <c r="M2724" s="1">
        <f t="shared" si="381"/>
        <v>37.26</v>
      </c>
      <c r="N2724" s="1">
        <f t="shared" si="382"/>
        <v>36.299999999999997</v>
      </c>
      <c r="O2724" s="1">
        <f t="shared" si="383"/>
        <v>34.89</v>
      </c>
      <c r="P2724" s="1">
        <f t="shared" si="384"/>
        <v>17.801020408163264</v>
      </c>
    </row>
    <row r="2725" spans="1:16">
      <c r="A2725" s="2">
        <v>39107</v>
      </c>
      <c r="B2725" s="1">
        <v>38.08</v>
      </c>
      <c r="C2725" s="1">
        <v>38.229999999999997</v>
      </c>
      <c r="D2725" s="1">
        <v>36.78</v>
      </c>
      <c r="E2725" s="1">
        <v>37.08</v>
      </c>
      <c r="F2725" s="1">
        <v>6747600</v>
      </c>
      <c r="G2725" s="1">
        <v>37.08</v>
      </c>
      <c r="H2725" s="1">
        <f t="shared" si="378"/>
        <v>1.4499999999999957</v>
      </c>
      <c r="I2725" s="9">
        <f t="shared" si="385"/>
        <v>3.9423599782490368E-2</v>
      </c>
      <c r="J2725" s="1">
        <f t="shared" si="386"/>
        <v>-0.17999999999999972</v>
      </c>
      <c r="K2725" s="9">
        <f t="shared" si="379"/>
        <v>-4.8309178743961281E-3</v>
      </c>
      <c r="L2725" s="1">
        <f t="shared" si="380"/>
        <v>1</v>
      </c>
      <c r="M2725" s="1">
        <f t="shared" si="381"/>
        <v>38.229999999999997</v>
      </c>
      <c r="N2725" s="1">
        <f t="shared" si="382"/>
        <v>36.78</v>
      </c>
      <c r="O2725" s="1">
        <f t="shared" si="383"/>
        <v>35.119999999999997</v>
      </c>
      <c r="P2725" s="1">
        <f t="shared" si="384"/>
        <v>17.918367346938773</v>
      </c>
    </row>
    <row r="2726" spans="1:16">
      <c r="A2726" s="2">
        <v>39106</v>
      </c>
      <c r="B2726" s="1">
        <v>36.51</v>
      </c>
      <c r="C2726" s="1">
        <v>37.36</v>
      </c>
      <c r="D2726" s="1">
        <v>36.5</v>
      </c>
      <c r="E2726" s="1">
        <v>37.26</v>
      </c>
      <c r="F2726" s="1">
        <v>5271700</v>
      </c>
      <c r="G2726" s="1">
        <v>37.26</v>
      </c>
      <c r="H2726" s="1">
        <f t="shared" si="378"/>
        <v>0.85999999999999943</v>
      </c>
      <c r="I2726" s="9">
        <f t="shared" si="385"/>
        <v>2.3561643835616423E-2</v>
      </c>
      <c r="J2726" s="1">
        <f t="shared" si="386"/>
        <v>0.82999999999999829</v>
      </c>
      <c r="K2726" s="9">
        <f t="shared" si="379"/>
        <v>2.2783420258029052E-2</v>
      </c>
      <c r="L2726" s="1">
        <f t="shared" si="380"/>
        <v>1</v>
      </c>
      <c r="M2726" s="1">
        <f t="shared" si="381"/>
        <v>37.36</v>
      </c>
      <c r="N2726" s="1">
        <f t="shared" si="382"/>
        <v>36.5</v>
      </c>
      <c r="O2726" s="1">
        <f t="shared" si="383"/>
        <v>35.299999999999997</v>
      </c>
      <c r="P2726" s="1">
        <f t="shared" si="384"/>
        <v>18.010204081632651</v>
      </c>
    </row>
    <row r="2727" spans="1:16">
      <c r="A2727" s="2">
        <v>39105</v>
      </c>
      <c r="B2727" s="1">
        <v>36.9</v>
      </c>
      <c r="C2727" s="1">
        <v>37.07</v>
      </c>
      <c r="D2727" s="1">
        <v>36.299999999999997</v>
      </c>
      <c r="E2727" s="1">
        <v>36.43</v>
      </c>
      <c r="F2727" s="1">
        <v>5313600</v>
      </c>
      <c r="G2727" s="1">
        <v>36.43</v>
      </c>
      <c r="H2727" s="1">
        <f t="shared" si="378"/>
        <v>0.77000000000000313</v>
      </c>
      <c r="I2727" s="9">
        <f t="shared" si="385"/>
        <v>2.12121212121213E-2</v>
      </c>
      <c r="J2727" s="1">
        <f t="shared" si="386"/>
        <v>-0.52000000000000313</v>
      </c>
      <c r="K2727" s="9">
        <f t="shared" si="379"/>
        <v>-1.407307171853865E-2</v>
      </c>
      <c r="L2727" s="1">
        <f t="shared" si="380"/>
        <v>1</v>
      </c>
      <c r="M2727" s="1">
        <f t="shared" si="381"/>
        <v>37.07</v>
      </c>
      <c r="N2727" s="1">
        <f t="shared" si="382"/>
        <v>36.299999999999997</v>
      </c>
      <c r="O2727" s="1">
        <f t="shared" si="383"/>
        <v>34.47</v>
      </c>
      <c r="P2727" s="1">
        <f t="shared" si="384"/>
        <v>17.586734693877549</v>
      </c>
    </row>
    <row r="2728" spans="1:16">
      <c r="A2728" s="2">
        <v>39104</v>
      </c>
      <c r="B2728" s="1">
        <v>37.65</v>
      </c>
      <c r="C2728" s="1">
        <v>37.9</v>
      </c>
      <c r="D2728" s="1">
        <v>36.799999999999997</v>
      </c>
      <c r="E2728" s="1">
        <v>36.950000000000003</v>
      </c>
      <c r="F2728" s="1">
        <v>8317000</v>
      </c>
      <c r="G2728" s="1">
        <v>36.950000000000003</v>
      </c>
      <c r="H2728" s="1">
        <f t="shared" si="378"/>
        <v>1.1000000000000014</v>
      </c>
      <c r="I2728" s="9">
        <f t="shared" si="385"/>
        <v>2.9891304347826129E-2</v>
      </c>
      <c r="J2728" s="1">
        <f t="shared" si="386"/>
        <v>-7.0000000000000284E-2</v>
      </c>
      <c r="K2728" s="9">
        <f t="shared" si="379"/>
        <v>-1.8908698001080572E-3</v>
      </c>
      <c r="L2728" s="1">
        <f t="shared" si="380"/>
        <v>1</v>
      </c>
      <c r="M2728" s="1">
        <f t="shared" si="381"/>
        <v>37.9</v>
      </c>
      <c r="N2728" s="1">
        <f t="shared" si="382"/>
        <v>36.799999999999997</v>
      </c>
      <c r="O2728" s="1">
        <f t="shared" si="383"/>
        <v>34.99</v>
      </c>
      <c r="P2728" s="1">
        <f t="shared" si="384"/>
        <v>17.852040816326532</v>
      </c>
    </row>
    <row r="2729" spans="1:16">
      <c r="A2729" s="2">
        <v>39101</v>
      </c>
      <c r="B2729" s="1">
        <v>36.69</v>
      </c>
      <c r="C2729" s="1">
        <v>37.479999999999997</v>
      </c>
      <c r="D2729" s="1">
        <v>36.6</v>
      </c>
      <c r="E2729" s="1">
        <v>37.020000000000003</v>
      </c>
      <c r="F2729" s="1">
        <v>6095900</v>
      </c>
      <c r="G2729" s="1">
        <v>37.020000000000003</v>
      </c>
      <c r="H2729" s="1">
        <f t="shared" si="378"/>
        <v>0.87999999999999545</v>
      </c>
      <c r="I2729" s="9">
        <f t="shared" si="385"/>
        <v>2.4043715846994409E-2</v>
      </c>
      <c r="J2729" s="1">
        <f t="shared" si="386"/>
        <v>4.0000000000006253E-2</v>
      </c>
      <c r="K2729" s="9">
        <f t="shared" si="379"/>
        <v>1.0816657652786982E-3</v>
      </c>
      <c r="L2729" s="1">
        <f t="shared" si="380"/>
        <v>1</v>
      </c>
      <c r="M2729" s="1">
        <f t="shared" si="381"/>
        <v>37.479999999999997</v>
      </c>
      <c r="N2729" s="1">
        <f t="shared" si="382"/>
        <v>36.6</v>
      </c>
      <c r="O2729" s="1">
        <f t="shared" si="383"/>
        <v>35.06</v>
      </c>
      <c r="P2729" s="1">
        <f t="shared" si="384"/>
        <v>17.887755102040817</v>
      </c>
    </row>
    <row r="2730" spans="1:16">
      <c r="A2730" s="2">
        <v>39100</v>
      </c>
      <c r="B2730" s="1">
        <v>37.5</v>
      </c>
      <c r="C2730" s="1">
        <v>37.65</v>
      </c>
      <c r="D2730" s="1">
        <v>36.72</v>
      </c>
      <c r="E2730" s="1">
        <v>36.979999999999997</v>
      </c>
      <c r="F2730" s="1">
        <v>9105000</v>
      </c>
      <c r="G2730" s="1">
        <v>36.979999999999997</v>
      </c>
      <c r="H2730" s="1">
        <f t="shared" si="378"/>
        <v>0.92999999999999972</v>
      </c>
      <c r="I2730" s="9">
        <f t="shared" si="385"/>
        <v>2.5326797385620908E-2</v>
      </c>
      <c r="J2730" s="1">
        <f t="shared" si="386"/>
        <v>-0.90000000000000568</v>
      </c>
      <c r="K2730" s="9">
        <f t="shared" si="379"/>
        <v>-2.375923970432961E-2</v>
      </c>
      <c r="L2730" s="1">
        <f t="shared" si="380"/>
        <v>1</v>
      </c>
      <c r="M2730" s="1">
        <f t="shared" si="381"/>
        <v>37.65</v>
      </c>
      <c r="N2730" s="1">
        <f t="shared" si="382"/>
        <v>36.72</v>
      </c>
      <c r="O2730" s="1">
        <f t="shared" si="383"/>
        <v>35.019999999999996</v>
      </c>
      <c r="P2730" s="1">
        <f t="shared" si="384"/>
        <v>17.867346938775508</v>
      </c>
    </row>
    <row r="2731" spans="1:16">
      <c r="A2731" s="2">
        <v>39099</v>
      </c>
      <c r="B2731" s="1">
        <v>38.700000000000003</v>
      </c>
      <c r="C2731" s="1">
        <v>39</v>
      </c>
      <c r="D2731" s="1">
        <v>37.78</v>
      </c>
      <c r="E2731" s="1">
        <v>37.880000000000003</v>
      </c>
      <c r="F2731" s="1">
        <v>5026800</v>
      </c>
      <c r="G2731" s="1">
        <v>37.880000000000003</v>
      </c>
      <c r="H2731" s="1">
        <f t="shared" si="378"/>
        <v>1.2199999999999989</v>
      </c>
      <c r="I2731" s="9">
        <f t="shared" si="385"/>
        <v>3.2292218104817333E-2</v>
      </c>
      <c r="J2731" s="1">
        <f t="shared" si="386"/>
        <v>-0.77999999999999403</v>
      </c>
      <c r="K2731" s="9">
        <f t="shared" si="379"/>
        <v>-2.0175892395240407E-2</v>
      </c>
      <c r="L2731" s="1">
        <f t="shared" si="380"/>
        <v>1</v>
      </c>
      <c r="M2731" s="1">
        <f t="shared" si="381"/>
        <v>39</v>
      </c>
      <c r="N2731" s="1">
        <f t="shared" si="382"/>
        <v>37.78</v>
      </c>
      <c r="O2731" s="1">
        <f t="shared" si="383"/>
        <v>35.92</v>
      </c>
      <c r="P2731" s="1">
        <f t="shared" si="384"/>
        <v>18.326530612244898</v>
      </c>
    </row>
    <row r="2732" spans="1:16">
      <c r="A2732" s="2">
        <v>39098</v>
      </c>
      <c r="B2732" s="1">
        <v>38.4</v>
      </c>
      <c r="C2732" s="1">
        <v>38.89</v>
      </c>
      <c r="D2732" s="1">
        <v>37.97</v>
      </c>
      <c r="E2732" s="1">
        <v>38.659999999999997</v>
      </c>
      <c r="F2732" s="1">
        <v>5643700</v>
      </c>
      <c r="G2732" s="1">
        <v>38.659999999999997</v>
      </c>
      <c r="H2732" s="1">
        <f t="shared" si="378"/>
        <v>0.92000000000000171</v>
      </c>
      <c r="I2732" s="9">
        <f t="shared" si="385"/>
        <v>2.4229654990782241E-2</v>
      </c>
      <c r="J2732" s="1">
        <f t="shared" si="386"/>
        <v>0.45999999999999375</v>
      </c>
      <c r="K2732" s="9">
        <f t="shared" si="379"/>
        <v>1.2041884816753763E-2</v>
      </c>
      <c r="L2732" s="1">
        <f t="shared" si="380"/>
        <v>1</v>
      </c>
      <c r="M2732" s="1">
        <f t="shared" si="381"/>
        <v>38.89</v>
      </c>
      <c r="N2732" s="1">
        <f t="shared" si="382"/>
        <v>37.97</v>
      </c>
      <c r="O2732" s="1">
        <f t="shared" si="383"/>
        <v>36.699999999999996</v>
      </c>
      <c r="P2732" s="1">
        <f t="shared" si="384"/>
        <v>18.724489795918366</v>
      </c>
    </row>
    <row r="2733" spans="1:16">
      <c r="A2733" s="2">
        <v>39094</v>
      </c>
      <c r="B2733" s="1">
        <v>37.36</v>
      </c>
      <c r="C2733" s="1">
        <v>38.21</v>
      </c>
      <c r="D2733" s="1">
        <v>37.270000000000003</v>
      </c>
      <c r="E2733" s="1">
        <v>38.200000000000003</v>
      </c>
      <c r="F2733" s="1">
        <v>4466400</v>
      </c>
      <c r="G2733" s="1">
        <v>38.200000000000003</v>
      </c>
      <c r="H2733" s="1">
        <f t="shared" si="378"/>
        <v>0.93999999999999773</v>
      </c>
      <c r="I2733" s="9">
        <f t="shared" si="385"/>
        <v>2.5221357660316544E-2</v>
      </c>
      <c r="J2733" s="1">
        <f t="shared" si="386"/>
        <v>0.80000000000000426</v>
      </c>
      <c r="K2733" s="9">
        <f t="shared" si="379"/>
        <v>2.1390374331550915E-2</v>
      </c>
      <c r="L2733" s="1">
        <f t="shared" si="380"/>
        <v>1</v>
      </c>
      <c r="M2733" s="1">
        <f t="shared" si="381"/>
        <v>38.21</v>
      </c>
      <c r="N2733" s="1">
        <f t="shared" si="382"/>
        <v>37.270000000000003</v>
      </c>
      <c r="O2733" s="1">
        <f t="shared" si="383"/>
        <v>36.24</v>
      </c>
      <c r="P2733" s="1">
        <f t="shared" si="384"/>
        <v>18.489795918367349</v>
      </c>
    </row>
    <row r="2734" spans="1:16">
      <c r="A2734" s="2">
        <v>39093</v>
      </c>
      <c r="B2734" s="1">
        <v>37.17</v>
      </c>
      <c r="C2734" s="1">
        <v>38</v>
      </c>
      <c r="D2734" s="1">
        <v>37.17</v>
      </c>
      <c r="E2734" s="1">
        <v>37.4</v>
      </c>
      <c r="F2734" s="1">
        <v>6465600</v>
      </c>
      <c r="G2734" s="1">
        <v>37.4</v>
      </c>
      <c r="H2734" s="1">
        <f t="shared" si="378"/>
        <v>0.82999999999999829</v>
      </c>
      <c r="I2734" s="9">
        <f t="shared" si="385"/>
        <v>2.2329835889157875E-2</v>
      </c>
      <c r="J2734" s="1">
        <f t="shared" si="386"/>
        <v>0.25</v>
      </c>
      <c r="K2734" s="9">
        <f t="shared" si="379"/>
        <v>6.7294751009421266E-3</v>
      </c>
      <c r="L2734" s="1">
        <f t="shared" si="380"/>
        <v>1</v>
      </c>
      <c r="M2734" s="1">
        <f t="shared" si="381"/>
        <v>38</v>
      </c>
      <c r="N2734" s="1">
        <f t="shared" si="382"/>
        <v>37.17</v>
      </c>
      <c r="O2734" s="1">
        <f t="shared" si="383"/>
        <v>35.44</v>
      </c>
      <c r="P2734" s="1">
        <f t="shared" si="384"/>
        <v>18.081632653061224</v>
      </c>
    </row>
    <row r="2735" spans="1:16">
      <c r="A2735" s="2">
        <v>39092</v>
      </c>
      <c r="B2735" s="1">
        <v>37.49</v>
      </c>
      <c r="C2735" s="1">
        <v>37.700000000000003</v>
      </c>
      <c r="D2735" s="1">
        <v>37.07</v>
      </c>
      <c r="E2735" s="1">
        <v>37.15</v>
      </c>
      <c r="F2735" s="1">
        <v>6527500</v>
      </c>
      <c r="G2735" s="1">
        <v>37.15</v>
      </c>
      <c r="H2735" s="1">
        <f t="shared" si="378"/>
        <v>0.63000000000000256</v>
      </c>
      <c r="I2735" s="9">
        <f t="shared" si="385"/>
        <v>1.699487456164021E-2</v>
      </c>
      <c r="J2735" s="1">
        <f t="shared" si="386"/>
        <v>-0.63000000000000256</v>
      </c>
      <c r="K2735" s="9">
        <f t="shared" si="379"/>
        <v>-1.6675489677077885E-2</v>
      </c>
      <c r="L2735" s="1">
        <f t="shared" si="380"/>
        <v>1</v>
      </c>
      <c r="M2735" s="1">
        <f t="shared" si="381"/>
        <v>37.700000000000003</v>
      </c>
      <c r="N2735" s="1">
        <f t="shared" si="382"/>
        <v>37.07</v>
      </c>
      <c r="O2735" s="1">
        <f t="shared" si="383"/>
        <v>35.19</v>
      </c>
      <c r="P2735" s="1">
        <f t="shared" si="384"/>
        <v>17.954081632653061</v>
      </c>
    </row>
    <row r="2736" spans="1:16">
      <c r="A2736" s="2">
        <v>39091</v>
      </c>
      <c r="B2736" s="1">
        <v>37.6</v>
      </c>
      <c r="C2736" s="1">
        <v>38.06</v>
      </c>
      <c r="D2736" s="1">
        <v>37.340000000000003</v>
      </c>
      <c r="E2736" s="1">
        <v>37.78</v>
      </c>
      <c r="F2736" s="1">
        <v>5703000</v>
      </c>
      <c r="G2736" s="1">
        <v>37.78</v>
      </c>
      <c r="H2736" s="1">
        <f t="shared" si="378"/>
        <v>0.71999999999999886</v>
      </c>
      <c r="I2736" s="9">
        <f t="shared" si="385"/>
        <v>1.928227102303157E-2</v>
      </c>
      <c r="J2736" s="1">
        <f t="shared" si="386"/>
        <v>0.28000000000000114</v>
      </c>
      <c r="K2736" s="9">
        <f t="shared" si="379"/>
        <v>7.4666666666666969E-3</v>
      </c>
      <c r="L2736" s="1">
        <f t="shared" si="380"/>
        <v>1</v>
      </c>
      <c r="M2736" s="1">
        <f t="shared" si="381"/>
        <v>38.06</v>
      </c>
      <c r="N2736" s="1">
        <f t="shared" si="382"/>
        <v>37.340000000000003</v>
      </c>
      <c r="O2736" s="1">
        <f t="shared" si="383"/>
        <v>35.82</v>
      </c>
      <c r="P2736" s="1">
        <f t="shared" si="384"/>
        <v>18.275510204081634</v>
      </c>
    </row>
    <row r="2737" spans="1:16">
      <c r="A2737" s="2">
        <v>39090</v>
      </c>
      <c r="B2737" s="1">
        <v>38.22</v>
      </c>
      <c r="C2737" s="1">
        <v>38.31</v>
      </c>
      <c r="D2737" s="1">
        <v>37.17</v>
      </c>
      <c r="E2737" s="1">
        <v>37.5</v>
      </c>
      <c r="F2737" s="1">
        <v>6783000</v>
      </c>
      <c r="G2737" s="1">
        <v>37.5</v>
      </c>
      <c r="H2737" s="1">
        <f t="shared" si="378"/>
        <v>1.1400000000000006</v>
      </c>
      <c r="I2737" s="9">
        <f t="shared" si="385"/>
        <v>3.0669895076674752E-2</v>
      </c>
      <c r="J2737" s="1">
        <f t="shared" si="386"/>
        <v>-0.86999999999999744</v>
      </c>
      <c r="K2737" s="9">
        <f t="shared" si="379"/>
        <v>-2.2673964034401813E-2</v>
      </c>
      <c r="L2737" s="1">
        <f t="shared" si="380"/>
        <v>1</v>
      </c>
      <c r="M2737" s="1">
        <f t="shared" si="381"/>
        <v>38.31</v>
      </c>
      <c r="N2737" s="1">
        <f t="shared" si="382"/>
        <v>37.17</v>
      </c>
      <c r="O2737" s="1">
        <f t="shared" si="383"/>
        <v>35.54</v>
      </c>
      <c r="P2737" s="1">
        <f t="shared" si="384"/>
        <v>18.132653061224488</v>
      </c>
    </row>
    <row r="2738" spans="1:16">
      <c r="A2738" s="2">
        <v>39087</v>
      </c>
      <c r="B2738" s="1">
        <v>38.72</v>
      </c>
      <c r="C2738" s="1">
        <v>38.79</v>
      </c>
      <c r="D2738" s="1">
        <v>37.6</v>
      </c>
      <c r="E2738" s="1">
        <v>38.369999999999997</v>
      </c>
      <c r="F2738" s="1">
        <v>6619700</v>
      </c>
      <c r="G2738" s="1">
        <v>38.369999999999997</v>
      </c>
      <c r="H2738" s="1">
        <f t="shared" si="378"/>
        <v>1.1899999999999977</v>
      </c>
      <c r="I2738" s="9">
        <f t="shared" si="385"/>
        <v>3.1648936170212708E-2</v>
      </c>
      <c r="J2738" s="1">
        <f t="shared" si="386"/>
        <v>-0.53000000000000114</v>
      </c>
      <c r="K2738" s="9">
        <f t="shared" si="379"/>
        <v>-1.3624678663239104E-2</v>
      </c>
      <c r="L2738" s="1">
        <f t="shared" si="380"/>
        <v>1</v>
      </c>
      <c r="M2738" s="1">
        <f t="shared" si="381"/>
        <v>38.79</v>
      </c>
      <c r="N2738" s="1">
        <f t="shared" si="382"/>
        <v>37.6</v>
      </c>
      <c r="O2738" s="1">
        <f t="shared" si="383"/>
        <v>36.409999999999997</v>
      </c>
      <c r="P2738" s="1">
        <f t="shared" si="384"/>
        <v>18.576530612244898</v>
      </c>
    </row>
    <row r="2739" spans="1:16">
      <c r="A2739" s="2">
        <v>39086</v>
      </c>
      <c r="B2739" s="1">
        <v>38.590000000000003</v>
      </c>
      <c r="C2739" s="1">
        <v>39.14</v>
      </c>
      <c r="D2739" s="1">
        <v>38.26</v>
      </c>
      <c r="E2739" s="1">
        <v>38.9</v>
      </c>
      <c r="F2739" s="1">
        <v>6318400</v>
      </c>
      <c r="G2739" s="1">
        <v>38.9</v>
      </c>
      <c r="H2739" s="1">
        <f t="shared" si="378"/>
        <v>0.88000000000000256</v>
      </c>
      <c r="I2739" s="9">
        <f t="shared" si="385"/>
        <v>2.3000522739153231E-2</v>
      </c>
      <c r="J2739" s="1">
        <f t="shared" si="386"/>
        <v>0.19999999999999574</v>
      </c>
      <c r="K2739" s="9">
        <f t="shared" si="379"/>
        <v>5.1679586563306385E-3</v>
      </c>
      <c r="L2739" s="1">
        <f t="shared" si="380"/>
        <v>1</v>
      </c>
      <c r="M2739" s="1">
        <f t="shared" si="381"/>
        <v>39.14</v>
      </c>
      <c r="N2739" s="1">
        <f t="shared" si="382"/>
        <v>38.26</v>
      </c>
      <c r="O2739" s="1">
        <f t="shared" si="383"/>
        <v>36.94</v>
      </c>
      <c r="P2739" s="1">
        <f t="shared" si="384"/>
        <v>18.846938775510203</v>
      </c>
    </row>
    <row r="2740" spans="1:16">
      <c r="A2740" s="2">
        <v>39085</v>
      </c>
      <c r="B2740" s="1">
        <v>38.68</v>
      </c>
      <c r="C2740" s="1">
        <v>39.06</v>
      </c>
      <c r="D2740" s="1">
        <v>38.049999999999997</v>
      </c>
      <c r="E2740" s="1">
        <v>38.700000000000003</v>
      </c>
      <c r="F2740" s="1">
        <v>12405100</v>
      </c>
      <c r="G2740" s="1">
        <v>38.700000000000003</v>
      </c>
      <c r="H2740" s="1">
        <f t="shared" si="378"/>
        <v>1.0100000000000051</v>
      </c>
      <c r="I2740" s="9">
        <f t="shared" si="385"/>
        <v>2.6544021024967286E-2</v>
      </c>
      <c r="J2740" s="1">
        <f t="shared" si="386"/>
        <v>-0.75999999999999801</v>
      </c>
      <c r="K2740" s="9">
        <f t="shared" si="379"/>
        <v>-1.9260010136847389E-2</v>
      </c>
      <c r="L2740" s="1">
        <f t="shared" si="380"/>
        <v>1</v>
      </c>
      <c r="M2740" s="1">
        <f t="shared" si="381"/>
        <v>39.06</v>
      </c>
      <c r="N2740" s="1">
        <f t="shared" si="382"/>
        <v>38.049999999999997</v>
      </c>
      <c r="O2740" s="1">
        <f t="shared" si="383"/>
        <v>36.74</v>
      </c>
      <c r="P2740" s="1">
        <f t="shared" si="384"/>
        <v>18.744897959183675</v>
      </c>
    </row>
    <row r="2741" spans="1:16">
      <c r="A2741" s="2">
        <v>39080</v>
      </c>
      <c r="B2741" s="1">
        <v>40.06</v>
      </c>
      <c r="C2741" s="1">
        <v>40.25</v>
      </c>
      <c r="D2741" s="1">
        <v>39.35</v>
      </c>
      <c r="E2741" s="1">
        <v>39.46</v>
      </c>
      <c r="F2741" s="1">
        <v>4197000</v>
      </c>
      <c r="G2741" s="1">
        <v>39.46</v>
      </c>
      <c r="H2741" s="1">
        <f t="shared" si="378"/>
        <v>0.89999999999999858</v>
      </c>
      <c r="I2741" s="9">
        <f t="shared" si="385"/>
        <v>2.2871664548919913E-2</v>
      </c>
      <c r="J2741" s="1">
        <f t="shared" si="386"/>
        <v>-0.75</v>
      </c>
      <c r="K2741" s="9">
        <f t="shared" si="379"/>
        <v>-1.8652076597861229E-2</v>
      </c>
      <c r="L2741" s="1">
        <f t="shared" si="380"/>
        <v>1</v>
      </c>
      <c r="M2741" s="1">
        <f t="shared" si="381"/>
        <v>40.25</v>
      </c>
      <c r="N2741" s="1">
        <f t="shared" si="382"/>
        <v>39.35</v>
      </c>
      <c r="O2741" s="1">
        <f t="shared" si="383"/>
        <v>37.5</v>
      </c>
      <c r="P2741" s="1">
        <f t="shared" si="384"/>
        <v>19.132653061224492</v>
      </c>
    </row>
    <row r="2742" spans="1:16">
      <c r="A2742" s="2">
        <v>39079</v>
      </c>
      <c r="B2742" s="1">
        <v>40.380000000000003</v>
      </c>
      <c r="C2742" s="1">
        <v>40.630000000000003</v>
      </c>
      <c r="D2742" s="1">
        <v>39.92</v>
      </c>
      <c r="E2742" s="1">
        <v>40.21</v>
      </c>
      <c r="F2742" s="1">
        <v>4545500</v>
      </c>
      <c r="G2742" s="1">
        <v>40.21</v>
      </c>
      <c r="H2742" s="1">
        <f t="shared" si="378"/>
        <v>0.71000000000000085</v>
      </c>
      <c r="I2742" s="9">
        <f t="shared" si="385"/>
        <v>1.778557114228459E-2</v>
      </c>
      <c r="J2742" s="1">
        <f t="shared" si="386"/>
        <v>-7.9999999999998295E-2</v>
      </c>
      <c r="K2742" s="9">
        <f t="shared" si="379"/>
        <v>-1.985604368329568E-3</v>
      </c>
      <c r="L2742" s="1">
        <f t="shared" si="380"/>
        <v>1</v>
      </c>
      <c r="M2742" s="1">
        <f t="shared" si="381"/>
        <v>40.630000000000003</v>
      </c>
      <c r="N2742" s="1">
        <f t="shared" si="382"/>
        <v>39.92</v>
      </c>
      <c r="O2742" s="1">
        <f t="shared" si="383"/>
        <v>38.25</v>
      </c>
      <c r="P2742" s="1">
        <f t="shared" si="384"/>
        <v>19.51530612244898</v>
      </c>
    </row>
    <row r="2743" spans="1:16">
      <c r="A2743" s="2">
        <v>39078</v>
      </c>
      <c r="B2743" s="1">
        <v>39.86</v>
      </c>
      <c r="C2743" s="1">
        <v>40.47</v>
      </c>
      <c r="D2743" s="1">
        <v>39.799999999999997</v>
      </c>
      <c r="E2743" s="1">
        <v>40.29</v>
      </c>
      <c r="F2743" s="1">
        <v>3536500</v>
      </c>
      <c r="G2743" s="1">
        <v>40.29</v>
      </c>
      <c r="H2743" s="1">
        <f t="shared" si="378"/>
        <v>0.67000000000000171</v>
      </c>
      <c r="I2743" s="9">
        <f t="shared" si="385"/>
        <v>1.6834170854271399E-2</v>
      </c>
      <c r="J2743" s="1">
        <f t="shared" si="386"/>
        <v>0.49000000000000199</v>
      </c>
      <c r="K2743" s="9">
        <f t="shared" si="379"/>
        <v>1.2311557788944775E-2</v>
      </c>
      <c r="L2743" s="1">
        <f t="shared" si="380"/>
        <v>1</v>
      </c>
      <c r="M2743" s="1">
        <f t="shared" si="381"/>
        <v>40.47</v>
      </c>
      <c r="N2743" s="1">
        <f t="shared" si="382"/>
        <v>39.799999999999997</v>
      </c>
      <c r="O2743" s="1">
        <f t="shared" si="383"/>
        <v>38.33</v>
      </c>
      <c r="P2743" s="1">
        <f t="shared" si="384"/>
        <v>19.55612244897959</v>
      </c>
    </row>
    <row r="2744" spans="1:16">
      <c r="A2744" s="2">
        <v>39077</v>
      </c>
      <c r="B2744" s="1">
        <v>40.130000000000003</v>
      </c>
      <c r="C2744" s="1">
        <v>40.130000000000003</v>
      </c>
      <c r="D2744" s="1">
        <v>39.42</v>
      </c>
      <c r="E2744" s="1">
        <v>39.799999999999997</v>
      </c>
      <c r="F2744" s="1">
        <v>4473600</v>
      </c>
      <c r="G2744" s="1">
        <v>39.799999999999997</v>
      </c>
      <c r="H2744" s="1">
        <f t="shared" si="378"/>
        <v>0.71000000000000085</v>
      </c>
      <c r="I2744" s="9">
        <f t="shared" si="385"/>
        <v>1.8011161846778305E-2</v>
      </c>
      <c r="J2744" s="1">
        <f t="shared" si="386"/>
        <v>-0.44000000000000483</v>
      </c>
      <c r="K2744" s="9">
        <f t="shared" si="379"/>
        <v>-1.0934393638171093E-2</v>
      </c>
      <c r="L2744" s="1">
        <f t="shared" si="380"/>
        <v>1</v>
      </c>
      <c r="M2744" s="1">
        <f t="shared" si="381"/>
        <v>40.130000000000003</v>
      </c>
      <c r="N2744" s="1">
        <f t="shared" si="382"/>
        <v>39.42</v>
      </c>
      <c r="O2744" s="1">
        <f t="shared" si="383"/>
        <v>37.839999999999996</v>
      </c>
      <c r="P2744" s="1">
        <f t="shared" si="384"/>
        <v>19.30612244897959</v>
      </c>
    </row>
    <row r="2745" spans="1:16">
      <c r="A2745" s="2">
        <v>39073</v>
      </c>
      <c r="B2745" s="1">
        <v>39.979999999999997</v>
      </c>
      <c r="C2745" s="1">
        <v>40.51</v>
      </c>
      <c r="D2745" s="1">
        <v>39.909999999999997</v>
      </c>
      <c r="E2745" s="1">
        <v>40.24</v>
      </c>
      <c r="F2745" s="1">
        <v>5585100</v>
      </c>
      <c r="G2745" s="1">
        <v>40.24</v>
      </c>
      <c r="H2745" s="1">
        <f t="shared" si="378"/>
        <v>0.60000000000000142</v>
      </c>
      <c r="I2745" s="9">
        <f t="shared" si="385"/>
        <v>1.5033826108744713E-2</v>
      </c>
      <c r="J2745" s="1">
        <f t="shared" si="386"/>
        <v>0.35000000000000142</v>
      </c>
      <c r="K2745" s="9">
        <f t="shared" si="379"/>
        <v>8.7741288543494965E-3</v>
      </c>
      <c r="L2745" s="1">
        <f t="shared" si="380"/>
        <v>1</v>
      </c>
      <c r="M2745" s="1">
        <f t="shared" si="381"/>
        <v>40.51</v>
      </c>
      <c r="N2745" s="1">
        <f t="shared" si="382"/>
        <v>39.909999999999997</v>
      </c>
      <c r="O2745" s="1">
        <f t="shared" si="383"/>
        <v>38.28</v>
      </c>
      <c r="P2745" s="1">
        <f t="shared" si="384"/>
        <v>19.530612244897959</v>
      </c>
    </row>
    <row r="2746" spans="1:16">
      <c r="A2746" s="2">
        <v>39072</v>
      </c>
      <c r="B2746" s="1">
        <v>39.869999999999997</v>
      </c>
      <c r="C2746" s="1">
        <v>40.340000000000003</v>
      </c>
      <c r="D2746" s="1">
        <v>39.65</v>
      </c>
      <c r="E2746" s="1">
        <v>39.89</v>
      </c>
      <c r="F2746" s="1">
        <v>6550200</v>
      </c>
      <c r="G2746" s="1">
        <v>39.89</v>
      </c>
      <c r="H2746" s="1">
        <f t="shared" si="378"/>
        <v>0.69000000000000483</v>
      </c>
      <c r="I2746" s="9">
        <f t="shared" si="385"/>
        <v>1.7402269861286377E-2</v>
      </c>
      <c r="J2746" s="1">
        <f t="shared" si="386"/>
        <v>-0.11999999999999744</v>
      </c>
      <c r="K2746" s="9">
        <f t="shared" si="379"/>
        <v>-2.9992501874530728E-3</v>
      </c>
      <c r="L2746" s="1">
        <f t="shared" si="380"/>
        <v>1</v>
      </c>
      <c r="M2746" s="1">
        <f t="shared" si="381"/>
        <v>40.340000000000003</v>
      </c>
      <c r="N2746" s="1">
        <f t="shared" si="382"/>
        <v>39.65</v>
      </c>
      <c r="O2746" s="1">
        <f t="shared" si="383"/>
        <v>37.93</v>
      </c>
      <c r="P2746" s="1">
        <f t="shared" si="384"/>
        <v>19.352040816326532</v>
      </c>
    </row>
    <row r="2747" spans="1:16">
      <c r="A2747" s="2">
        <v>39071</v>
      </c>
      <c r="B2747" s="1">
        <v>39.43</v>
      </c>
      <c r="C2747" s="1">
        <v>40.299999999999997</v>
      </c>
      <c r="D2747" s="1">
        <v>39.39</v>
      </c>
      <c r="E2747" s="1">
        <v>40.01</v>
      </c>
      <c r="F2747" s="1">
        <v>7784300</v>
      </c>
      <c r="G2747" s="1">
        <v>40.01</v>
      </c>
      <c r="H2747" s="1">
        <f t="shared" si="378"/>
        <v>0.90999999999999659</v>
      </c>
      <c r="I2747" s="9">
        <f t="shared" si="385"/>
        <v>2.3102310231023014E-2</v>
      </c>
      <c r="J2747" s="1">
        <f t="shared" si="386"/>
        <v>0.58999999999999631</v>
      </c>
      <c r="K2747" s="9">
        <f t="shared" si="379"/>
        <v>1.496702181633679E-2</v>
      </c>
      <c r="L2747" s="1">
        <f t="shared" si="380"/>
        <v>1</v>
      </c>
      <c r="M2747" s="1">
        <f t="shared" si="381"/>
        <v>40.299999999999997</v>
      </c>
      <c r="N2747" s="1">
        <f t="shared" si="382"/>
        <v>39.39</v>
      </c>
      <c r="O2747" s="1">
        <f t="shared" si="383"/>
        <v>38.049999999999997</v>
      </c>
      <c r="P2747" s="1">
        <f t="shared" si="384"/>
        <v>19.413265306122447</v>
      </c>
    </row>
    <row r="2748" spans="1:16">
      <c r="A2748" s="2">
        <v>39070</v>
      </c>
      <c r="B2748" s="1">
        <v>38.78</v>
      </c>
      <c r="C2748" s="1">
        <v>39.72</v>
      </c>
      <c r="D2748" s="1">
        <v>38.229999999999997</v>
      </c>
      <c r="E2748" s="1">
        <v>39.42</v>
      </c>
      <c r="F2748" s="1">
        <v>7520000</v>
      </c>
      <c r="G2748" s="1">
        <v>39.42</v>
      </c>
      <c r="H2748" s="1">
        <f t="shared" si="378"/>
        <v>1.490000000000002</v>
      </c>
      <c r="I2748" s="9">
        <f t="shared" si="385"/>
        <v>3.8974627256081668E-2</v>
      </c>
      <c r="J2748" s="1">
        <f t="shared" si="386"/>
        <v>0.16000000000000369</v>
      </c>
      <c r="K2748" s="9">
        <f t="shared" si="379"/>
        <v>4.0753948038717196E-3</v>
      </c>
      <c r="L2748" s="1">
        <f t="shared" si="380"/>
        <v>1</v>
      </c>
      <c r="M2748" s="1">
        <f t="shared" si="381"/>
        <v>39.72</v>
      </c>
      <c r="N2748" s="1">
        <f t="shared" si="382"/>
        <v>38.229999999999997</v>
      </c>
      <c r="O2748" s="1">
        <f t="shared" si="383"/>
        <v>37.46</v>
      </c>
      <c r="P2748" s="1">
        <f t="shared" si="384"/>
        <v>19.112244897959183</v>
      </c>
    </row>
    <row r="2749" spans="1:16">
      <c r="A2749" s="2">
        <v>39069</v>
      </c>
      <c r="B2749" s="1">
        <v>40.200000000000003</v>
      </c>
      <c r="C2749" s="1">
        <v>40.64</v>
      </c>
      <c r="D2749" s="1">
        <v>38.86</v>
      </c>
      <c r="E2749" s="1">
        <v>39.26</v>
      </c>
      <c r="F2749" s="1">
        <v>6486700</v>
      </c>
      <c r="G2749" s="1">
        <v>39.26</v>
      </c>
      <c r="H2749" s="1">
        <f t="shared" si="378"/>
        <v>1.7800000000000011</v>
      </c>
      <c r="I2749" s="9">
        <f t="shared" si="385"/>
        <v>4.5805455481214646E-2</v>
      </c>
      <c r="J2749" s="1">
        <f t="shared" si="386"/>
        <v>-0.75</v>
      </c>
      <c r="K2749" s="9">
        <f t="shared" si="379"/>
        <v>-1.8745313671582105E-2</v>
      </c>
      <c r="L2749" s="1">
        <f t="shared" si="380"/>
        <v>1</v>
      </c>
      <c r="M2749" s="1">
        <f t="shared" si="381"/>
        <v>40.64</v>
      </c>
      <c r="N2749" s="1">
        <f t="shared" si="382"/>
        <v>38.86</v>
      </c>
      <c r="O2749" s="1">
        <f t="shared" si="383"/>
        <v>37.299999999999997</v>
      </c>
      <c r="P2749" s="1">
        <f t="shared" si="384"/>
        <v>19.030612244897959</v>
      </c>
    </row>
    <row r="2750" spans="1:16">
      <c r="A2750" s="2">
        <v>39066</v>
      </c>
      <c r="B2750" s="1">
        <v>39.380000000000003</v>
      </c>
      <c r="C2750" s="1">
        <v>40.19</v>
      </c>
      <c r="D2750" s="1">
        <v>39.229999999999997</v>
      </c>
      <c r="E2750" s="1">
        <v>40.01</v>
      </c>
      <c r="F2750" s="1">
        <v>8153500</v>
      </c>
      <c r="G2750" s="1">
        <v>40.01</v>
      </c>
      <c r="H2750" s="1">
        <f t="shared" si="378"/>
        <v>0.96000000000000085</v>
      </c>
      <c r="I2750" s="9">
        <f t="shared" si="385"/>
        <v>2.4471068060158065E-2</v>
      </c>
      <c r="J2750" s="1">
        <f t="shared" si="386"/>
        <v>0.98999999999999488</v>
      </c>
      <c r="K2750" s="9">
        <f t="shared" si="379"/>
        <v>2.5371604305484234E-2</v>
      </c>
      <c r="L2750" s="1">
        <f t="shared" si="380"/>
        <v>1</v>
      </c>
      <c r="M2750" s="1">
        <f t="shared" si="381"/>
        <v>40.19</v>
      </c>
      <c r="N2750" s="1">
        <f t="shared" si="382"/>
        <v>39.229999999999997</v>
      </c>
      <c r="O2750" s="1">
        <f t="shared" si="383"/>
        <v>38.049999999999997</v>
      </c>
      <c r="P2750" s="1">
        <f t="shared" si="384"/>
        <v>19.413265306122447</v>
      </c>
    </row>
    <row r="2751" spans="1:16">
      <c r="A2751" s="2">
        <v>39065</v>
      </c>
      <c r="B2751" s="1">
        <v>38.74</v>
      </c>
      <c r="C2751" s="1">
        <v>39.54</v>
      </c>
      <c r="D2751" s="1">
        <v>38.6</v>
      </c>
      <c r="E2751" s="1">
        <v>39.020000000000003</v>
      </c>
      <c r="F2751" s="1">
        <v>6296100</v>
      </c>
      <c r="G2751" s="1">
        <v>39.020000000000003</v>
      </c>
      <c r="H2751" s="1">
        <f t="shared" si="378"/>
        <v>0.93999999999999773</v>
      </c>
      <c r="I2751" s="9">
        <f t="shared" si="385"/>
        <v>2.4352331606217557E-2</v>
      </c>
      <c r="J2751" s="1">
        <f t="shared" si="386"/>
        <v>0.52000000000000313</v>
      </c>
      <c r="K2751" s="9">
        <f t="shared" si="379"/>
        <v>1.3506493506493588E-2</v>
      </c>
      <c r="L2751" s="1">
        <f t="shared" si="380"/>
        <v>1</v>
      </c>
      <c r="M2751" s="1">
        <f t="shared" si="381"/>
        <v>39.54</v>
      </c>
      <c r="N2751" s="1">
        <f t="shared" si="382"/>
        <v>38.6</v>
      </c>
      <c r="O2751" s="1">
        <f t="shared" si="383"/>
        <v>37.06</v>
      </c>
      <c r="P2751" s="1">
        <f t="shared" si="384"/>
        <v>18.908163265306126</v>
      </c>
    </row>
    <row r="2752" spans="1:16">
      <c r="A2752" s="2">
        <v>39064</v>
      </c>
      <c r="B2752" s="1">
        <v>38.61</v>
      </c>
      <c r="C2752" s="1">
        <v>39.19</v>
      </c>
      <c r="D2752" s="1">
        <v>38.19</v>
      </c>
      <c r="E2752" s="1">
        <v>38.5</v>
      </c>
      <c r="F2752" s="1">
        <v>4677800</v>
      </c>
      <c r="G2752" s="1">
        <v>38.5</v>
      </c>
      <c r="H2752" s="1">
        <f t="shared" si="378"/>
        <v>1</v>
      </c>
      <c r="I2752" s="9">
        <f t="shared" si="385"/>
        <v>2.6184865147944488E-2</v>
      </c>
      <c r="J2752" s="1">
        <f t="shared" si="386"/>
        <v>3.9999999999999147E-2</v>
      </c>
      <c r="K2752" s="9">
        <f t="shared" si="379"/>
        <v>1.0400416016640443E-3</v>
      </c>
      <c r="L2752" s="1">
        <f t="shared" si="380"/>
        <v>1</v>
      </c>
      <c r="M2752" s="1">
        <f t="shared" si="381"/>
        <v>39.19</v>
      </c>
      <c r="N2752" s="1">
        <f t="shared" si="382"/>
        <v>38.19</v>
      </c>
      <c r="O2752" s="1">
        <f t="shared" si="383"/>
        <v>36.54</v>
      </c>
      <c r="P2752" s="1">
        <f t="shared" si="384"/>
        <v>18.642857142857142</v>
      </c>
    </row>
    <row r="2753" spans="1:16">
      <c r="A2753" s="2">
        <v>39063</v>
      </c>
      <c r="B2753" s="1">
        <v>38.44</v>
      </c>
      <c r="C2753" s="1">
        <v>38.94</v>
      </c>
      <c r="D2753" s="1">
        <v>38.15</v>
      </c>
      <c r="E2753" s="1">
        <v>38.46</v>
      </c>
      <c r="F2753" s="1">
        <v>5083200</v>
      </c>
      <c r="G2753" s="1">
        <v>38.46</v>
      </c>
      <c r="H2753" s="1">
        <f t="shared" si="378"/>
        <v>0.78999999999999915</v>
      </c>
      <c r="I2753" s="9">
        <f t="shared" si="385"/>
        <v>2.0707732634338116E-2</v>
      </c>
      <c r="J2753" s="1">
        <f t="shared" si="386"/>
        <v>-0.22999999999999687</v>
      </c>
      <c r="K2753" s="9">
        <f t="shared" si="379"/>
        <v>-5.9446885500128426E-3</v>
      </c>
      <c r="L2753" s="1">
        <f t="shared" si="380"/>
        <v>1</v>
      </c>
      <c r="M2753" s="1">
        <f t="shared" si="381"/>
        <v>38.94</v>
      </c>
      <c r="N2753" s="1">
        <f t="shared" si="382"/>
        <v>38.15</v>
      </c>
      <c r="O2753" s="1">
        <f t="shared" si="383"/>
        <v>36.5</v>
      </c>
      <c r="P2753" s="1">
        <f t="shared" si="384"/>
        <v>18.622448979591837</v>
      </c>
    </row>
    <row r="2754" spans="1:16">
      <c r="A2754" s="2">
        <v>39062</v>
      </c>
      <c r="B2754" s="1">
        <v>38.22</v>
      </c>
      <c r="C2754" s="1">
        <v>39.15</v>
      </c>
      <c r="D2754" s="1">
        <v>38.08</v>
      </c>
      <c r="E2754" s="1">
        <v>38.69</v>
      </c>
      <c r="F2754" s="1">
        <v>4848600</v>
      </c>
      <c r="G2754" s="1">
        <v>38.69</v>
      </c>
      <c r="H2754" s="1">
        <f t="shared" si="378"/>
        <v>1.0700000000000003</v>
      </c>
      <c r="I2754" s="9">
        <f t="shared" si="385"/>
        <v>2.8098739495798327E-2</v>
      </c>
      <c r="J2754" s="1">
        <f t="shared" si="386"/>
        <v>0.22999999999999687</v>
      </c>
      <c r="K2754" s="9">
        <f t="shared" si="379"/>
        <v>5.9802392095683011E-3</v>
      </c>
      <c r="L2754" s="1">
        <f t="shared" si="380"/>
        <v>1</v>
      </c>
      <c r="M2754" s="1">
        <f t="shared" si="381"/>
        <v>39.15</v>
      </c>
      <c r="N2754" s="1">
        <f t="shared" si="382"/>
        <v>38.08</v>
      </c>
      <c r="O2754" s="1">
        <f t="shared" si="383"/>
        <v>36.729999999999997</v>
      </c>
      <c r="P2754" s="1">
        <f t="shared" si="384"/>
        <v>18.739795918367346</v>
      </c>
    </row>
    <row r="2755" spans="1:16">
      <c r="A2755" s="2">
        <v>39059</v>
      </c>
      <c r="B2755" s="1">
        <v>37.92</v>
      </c>
      <c r="C2755" s="1">
        <v>38.950000000000003</v>
      </c>
      <c r="D2755" s="1">
        <v>37.700000000000003</v>
      </c>
      <c r="E2755" s="1">
        <v>38.46</v>
      </c>
      <c r="F2755" s="1">
        <v>5139700</v>
      </c>
      <c r="G2755" s="1">
        <v>38.46</v>
      </c>
      <c r="H2755" s="1">
        <f t="shared" ref="H2755:H2818" si="387">C2755-D2755</f>
        <v>1.25</v>
      </c>
      <c r="I2755" s="9">
        <f t="shared" si="385"/>
        <v>3.3156498673740049E-2</v>
      </c>
      <c r="J2755" s="1">
        <f t="shared" si="386"/>
        <v>0.34000000000000341</v>
      </c>
      <c r="K2755" s="9">
        <f t="shared" ref="K2755:K2818" si="388">(G2755-G2756)/G2756</f>
        <v>8.9192025183631538E-3</v>
      </c>
      <c r="L2755" s="1">
        <f t="shared" ref="L2755:L2818" si="389">G2755/E2755</f>
        <v>1</v>
      </c>
      <c r="M2755" s="1">
        <f t="shared" ref="M2755:M2818" si="390">L2755*C2755</f>
        <v>38.950000000000003</v>
      </c>
      <c r="N2755" s="1">
        <f t="shared" ref="N2755:N2818" si="391">L2755*D2755</f>
        <v>37.700000000000003</v>
      </c>
      <c r="O2755" s="1">
        <f t="shared" ref="O2755:O2818" si="392">G2755-$G$5163</f>
        <v>36.5</v>
      </c>
      <c r="P2755" s="1">
        <f t="shared" ref="P2755:P2818" si="393">(G2755-$G$5163)/$G$5163</f>
        <v>18.622448979591837</v>
      </c>
    </row>
    <row r="2756" spans="1:16">
      <c r="A2756" s="2">
        <v>39058</v>
      </c>
      <c r="B2756" s="1">
        <v>38.93</v>
      </c>
      <c r="C2756" s="1">
        <v>39.090000000000003</v>
      </c>
      <c r="D2756" s="1">
        <v>38.049999999999997</v>
      </c>
      <c r="E2756" s="1">
        <v>38.119999999999997</v>
      </c>
      <c r="F2756" s="1">
        <v>6621500</v>
      </c>
      <c r="G2756" s="1">
        <v>38.119999999999997</v>
      </c>
      <c r="H2756" s="1">
        <f t="shared" si="387"/>
        <v>1.0400000000000063</v>
      </c>
      <c r="I2756" s="9">
        <f t="shared" ref="I2756:I2819" si="394">(C2756-D2756)/D2756</f>
        <v>2.7332457293035645E-2</v>
      </c>
      <c r="J2756" s="1">
        <f t="shared" ref="J2756:J2819" si="395">G2756-G2757</f>
        <v>-0.78000000000000114</v>
      </c>
      <c r="K2756" s="9">
        <f t="shared" si="388"/>
        <v>-2.0051413881748102E-2</v>
      </c>
      <c r="L2756" s="1">
        <f t="shared" si="389"/>
        <v>1</v>
      </c>
      <c r="M2756" s="1">
        <f t="shared" si="390"/>
        <v>39.090000000000003</v>
      </c>
      <c r="N2756" s="1">
        <f t="shared" si="391"/>
        <v>38.049999999999997</v>
      </c>
      <c r="O2756" s="1">
        <f t="shared" si="392"/>
        <v>36.159999999999997</v>
      </c>
      <c r="P2756" s="1">
        <f t="shared" si="393"/>
        <v>18.448979591836732</v>
      </c>
    </row>
    <row r="2757" spans="1:16">
      <c r="A2757" s="2">
        <v>39057</v>
      </c>
      <c r="B2757" s="1">
        <v>38.770000000000003</v>
      </c>
      <c r="C2757" s="1">
        <v>39.58</v>
      </c>
      <c r="D2757" s="1">
        <v>38.64</v>
      </c>
      <c r="E2757" s="1">
        <v>38.9</v>
      </c>
      <c r="F2757" s="1">
        <v>5776900</v>
      </c>
      <c r="G2757" s="1">
        <v>38.9</v>
      </c>
      <c r="H2757" s="1">
        <f t="shared" si="387"/>
        <v>0.93999999999999773</v>
      </c>
      <c r="I2757" s="9">
        <f t="shared" si="394"/>
        <v>2.4327122153209049E-2</v>
      </c>
      <c r="J2757" s="1">
        <f t="shared" si="395"/>
        <v>-7.9999999999998295E-2</v>
      </c>
      <c r="K2757" s="9">
        <f t="shared" si="388"/>
        <v>-2.0523345305284327E-3</v>
      </c>
      <c r="L2757" s="1">
        <f t="shared" si="389"/>
        <v>1</v>
      </c>
      <c r="M2757" s="1">
        <f t="shared" si="390"/>
        <v>39.58</v>
      </c>
      <c r="N2757" s="1">
        <f t="shared" si="391"/>
        <v>38.64</v>
      </c>
      <c r="O2757" s="1">
        <f t="shared" si="392"/>
        <v>36.94</v>
      </c>
      <c r="P2757" s="1">
        <f t="shared" si="393"/>
        <v>18.846938775510203</v>
      </c>
    </row>
    <row r="2758" spans="1:16">
      <c r="A2758" s="2">
        <v>39056</v>
      </c>
      <c r="B2758" s="1">
        <v>39.130000000000003</v>
      </c>
      <c r="C2758" s="1">
        <v>39.299999999999997</v>
      </c>
      <c r="D2758" s="1">
        <v>38.72</v>
      </c>
      <c r="E2758" s="1">
        <v>38.979999999999997</v>
      </c>
      <c r="F2758" s="1">
        <v>5737700</v>
      </c>
      <c r="G2758" s="1">
        <v>38.979999999999997</v>
      </c>
      <c r="H2758" s="1">
        <f t="shared" si="387"/>
        <v>0.57999999999999829</v>
      </c>
      <c r="I2758" s="9">
        <f t="shared" si="394"/>
        <v>1.4979338842975164E-2</v>
      </c>
      <c r="J2758" s="1">
        <f t="shared" si="395"/>
        <v>-0.12000000000000455</v>
      </c>
      <c r="K2758" s="9">
        <f t="shared" si="388"/>
        <v>-3.0690537084400141E-3</v>
      </c>
      <c r="L2758" s="1">
        <f t="shared" si="389"/>
        <v>1</v>
      </c>
      <c r="M2758" s="1">
        <f t="shared" si="390"/>
        <v>39.299999999999997</v>
      </c>
      <c r="N2758" s="1">
        <f t="shared" si="391"/>
        <v>38.72</v>
      </c>
      <c r="O2758" s="1">
        <f t="shared" si="392"/>
        <v>37.019999999999996</v>
      </c>
      <c r="P2758" s="1">
        <f t="shared" si="393"/>
        <v>18.887755102040813</v>
      </c>
    </row>
    <row r="2759" spans="1:16">
      <c r="A2759" s="2">
        <v>39055</v>
      </c>
      <c r="B2759" s="1">
        <v>39.31</v>
      </c>
      <c r="C2759" s="1">
        <v>39.479999999999997</v>
      </c>
      <c r="D2759" s="1">
        <v>38.869999999999997</v>
      </c>
      <c r="E2759" s="1">
        <v>39.1</v>
      </c>
      <c r="F2759" s="1">
        <v>9720700</v>
      </c>
      <c r="G2759" s="1">
        <v>39.1</v>
      </c>
      <c r="H2759" s="1">
        <f t="shared" si="387"/>
        <v>0.60999999999999943</v>
      </c>
      <c r="I2759" s="9">
        <f t="shared" si="394"/>
        <v>1.5693336763570865E-2</v>
      </c>
      <c r="J2759" s="1">
        <f t="shared" si="395"/>
        <v>-0.30999999999999517</v>
      </c>
      <c r="K2759" s="9">
        <f t="shared" si="388"/>
        <v>-7.8660238518141381E-3</v>
      </c>
      <c r="L2759" s="1">
        <f t="shared" si="389"/>
        <v>1</v>
      </c>
      <c r="M2759" s="1">
        <f t="shared" si="390"/>
        <v>39.479999999999997</v>
      </c>
      <c r="N2759" s="1">
        <f t="shared" si="391"/>
        <v>38.869999999999997</v>
      </c>
      <c r="O2759" s="1">
        <f t="shared" si="392"/>
        <v>37.14</v>
      </c>
      <c r="P2759" s="1">
        <f t="shared" si="393"/>
        <v>18.948979591836736</v>
      </c>
    </row>
    <row r="2760" spans="1:16">
      <c r="A2760" s="2">
        <v>39052</v>
      </c>
      <c r="B2760" s="1">
        <v>40.26</v>
      </c>
      <c r="C2760" s="1">
        <v>40.54</v>
      </c>
      <c r="D2760" s="1">
        <v>39.090000000000003</v>
      </c>
      <c r="E2760" s="1">
        <v>39.409999999999997</v>
      </c>
      <c r="F2760" s="1">
        <v>8306100</v>
      </c>
      <c r="G2760" s="1">
        <v>39.409999999999997</v>
      </c>
      <c r="H2760" s="1">
        <f t="shared" si="387"/>
        <v>1.4499999999999957</v>
      </c>
      <c r="I2760" s="9">
        <f t="shared" si="394"/>
        <v>3.7093885904323241E-2</v>
      </c>
      <c r="J2760" s="1">
        <f t="shared" si="395"/>
        <v>-0.93000000000000682</v>
      </c>
      <c r="K2760" s="9">
        <f t="shared" si="388"/>
        <v>-2.305404065443745E-2</v>
      </c>
      <c r="L2760" s="1">
        <f t="shared" si="389"/>
        <v>1</v>
      </c>
      <c r="M2760" s="1">
        <f t="shared" si="390"/>
        <v>40.54</v>
      </c>
      <c r="N2760" s="1">
        <f t="shared" si="391"/>
        <v>39.090000000000003</v>
      </c>
      <c r="O2760" s="1">
        <f t="shared" si="392"/>
        <v>37.449999999999996</v>
      </c>
      <c r="P2760" s="1">
        <f t="shared" si="393"/>
        <v>19.107142857142854</v>
      </c>
    </row>
    <row r="2761" spans="1:16">
      <c r="A2761" s="2">
        <v>39051</v>
      </c>
      <c r="B2761" s="1">
        <v>40.42</v>
      </c>
      <c r="C2761" s="1">
        <v>40.64</v>
      </c>
      <c r="D2761" s="1">
        <v>39.85</v>
      </c>
      <c r="E2761" s="1">
        <v>40.340000000000003</v>
      </c>
      <c r="F2761" s="1">
        <v>6346300</v>
      </c>
      <c r="G2761" s="1">
        <v>40.340000000000003</v>
      </c>
      <c r="H2761" s="1">
        <f t="shared" si="387"/>
        <v>0.78999999999999915</v>
      </c>
      <c r="I2761" s="9">
        <f t="shared" si="394"/>
        <v>1.9824341279799224E-2</v>
      </c>
      <c r="J2761" s="1">
        <f t="shared" si="395"/>
        <v>-0.28999999999999915</v>
      </c>
      <c r="K2761" s="9">
        <f t="shared" si="388"/>
        <v>-7.1375830666994614E-3</v>
      </c>
      <c r="L2761" s="1">
        <f t="shared" si="389"/>
        <v>1</v>
      </c>
      <c r="M2761" s="1">
        <f t="shared" si="390"/>
        <v>40.64</v>
      </c>
      <c r="N2761" s="1">
        <f t="shared" si="391"/>
        <v>39.85</v>
      </c>
      <c r="O2761" s="1">
        <f t="shared" si="392"/>
        <v>38.380000000000003</v>
      </c>
      <c r="P2761" s="1">
        <f t="shared" si="393"/>
        <v>19.581632653061227</v>
      </c>
    </row>
    <row r="2762" spans="1:16">
      <c r="A2762" s="2">
        <v>39050</v>
      </c>
      <c r="B2762" s="1">
        <v>40.479999999999997</v>
      </c>
      <c r="C2762" s="1">
        <v>41.1</v>
      </c>
      <c r="D2762" s="1">
        <v>40</v>
      </c>
      <c r="E2762" s="1">
        <v>40.630000000000003</v>
      </c>
      <c r="F2762" s="1">
        <v>7854600</v>
      </c>
      <c r="G2762" s="1">
        <v>40.630000000000003</v>
      </c>
      <c r="H2762" s="1">
        <f t="shared" si="387"/>
        <v>1.1000000000000014</v>
      </c>
      <c r="I2762" s="9">
        <f t="shared" si="394"/>
        <v>2.7500000000000035E-2</v>
      </c>
      <c r="J2762" s="1">
        <f t="shared" si="395"/>
        <v>-0.28999999999999915</v>
      </c>
      <c r="K2762" s="9">
        <f t="shared" si="388"/>
        <v>-7.0869990224828724E-3</v>
      </c>
      <c r="L2762" s="1">
        <f t="shared" si="389"/>
        <v>1</v>
      </c>
      <c r="M2762" s="1">
        <f t="shared" si="390"/>
        <v>41.1</v>
      </c>
      <c r="N2762" s="1">
        <f t="shared" si="391"/>
        <v>40</v>
      </c>
      <c r="O2762" s="1">
        <f t="shared" si="392"/>
        <v>38.67</v>
      </c>
      <c r="P2762" s="1">
        <f t="shared" si="393"/>
        <v>19.729591836734695</v>
      </c>
    </row>
    <row r="2763" spans="1:16">
      <c r="A2763" s="2">
        <v>39049</v>
      </c>
      <c r="B2763" s="1">
        <v>40.75</v>
      </c>
      <c r="C2763" s="1">
        <v>41.07</v>
      </c>
      <c r="D2763" s="1">
        <v>40.299999999999997</v>
      </c>
      <c r="E2763" s="1">
        <v>40.92</v>
      </c>
      <c r="F2763" s="1">
        <v>7099300</v>
      </c>
      <c r="G2763" s="1">
        <v>40.92</v>
      </c>
      <c r="H2763" s="1">
        <f t="shared" si="387"/>
        <v>0.77000000000000313</v>
      </c>
      <c r="I2763" s="9">
        <f t="shared" si="394"/>
        <v>1.910669975186112E-2</v>
      </c>
      <c r="J2763" s="1">
        <f t="shared" si="395"/>
        <v>7.0000000000000284E-2</v>
      </c>
      <c r="K2763" s="9">
        <f t="shared" si="388"/>
        <v>1.7135862913096765E-3</v>
      </c>
      <c r="L2763" s="1">
        <f t="shared" si="389"/>
        <v>1</v>
      </c>
      <c r="M2763" s="1">
        <f t="shared" si="390"/>
        <v>41.07</v>
      </c>
      <c r="N2763" s="1">
        <f t="shared" si="391"/>
        <v>40.299999999999997</v>
      </c>
      <c r="O2763" s="1">
        <f t="shared" si="392"/>
        <v>38.96</v>
      </c>
      <c r="P2763" s="1">
        <f t="shared" si="393"/>
        <v>19.877551020408163</v>
      </c>
    </row>
    <row r="2764" spans="1:16">
      <c r="A2764" s="2">
        <v>39048</v>
      </c>
      <c r="B2764" s="1">
        <v>42.18</v>
      </c>
      <c r="C2764" s="1">
        <v>42.8</v>
      </c>
      <c r="D2764" s="1">
        <v>40.72</v>
      </c>
      <c r="E2764" s="1">
        <v>40.85</v>
      </c>
      <c r="F2764" s="1">
        <v>8972800</v>
      </c>
      <c r="G2764" s="1">
        <v>40.85</v>
      </c>
      <c r="H2764" s="1">
        <f t="shared" si="387"/>
        <v>2.0799999999999983</v>
      </c>
      <c r="I2764" s="9">
        <f t="shared" si="394"/>
        <v>5.1080550098231786E-2</v>
      </c>
      <c r="J2764" s="1">
        <f t="shared" si="395"/>
        <v>-1.5599999999999952</v>
      </c>
      <c r="K2764" s="9">
        <f t="shared" si="388"/>
        <v>-3.6783777410987865E-2</v>
      </c>
      <c r="L2764" s="1">
        <f t="shared" si="389"/>
        <v>1</v>
      </c>
      <c r="M2764" s="1">
        <f t="shared" si="390"/>
        <v>42.8</v>
      </c>
      <c r="N2764" s="1">
        <f t="shared" si="391"/>
        <v>40.72</v>
      </c>
      <c r="O2764" s="1">
        <f t="shared" si="392"/>
        <v>38.89</v>
      </c>
      <c r="P2764" s="1">
        <f t="shared" si="393"/>
        <v>19.841836734693878</v>
      </c>
    </row>
    <row r="2765" spans="1:16">
      <c r="A2765" s="2">
        <v>39045</v>
      </c>
      <c r="B2765" s="1">
        <v>42.56</v>
      </c>
      <c r="C2765" s="1">
        <v>42.94</v>
      </c>
      <c r="D2765" s="1">
        <v>42.31</v>
      </c>
      <c r="E2765" s="1">
        <v>42.41</v>
      </c>
      <c r="F2765" s="1">
        <v>2241300</v>
      </c>
      <c r="G2765" s="1">
        <v>42.41</v>
      </c>
      <c r="H2765" s="1">
        <f t="shared" si="387"/>
        <v>0.62999999999999545</v>
      </c>
      <c r="I2765" s="9">
        <f t="shared" si="394"/>
        <v>1.4890096903805139E-2</v>
      </c>
      <c r="J2765" s="1">
        <f t="shared" si="395"/>
        <v>-0.55000000000000426</v>
      </c>
      <c r="K2765" s="9">
        <f t="shared" si="388"/>
        <v>-1.2802607076350192E-2</v>
      </c>
      <c r="L2765" s="1">
        <f t="shared" si="389"/>
        <v>1</v>
      </c>
      <c r="M2765" s="1">
        <f t="shared" si="390"/>
        <v>42.94</v>
      </c>
      <c r="N2765" s="1">
        <f t="shared" si="391"/>
        <v>42.31</v>
      </c>
      <c r="O2765" s="1">
        <f t="shared" si="392"/>
        <v>40.449999999999996</v>
      </c>
      <c r="P2765" s="1">
        <f t="shared" si="393"/>
        <v>20.637755102040813</v>
      </c>
    </row>
    <row r="2766" spans="1:16">
      <c r="A2766" s="2">
        <v>39043</v>
      </c>
      <c r="B2766" s="1">
        <v>42.5</v>
      </c>
      <c r="C2766" s="1">
        <v>42.98</v>
      </c>
      <c r="D2766" s="1">
        <v>42.18</v>
      </c>
      <c r="E2766" s="1">
        <v>42.96</v>
      </c>
      <c r="F2766" s="1">
        <v>4535600</v>
      </c>
      <c r="G2766" s="1">
        <v>42.96</v>
      </c>
      <c r="H2766" s="1">
        <f t="shared" si="387"/>
        <v>0.79999999999999716</v>
      </c>
      <c r="I2766" s="9">
        <f t="shared" si="394"/>
        <v>1.8966334755808372E-2</v>
      </c>
      <c r="J2766" s="1">
        <f t="shared" si="395"/>
        <v>0.42000000000000171</v>
      </c>
      <c r="K2766" s="9">
        <f t="shared" si="388"/>
        <v>9.8730606488011685E-3</v>
      </c>
      <c r="L2766" s="1">
        <f t="shared" si="389"/>
        <v>1</v>
      </c>
      <c r="M2766" s="1">
        <f t="shared" si="390"/>
        <v>42.98</v>
      </c>
      <c r="N2766" s="1">
        <f t="shared" si="391"/>
        <v>42.18</v>
      </c>
      <c r="O2766" s="1">
        <f t="shared" si="392"/>
        <v>41</v>
      </c>
      <c r="P2766" s="1">
        <f t="shared" si="393"/>
        <v>20.918367346938776</v>
      </c>
    </row>
    <row r="2767" spans="1:16">
      <c r="A2767" s="2">
        <v>39042</v>
      </c>
      <c r="B2767" s="1">
        <v>42.55</v>
      </c>
      <c r="C2767" s="1">
        <v>43.25</v>
      </c>
      <c r="D2767" s="1">
        <v>42.12</v>
      </c>
      <c r="E2767" s="1">
        <v>42.54</v>
      </c>
      <c r="F2767" s="1">
        <v>6984400</v>
      </c>
      <c r="G2767" s="1">
        <v>42.54</v>
      </c>
      <c r="H2767" s="1">
        <f t="shared" si="387"/>
        <v>1.1300000000000026</v>
      </c>
      <c r="I2767" s="9">
        <f t="shared" si="394"/>
        <v>2.6828110161443559E-2</v>
      </c>
      <c r="J2767" s="1">
        <f t="shared" si="395"/>
        <v>0.10000000000000142</v>
      </c>
      <c r="K2767" s="9">
        <f t="shared" si="388"/>
        <v>2.3562676720075737E-3</v>
      </c>
      <c r="L2767" s="1">
        <f t="shared" si="389"/>
        <v>1</v>
      </c>
      <c r="M2767" s="1">
        <f t="shared" si="390"/>
        <v>43.25</v>
      </c>
      <c r="N2767" s="1">
        <f t="shared" si="391"/>
        <v>42.12</v>
      </c>
      <c r="O2767" s="1">
        <f t="shared" si="392"/>
        <v>40.58</v>
      </c>
      <c r="P2767" s="1">
        <f t="shared" si="393"/>
        <v>20.704081632653061</v>
      </c>
    </row>
    <row r="2768" spans="1:16">
      <c r="A2768" s="2">
        <v>39041</v>
      </c>
      <c r="B2768" s="1">
        <v>42.35</v>
      </c>
      <c r="C2768" s="1">
        <v>42.55</v>
      </c>
      <c r="D2768" s="1">
        <v>41.94</v>
      </c>
      <c r="E2768" s="1">
        <v>42.44</v>
      </c>
      <c r="F2768" s="1">
        <v>5796400</v>
      </c>
      <c r="G2768" s="1">
        <v>42.44</v>
      </c>
      <c r="H2768" s="1">
        <f t="shared" si="387"/>
        <v>0.60999999999999943</v>
      </c>
      <c r="I2768" s="9">
        <f t="shared" si="394"/>
        <v>1.4544587505960884E-2</v>
      </c>
      <c r="J2768" s="1">
        <f t="shared" si="395"/>
        <v>-0.10999999999999943</v>
      </c>
      <c r="K2768" s="9">
        <f t="shared" si="388"/>
        <v>-2.5851938895417024E-3</v>
      </c>
      <c r="L2768" s="1">
        <f t="shared" si="389"/>
        <v>1</v>
      </c>
      <c r="M2768" s="1">
        <f t="shared" si="390"/>
        <v>42.55</v>
      </c>
      <c r="N2768" s="1">
        <f t="shared" si="391"/>
        <v>41.94</v>
      </c>
      <c r="O2768" s="1">
        <f t="shared" si="392"/>
        <v>40.479999999999997</v>
      </c>
      <c r="P2768" s="1">
        <f t="shared" si="393"/>
        <v>20.653061224489793</v>
      </c>
    </row>
    <row r="2769" spans="1:16">
      <c r="A2769" s="2">
        <v>39038</v>
      </c>
      <c r="B2769" s="1">
        <v>42.55</v>
      </c>
      <c r="C2769" s="1">
        <v>42.67</v>
      </c>
      <c r="D2769" s="1">
        <v>42.22</v>
      </c>
      <c r="E2769" s="1">
        <v>42.55</v>
      </c>
      <c r="F2769" s="1">
        <v>6530200</v>
      </c>
      <c r="G2769" s="1">
        <v>42.55</v>
      </c>
      <c r="H2769" s="1">
        <f t="shared" si="387"/>
        <v>0.45000000000000284</v>
      </c>
      <c r="I2769" s="9">
        <f t="shared" si="394"/>
        <v>1.0658455708195236E-2</v>
      </c>
      <c r="J2769" s="1">
        <f t="shared" si="395"/>
        <v>-0.29000000000000625</v>
      </c>
      <c r="K2769" s="9">
        <f t="shared" si="388"/>
        <v>-6.769374416433385E-3</v>
      </c>
      <c r="L2769" s="1">
        <f t="shared" si="389"/>
        <v>1</v>
      </c>
      <c r="M2769" s="1">
        <f t="shared" si="390"/>
        <v>42.67</v>
      </c>
      <c r="N2769" s="1">
        <f t="shared" si="391"/>
        <v>42.22</v>
      </c>
      <c r="O2769" s="1">
        <f t="shared" si="392"/>
        <v>40.589999999999996</v>
      </c>
      <c r="P2769" s="1">
        <f t="shared" si="393"/>
        <v>20.709183673469386</v>
      </c>
    </row>
    <row r="2770" spans="1:16">
      <c r="A2770" s="2">
        <v>39037</v>
      </c>
      <c r="B2770" s="1">
        <v>42.45</v>
      </c>
      <c r="C2770" s="1">
        <v>42.95</v>
      </c>
      <c r="D2770" s="1">
        <v>42.4</v>
      </c>
      <c r="E2770" s="1">
        <v>42.84</v>
      </c>
      <c r="F2770" s="1">
        <v>11000800</v>
      </c>
      <c r="G2770" s="1">
        <v>42.84</v>
      </c>
      <c r="H2770" s="1">
        <f t="shared" si="387"/>
        <v>0.55000000000000426</v>
      </c>
      <c r="I2770" s="9">
        <f t="shared" si="394"/>
        <v>1.2971698113207648E-2</v>
      </c>
      <c r="J2770" s="1">
        <f t="shared" si="395"/>
        <v>0.24000000000000199</v>
      </c>
      <c r="K2770" s="9">
        <f t="shared" si="388"/>
        <v>5.6338028169014547E-3</v>
      </c>
      <c r="L2770" s="1">
        <f t="shared" si="389"/>
        <v>1</v>
      </c>
      <c r="M2770" s="1">
        <f t="shared" si="390"/>
        <v>42.95</v>
      </c>
      <c r="N2770" s="1">
        <f t="shared" si="391"/>
        <v>42.4</v>
      </c>
      <c r="O2770" s="1">
        <f t="shared" si="392"/>
        <v>40.880000000000003</v>
      </c>
      <c r="P2770" s="1">
        <f t="shared" si="393"/>
        <v>20.857142857142858</v>
      </c>
    </row>
    <row r="2771" spans="1:16">
      <c r="A2771" s="2">
        <v>39036</v>
      </c>
      <c r="B2771" s="1">
        <v>41.5</v>
      </c>
      <c r="C2771" s="1">
        <v>43.1</v>
      </c>
      <c r="D2771" s="1">
        <v>41.5</v>
      </c>
      <c r="E2771" s="1">
        <v>42.6</v>
      </c>
      <c r="F2771" s="1">
        <v>13556700</v>
      </c>
      <c r="G2771" s="1">
        <v>42.6</v>
      </c>
      <c r="H2771" s="1">
        <f t="shared" si="387"/>
        <v>1.6000000000000014</v>
      </c>
      <c r="I2771" s="9">
        <f t="shared" si="394"/>
        <v>3.8554216867469911E-2</v>
      </c>
      <c r="J2771" s="1">
        <f t="shared" si="395"/>
        <v>1.0900000000000034</v>
      </c>
      <c r="K2771" s="9">
        <f t="shared" si="388"/>
        <v>2.6258732835461419E-2</v>
      </c>
      <c r="L2771" s="1">
        <f t="shared" si="389"/>
        <v>1</v>
      </c>
      <c r="M2771" s="1">
        <f t="shared" si="390"/>
        <v>43.1</v>
      </c>
      <c r="N2771" s="1">
        <f t="shared" si="391"/>
        <v>41.5</v>
      </c>
      <c r="O2771" s="1">
        <f t="shared" si="392"/>
        <v>40.64</v>
      </c>
      <c r="P2771" s="1">
        <f t="shared" si="393"/>
        <v>20.73469387755102</v>
      </c>
    </row>
    <row r="2772" spans="1:16">
      <c r="A2772" s="2">
        <v>39035</v>
      </c>
      <c r="B2772" s="1">
        <v>40.11</v>
      </c>
      <c r="C2772" s="1">
        <v>41.67</v>
      </c>
      <c r="D2772" s="1">
        <v>39.619999999999997</v>
      </c>
      <c r="E2772" s="1">
        <v>41.51</v>
      </c>
      <c r="F2772" s="1">
        <v>10951300</v>
      </c>
      <c r="G2772" s="1">
        <v>41.51</v>
      </c>
      <c r="H2772" s="1">
        <f t="shared" si="387"/>
        <v>2.0500000000000043</v>
      </c>
      <c r="I2772" s="9">
        <f t="shared" si="394"/>
        <v>5.1741544674406975E-2</v>
      </c>
      <c r="J2772" s="1">
        <f t="shared" si="395"/>
        <v>1.519999999999996</v>
      </c>
      <c r="K2772" s="9">
        <f t="shared" si="388"/>
        <v>3.80095023755938E-2</v>
      </c>
      <c r="L2772" s="1">
        <f t="shared" si="389"/>
        <v>1</v>
      </c>
      <c r="M2772" s="1">
        <f t="shared" si="390"/>
        <v>41.67</v>
      </c>
      <c r="N2772" s="1">
        <f t="shared" si="391"/>
        <v>39.619999999999997</v>
      </c>
      <c r="O2772" s="1">
        <f t="shared" si="392"/>
        <v>39.549999999999997</v>
      </c>
      <c r="P2772" s="1">
        <f t="shared" si="393"/>
        <v>20.178571428571427</v>
      </c>
    </row>
    <row r="2773" spans="1:16">
      <c r="A2773" s="2">
        <v>39034</v>
      </c>
      <c r="B2773" s="1">
        <v>39.229999999999997</v>
      </c>
      <c r="C2773" s="1">
        <v>40</v>
      </c>
      <c r="D2773" s="1">
        <v>39.130000000000003</v>
      </c>
      <c r="E2773" s="1">
        <v>39.99</v>
      </c>
      <c r="F2773" s="1">
        <v>6944300</v>
      </c>
      <c r="G2773" s="1">
        <v>39.99</v>
      </c>
      <c r="H2773" s="1">
        <f t="shared" si="387"/>
        <v>0.86999999999999744</v>
      </c>
      <c r="I2773" s="9">
        <f t="shared" si="394"/>
        <v>2.2233580373115191E-2</v>
      </c>
      <c r="J2773" s="1">
        <f t="shared" si="395"/>
        <v>0.73000000000000398</v>
      </c>
      <c r="K2773" s="9">
        <f t="shared" si="388"/>
        <v>1.8593988792664391E-2</v>
      </c>
      <c r="L2773" s="1">
        <f t="shared" si="389"/>
        <v>1</v>
      </c>
      <c r="M2773" s="1">
        <f t="shared" si="390"/>
        <v>40</v>
      </c>
      <c r="N2773" s="1">
        <f t="shared" si="391"/>
        <v>39.130000000000003</v>
      </c>
      <c r="O2773" s="1">
        <f t="shared" si="392"/>
        <v>38.03</v>
      </c>
      <c r="P2773" s="1">
        <f t="shared" si="393"/>
        <v>19.403061224489797</v>
      </c>
    </row>
    <row r="2774" spans="1:16">
      <c r="A2774" s="2">
        <v>39031</v>
      </c>
      <c r="B2774" s="1">
        <v>38.79</v>
      </c>
      <c r="C2774" s="1">
        <v>39.36</v>
      </c>
      <c r="D2774" s="1">
        <v>38.76</v>
      </c>
      <c r="E2774" s="1">
        <v>39.26</v>
      </c>
      <c r="F2774" s="1">
        <v>4495100</v>
      </c>
      <c r="G2774" s="1">
        <v>39.26</v>
      </c>
      <c r="H2774" s="1">
        <f t="shared" si="387"/>
        <v>0.60000000000000142</v>
      </c>
      <c r="I2774" s="9">
        <f t="shared" si="394"/>
        <v>1.547987616099075E-2</v>
      </c>
      <c r="J2774" s="1">
        <f t="shared" si="395"/>
        <v>0.4199999999999946</v>
      </c>
      <c r="K2774" s="9">
        <f t="shared" si="388"/>
        <v>1.0813594232749602E-2</v>
      </c>
      <c r="L2774" s="1">
        <f t="shared" si="389"/>
        <v>1</v>
      </c>
      <c r="M2774" s="1">
        <f t="shared" si="390"/>
        <v>39.36</v>
      </c>
      <c r="N2774" s="1">
        <f t="shared" si="391"/>
        <v>38.76</v>
      </c>
      <c r="O2774" s="1">
        <f t="shared" si="392"/>
        <v>37.299999999999997</v>
      </c>
      <c r="P2774" s="1">
        <f t="shared" si="393"/>
        <v>19.030612244897959</v>
      </c>
    </row>
    <row r="2775" spans="1:16">
      <c r="A2775" s="2">
        <v>39030</v>
      </c>
      <c r="B2775" s="1">
        <v>39.5</v>
      </c>
      <c r="C2775" s="1">
        <v>39.770000000000003</v>
      </c>
      <c r="D2775" s="1">
        <v>38.81</v>
      </c>
      <c r="E2775" s="1">
        <v>38.840000000000003</v>
      </c>
      <c r="F2775" s="1">
        <v>5807100</v>
      </c>
      <c r="G2775" s="1">
        <v>38.840000000000003</v>
      </c>
      <c r="H2775" s="1">
        <f t="shared" si="387"/>
        <v>0.96000000000000085</v>
      </c>
      <c r="I2775" s="9">
        <f t="shared" si="394"/>
        <v>2.4735892811131172E-2</v>
      </c>
      <c r="J2775" s="1">
        <f t="shared" si="395"/>
        <v>-0.62999999999999545</v>
      </c>
      <c r="K2775" s="9">
        <f t="shared" si="388"/>
        <v>-1.5961489739042194E-2</v>
      </c>
      <c r="L2775" s="1">
        <f t="shared" si="389"/>
        <v>1</v>
      </c>
      <c r="M2775" s="1">
        <f t="shared" si="390"/>
        <v>39.770000000000003</v>
      </c>
      <c r="N2775" s="1">
        <f t="shared" si="391"/>
        <v>38.81</v>
      </c>
      <c r="O2775" s="1">
        <f t="shared" si="392"/>
        <v>36.880000000000003</v>
      </c>
      <c r="P2775" s="1">
        <f t="shared" si="393"/>
        <v>18.816326530612248</v>
      </c>
    </row>
    <row r="2776" spans="1:16">
      <c r="A2776" s="2">
        <v>39029</v>
      </c>
      <c r="B2776" s="1">
        <v>38.58</v>
      </c>
      <c r="C2776" s="1">
        <v>39.479999999999997</v>
      </c>
      <c r="D2776" s="1">
        <v>38.46</v>
      </c>
      <c r="E2776" s="1">
        <v>39.47</v>
      </c>
      <c r="F2776" s="1">
        <v>8159900</v>
      </c>
      <c r="G2776" s="1">
        <v>39.47</v>
      </c>
      <c r="H2776" s="1">
        <f t="shared" si="387"/>
        <v>1.019999999999996</v>
      </c>
      <c r="I2776" s="9">
        <f t="shared" si="394"/>
        <v>2.6521060842433594E-2</v>
      </c>
      <c r="J2776" s="1">
        <f t="shared" si="395"/>
        <v>0.69999999999999574</v>
      </c>
      <c r="K2776" s="9">
        <f t="shared" si="388"/>
        <v>1.8055197317513431E-2</v>
      </c>
      <c r="L2776" s="1">
        <f t="shared" si="389"/>
        <v>1</v>
      </c>
      <c r="M2776" s="1">
        <f t="shared" si="390"/>
        <v>39.479999999999997</v>
      </c>
      <c r="N2776" s="1">
        <f t="shared" si="391"/>
        <v>38.46</v>
      </c>
      <c r="O2776" s="1">
        <f t="shared" si="392"/>
        <v>37.51</v>
      </c>
      <c r="P2776" s="1">
        <f t="shared" si="393"/>
        <v>19.137755102040817</v>
      </c>
    </row>
    <row r="2777" spans="1:16">
      <c r="A2777" s="2">
        <v>39028</v>
      </c>
      <c r="B2777" s="1">
        <v>38.200000000000003</v>
      </c>
      <c r="C2777" s="1">
        <v>39</v>
      </c>
      <c r="D2777" s="1">
        <v>38.04</v>
      </c>
      <c r="E2777" s="1">
        <v>38.770000000000003</v>
      </c>
      <c r="F2777" s="1">
        <v>7745100</v>
      </c>
      <c r="G2777" s="1">
        <v>38.770000000000003</v>
      </c>
      <c r="H2777" s="1">
        <f t="shared" si="387"/>
        <v>0.96000000000000085</v>
      </c>
      <c r="I2777" s="9">
        <f t="shared" si="394"/>
        <v>2.5236593059936932E-2</v>
      </c>
      <c r="J2777" s="1">
        <f t="shared" si="395"/>
        <v>0.56000000000000227</v>
      </c>
      <c r="K2777" s="9">
        <f t="shared" si="388"/>
        <v>1.4655849254122017E-2</v>
      </c>
      <c r="L2777" s="1">
        <f t="shared" si="389"/>
        <v>1</v>
      </c>
      <c r="M2777" s="1">
        <f t="shared" si="390"/>
        <v>39</v>
      </c>
      <c r="N2777" s="1">
        <f t="shared" si="391"/>
        <v>38.04</v>
      </c>
      <c r="O2777" s="1">
        <f t="shared" si="392"/>
        <v>36.81</v>
      </c>
      <c r="P2777" s="1">
        <f t="shared" si="393"/>
        <v>18.780612244897959</v>
      </c>
    </row>
    <row r="2778" spans="1:16">
      <c r="A2778" s="2">
        <v>39027</v>
      </c>
      <c r="B2778" s="1">
        <v>37.64</v>
      </c>
      <c r="C2778" s="1">
        <v>38.35</v>
      </c>
      <c r="D2778" s="1">
        <v>37.53</v>
      </c>
      <c r="E2778" s="1">
        <v>38.21</v>
      </c>
      <c r="F2778" s="1">
        <v>4540900</v>
      </c>
      <c r="G2778" s="1">
        <v>38.21</v>
      </c>
      <c r="H2778" s="1">
        <f t="shared" si="387"/>
        <v>0.82000000000000028</v>
      </c>
      <c r="I2778" s="9">
        <f t="shared" si="394"/>
        <v>2.1849187316813224E-2</v>
      </c>
      <c r="J2778" s="1">
        <f t="shared" si="395"/>
        <v>0.75</v>
      </c>
      <c r="K2778" s="9">
        <f t="shared" si="388"/>
        <v>2.0021356113187401E-2</v>
      </c>
      <c r="L2778" s="1">
        <f t="shared" si="389"/>
        <v>1</v>
      </c>
      <c r="M2778" s="1">
        <f t="shared" si="390"/>
        <v>38.35</v>
      </c>
      <c r="N2778" s="1">
        <f t="shared" si="391"/>
        <v>37.53</v>
      </c>
      <c r="O2778" s="1">
        <f t="shared" si="392"/>
        <v>36.25</v>
      </c>
      <c r="P2778" s="1">
        <f t="shared" si="393"/>
        <v>18.494897959183675</v>
      </c>
    </row>
    <row r="2779" spans="1:16">
      <c r="A2779" s="2">
        <v>39024</v>
      </c>
      <c r="B2779" s="1">
        <v>37.61</v>
      </c>
      <c r="C2779" s="1">
        <v>37.71</v>
      </c>
      <c r="D2779" s="1">
        <v>36.869999999999997</v>
      </c>
      <c r="E2779" s="1">
        <v>37.46</v>
      </c>
      <c r="F2779" s="1">
        <v>5124100</v>
      </c>
      <c r="G2779" s="1">
        <v>37.46</v>
      </c>
      <c r="H2779" s="1">
        <f t="shared" si="387"/>
        <v>0.84000000000000341</v>
      </c>
      <c r="I2779" s="9">
        <f t="shared" si="394"/>
        <v>2.2782750203417506E-2</v>
      </c>
      <c r="J2779" s="1">
        <f t="shared" si="395"/>
        <v>9.9999999999980105E-3</v>
      </c>
      <c r="K2779" s="9">
        <f t="shared" si="388"/>
        <v>2.6702269692918586E-4</v>
      </c>
      <c r="L2779" s="1">
        <f t="shared" si="389"/>
        <v>1</v>
      </c>
      <c r="M2779" s="1">
        <f t="shared" si="390"/>
        <v>37.71</v>
      </c>
      <c r="N2779" s="1">
        <f t="shared" si="391"/>
        <v>36.869999999999997</v>
      </c>
      <c r="O2779" s="1">
        <f t="shared" si="392"/>
        <v>35.5</v>
      </c>
      <c r="P2779" s="1">
        <f t="shared" si="393"/>
        <v>18.112244897959183</v>
      </c>
    </row>
    <row r="2780" spans="1:16">
      <c r="A2780" s="2">
        <v>39023</v>
      </c>
      <c r="B2780" s="1">
        <v>37.33</v>
      </c>
      <c r="C2780" s="1">
        <v>37.770000000000003</v>
      </c>
      <c r="D2780" s="1">
        <v>37.11</v>
      </c>
      <c r="E2780" s="1">
        <v>37.450000000000003</v>
      </c>
      <c r="F2780" s="1">
        <v>5447300</v>
      </c>
      <c r="G2780" s="1">
        <v>37.450000000000003</v>
      </c>
      <c r="H2780" s="1">
        <f t="shared" si="387"/>
        <v>0.66000000000000369</v>
      </c>
      <c r="I2780" s="9">
        <f t="shared" si="394"/>
        <v>1.7784963621665418E-2</v>
      </c>
      <c r="J2780" s="1">
        <f t="shared" si="395"/>
        <v>-0.10999999999999943</v>
      </c>
      <c r="K2780" s="9">
        <f t="shared" si="388"/>
        <v>-2.9286474973375777E-3</v>
      </c>
      <c r="L2780" s="1">
        <f t="shared" si="389"/>
        <v>1</v>
      </c>
      <c r="M2780" s="1">
        <f t="shared" si="390"/>
        <v>37.770000000000003</v>
      </c>
      <c r="N2780" s="1">
        <f t="shared" si="391"/>
        <v>37.11</v>
      </c>
      <c r="O2780" s="1">
        <f t="shared" si="392"/>
        <v>35.49</v>
      </c>
      <c r="P2780" s="1">
        <f t="shared" si="393"/>
        <v>18.107142857142858</v>
      </c>
    </row>
    <row r="2781" spans="1:16">
      <c r="A2781" s="2">
        <v>39022</v>
      </c>
      <c r="B2781" s="1">
        <v>38.130000000000003</v>
      </c>
      <c r="C2781" s="1">
        <v>38.200000000000003</v>
      </c>
      <c r="D2781" s="1">
        <v>37.46</v>
      </c>
      <c r="E2781" s="1">
        <v>37.56</v>
      </c>
      <c r="F2781" s="1">
        <v>6668900</v>
      </c>
      <c r="G2781" s="1">
        <v>37.56</v>
      </c>
      <c r="H2781" s="1">
        <f t="shared" si="387"/>
        <v>0.74000000000000199</v>
      </c>
      <c r="I2781" s="9">
        <f t="shared" si="394"/>
        <v>1.9754404698344954E-2</v>
      </c>
      <c r="J2781" s="1">
        <f t="shared" si="395"/>
        <v>-0.53000000000000114</v>
      </c>
      <c r="K2781" s="9">
        <f t="shared" si="388"/>
        <v>-1.3914413231819404E-2</v>
      </c>
      <c r="L2781" s="1">
        <f t="shared" si="389"/>
        <v>1</v>
      </c>
      <c r="M2781" s="1">
        <f t="shared" si="390"/>
        <v>38.200000000000003</v>
      </c>
      <c r="N2781" s="1">
        <f t="shared" si="391"/>
        <v>37.46</v>
      </c>
      <c r="O2781" s="1">
        <f t="shared" si="392"/>
        <v>35.6</v>
      </c>
      <c r="P2781" s="1">
        <f t="shared" si="393"/>
        <v>18.163265306122451</v>
      </c>
    </row>
    <row r="2782" spans="1:16">
      <c r="A2782" s="2">
        <v>39021</v>
      </c>
      <c r="B2782" s="1">
        <v>38.22</v>
      </c>
      <c r="C2782" s="1">
        <v>38.590000000000003</v>
      </c>
      <c r="D2782" s="1">
        <v>37.799999999999997</v>
      </c>
      <c r="E2782" s="1">
        <v>38.090000000000003</v>
      </c>
      <c r="F2782" s="1">
        <v>6210400</v>
      </c>
      <c r="G2782" s="1">
        <v>38.090000000000003</v>
      </c>
      <c r="H2782" s="1">
        <f t="shared" si="387"/>
        <v>0.79000000000000625</v>
      </c>
      <c r="I2782" s="9">
        <f t="shared" si="394"/>
        <v>2.0899470899471067E-2</v>
      </c>
      <c r="J2782" s="1">
        <f t="shared" si="395"/>
        <v>-5.9999999999995168E-2</v>
      </c>
      <c r="K2782" s="9">
        <f t="shared" si="388"/>
        <v>-1.5727391874179599E-3</v>
      </c>
      <c r="L2782" s="1">
        <f t="shared" si="389"/>
        <v>1</v>
      </c>
      <c r="M2782" s="1">
        <f t="shared" si="390"/>
        <v>38.590000000000003</v>
      </c>
      <c r="N2782" s="1">
        <f t="shared" si="391"/>
        <v>37.799999999999997</v>
      </c>
      <c r="O2782" s="1">
        <f t="shared" si="392"/>
        <v>36.130000000000003</v>
      </c>
      <c r="P2782" s="1">
        <f t="shared" si="393"/>
        <v>18.433673469387756</v>
      </c>
    </row>
    <row r="2783" spans="1:16">
      <c r="A2783" s="2">
        <v>39020</v>
      </c>
      <c r="B2783" s="1">
        <v>38.049999999999997</v>
      </c>
      <c r="C2783" s="1">
        <v>38.340000000000003</v>
      </c>
      <c r="D2783" s="1">
        <v>37.68</v>
      </c>
      <c r="E2783" s="1">
        <v>38.15</v>
      </c>
      <c r="F2783" s="1">
        <v>6882400</v>
      </c>
      <c r="G2783" s="1">
        <v>38.15</v>
      </c>
      <c r="H2783" s="1">
        <f t="shared" si="387"/>
        <v>0.66000000000000369</v>
      </c>
      <c r="I2783" s="9">
        <f t="shared" si="394"/>
        <v>1.7515923566879078E-2</v>
      </c>
      <c r="J2783" s="1">
        <f t="shared" si="395"/>
        <v>-9.0000000000003411E-2</v>
      </c>
      <c r="K2783" s="9">
        <f t="shared" si="388"/>
        <v>-2.3535564853557375E-3</v>
      </c>
      <c r="L2783" s="1">
        <f t="shared" si="389"/>
        <v>1</v>
      </c>
      <c r="M2783" s="1">
        <f t="shared" si="390"/>
        <v>38.340000000000003</v>
      </c>
      <c r="N2783" s="1">
        <f t="shared" si="391"/>
        <v>37.68</v>
      </c>
      <c r="O2783" s="1">
        <f t="shared" si="392"/>
        <v>36.19</v>
      </c>
      <c r="P2783" s="1">
        <f t="shared" si="393"/>
        <v>18.464285714285712</v>
      </c>
    </row>
    <row r="2784" spans="1:16">
      <c r="A2784" s="2">
        <v>39017</v>
      </c>
      <c r="B2784" s="1">
        <v>38.15</v>
      </c>
      <c r="C2784" s="1">
        <v>38.380000000000003</v>
      </c>
      <c r="D2784" s="1">
        <v>37.659999999999997</v>
      </c>
      <c r="E2784" s="1">
        <v>38.24</v>
      </c>
      <c r="F2784" s="1">
        <v>9953400</v>
      </c>
      <c r="G2784" s="1">
        <v>38.24</v>
      </c>
      <c r="H2784" s="1">
        <f t="shared" si="387"/>
        <v>0.72000000000000597</v>
      </c>
      <c r="I2784" s="9">
        <f t="shared" si="394"/>
        <v>1.9118428040361287E-2</v>
      </c>
      <c r="J2784" s="1">
        <f t="shared" si="395"/>
        <v>-5.9999999999995168E-2</v>
      </c>
      <c r="K2784" s="9">
        <f t="shared" si="388"/>
        <v>-1.5665796344646258E-3</v>
      </c>
      <c r="L2784" s="1">
        <f t="shared" si="389"/>
        <v>1</v>
      </c>
      <c r="M2784" s="1">
        <f t="shared" si="390"/>
        <v>38.380000000000003</v>
      </c>
      <c r="N2784" s="1">
        <f t="shared" si="391"/>
        <v>37.659999999999997</v>
      </c>
      <c r="O2784" s="1">
        <f t="shared" si="392"/>
        <v>36.28</v>
      </c>
      <c r="P2784" s="1">
        <f t="shared" si="393"/>
        <v>18.510204081632654</v>
      </c>
    </row>
    <row r="2785" spans="1:16">
      <c r="A2785" s="2">
        <v>39016</v>
      </c>
      <c r="B2785" s="1">
        <v>37.25</v>
      </c>
      <c r="C2785" s="1">
        <v>38.49</v>
      </c>
      <c r="D2785" s="1">
        <v>37.18</v>
      </c>
      <c r="E2785" s="1">
        <v>38.299999999999997</v>
      </c>
      <c r="F2785" s="1">
        <v>17073300</v>
      </c>
      <c r="G2785" s="1">
        <v>38.299999999999997</v>
      </c>
      <c r="H2785" s="1">
        <f t="shared" si="387"/>
        <v>1.3100000000000023</v>
      </c>
      <c r="I2785" s="9">
        <f t="shared" si="394"/>
        <v>3.5233996772458372E-2</v>
      </c>
      <c r="J2785" s="1">
        <f t="shared" si="395"/>
        <v>0.61999999999999744</v>
      </c>
      <c r="K2785" s="9">
        <f t="shared" si="388"/>
        <v>1.6454352441613522E-2</v>
      </c>
      <c r="L2785" s="1">
        <f t="shared" si="389"/>
        <v>1</v>
      </c>
      <c r="M2785" s="1">
        <f t="shared" si="390"/>
        <v>38.49</v>
      </c>
      <c r="N2785" s="1">
        <f t="shared" si="391"/>
        <v>37.18</v>
      </c>
      <c r="O2785" s="1">
        <f t="shared" si="392"/>
        <v>36.339999999999996</v>
      </c>
      <c r="P2785" s="1">
        <f t="shared" si="393"/>
        <v>18.54081632653061</v>
      </c>
    </row>
    <row r="2786" spans="1:16">
      <c r="A2786" s="2">
        <v>39015</v>
      </c>
      <c r="B2786" s="1">
        <v>37.299999999999997</v>
      </c>
      <c r="C2786" s="1">
        <v>37.979999999999997</v>
      </c>
      <c r="D2786" s="1">
        <v>36.04</v>
      </c>
      <c r="E2786" s="1">
        <v>37.68</v>
      </c>
      <c r="F2786" s="1">
        <v>46522500</v>
      </c>
      <c r="G2786" s="1">
        <v>37.68</v>
      </c>
      <c r="H2786" s="1">
        <f t="shared" si="387"/>
        <v>1.9399999999999977</v>
      </c>
      <c r="I2786" s="9">
        <f t="shared" si="394"/>
        <v>5.3829078801331795E-2</v>
      </c>
      <c r="J2786" s="1">
        <f t="shared" si="395"/>
        <v>4.0499999999999972</v>
      </c>
      <c r="K2786" s="9">
        <f t="shared" si="388"/>
        <v>0.12042818911685985</v>
      </c>
      <c r="L2786" s="1">
        <f t="shared" si="389"/>
        <v>1</v>
      </c>
      <c r="M2786" s="1">
        <f t="shared" si="390"/>
        <v>37.979999999999997</v>
      </c>
      <c r="N2786" s="1">
        <f t="shared" si="391"/>
        <v>36.04</v>
      </c>
      <c r="O2786" s="1">
        <f t="shared" si="392"/>
        <v>35.72</v>
      </c>
      <c r="P2786" s="1">
        <f t="shared" si="393"/>
        <v>18.224489795918366</v>
      </c>
    </row>
    <row r="2787" spans="1:16">
      <c r="A2787" s="2">
        <v>39014</v>
      </c>
      <c r="B2787" s="1">
        <v>32.869999999999997</v>
      </c>
      <c r="C2787" s="1">
        <v>38</v>
      </c>
      <c r="D2787" s="1">
        <v>32.86</v>
      </c>
      <c r="E2787" s="1">
        <v>33.630000000000003</v>
      </c>
      <c r="F2787" s="1">
        <v>23155300</v>
      </c>
      <c r="G2787" s="1">
        <v>33.630000000000003</v>
      </c>
      <c r="H2787" s="1">
        <f t="shared" si="387"/>
        <v>5.1400000000000006</v>
      </c>
      <c r="I2787" s="9">
        <f t="shared" si="394"/>
        <v>0.15642118076688985</v>
      </c>
      <c r="J2787" s="1">
        <f t="shared" si="395"/>
        <v>0.75</v>
      </c>
      <c r="K2787" s="9">
        <f t="shared" si="388"/>
        <v>2.281021897810219E-2</v>
      </c>
      <c r="L2787" s="1">
        <f t="shared" si="389"/>
        <v>1</v>
      </c>
      <c r="M2787" s="1">
        <f t="shared" si="390"/>
        <v>38</v>
      </c>
      <c r="N2787" s="1">
        <f t="shared" si="391"/>
        <v>32.86</v>
      </c>
      <c r="O2787" s="1">
        <f t="shared" si="392"/>
        <v>31.67</v>
      </c>
      <c r="P2787" s="1">
        <f t="shared" si="393"/>
        <v>16.158163265306122</v>
      </c>
    </row>
    <row r="2788" spans="1:16">
      <c r="A2788" s="2">
        <v>39013</v>
      </c>
      <c r="B2788" s="1">
        <v>32.47</v>
      </c>
      <c r="C2788" s="1">
        <v>32.909999999999997</v>
      </c>
      <c r="D2788" s="1">
        <v>32.14</v>
      </c>
      <c r="E2788" s="1">
        <v>32.880000000000003</v>
      </c>
      <c r="F2788" s="1">
        <v>8059300</v>
      </c>
      <c r="G2788" s="1">
        <v>32.880000000000003</v>
      </c>
      <c r="H2788" s="1">
        <f t="shared" si="387"/>
        <v>0.76999999999999602</v>
      </c>
      <c r="I2788" s="9">
        <f t="shared" si="394"/>
        <v>2.3957685127566769E-2</v>
      </c>
      <c r="J2788" s="1">
        <f t="shared" si="395"/>
        <v>0.31000000000000227</v>
      </c>
      <c r="K2788" s="9">
        <f t="shared" si="388"/>
        <v>9.5179613140927936E-3</v>
      </c>
      <c r="L2788" s="1">
        <f t="shared" si="389"/>
        <v>1</v>
      </c>
      <c r="M2788" s="1">
        <f t="shared" si="390"/>
        <v>32.909999999999997</v>
      </c>
      <c r="N2788" s="1">
        <f t="shared" si="391"/>
        <v>32.14</v>
      </c>
      <c r="O2788" s="1">
        <f t="shared" si="392"/>
        <v>30.92</v>
      </c>
      <c r="P2788" s="1">
        <f t="shared" si="393"/>
        <v>15.775510204081634</v>
      </c>
    </row>
    <row r="2789" spans="1:16">
      <c r="A2789" s="2">
        <v>39010</v>
      </c>
      <c r="B2789" s="1">
        <v>32.69</v>
      </c>
      <c r="C2789" s="1">
        <v>32.69</v>
      </c>
      <c r="D2789" s="1">
        <v>32.21</v>
      </c>
      <c r="E2789" s="1">
        <v>32.57</v>
      </c>
      <c r="F2789" s="1">
        <v>5839400</v>
      </c>
      <c r="G2789" s="1">
        <v>32.57</v>
      </c>
      <c r="H2789" s="1">
        <f t="shared" si="387"/>
        <v>0.47999999999999687</v>
      </c>
      <c r="I2789" s="9">
        <f t="shared" si="394"/>
        <v>1.4902204284383633E-2</v>
      </c>
      <c r="J2789" s="1">
        <f t="shared" si="395"/>
        <v>3.0000000000001137E-2</v>
      </c>
      <c r="K2789" s="9">
        <f t="shared" si="388"/>
        <v>9.2194222495393789E-4</v>
      </c>
      <c r="L2789" s="1">
        <f t="shared" si="389"/>
        <v>1</v>
      </c>
      <c r="M2789" s="1">
        <f t="shared" si="390"/>
        <v>32.69</v>
      </c>
      <c r="N2789" s="1">
        <f t="shared" si="391"/>
        <v>32.21</v>
      </c>
      <c r="O2789" s="1">
        <f t="shared" si="392"/>
        <v>30.61</v>
      </c>
      <c r="P2789" s="1">
        <f t="shared" si="393"/>
        <v>15.61734693877551</v>
      </c>
    </row>
    <row r="2790" spans="1:16">
      <c r="A2790" s="2">
        <v>39009</v>
      </c>
      <c r="B2790" s="1">
        <v>32.17</v>
      </c>
      <c r="C2790" s="1">
        <v>32.840000000000003</v>
      </c>
      <c r="D2790" s="1">
        <v>32.1</v>
      </c>
      <c r="E2790" s="1">
        <v>32.54</v>
      </c>
      <c r="F2790" s="1">
        <v>4037600</v>
      </c>
      <c r="G2790" s="1">
        <v>32.54</v>
      </c>
      <c r="H2790" s="1">
        <f t="shared" si="387"/>
        <v>0.74000000000000199</v>
      </c>
      <c r="I2790" s="9">
        <f t="shared" si="394"/>
        <v>2.3052959501557693E-2</v>
      </c>
      <c r="J2790" s="1">
        <f t="shared" si="395"/>
        <v>0.22999999999999687</v>
      </c>
      <c r="K2790" s="9">
        <f t="shared" si="388"/>
        <v>7.1185391519652383E-3</v>
      </c>
      <c r="L2790" s="1">
        <f t="shared" si="389"/>
        <v>1</v>
      </c>
      <c r="M2790" s="1">
        <f t="shared" si="390"/>
        <v>32.840000000000003</v>
      </c>
      <c r="N2790" s="1">
        <f t="shared" si="391"/>
        <v>32.1</v>
      </c>
      <c r="O2790" s="1">
        <f t="shared" si="392"/>
        <v>30.58</v>
      </c>
      <c r="P2790" s="1">
        <f t="shared" si="393"/>
        <v>15.602040816326531</v>
      </c>
    </row>
    <row r="2791" spans="1:16">
      <c r="A2791" s="2">
        <v>39008</v>
      </c>
      <c r="B2791" s="1">
        <v>32.57</v>
      </c>
      <c r="C2791" s="1">
        <v>32.78</v>
      </c>
      <c r="D2791" s="1">
        <v>32</v>
      </c>
      <c r="E2791" s="1">
        <v>32.31</v>
      </c>
      <c r="F2791" s="1">
        <v>5349300</v>
      </c>
      <c r="G2791" s="1">
        <v>32.31</v>
      </c>
      <c r="H2791" s="1">
        <f t="shared" si="387"/>
        <v>0.78000000000000114</v>
      </c>
      <c r="I2791" s="9">
        <f t="shared" si="394"/>
        <v>2.4375000000000036E-2</v>
      </c>
      <c r="J2791" s="1">
        <f t="shared" si="395"/>
        <v>-0.15999999999999659</v>
      </c>
      <c r="K2791" s="9">
        <f t="shared" si="388"/>
        <v>-4.92762550046186E-3</v>
      </c>
      <c r="L2791" s="1">
        <f t="shared" si="389"/>
        <v>1</v>
      </c>
      <c r="M2791" s="1">
        <f t="shared" si="390"/>
        <v>32.78</v>
      </c>
      <c r="N2791" s="1">
        <f t="shared" si="391"/>
        <v>32</v>
      </c>
      <c r="O2791" s="1">
        <f t="shared" si="392"/>
        <v>30.35</v>
      </c>
      <c r="P2791" s="1">
        <f t="shared" si="393"/>
        <v>15.484693877551022</v>
      </c>
    </row>
    <row r="2792" spans="1:16">
      <c r="A2792" s="2">
        <v>39007</v>
      </c>
      <c r="B2792" s="1">
        <v>32.200000000000003</v>
      </c>
      <c r="C2792" s="1">
        <v>32.61</v>
      </c>
      <c r="D2792" s="1">
        <v>31.75</v>
      </c>
      <c r="E2792" s="1">
        <v>32.47</v>
      </c>
      <c r="F2792" s="1">
        <v>6635700</v>
      </c>
      <c r="G2792" s="1">
        <v>32.47</v>
      </c>
      <c r="H2792" s="1">
        <f t="shared" si="387"/>
        <v>0.85999999999999943</v>
      </c>
      <c r="I2792" s="9">
        <f t="shared" si="394"/>
        <v>2.7086614173228329E-2</v>
      </c>
      <c r="J2792" s="1">
        <f t="shared" si="395"/>
        <v>-0.13000000000000256</v>
      </c>
      <c r="K2792" s="9">
        <f t="shared" si="388"/>
        <v>-3.9877300613497717E-3</v>
      </c>
      <c r="L2792" s="1">
        <f t="shared" si="389"/>
        <v>1</v>
      </c>
      <c r="M2792" s="1">
        <f t="shared" si="390"/>
        <v>32.61</v>
      </c>
      <c r="N2792" s="1">
        <f t="shared" si="391"/>
        <v>31.75</v>
      </c>
      <c r="O2792" s="1">
        <f t="shared" si="392"/>
        <v>30.509999999999998</v>
      </c>
      <c r="P2792" s="1">
        <f t="shared" si="393"/>
        <v>15.566326530612244</v>
      </c>
    </row>
    <row r="2793" spans="1:16">
      <c r="A2793" s="2">
        <v>39006</v>
      </c>
      <c r="B2793" s="1">
        <v>32.85</v>
      </c>
      <c r="C2793" s="1">
        <v>33.200000000000003</v>
      </c>
      <c r="D2793" s="1">
        <v>32.549999999999997</v>
      </c>
      <c r="E2793" s="1">
        <v>32.6</v>
      </c>
      <c r="F2793" s="1">
        <v>6769400</v>
      </c>
      <c r="G2793" s="1">
        <v>32.6</v>
      </c>
      <c r="H2793" s="1">
        <f t="shared" si="387"/>
        <v>0.65000000000000568</v>
      </c>
      <c r="I2793" s="9">
        <f t="shared" si="394"/>
        <v>1.9969278033794339E-2</v>
      </c>
      <c r="J2793" s="1">
        <f t="shared" si="395"/>
        <v>-0.71999999999999886</v>
      </c>
      <c r="K2793" s="9">
        <f t="shared" si="388"/>
        <v>-2.160864345738292E-2</v>
      </c>
      <c r="L2793" s="1">
        <f t="shared" si="389"/>
        <v>1</v>
      </c>
      <c r="M2793" s="1">
        <f t="shared" si="390"/>
        <v>33.200000000000003</v>
      </c>
      <c r="N2793" s="1">
        <f t="shared" si="391"/>
        <v>32.549999999999997</v>
      </c>
      <c r="O2793" s="1">
        <f t="shared" si="392"/>
        <v>30.64</v>
      </c>
      <c r="P2793" s="1">
        <f t="shared" si="393"/>
        <v>15.63265306122449</v>
      </c>
    </row>
    <row r="2794" spans="1:16">
      <c r="A2794" s="2">
        <v>39003</v>
      </c>
      <c r="B2794" s="1">
        <v>33.35</v>
      </c>
      <c r="C2794" s="1">
        <v>33.58</v>
      </c>
      <c r="D2794" s="1">
        <v>33.08</v>
      </c>
      <c r="E2794" s="1">
        <v>33.32</v>
      </c>
      <c r="F2794" s="1">
        <v>4067300</v>
      </c>
      <c r="G2794" s="1">
        <v>33.32</v>
      </c>
      <c r="H2794" s="1">
        <f t="shared" si="387"/>
        <v>0.5</v>
      </c>
      <c r="I2794" s="9">
        <f t="shared" si="394"/>
        <v>1.5114873035066506E-2</v>
      </c>
      <c r="J2794" s="1">
        <f t="shared" si="395"/>
        <v>-0.22999999999999687</v>
      </c>
      <c r="K2794" s="9">
        <f t="shared" si="388"/>
        <v>-6.8554396423247954E-3</v>
      </c>
      <c r="L2794" s="1">
        <f t="shared" si="389"/>
        <v>1</v>
      </c>
      <c r="M2794" s="1">
        <f t="shared" si="390"/>
        <v>33.58</v>
      </c>
      <c r="N2794" s="1">
        <f t="shared" si="391"/>
        <v>33.08</v>
      </c>
      <c r="O2794" s="1">
        <f t="shared" si="392"/>
        <v>31.36</v>
      </c>
      <c r="P2794" s="1">
        <f t="shared" si="393"/>
        <v>16</v>
      </c>
    </row>
    <row r="2795" spans="1:16">
      <c r="A2795" s="2">
        <v>39002</v>
      </c>
      <c r="B2795" s="1">
        <v>33.1</v>
      </c>
      <c r="C2795" s="1">
        <v>33.71</v>
      </c>
      <c r="D2795" s="1">
        <v>32.630000000000003</v>
      </c>
      <c r="E2795" s="1">
        <v>33.549999999999997</v>
      </c>
      <c r="F2795" s="1">
        <v>5989700</v>
      </c>
      <c r="G2795" s="1">
        <v>33.549999999999997</v>
      </c>
      <c r="H2795" s="1">
        <f t="shared" si="387"/>
        <v>1.0799999999999983</v>
      </c>
      <c r="I2795" s="9">
        <f t="shared" si="394"/>
        <v>3.3098375727857746E-2</v>
      </c>
      <c r="J2795" s="1">
        <f t="shared" si="395"/>
        <v>0.64000000000000057</v>
      </c>
      <c r="K2795" s="9">
        <f t="shared" si="388"/>
        <v>1.9446976602856294E-2</v>
      </c>
      <c r="L2795" s="1">
        <f t="shared" si="389"/>
        <v>1</v>
      </c>
      <c r="M2795" s="1">
        <f t="shared" si="390"/>
        <v>33.71</v>
      </c>
      <c r="N2795" s="1">
        <f t="shared" si="391"/>
        <v>32.630000000000003</v>
      </c>
      <c r="O2795" s="1">
        <f t="shared" si="392"/>
        <v>31.589999999999996</v>
      </c>
      <c r="P2795" s="1">
        <f t="shared" si="393"/>
        <v>16.117346938775508</v>
      </c>
    </row>
    <row r="2796" spans="1:16">
      <c r="A2796" s="2">
        <v>39001</v>
      </c>
      <c r="B2796" s="1">
        <v>32.61</v>
      </c>
      <c r="C2796" s="1">
        <v>33.15</v>
      </c>
      <c r="D2796" s="1">
        <v>32.270000000000003</v>
      </c>
      <c r="E2796" s="1">
        <v>32.909999999999997</v>
      </c>
      <c r="F2796" s="1">
        <v>6728500</v>
      </c>
      <c r="G2796" s="1">
        <v>32.909999999999997</v>
      </c>
      <c r="H2796" s="1">
        <f t="shared" si="387"/>
        <v>0.87999999999999545</v>
      </c>
      <c r="I2796" s="9">
        <f t="shared" si="394"/>
        <v>2.7269910133250554E-2</v>
      </c>
      <c r="J2796" s="1">
        <f t="shared" si="395"/>
        <v>0.28999999999999915</v>
      </c>
      <c r="K2796" s="9">
        <f t="shared" si="388"/>
        <v>8.8902513795217405E-3</v>
      </c>
      <c r="L2796" s="1">
        <f t="shared" si="389"/>
        <v>1</v>
      </c>
      <c r="M2796" s="1">
        <f t="shared" si="390"/>
        <v>33.15</v>
      </c>
      <c r="N2796" s="1">
        <f t="shared" si="391"/>
        <v>32.270000000000003</v>
      </c>
      <c r="O2796" s="1">
        <f t="shared" si="392"/>
        <v>30.949999999999996</v>
      </c>
      <c r="P2796" s="1">
        <f t="shared" si="393"/>
        <v>15.79081632653061</v>
      </c>
    </row>
    <row r="2797" spans="1:16">
      <c r="A2797" s="2">
        <v>39000</v>
      </c>
      <c r="B2797" s="1">
        <v>33.270000000000003</v>
      </c>
      <c r="C2797" s="1">
        <v>33.58</v>
      </c>
      <c r="D2797" s="1">
        <v>32.49</v>
      </c>
      <c r="E2797" s="1">
        <v>32.619999999999997</v>
      </c>
      <c r="F2797" s="1">
        <v>6333400</v>
      </c>
      <c r="G2797" s="1">
        <v>32.619999999999997</v>
      </c>
      <c r="H2797" s="1">
        <f t="shared" si="387"/>
        <v>1.0899999999999963</v>
      </c>
      <c r="I2797" s="9">
        <f t="shared" si="394"/>
        <v>3.3548784241304898E-2</v>
      </c>
      <c r="J2797" s="1">
        <f t="shared" si="395"/>
        <v>-0.76000000000000512</v>
      </c>
      <c r="K2797" s="9">
        <f t="shared" si="388"/>
        <v>-2.2768124625524418E-2</v>
      </c>
      <c r="L2797" s="1">
        <f t="shared" si="389"/>
        <v>1</v>
      </c>
      <c r="M2797" s="1">
        <f t="shared" si="390"/>
        <v>33.58</v>
      </c>
      <c r="N2797" s="1">
        <f t="shared" si="391"/>
        <v>32.49</v>
      </c>
      <c r="O2797" s="1">
        <f t="shared" si="392"/>
        <v>30.659999999999997</v>
      </c>
      <c r="P2797" s="1">
        <f t="shared" si="393"/>
        <v>15.642857142857141</v>
      </c>
    </row>
    <row r="2798" spans="1:16">
      <c r="A2798" s="2">
        <v>38999</v>
      </c>
      <c r="B2798" s="1">
        <v>32.49</v>
      </c>
      <c r="C2798" s="1">
        <v>33.479999999999997</v>
      </c>
      <c r="D2798" s="1">
        <v>32.450000000000003</v>
      </c>
      <c r="E2798" s="1">
        <v>33.380000000000003</v>
      </c>
      <c r="F2798" s="1">
        <v>5289200</v>
      </c>
      <c r="G2798" s="1">
        <v>33.380000000000003</v>
      </c>
      <c r="H2798" s="1">
        <f t="shared" si="387"/>
        <v>1.029999999999994</v>
      </c>
      <c r="I2798" s="9">
        <f t="shared" si="394"/>
        <v>3.17411402157163E-2</v>
      </c>
      <c r="J2798" s="1">
        <f t="shared" si="395"/>
        <v>0.78999999999999915</v>
      </c>
      <c r="K2798" s="9">
        <f t="shared" si="388"/>
        <v>2.4240564590365114E-2</v>
      </c>
      <c r="L2798" s="1">
        <f t="shared" si="389"/>
        <v>1</v>
      </c>
      <c r="M2798" s="1">
        <f t="shared" si="390"/>
        <v>33.479999999999997</v>
      </c>
      <c r="N2798" s="1">
        <f t="shared" si="391"/>
        <v>32.450000000000003</v>
      </c>
      <c r="O2798" s="1">
        <f t="shared" si="392"/>
        <v>31.42</v>
      </c>
      <c r="P2798" s="1">
        <f t="shared" si="393"/>
        <v>16.030612244897959</v>
      </c>
    </row>
    <row r="2799" spans="1:16">
      <c r="A2799" s="2">
        <v>38996</v>
      </c>
      <c r="B2799" s="1">
        <v>33.15</v>
      </c>
      <c r="C2799" s="1">
        <v>33.22</v>
      </c>
      <c r="D2799" s="1">
        <v>32.5</v>
      </c>
      <c r="E2799" s="1">
        <v>32.590000000000003</v>
      </c>
      <c r="F2799" s="1">
        <v>4219200</v>
      </c>
      <c r="G2799" s="1">
        <v>32.590000000000003</v>
      </c>
      <c r="H2799" s="1">
        <f t="shared" si="387"/>
        <v>0.71999999999999886</v>
      </c>
      <c r="I2799" s="9">
        <f t="shared" si="394"/>
        <v>2.2153846153846118E-2</v>
      </c>
      <c r="J2799" s="1">
        <f t="shared" si="395"/>
        <v>-0.72999999999999687</v>
      </c>
      <c r="K2799" s="9">
        <f t="shared" si="388"/>
        <v>-2.1908763505402065E-2</v>
      </c>
      <c r="L2799" s="1">
        <f t="shared" si="389"/>
        <v>1</v>
      </c>
      <c r="M2799" s="1">
        <f t="shared" si="390"/>
        <v>33.22</v>
      </c>
      <c r="N2799" s="1">
        <f t="shared" si="391"/>
        <v>32.5</v>
      </c>
      <c r="O2799" s="1">
        <f t="shared" si="392"/>
        <v>30.630000000000003</v>
      </c>
      <c r="P2799" s="1">
        <f t="shared" si="393"/>
        <v>15.627551020408164</v>
      </c>
    </row>
    <row r="2800" spans="1:16">
      <c r="A2800" s="2">
        <v>38995</v>
      </c>
      <c r="B2800" s="1">
        <v>32.68</v>
      </c>
      <c r="C2800" s="1">
        <v>33.4</v>
      </c>
      <c r="D2800" s="1">
        <v>32.4</v>
      </c>
      <c r="E2800" s="1">
        <v>33.32</v>
      </c>
      <c r="F2800" s="1">
        <v>8455900</v>
      </c>
      <c r="G2800" s="1">
        <v>33.32</v>
      </c>
      <c r="H2800" s="1">
        <f t="shared" si="387"/>
        <v>1</v>
      </c>
      <c r="I2800" s="9">
        <f t="shared" si="394"/>
        <v>3.0864197530864199E-2</v>
      </c>
      <c r="J2800" s="1">
        <f t="shared" si="395"/>
        <v>0.56000000000000227</v>
      </c>
      <c r="K2800" s="9">
        <f t="shared" si="388"/>
        <v>1.7094017094017165E-2</v>
      </c>
      <c r="L2800" s="1">
        <f t="shared" si="389"/>
        <v>1</v>
      </c>
      <c r="M2800" s="1">
        <f t="shared" si="390"/>
        <v>33.4</v>
      </c>
      <c r="N2800" s="1">
        <f t="shared" si="391"/>
        <v>32.4</v>
      </c>
      <c r="O2800" s="1">
        <f t="shared" si="392"/>
        <v>31.36</v>
      </c>
      <c r="P2800" s="1">
        <f t="shared" si="393"/>
        <v>16</v>
      </c>
    </row>
    <row r="2801" spans="1:16">
      <c r="A2801" s="2">
        <v>38994</v>
      </c>
      <c r="B2801" s="1">
        <v>31.75</v>
      </c>
      <c r="C2801" s="1">
        <v>32.83</v>
      </c>
      <c r="D2801" s="1">
        <v>31.3</v>
      </c>
      <c r="E2801" s="1">
        <v>32.76</v>
      </c>
      <c r="F2801" s="1">
        <v>7064800</v>
      </c>
      <c r="G2801" s="1">
        <v>32.76</v>
      </c>
      <c r="H2801" s="1">
        <f t="shared" si="387"/>
        <v>1.5299999999999976</v>
      </c>
      <c r="I2801" s="9">
        <f t="shared" si="394"/>
        <v>4.8881789137380116E-2</v>
      </c>
      <c r="J2801" s="1">
        <f t="shared" si="395"/>
        <v>1.0599999999999987</v>
      </c>
      <c r="K2801" s="9">
        <f t="shared" si="388"/>
        <v>3.3438485804416364E-2</v>
      </c>
      <c r="L2801" s="1">
        <f t="shared" si="389"/>
        <v>1</v>
      </c>
      <c r="M2801" s="1">
        <f t="shared" si="390"/>
        <v>32.83</v>
      </c>
      <c r="N2801" s="1">
        <f t="shared" si="391"/>
        <v>31.3</v>
      </c>
      <c r="O2801" s="1">
        <f t="shared" si="392"/>
        <v>30.799999999999997</v>
      </c>
      <c r="P2801" s="1">
        <f t="shared" si="393"/>
        <v>15.714285714285714</v>
      </c>
    </row>
    <row r="2802" spans="1:16">
      <c r="A2802" s="2">
        <v>38993</v>
      </c>
      <c r="B2802" s="1">
        <v>30.9</v>
      </c>
      <c r="C2802" s="1">
        <v>32</v>
      </c>
      <c r="D2802" s="1">
        <v>30.58</v>
      </c>
      <c r="E2802" s="1">
        <v>31.7</v>
      </c>
      <c r="F2802" s="1">
        <v>8034000</v>
      </c>
      <c r="G2802" s="1">
        <v>31.7</v>
      </c>
      <c r="H2802" s="1">
        <f t="shared" si="387"/>
        <v>1.4200000000000017</v>
      </c>
      <c r="I2802" s="9">
        <f t="shared" si="394"/>
        <v>4.6435578809679585E-2</v>
      </c>
      <c r="J2802" s="1">
        <f t="shared" si="395"/>
        <v>0.82999999999999829</v>
      </c>
      <c r="K2802" s="9">
        <f t="shared" si="388"/>
        <v>2.6886945254292138E-2</v>
      </c>
      <c r="L2802" s="1">
        <f t="shared" si="389"/>
        <v>1</v>
      </c>
      <c r="M2802" s="1">
        <f t="shared" si="390"/>
        <v>32</v>
      </c>
      <c r="N2802" s="1">
        <f t="shared" si="391"/>
        <v>30.58</v>
      </c>
      <c r="O2802" s="1">
        <f t="shared" si="392"/>
        <v>29.74</v>
      </c>
      <c r="P2802" s="1">
        <f t="shared" si="393"/>
        <v>15.173469387755102</v>
      </c>
    </row>
    <row r="2803" spans="1:16">
      <c r="A2803" s="2">
        <v>38992</v>
      </c>
      <c r="B2803" s="1">
        <v>31.98</v>
      </c>
      <c r="C2803" s="1">
        <v>32.03</v>
      </c>
      <c r="D2803" s="1">
        <v>30.83</v>
      </c>
      <c r="E2803" s="1">
        <v>30.87</v>
      </c>
      <c r="F2803" s="1">
        <v>6815000</v>
      </c>
      <c r="G2803" s="1">
        <v>30.87</v>
      </c>
      <c r="H2803" s="1">
        <f t="shared" si="387"/>
        <v>1.2000000000000028</v>
      </c>
      <c r="I2803" s="9">
        <f t="shared" si="394"/>
        <v>3.8923126824521662E-2</v>
      </c>
      <c r="J2803" s="1">
        <f t="shared" si="395"/>
        <v>-1.2499999999999964</v>
      </c>
      <c r="K2803" s="9">
        <f t="shared" si="388"/>
        <v>-3.8916562889165521E-2</v>
      </c>
      <c r="L2803" s="1">
        <f t="shared" si="389"/>
        <v>1</v>
      </c>
      <c r="M2803" s="1">
        <f t="shared" si="390"/>
        <v>32.03</v>
      </c>
      <c r="N2803" s="1">
        <f t="shared" si="391"/>
        <v>30.83</v>
      </c>
      <c r="O2803" s="1">
        <f t="shared" si="392"/>
        <v>28.91</v>
      </c>
      <c r="P2803" s="1">
        <f t="shared" si="393"/>
        <v>14.75</v>
      </c>
    </row>
    <row r="2804" spans="1:16">
      <c r="A2804" s="2">
        <v>38989</v>
      </c>
      <c r="B2804" s="1">
        <v>32.01</v>
      </c>
      <c r="C2804" s="1">
        <v>32.340000000000003</v>
      </c>
      <c r="D2804" s="1">
        <v>31.54</v>
      </c>
      <c r="E2804" s="1">
        <v>32.119999999999997</v>
      </c>
      <c r="F2804" s="1">
        <v>5227200</v>
      </c>
      <c r="G2804" s="1">
        <v>32.119999999999997</v>
      </c>
      <c r="H2804" s="1">
        <f t="shared" si="387"/>
        <v>0.80000000000000426</v>
      </c>
      <c r="I2804" s="9">
        <f t="shared" si="394"/>
        <v>2.5364616360177689E-2</v>
      </c>
      <c r="J2804" s="1">
        <f t="shared" si="395"/>
        <v>0.27999999999999758</v>
      </c>
      <c r="K2804" s="9">
        <f t="shared" si="388"/>
        <v>8.7939698492461547E-3</v>
      </c>
      <c r="L2804" s="1">
        <f t="shared" si="389"/>
        <v>1</v>
      </c>
      <c r="M2804" s="1">
        <f t="shared" si="390"/>
        <v>32.340000000000003</v>
      </c>
      <c r="N2804" s="1">
        <f t="shared" si="391"/>
        <v>31.54</v>
      </c>
      <c r="O2804" s="1">
        <f t="shared" si="392"/>
        <v>30.159999999999997</v>
      </c>
      <c r="P2804" s="1">
        <f t="shared" si="393"/>
        <v>15.387755102040815</v>
      </c>
    </row>
    <row r="2805" spans="1:16">
      <c r="A2805" s="2">
        <v>38988</v>
      </c>
      <c r="B2805" s="1">
        <v>32.270000000000003</v>
      </c>
      <c r="C2805" s="1">
        <v>32.33</v>
      </c>
      <c r="D2805" s="1">
        <v>31.22</v>
      </c>
      <c r="E2805" s="1">
        <v>31.84</v>
      </c>
      <c r="F2805" s="1">
        <v>7499400</v>
      </c>
      <c r="G2805" s="1">
        <v>31.84</v>
      </c>
      <c r="H2805" s="1">
        <f t="shared" si="387"/>
        <v>1.1099999999999994</v>
      </c>
      <c r="I2805" s="9">
        <f t="shared" si="394"/>
        <v>3.5554131966688003E-2</v>
      </c>
      <c r="J2805" s="1">
        <f t="shared" si="395"/>
        <v>-0.48999999999999844</v>
      </c>
      <c r="K2805" s="9">
        <f t="shared" si="388"/>
        <v>-1.5156201670275239E-2</v>
      </c>
      <c r="L2805" s="1">
        <f t="shared" si="389"/>
        <v>1</v>
      </c>
      <c r="M2805" s="1">
        <f t="shared" si="390"/>
        <v>32.33</v>
      </c>
      <c r="N2805" s="1">
        <f t="shared" si="391"/>
        <v>31.22</v>
      </c>
      <c r="O2805" s="1">
        <f t="shared" si="392"/>
        <v>29.88</v>
      </c>
      <c r="P2805" s="1">
        <f t="shared" si="393"/>
        <v>15.244897959183673</v>
      </c>
    </row>
    <row r="2806" spans="1:16">
      <c r="A2806" s="2">
        <v>38987</v>
      </c>
      <c r="B2806" s="1">
        <v>32.28</v>
      </c>
      <c r="C2806" s="1">
        <v>32.46</v>
      </c>
      <c r="D2806" s="1">
        <v>31.93</v>
      </c>
      <c r="E2806" s="1">
        <v>32.33</v>
      </c>
      <c r="F2806" s="1">
        <v>5469800</v>
      </c>
      <c r="G2806" s="1">
        <v>32.33</v>
      </c>
      <c r="H2806" s="1">
        <f t="shared" si="387"/>
        <v>0.53000000000000114</v>
      </c>
      <c r="I2806" s="9">
        <f t="shared" si="394"/>
        <v>1.6598809896648956E-2</v>
      </c>
      <c r="J2806" s="1">
        <f t="shared" si="395"/>
        <v>-0.17000000000000171</v>
      </c>
      <c r="K2806" s="9">
        <f t="shared" si="388"/>
        <v>-5.2307692307692836E-3</v>
      </c>
      <c r="L2806" s="1">
        <f t="shared" si="389"/>
        <v>1</v>
      </c>
      <c r="M2806" s="1">
        <f t="shared" si="390"/>
        <v>32.46</v>
      </c>
      <c r="N2806" s="1">
        <f t="shared" si="391"/>
        <v>31.93</v>
      </c>
      <c r="O2806" s="1">
        <f t="shared" si="392"/>
        <v>30.369999999999997</v>
      </c>
      <c r="P2806" s="1">
        <f t="shared" si="393"/>
        <v>15.494897959183673</v>
      </c>
    </row>
    <row r="2807" spans="1:16">
      <c r="A2807" s="2">
        <v>38986</v>
      </c>
      <c r="B2807" s="1">
        <v>31.89</v>
      </c>
      <c r="C2807" s="1">
        <v>32.590000000000003</v>
      </c>
      <c r="D2807" s="1">
        <v>31.8</v>
      </c>
      <c r="E2807" s="1">
        <v>32.5</v>
      </c>
      <c r="F2807" s="1">
        <v>6601100</v>
      </c>
      <c r="G2807" s="1">
        <v>32.5</v>
      </c>
      <c r="H2807" s="1">
        <f t="shared" si="387"/>
        <v>0.7900000000000027</v>
      </c>
      <c r="I2807" s="9">
        <f t="shared" si="394"/>
        <v>2.4842767295597569E-2</v>
      </c>
      <c r="J2807" s="1">
        <f t="shared" si="395"/>
        <v>0.71000000000000085</v>
      </c>
      <c r="K2807" s="9">
        <f t="shared" si="388"/>
        <v>2.2334067316766307E-2</v>
      </c>
      <c r="L2807" s="1">
        <f t="shared" si="389"/>
        <v>1</v>
      </c>
      <c r="M2807" s="1">
        <f t="shared" si="390"/>
        <v>32.590000000000003</v>
      </c>
      <c r="N2807" s="1">
        <f t="shared" si="391"/>
        <v>31.8</v>
      </c>
      <c r="O2807" s="1">
        <f t="shared" si="392"/>
        <v>30.54</v>
      </c>
      <c r="P2807" s="1">
        <f t="shared" si="393"/>
        <v>15.581632653061224</v>
      </c>
    </row>
    <row r="2808" spans="1:16">
      <c r="A2808" s="2">
        <v>38985</v>
      </c>
      <c r="B2808" s="1">
        <v>31.05</v>
      </c>
      <c r="C2808" s="1">
        <v>31.97</v>
      </c>
      <c r="D2808" s="1">
        <v>30.74</v>
      </c>
      <c r="E2808" s="1">
        <v>31.79</v>
      </c>
      <c r="F2808" s="1">
        <v>6619600</v>
      </c>
      <c r="G2808" s="1">
        <v>31.79</v>
      </c>
      <c r="H2808" s="1">
        <f t="shared" si="387"/>
        <v>1.2300000000000004</v>
      </c>
      <c r="I2808" s="9">
        <f t="shared" si="394"/>
        <v>4.001301236174367E-2</v>
      </c>
      <c r="J2808" s="1">
        <f t="shared" si="395"/>
        <v>0.94999999999999929</v>
      </c>
      <c r="K2808" s="9">
        <f t="shared" si="388"/>
        <v>3.0804150453955879E-2</v>
      </c>
      <c r="L2808" s="1">
        <f t="shared" si="389"/>
        <v>1</v>
      </c>
      <c r="M2808" s="1">
        <f t="shared" si="390"/>
        <v>31.97</v>
      </c>
      <c r="N2808" s="1">
        <f t="shared" si="391"/>
        <v>30.74</v>
      </c>
      <c r="O2808" s="1">
        <f t="shared" si="392"/>
        <v>29.83</v>
      </c>
      <c r="P2808" s="1">
        <f t="shared" si="393"/>
        <v>15.219387755102041</v>
      </c>
    </row>
    <row r="2809" spans="1:16">
      <c r="A2809" s="2">
        <v>38982</v>
      </c>
      <c r="B2809" s="1">
        <v>30.22</v>
      </c>
      <c r="C2809" s="1">
        <v>30.95</v>
      </c>
      <c r="D2809" s="1">
        <v>29.9</v>
      </c>
      <c r="E2809" s="1">
        <v>30.84</v>
      </c>
      <c r="F2809" s="1">
        <v>7249000</v>
      </c>
      <c r="G2809" s="1">
        <v>30.84</v>
      </c>
      <c r="H2809" s="1">
        <f t="shared" si="387"/>
        <v>1.0500000000000007</v>
      </c>
      <c r="I2809" s="9">
        <f t="shared" si="394"/>
        <v>3.5117056856187316E-2</v>
      </c>
      <c r="J2809" s="1">
        <f t="shared" si="395"/>
        <v>0.62000000000000099</v>
      </c>
      <c r="K2809" s="9">
        <f t="shared" si="388"/>
        <v>2.051621442753147E-2</v>
      </c>
      <c r="L2809" s="1">
        <f t="shared" si="389"/>
        <v>1</v>
      </c>
      <c r="M2809" s="1">
        <f t="shared" si="390"/>
        <v>30.95</v>
      </c>
      <c r="N2809" s="1">
        <f t="shared" si="391"/>
        <v>29.9</v>
      </c>
      <c r="O2809" s="1">
        <f t="shared" si="392"/>
        <v>28.88</v>
      </c>
      <c r="P2809" s="1">
        <f t="shared" si="393"/>
        <v>14.73469387755102</v>
      </c>
    </row>
    <row r="2810" spans="1:16">
      <c r="A2810" s="2">
        <v>38981</v>
      </c>
      <c r="B2810" s="1">
        <v>32.24</v>
      </c>
      <c r="C2810" s="1">
        <v>32.56</v>
      </c>
      <c r="D2810" s="1">
        <v>30.07</v>
      </c>
      <c r="E2810" s="1">
        <v>30.22</v>
      </c>
      <c r="F2810" s="1">
        <v>15553700</v>
      </c>
      <c r="G2810" s="1">
        <v>30.22</v>
      </c>
      <c r="H2810" s="1">
        <f t="shared" si="387"/>
        <v>2.490000000000002</v>
      </c>
      <c r="I2810" s="9">
        <f t="shared" si="394"/>
        <v>8.2806784170269432E-2</v>
      </c>
      <c r="J2810" s="1">
        <f t="shared" si="395"/>
        <v>-1.8999999999999986</v>
      </c>
      <c r="K2810" s="9">
        <f t="shared" si="388"/>
        <v>-5.9153175591531715E-2</v>
      </c>
      <c r="L2810" s="1">
        <f t="shared" si="389"/>
        <v>1</v>
      </c>
      <c r="M2810" s="1">
        <f t="shared" si="390"/>
        <v>32.56</v>
      </c>
      <c r="N2810" s="1">
        <f t="shared" si="391"/>
        <v>30.07</v>
      </c>
      <c r="O2810" s="1">
        <f t="shared" si="392"/>
        <v>28.259999999999998</v>
      </c>
      <c r="P2810" s="1">
        <f t="shared" si="393"/>
        <v>14.418367346938775</v>
      </c>
    </row>
    <row r="2811" spans="1:16">
      <c r="A2811" s="2">
        <v>38980</v>
      </c>
      <c r="B2811" s="1">
        <v>31.81</v>
      </c>
      <c r="C2811" s="1">
        <v>32.81</v>
      </c>
      <c r="D2811" s="1">
        <v>31.8</v>
      </c>
      <c r="E2811" s="1">
        <v>32.119999999999997</v>
      </c>
      <c r="F2811" s="1">
        <v>8548900</v>
      </c>
      <c r="G2811" s="1">
        <v>32.119999999999997</v>
      </c>
      <c r="H2811" s="1">
        <f t="shared" si="387"/>
        <v>1.0100000000000016</v>
      </c>
      <c r="I2811" s="9">
        <f t="shared" si="394"/>
        <v>3.1761006289308225E-2</v>
      </c>
      <c r="J2811" s="1">
        <f t="shared" si="395"/>
        <v>0.53999999999999915</v>
      </c>
      <c r="K2811" s="9">
        <f t="shared" si="388"/>
        <v>1.7099430018999339E-2</v>
      </c>
      <c r="L2811" s="1">
        <f t="shared" si="389"/>
        <v>1</v>
      </c>
      <c r="M2811" s="1">
        <f t="shared" si="390"/>
        <v>32.81</v>
      </c>
      <c r="N2811" s="1">
        <f t="shared" si="391"/>
        <v>31.8</v>
      </c>
      <c r="O2811" s="1">
        <f t="shared" si="392"/>
        <v>30.159999999999997</v>
      </c>
      <c r="P2811" s="1">
        <f t="shared" si="393"/>
        <v>15.387755102040815</v>
      </c>
    </row>
    <row r="2812" spans="1:16">
      <c r="A2812" s="2">
        <v>38979</v>
      </c>
      <c r="B2812" s="1">
        <v>32.24</v>
      </c>
      <c r="C2812" s="1">
        <v>32.299999999999997</v>
      </c>
      <c r="D2812" s="1">
        <v>30.82</v>
      </c>
      <c r="E2812" s="1">
        <v>31.58</v>
      </c>
      <c r="F2812" s="1">
        <v>8572000</v>
      </c>
      <c r="G2812" s="1">
        <v>31.58</v>
      </c>
      <c r="H2812" s="1">
        <f t="shared" si="387"/>
        <v>1.4799999999999969</v>
      </c>
      <c r="I2812" s="9">
        <f t="shared" si="394"/>
        <v>4.8020765736534618E-2</v>
      </c>
      <c r="J2812" s="1">
        <f t="shared" si="395"/>
        <v>-0.5</v>
      </c>
      <c r="K2812" s="9">
        <f t="shared" si="388"/>
        <v>-1.5586034912718205E-2</v>
      </c>
      <c r="L2812" s="1">
        <f t="shared" si="389"/>
        <v>1</v>
      </c>
      <c r="M2812" s="1">
        <f t="shared" si="390"/>
        <v>32.299999999999997</v>
      </c>
      <c r="N2812" s="1">
        <f t="shared" si="391"/>
        <v>30.82</v>
      </c>
      <c r="O2812" s="1">
        <f t="shared" si="392"/>
        <v>29.619999999999997</v>
      </c>
      <c r="P2812" s="1">
        <f t="shared" si="393"/>
        <v>15.112244897959183</v>
      </c>
    </row>
    <row r="2813" spans="1:16">
      <c r="A2813" s="2">
        <v>38978</v>
      </c>
      <c r="B2813" s="1">
        <v>32.450000000000003</v>
      </c>
      <c r="C2813" s="1">
        <v>32.67</v>
      </c>
      <c r="D2813" s="1">
        <v>31.88</v>
      </c>
      <c r="E2813" s="1">
        <v>32.08</v>
      </c>
      <c r="F2813" s="1">
        <v>5123100</v>
      </c>
      <c r="G2813" s="1">
        <v>32.08</v>
      </c>
      <c r="H2813" s="1">
        <f t="shared" si="387"/>
        <v>0.7900000000000027</v>
      </c>
      <c r="I2813" s="9">
        <f t="shared" si="394"/>
        <v>2.4780426599749144E-2</v>
      </c>
      <c r="J2813" s="1">
        <f t="shared" si="395"/>
        <v>-0.44000000000000483</v>
      </c>
      <c r="K2813" s="9">
        <f t="shared" si="388"/>
        <v>-1.3530135301353162E-2</v>
      </c>
      <c r="L2813" s="1">
        <f t="shared" si="389"/>
        <v>1</v>
      </c>
      <c r="M2813" s="1">
        <f t="shared" si="390"/>
        <v>32.67</v>
      </c>
      <c r="N2813" s="1">
        <f t="shared" si="391"/>
        <v>31.88</v>
      </c>
      <c r="O2813" s="1">
        <f t="shared" si="392"/>
        <v>30.119999999999997</v>
      </c>
      <c r="P2813" s="1">
        <f t="shared" si="393"/>
        <v>15.367346938775508</v>
      </c>
    </row>
    <row r="2814" spans="1:16">
      <c r="A2814" s="2">
        <v>38975</v>
      </c>
      <c r="B2814" s="1">
        <v>31.9</v>
      </c>
      <c r="C2814" s="1">
        <v>32.74</v>
      </c>
      <c r="D2814" s="1">
        <v>31.58</v>
      </c>
      <c r="E2814" s="1">
        <v>32.520000000000003</v>
      </c>
      <c r="F2814" s="1">
        <v>10273700</v>
      </c>
      <c r="G2814" s="1">
        <v>32.520000000000003</v>
      </c>
      <c r="H2814" s="1">
        <f t="shared" si="387"/>
        <v>1.1600000000000037</v>
      </c>
      <c r="I2814" s="9">
        <f t="shared" si="394"/>
        <v>3.673210892970246E-2</v>
      </c>
      <c r="J2814" s="1">
        <f t="shared" si="395"/>
        <v>0.87000000000000455</v>
      </c>
      <c r="K2814" s="9">
        <f t="shared" si="388"/>
        <v>2.7488151658767918E-2</v>
      </c>
      <c r="L2814" s="1">
        <f t="shared" si="389"/>
        <v>1</v>
      </c>
      <c r="M2814" s="1">
        <f t="shared" si="390"/>
        <v>32.74</v>
      </c>
      <c r="N2814" s="1">
        <f t="shared" si="391"/>
        <v>31.58</v>
      </c>
      <c r="O2814" s="1">
        <f t="shared" si="392"/>
        <v>30.560000000000002</v>
      </c>
      <c r="P2814" s="1">
        <f t="shared" si="393"/>
        <v>15.59183673469388</v>
      </c>
    </row>
    <row r="2815" spans="1:16">
      <c r="A2815" s="2">
        <v>38974</v>
      </c>
      <c r="B2815" s="1">
        <v>31.54</v>
      </c>
      <c r="C2815" s="1">
        <v>31.87</v>
      </c>
      <c r="D2815" s="1">
        <v>31.18</v>
      </c>
      <c r="E2815" s="1">
        <v>31.65</v>
      </c>
      <c r="F2815" s="1">
        <v>3705700</v>
      </c>
      <c r="G2815" s="1">
        <v>31.65</v>
      </c>
      <c r="H2815" s="1">
        <f t="shared" si="387"/>
        <v>0.69000000000000128</v>
      </c>
      <c r="I2815" s="9">
        <f t="shared" si="394"/>
        <v>2.2129570237331662E-2</v>
      </c>
      <c r="J2815" s="1">
        <f t="shared" si="395"/>
        <v>-2.0000000000003126E-2</v>
      </c>
      <c r="K2815" s="9">
        <f t="shared" si="388"/>
        <v>-6.3151247237142798E-4</v>
      </c>
      <c r="L2815" s="1">
        <f t="shared" si="389"/>
        <v>1</v>
      </c>
      <c r="M2815" s="1">
        <f t="shared" si="390"/>
        <v>31.87</v>
      </c>
      <c r="N2815" s="1">
        <f t="shared" si="391"/>
        <v>31.18</v>
      </c>
      <c r="O2815" s="1">
        <f t="shared" si="392"/>
        <v>29.689999999999998</v>
      </c>
      <c r="P2815" s="1">
        <f t="shared" si="393"/>
        <v>15.147959183673468</v>
      </c>
    </row>
    <row r="2816" spans="1:16">
      <c r="A2816" s="2">
        <v>38973</v>
      </c>
      <c r="B2816" s="1">
        <v>31.73</v>
      </c>
      <c r="C2816" s="1">
        <v>31.96</v>
      </c>
      <c r="D2816" s="1">
        <v>31.37</v>
      </c>
      <c r="E2816" s="1">
        <v>31.67</v>
      </c>
      <c r="F2816" s="1">
        <v>4370400</v>
      </c>
      <c r="G2816" s="1">
        <v>31.67</v>
      </c>
      <c r="H2816" s="1">
        <f t="shared" si="387"/>
        <v>0.58999999999999986</v>
      </c>
      <c r="I2816" s="9">
        <f t="shared" si="394"/>
        <v>1.8807778131973218E-2</v>
      </c>
      <c r="J2816" s="1">
        <f t="shared" si="395"/>
        <v>-4.9999999999997158E-2</v>
      </c>
      <c r="K2816" s="9">
        <f t="shared" si="388"/>
        <v>-1.5762925598990277E-3</v>
      </c>
      <c r="L2816" s="1">
        <f t="shared" si="389"/>
        <v>1</v>
      </c>
      <c r="M2816" s="1">
        <f t="shared" si="390"/>
        <v>31.96</v>
      </c>
      <c r="N2816" s="1">
        <f t="shared" si="391"/>
        <v>31.37</v>
      </c>
      <c r="O2816" s="1">
        <f t="shared" si="392"/>
        <v>29.71</v>
      </c>
      <c r="P2816" s="1">
        <f t="shared" si="393"/>
        <v>15.158163265306124</v>
      </c>
    </row>
    <row r="2817" spans="1:16">
      <c r="A2817" s="2">
        <v>38972</v>
      </c>
      <c r="B2817" s="1">
        <v>30.87</v>
      </c>
      <c r="C2817" s="1">
        <v>31.94</v>
      </c>
      <c r="D2817" s="1">
        <v>30.53</v>
      </c>
      <c r="E2817" s="1">
        <v>31.72</v>
      </c>
      <c r="F2817" s="1">
        <v>6527400</v>
      </c>
      <c r="G2817" s="1">
        <v>31.72</v>
      </c>
      <c r="H2817" s="1">
        <f t="shared" si="387"/>
        <v>1.4100000000000001</v>
      </c>
      <c r="I2817" s="9">
        <f t="shared" si="394"/>
        <v>4.6184081231575504E-2</v>
      </c>
      <c r="J2817" s="1">
        <f t="shared" si="395"/>
        <v>0.92999999999999972</v>
      </c>
      <c r="K2817" s="9">
        <f t="shared" si="388"/>
        <v>3.0204611886976283E-2</v>
      </c>
      <c r="L2817" s="1">
        <f t="shared" si="389"/>
        <v>1</v>
      </c>
      <c r="M2817" s="1">
        <f t="shared" si="390"/>
        <v>31.94</v>
      </c>
      <c r="N2817" s="1">
        <f t="shared" si="391"/>
        <v>30.53</v>
      </c>
      <c r="O2817" s="1">
        <f t="shared" si="392"/>
        <v>29.759999999999998</v>
      </c>
      <c r="P2817" s="1">
        <f t="shared" si="393"/>
        <v>15.183673469387754</v>
      </c>
    </row>
    <row r="2818" spans="1:16">
      <c r="A2818" s="2">
        <v>38971</v>
      </c>
      <c r="B2818" s="1">
        <v>30.23</v>
      </c>
      <c r="C2818" s="1">
        <v>31.13</v>
      </c>
      <c r="D2818" s="1">
        <v>29.72</v>
      </c>
      <c r="E2818" s="1">
        <v>30.79</v>
      </c>
      <c r="F2818" s="1">
        <v>7403800</v>
      </c>
      <c r="G2818" s="1">
        <v>30.79</v>
      </c>
      <c r="H2818" s="1">
        <f t="shared" si="387"/>
        <v>1.4100000000000001</v>
      </c>
      <c r="I2818" s="9">
        <f t="shared" si="394"/>
        <v>4.7442799461641996E-2</v>
      </c>
      <c r="J2818" s="1">
        <f t="shared" si="395"/>
        <v>0.27999999999999758</v>
      </c>
      <c r="K2818" s="9">
        <f t="shared" si="388"/>
        <v>9.1773189118321066E-3</v>
      </c>
      <c r="L2818" s="1">
        <f t="shared" si="389"/>
        <v>1</v>
      </c>
      <c r="M2818" s="1">
        <f t="shared" si="390"/>
        <v>31.13</v>
      </c>
      <c r="N2818" s="1">
        <f t="shared" si="391"/>
        <v>29.72</v>
      </c>
      <c r="O2818" s="1">
        <f t="shared" si="392"/>
        <v>28.83</v>
      </c>
      <c r="P2818" s="1">
        <f t="shared" si="393"/>
        <v>14.709183673469386</v>
      </c>
    </row>
    <row r="2819" spans="1:16">
      <c r="A2819" s="2">
        <v>38968</v>
      </c>
      <c r="B2819" s="1">
        <v>30.19</v>
      </c>
      <c r="C2819" s="1">
        <v>30.66</v>
      </c>
      <c r="D2819" s="1">
        <v>29.94</v>
      </c>
      <c r="E2819" s="1">
        <v>30.51</v>
      </c>
      <c r="F2819" s="1">
        <v>5227200</v>
      </c>
      <c r="G2819" s="1">
        <v>30.51</v>
      </c>
      <c r="H2819" s="1">
        <f t="shared" ref="H2819:H2882" si="396">C2819-D2819</f>
        <v>0.71999999999999886</v>
      </c>
      <c r="I2819" s="9">
        <f t="shared" si="394"/>
        <v>2.4048096192384731E-2</v>
      </c>
      <c r="J2819" s="1">
        <f t="shared" si="395"/>
        <v>0.78000000000000114</v>
      </c>
      <c r="K2819" s="9">
        <f t="shared" ref="K2819:K2882" si="397">(G2819-G2820)/G2820</f>
        <v>2.6236125126135254E-2</v>
      </c>
      <c r="L2819" s="1">
        <f t="shared" ref="L2819:L2882" si="398">G2819/E2819</f>
        <v>1</v>
      </c>
      <c r="M2819" s="1">
        <f t="shared" ref="M2819:M2882" si="399">L2819*C2819</f>
        <v>30.66</v>
      </c>
      <c r="N2819" s="1">
        <f t="shared" ref="N2819:N2882" si="400">L2819*D2819</f>
        <v>29.94</v>
      </c>
      <c r="O2819" s="1">
        <f t="shared" ref="O2819:O2882" si="401">G2819-$G$5163</f>
        <v>28.55</v>
      </c>
      <c r="P2819" s="1">
        <f t="shared" ref="P2819:P2882" si="402">(G2819-$G$5163)/$G$5163</f>
        <v>14.566326530612246</v>
      </c>
    </row>
    <row r="2820" spans="1:16">
      <c r="A2820" s="2">
        <v>38967</v>
      </c>
      <c r="B2820" s="1">
        <v>30.57</v>
      </c>
      <c r="C2820" s="1">
        <v>30.64</v>
      </c>
      <c r="D2820" s="1">
        <v>29.68</v>
      </c>
      <c r="E2820" s="1">
        <v>29.73</v>
      </c>
      <c r="F2820" s="1">
        <v>8901700</v>
      </c>
      <c r="G2820" s="1">
        <v>29.73</v>
      </c>
      <c r="H2820" s="1">
        <f t="shared" si="396"/>
        <v>0.96000000000000085</v>
      </c>
      <c r="I2820" s="9">
        <f t="shared" ref="I2820:I2883" si="403">(C2820-D2820)/D2820</f>
        <v>3.2345013477088978E-2</v>
      </c>
      <c r="J2820" s="1">
        <f t="shared" ref="J2820:J2883" si="404">G2820-G2821</f>
        <v>-1.0700000000000003</v>
      </c>
      <c r="K2820" s="9">
        <f t="shared" si="397"/>
        <v>-3.4740259740259752E-2</v>
      </c>
      <c r="L2820" s="1">
        <f t="shared" si="398"/>
        <v>1</v>
      </c>
      <c r="M2820" s="1">
        <f t="shared" si="399"/>
        <v>30.64</v>
      </c>
      <c r="N2820" s="1">
        <f t="shared" si="400"/>
        <v>29.68</v>
      </c>
      <c r="O2820" s="1">
        <f t="shared" si="401"/>
        <v>27.77</v>
      </c>
      <c r="P2820" s="1">
        <f t="shared" si="402"/>
        <v>14.168367346938776</v>
      </c>
    </row>
    <row r="2821" spans="1:16">
      <c r="A2821" s="2">
        <v>38966</v>
      </c>
      <c r="B2821" s="1">
        <v>31.76</v>
      </c>
      <c r="C2821" s="1">
        <v>31.98</v>
      </c>
      <c r="D2821" s="1">
        <v>30.65</v>
      </c>
      <c r="E2821" s="1">
        <v>30.8</v>
      </c>
      <c r="F2821" s="1">
        <v>9114100</v>
      </c>
      <c r="G2821" s="1">
        <v>30.8</v>
      </c>
      <c r="H2821" s="1">
        <f t="shared" si="396"/>
        <v>1.3300000000000018</v>
      </c>
      <c r="I2821" s="9">
        <f t="shared" si="403"/>
        <v>4.3393148450244758E-2</v>
      </c>
      <c r="J2821" s="1">
        <f t="shared" si="404"/>
        <v>-1.4299999999999962</v>
      </c>
      <c r="K2821" s="9">
        <f t="shared" si="397"/>
        <v>-4.436860068259374E-2</v>
      </c>
      <c r="L2821" s="1">
        <f t="shared" si="398"/>
        <v>1</v>
      </c>
      <c r="M2821" s="1">
        <f t="shared" si="399"/>
        <v>31.98</v>
      </c>
      <c r="N2821" s="1">
        <f t="shared" si="400"/>
        <v>30.65</v>
      </c>
      <c r="O2821" s="1">
        <f t="shared" si="401"/>
        <v>28.84</v>
      </c>
      <c r="P2821" s="1">
        <f t="shared" si="402"/>
        <v>14.714285714285715</v>
      </c>
    </row>
    <row r="2822" spans="1:16">
      <c r="A2822" s="2">
        <v>38965</v>
      </c>
      <c r="B2822" s="1">
        <v>31.61</v>
      </c>
      <c r="C2822" s="1">
        <v>32.299999999999997</v>
      </c>
      <c r="D2822" s="1">
        <v>31.24</v>
      </c>
      <c r="E2822" s="1">
        <v>32.229999999999997</v>
      </c>
      <c r="F2822" s="1">
        <v>7467700</v>
      </c>
      <c r="G2822" s="1">
        <v>32.229999999999997</v>
      </c>
      <c r="H2822" s="1">
        <f t="shared" si="396"/>
        <v>1.0599999999999987</v>
      </c>
      <c r="I2822" s="9">
        <f t="shared" si="403"/>
        <v>3.3930857874519806E-2</v>
      </c>
      <c r="J2822" s="1">
        <f t="shared" si="404"/>
        <v>0.46999999999999531</v>
      </c>
      <c r="K2822" s="9">
        <f t="shared" si="397"/>
        <v>1.4798488664987256E-2</v>
      </c>
      <c r="L2822" s="1">
        <f t="shared" si="398"/>
        <v>1</v>
      </c>
      <c r="M2822" s="1">
        <f t="shared" si="399"/>
        <v>32.299999999999997</v>
      </c>
      <c r="N2822" s="1">
        <f t="shared" si="400"/>
        <v>31.24</v>
      </c>
      <c r="O2822" s="1">
        <f t="shared" si="401"/>
        <v>30.269999999999996</v>
      </c>
      <c r="P2822" s="1">
        <f t="shared" si="402"/>
        <v>15.443877551020407</v>
      </c>
    </row>
    <row r="2823" spans="1:16">
      <c r="A2823" s="2">
        <v>38961</v>
      </c>
      <c r="B2823" s="1">
        <v>30.85</v>
      </c>
      <c r="C2823" s="1">
        <v>31.8</v>
      </c>
      <c r="D2823" s="1">
        <v>30.85</v>
      </c>
      <c r="E2823" s="1">
        <v>31.76</v>
      </c>
      <c r="F2823" s="1">
        <v>6563200</v>
      </c>
      <c r="G2823" s="1">
        <v>31.76</v>
      </c>
      <c r="H2823" s="1">
        <f t="shared" si="396"/>
        <v>0.94999999999999929</v>
      </c>
      <c r="I2823" s="9">
        <f t="shared" si="403"/>
        <v>3.0794165316045355E-2</v>
      </c>
      <c r="J2823" s="1">
        <f t="shared" si="404"/>
        <v>0.93000000000000327</v>
      </c>
      <c r="K2823" s="9">
        <f t="shared" si="397"/>
        <v>3.0165423289004324E-2</v>
      </c>
      <c r="L2823" s="1">
        <f t="shared" si="398"/>
        <v>1</v>
      </c>
      <c r="M2823" s="1">
        <f t="shared" si="399"/>
        <v>31.8</v>
      </c>
      <c r="N2823" s="1">
        <f t="shared" si="400"/>
        <v>30.85</v>
      </c>
      <c r="O2823" s="1">
        <f t="shared" si="401"/>
        <v>29.8</v>
      </c>
      <c r="P2823" s="1">
        <f t="shared" si="402"/>
        <v>15.204081632653061</v>
      </c>
    </row>
    <row r="2824" spans="1:16">
      <c r="A2824" s="2">
        <v>38960</v>
      </c>
      <c r="B2824" s="1">
        <v>30.75</v>
      </c>
      <c r="C2824" s="1">
        <v>30.99</v>
      </c>
      <c r="D2824" s="1">
        <v>30.47</v>
      </c>
      <c r="E2824" s="1">
        <v>30.83</v>
      </c>
      <c r="F2824" s="1">
        <v>5947000</v>
      </c>
      <c r="G2824" s="1">
        <v>30.83</v>
      </c>
      <c r="H2824" s="1">
        <f t="shared" si="396"/>
        <v>0.51999999999999957</v>
      </c>
      <c r="I2824" s="9">
        <f t="shared" si="403"/>
        <v>1.7065966524450266E-2</v>
      </c>
      <c r="J2824" s="1">
        <f t="shared" si="404"/>
        <v>0.15999999999999659</v>
      </c>
      <c r="K2824" s="9">
        <f t="shared" si="397"/>
        <v>5.2168242582326897E-3</v>
      </c>
      <c r="L2824" s="1">
        <f t="shared" si="398"/>
        <v>1</v>
      </c>
      <c r="M2824" s="1">
        <f t="shared" si="399"/>
        <v>30.99</v>
      </c>
      <c r="N2824" s="1">
        <f t="shared" si="400"/>
        <v>30.47</v>
      </c>
      <c r="O2824" s="1">
        <f t="shared" si="401"/>
        <v>28.869999999999997</v>
      </c>
      <c r="P2824" s="1">
        <f t="shared" si="402"/>
        <v>14.729591836734693</v>
      </c>
    </row>
    <row r="2825" spans="1:16">
      <c r="A2825" s="2">
        <v>38959</v>
      </c>
      <c r="B2825" s="1">
        <v>29.57</v>
      </c>
      <c r="C2825" s="1">
        <v>30.85</v>
      </c>
      <c r="D2825" s="1">
        <v>29.48</v>
      </c>
      <c r="E2825" s="1">
        <v>30.67</v>
      </c>
      <c r="F2825" s="1">
        <v>11303300</v>
      </c>
      <c r="G2825" s="1">
        <v>30.67</v>
      </c>
      <c r="H2825" s="1">
        <f t="shared" si="396"/>
        <v>1.370000000000001</v>
      </c>
      <c r="I2825" s="9">
        <f t="shared" si="403"/>
        <v>4.6472184531886056E-2</v>
      </c>
      <c r="J2825" s="1">
        <f t="shared" si="404"/>
        <v>1.1500000000000021</v>
      </c>
      <c r="K2825" s="9">
        <f t="shared" si="397"/>
        <v>3.8956639566395737E-2</v>
      </c>
      <c r="L2825" s="1">
        <f t="shared" si="398"/>
        <v>1</v>
      </c>
      <c r="M2825" s="1">
        <f t="shared" si="399"/>
        <v>30.85</v>
      </c>
      <c r="N2825" s="1">
        <f t="shared" si="400"/>
        <v>29.48</v>
      </c>
      <c r="O2825" s="1">
        <f t="shared" si="401"/>
        <v>28.71</v>
      </c>
      <c r="P2825" s="1">
        <f t="shared" si="402"/>
        <v>14.647959183673469</v>
      </c>
    </row>
    <row r="2826" spans="1:16">
      <c r="A2826" s="2">
        <v>38958</v>
      </c>
      <c r="B2826" s="1">
        <v>28.97</v>
      </c>
      <c r="C2826" s="1">
        <v>29.72</v>
      </c>
      <c r="D2826" s="1">
        <v>28.75</v>
      </c>
      <c r="E2826" s="1">
        <v>29.52</v>
      </c>
      <c r="F2826" s="1">
        <v>7398100</v>
      </c>
      <c r="G2826" s="1">
        <v>29.52</v>
      </c>
      <c r="H2826" s="1">
        <f t="shared" si="396"/>
        <v>0.96999999999999886</v>
      </c>
      <c r="I2826" s="9">
        <f t="shared" si="403"/>
        <v>3.373913043478257E-2</v>
      </c>
      <c r="J2826" s="1">
        <f t="shared" si="404"/>
        <v>0.60999999999999943</v>
      </c>
      <c r="K2826" s="9">
        <f t="shared" si="397"/>
        <v>2.109996540989275E-2</v>
      </c>
      <c r="L2826" s="1">
        <f t="shared" si="398"/>
        <v>1</v>
      </c>
      <c r="M2826" s="1">
        <f t="shared" si="399"/>
        <v>29.72</v>
      </c>
      <c r="N2826" s="1">
        <f t="shared" si="400"/>
        <v>28.75</v>
      </c>
      <c r="O2826" s="1">
        <f t="shared" si="401"/>
        <v>27.56</v>
      </c>
      <c r="P2826" s="1">
        <f t="shared" si="402"/>
        <v>14.061224489795919</v>
      </c>
    </row>
    <row r="2827" spans="1:16">
      <c r="A2827" s="2">
        <v>38957</v>
      </c>
      <c r="B2827" s="1">
        <v>28.4</v>
      </c>
      <c r="C2827" s="1">
        <v>29</v>
      </c>
      <c r="D2827" s="1">
        <v>28.27</v>
      </c>
      <c r="E2827" s="1">
        <v>28.91</v>
      </c>
      <c r="F2827" s="1">
        <v>6067400</v>
      </c>
      <c r="G2827" s="1">
        <v>28.91</v>
      </c>
      <c r="H2827" s="1">
        <f t="shared" si="396"/>
        <v>0.73000000000000043</v>
      </c>
      <c r="I2827" s="9">
        <f t="shared" si="403"/>
        <v>2.5822426600636734E-2</v>
      </c>
      <c r="J2827" s="1">
        <f t="shared" si="404"/>
        <v>0.87999999999999901</v>
      </c>
      <c r="K2827" s="9">
        <f t="shared" si="397"/>
        <v>3.1394933999286445E-2</v>
      </c>
      <c r="L2827" s="1">
        <f t="shared" si="398"/>
        <v>1</v>
      </c>
      <c r="M2827" s="1">
        <f t="shared" si="399"/>
        <v>29</v>
      </c>
      <c r="N2827" s="1">
        <f t="shared" si="400"/>
        <v>28.27</v>
      </c>
      <c r="O2827" s="1">
        <f t="shared" si="401"/>
        <v>26.95</v>
      </c>
      <c r="P2827" s="1">
        <f t="shared" si="402"/>
        <v>13.75</v>
      </c>
    </row>
    <row r="2828" spans="1:16">
      <c r="A2828" s="2">
        <v>38954</v>
      </c>
      <c r="B2828" s="1">
        <v>27.79</v>
      </c>
      <c r="C2828" s="1">
        <v>28.23</v>
      </c>
      <c r="D2828" s="1">
        <v>27.62</v>
      </c>
      <c r="E2828" s="1">
        <v>28.03</v>
      </c>
      <c r="F2828" s="1">
        <v>3542600</v>
      </c>
      <c r="G2828" s="1">
        <v>28.03</v>
      </c>
      <c r="H2828" s="1">
        <f t="shared" si="396"/>
        <v>0.60999999999999943</v>
      </c>
      <c r="I2828" s="9">
        <f t="shared" si="403"/>
        <v>2.2085445329471376E-2</v>
      </c>
      <c r="J2828" s="1">
        <f t="shared" si="404"/>
        <v>6.0000000000002274E-2</v>
      </c>
      <c r="K2828" s="9">
        <f t="shared" si="397"/>
        <v>2.1451555237755552E-3</v>
      </c>
      <c r="L2828" s="1">
        <f t="shared" si="398"/>
        <v>1</v>
      </c>
      <c r="M2828" s="1">
        <f t="shared" si="399"/>
        <v>28.23</v>
      </c>
      <c r="N2828" s="1">
        <f t="shared" si="400"/>
        <v>27.62</v>
      </c>
      <c r="O2828" s="1">
        <f t="shared" si="401"/>
        <v>26.07</v>
      </c>
      <c r="P2828" s="1">
        <f t="shared" si="402"/>
        <v>13.301020408163266</v>
      </c>
    </row>
    <row r="2829" spans="1:16">
      <c r="A2829" s="2">
        <v>38953</v>
      </c>
      <c r="B2829" s="1">
        <v>28.24</v>
      </c>
      <c r="C2829" s="1">
        <v>28.25</v>
      </c>
      <c r="D2829" s="1">
        <v>27.54</v>
      </c>
      <c r="E2829" s="1">
        <v>27.97</v>
      </c>
      <c r="F2829" s="1">
        <v>4516900</v>
      </c>
      <c r="G2829" s="1">
        <v>27.97</v>
      </c>
      <c r="H2829" s="1">
        <f t="shared" si="396"/>
        <v>0.71000000000000085</v>
      </c>
      <c r="I2829" s="9">
        <f t="shared" si="403"/>
        <v>2.5780682643427772E-2</v>
      </c>
      <c r="J2829" s="1">
        <f t="shared" si="404"/>
        <v>-0.17000000000000171</v>
      </c>
      <c r="K2829" s="9">
        <f t="shared" si="397"/>
        <v>-6.0412224591329675E-3</v>
      </c>
      <c r="L2829" s="1">
        <f t="shared" si="398"/>
        <v>1</v>
      </c>
      <c r="M2829" s="1">
        <f t="shared" si="399"/>
        <v>28.25</v>
      </c>
      <c r="N2829" s="1">
        <f t="shared" si="400"/>
        <v>27.54</v>
      </c>
      <c r="O2829" s="1">
        <f t="shared" si="401"/>
        <v>26.009999999999998</v>
      </c>
      <c r="P2829" s="1">
        <f t="shared" si="402"/>
        <v>13.270408163265305</v>
      </c>
    </row>
    <row r="2830" spans="1:16">
      <c r="A2830" s="2">
        <v>38952</v>
      </c>
      <c r="B2830" s="1">
        <v>28.56</v>
      </c>
      <c r="C2830" s="1">
        <v>28.89</v>
      </c>
      <c r="D2830" s="1">
        <v>27.77</v>
      </c>
      <c r="E2830" s="1">
        <v>28.14</v>
      </c>
      <c r="F2830" s="1">
        <v>4726400</v>
      </c>
      <c r="G2830" s="1">
        <v>28.14</v>
      </c>
      <c r="H2830" s="1">
        <f t="shared" si="396"/>
        <v>1.120000000000001</v>
      </c>
      <c r="I2830" s="9">
        <f t="shared" si="403"/>
        <v>4.0331292761973392E-2</v>
      </c>
      <c r="J2830" s="1">
        <f t="shared" si="404"/>
        <v>-0.23000000000000043</v>
      </c>
      <c r="K2830" s="9">
        <f t="shared" si="397"/>
        <v>-8.1071554458935647E-3</v>
      </c>
      <c r="L2830" s="1">
        <f t="shared" si="398"/>
        <v>1</v>
      </c>
      <c r="M2830" s="1">
        <f t="shared" si="399"/>
        <v>28.89</v>
      </c>
      <c r="N2830" s="1">
        <f t="shared" si="400"/>
        <v>27.77</v>
      </c>
      <c r="O2830" s="1">
        <f t="shared" si="401"/>
        <v>26.18</v>
      </c>
      <c r="P2830" s="1">
        <f t="shared" si="402"/>
        <v>13.357142857142858</v>
      </c>
    </row>
    <row r="2831" spans="1:16">
      <c r="A2831" s="2">
        <v>38951</v>
      </c>
      <c r="B2831" s="1">
        <v>28.14</v>
      </c>
      <c r="C2831" s="1">
        <v>28.89</v>
      </c>
      <c r="D2831" s="1">
        <v>28.05</v>
      </c>
      <c r="E2831" s="1">
        <v>28.37</v>
      </c>
      <c r="F2831" s="1">
        <v>4587100</v>
      </c>
      <c r="G2831" s="1">
        <v>28.37</v>
      </c>
      <c r="H2831" s="1">
        <f t="shared" si="396"/>
        <v>0.83999999999999986</v>
      </c>
      <c r="I2831" s="9">
        <f t="shared" si="403"/>
        <v>2.9946524064171118E-2</v>
      </c>
      <c r="J2831" s="1">
        <f t="shared" si="404"/>
        <v>0.24000000000000199</v>
      </c>
      <c r="K2831" s="9">
        <f t="shared" si="397"/>
        <v>8.5318165659439039E-3</v>
      </c>
      <c r="L2831" s="1">
        <f t="shared" si="398"/>
        <v>1</v>
      </c>
      <c r="M2831" s="1">
        <f t="shared" si="399"/>
        <v>28.89</v>
      </c>
      <c r="N2831" s="1">
        <f t="shared" si="400"/>
        <v>28.05</v>
      </c>
      <c r="O2831" s="1">
        <f t="shared" si="401"/>
        <v>26.41</v>
      </c>
      <c r="P2831" s="1">
        <f t="shared" si="402"/>
        <v>13.474489795918368</v>
      </c>
    </row>
    <row r="2832" spans="1:16">
      <c r="A2832" s="2">
        <v>38950</v>
      </c>
      <c r="B2832" s="1">
        <v>28.7</v>
      </c>
      <c r="C2832" s="1">
        <v>28.98</v>
      </c>
      <c r="D2832" s="1">
        <v>27.97</v>
      </c>
      <c r="E2832" s="1">
        <v>28.13</v>
      </c>
      <c r="F2832" s="1">
        <v>5334900</v>
      </c>
      <c r="G2832" s="1">
        <v>28.13</v>
      </c>
      <c r="H2832" s="1">
        <f t="shared" si="396"/>
        <v>1.0100000000000016</v>
      </c>
      <c r="I2832" s="9">
        <f t="shared" si="403"/>
        <v>3.6110117983553867E-2</v>
      </c>
      <c r="J2832" s="1">
        <f t="shared" si="404"/>
        <v>-0.99000000000000199</v>
      </c>
      <c r="K2832" s="9">
        <f t="shared" si="397"/>
        <v>-3.3997252747252814E-2</v>
      </c>
      <c r="L2832" s="1">
        <f t="shared" si="398"/>
        <v>1</v>
      </c>
      <c r="M2832" s="1">
        <f t="shared" si="399"/>
        <v>28.98</v>
      </c>
      <c r="N2832" s="1">
        <f t="shared" si="400"/>
        <v>27.97</v>
      </c>
      <c r="O2832" s="1">
        <f t="shared" si="401"/>
        <v>26.169999999999998</v>
      </c>
      <c r="P2832" s="1">
        <f t="shared" si="402"/>
        <v>13.352040816326531</v>
      </c>
    </row>
    <row r="2833" spans="1:16">
      <c r="A2833" s="2">
        <v>38947</v>
      </c>
      <c r="B2833" s="1">
        <v>29.09</v>
      </c>
      <c r="C2833" s="1">
        <v>29.23</v>
      </c>
      <c r="D2833" s="1">
        <v>28.22</v>
      </c>
      <c r="E2833" s="1">
        <v>29.12</v>
      </c>
      <c r="F2833" s="1">
        <v>5998600</v>
      </c>
      <c r="G2833" s="1">
        <v>29.12</v>
      </c>
      <c r="H2833" s="1">
        <f t="shared" si="396"/>
        <v>1.0100000000000016</v>
      </c>
      <c r="I2833" s="9">
        <f t="shared" si="403"/>
        <v>3.5790219702338824E-2</v>
      </c>
      <c r="J2833" s="1">
        <f t="shared" si="404"/>
        <v>3.0000000000001137E-2</v>
      </c>
      <c r="K2833" s="9">
        <f t="shared" si="397"/>
        <v>1.0312822275696507E-3</v>
      </c>
      <c r="L2833" s="1">
        <f t="shared" si="398"/>
        <v>1</v>
      </c>
      <c r="M2833" s="1">
        <f t="shared" si="399"/>
        <v>29.23</v>
      </c>
      <c r="N2833" s="1">
        <f t="shared" si="400"/>
        <v>28.22</v>
      </c>
      <c r="O2833" s="1">
        <f t="shared" si="401"/>
        <v>27.16</v>
      </c>
      <c r="P2833" s="1">
        <f t="shared" si="402"/>
        <v>13.857142857142858</v>
      </c>
    </row>
    <row r="2834" spans="1:16">
      <c r="A2834" s="2">
        <v>38946</v>
      </c>
      <c r="B2834" s="1">
        <v>27.96</v>
      </c>
      <c r="C2834" s="1">
        <v>29.75</v>
      </c>
      <c r="D2834" s="1">
        <v>27.83</v>
      </c>
      <c r="E2834" s="1">
        <v>29.09</v>
      </c>
      <c r="F2834" s="1">
        <v>9496300</v>
      </c>
      <c r="G2834" s="1">
        <v>29.09</v>
      </c>
      <c r="H2834" s="1">
        <f t="shared" si="396"/>
        <v>1.9200000000000017</v>
      </c>
      <c r="I2834" s="9">
        <f t="shared" si="403"/>
        <v>6.899029823931016E-2</v>
      </c>
      <c r="J2834" s="1">
        <f t="shared" si="404"/>
        <v>1.1400000000000006</v>
      </c>
      <c r="K2834" s="9">
        <f t="shared" si="397"/>
        <v>4.0787119856887322E-2</v>
      </c>
      <c r="L2834" s="1">
        <f t="shared" si="398"/>
        <v>1</v>
      </c>
      <c r="M2834" s="1">
        <f t="shared" si="399"/>
        <v>29.75</v>
      </c>
      <c r="N2834" s="1">
        <f t="shared" si="400"/>
        <v>27.83</v>
      </c>
      <c r="O2834" s="1">
        <f t="shared" si="401"/>
        <v>27.13</v>
      </c>
      <c r="P2834" s="1">
        <f t="shared" si="402"/>
        <v>13.841836734693878</v>
      </c>
    </row>
    <row r="2835" spans="1:16">
      <c r="A2835" s="2">
        <v>38945</v>
      </c>
      <c r="B2835" s="1">
        <v>27.97</v>
      </c>
      <c r="C2835" s="1">
        <v>28.14</v>
      </c>
      <c r="D2835" s="1">
        <v>27.52</v>
      </c>
      <c r="E2835" s="1">
        <v>27.95</v>
      </c>
      <c r="F2835" s="1">
        <v>7636600</v>
      </c>
      <c r="G2835" s="1">
        <v>27.95</v>
      </c>
      <c r="H2835" s="1">
        <f t="shared" si="396"/>
        <v>0.62000000000000099</v>
      </c>
      <c r="I2835" s="9">
        <f t="shared" si="403"/>
        <v>2.2529069767441897E-2</v>
      </c>
      <c r="J2835" s="1">
        <f t="shared" si="404"/>
        <v>0.17999999999999972</v>
      </c>
      <c r="K2835" s="9">
        <f t="shared" si="397"/>
        <v>6.4818149081742786E-3</v>
      </c>
      <c r="L2835" s="1">
        <f t="shared" si="398"/>
        <v>1</v>
      </c>
      <c r="M2835" s="1">
        <f t="shared" si="399"/>
        <v>28.14</v>
      </c>
      <c r="N2835" s="1">
        <f t="shared" si="400"/>
        <v>27.52</v>
      </c>
      <c r="O2835" s="1">
        <f t="shared" si="401"/>
        <v>25.99</v>
      </c>
      <c r="P2835" s="1">
        <f t="shared" si="402"/>
        <v>13.260204081632653</v>
      </c>
    </row>
    <row r="2836" spans="1:16">
      <c r="A2836" s="2">
        <v>38944</v>
      </c>
      <c r="B2836" s="1">
        <v>26.97</v>
      </c>
      <c r="C2836" s="1">
        <v>27.86</v>
      </c>
      <c r="D2836" s="1">
        <v>26.62</v>
      </c>
      <c r="E2836" s="1">
        <v>27.77</v>
      </c>
      <c r="F2836" s="1">
        <v>8201600</v>
      </c>
      <c r="G2836" s="1">
        <v>27.77</v>
      </c>
      <c r="H2836" s="1">
        <f t="shared" si="396"/>
        <v>1.2399999999999984</v>
      </c>
      <c r="I2836" s="9">
        <f t="shared" si="403"/>
        <v>4.6581517655897763E-2</v>
      </c>
      <c r="J2836" s="1">
        <f t="shared" si="404"/>
        <v>1.2399999999999984</v>
      </c>
      <c r="K2836" s="9">
        <f t="shared" si="397"/>
        <v>4.6739540143234011E-2</v>
      </c>
      <c r="L2836" s="1">
        <f t="shared" si="398"/>
        <v>1</v>
      </c>
      <c r="M2836" s="1">
        <f t="shared" si="399"/>
        <v>27.86</v>
      </c>
      <c r="N2836" s="1">
        <f t="shared" si="400"/>
        <v>26.62</v>
      </c>
      <c r="O2836" s="1">
        <f t="shared" si="401"/>
        <v>25.81</v>
      </c>
      <c r="P2836" s="1">
        <f t="shared" si="402"/>
        <v>13.168367346938775</v>
      </c>
    </row>
    <row r="2837" spans="1:16">
      <c r="A2837" s="2">
        <v>38943</v>
      </c>
      <c r="B2837" s="1">
        <v>26.22</v>
      </c>
      <c r="C2837" s="1">
        <v>27.06</v>
      </c>
      <c r="D2837" s="1">
        <v>26.18</v>
      </c>
      <c r="E2837" s="1">
        <v>26.53</v>
      </c>
      <c r="F2837" s="1">
        <v>5128000</v>
      </c>
      <c r="G2837" s="1">
        <v>26.53</v>
      </c>
      <c r="H2837" s="1">
        <f t="shared" si="396"/>
        <v>0.87999999999999901</v>
      </c>
      <c r="I2837" s="9">
        <f t="shared" si="403"/>
        <v>3.3613445378151224E-2</v>
      </c>
      <c r="J2837" s="1">
        <f t="shared" si="404"/>
        <v>0.46000000000000085</v>
      </c>
      <c r="K2837" s="9">
        <f t="shared" si="397"/>
        <v>1.7644802454929071E-2</v>
      </c>
      <c r="L2837" s="1">
        <f t="shared" si="398"/>
        <v>1</v>
      </c>
      <c r="M2837" s="1">
        <f t="shared" si="399"/>
        <v>27.06</v>
      </c>
      <c r="N2837" s="1">
        <f t="shared" si="400"/>
        <v>26.18</v>
      </c>
      <c r="O2837" s="1">
        <f t="shared" si="401"/>
        <v>24.57</v>
      </c>
      <c r="P2837" s="1">
        <f t="shared" si="402"/>
        <v>12.535714285714286</v>
      </c>
    </row>
    <row r="2838" spans="1:16">
      <c r="A2838" s="2">
        <v>38940</v>
      </c>
      <c r="B2838" s="1">
        <v>26.43</v>
      </c>
      <c r="C2838" s="1">
        <v>26.43</v>
      </c>
      <c r="D2838" s="1">
        <v>25.76</v>
      </c>
      <c r="E2838" s="1">
        <v>26.07</v>
      </c>
      <c r="F2838" s="1">
        <v>5115900</v>
      </c>
      <c r="G2838" s="1">
        <v>26.07</v>
      </c>
      <c r="H2838" s="1">
        <f t="shared" si="396"/>
        <v>0.66999999999999815</v>
      </c>
      <c r="I2838" s="9">
        <f t="shared" si="403"/>
        <v>2.6009316770186263E-2</v>
      </c>
      <c r="J2838" s="1">
        <f t="shared" si="404"/>
        <v>-0.41999999999999815</v>
      </c>
      <c r="K2838" s="9">
        <f t="shared" si="397"/>
        <v>-1.5855039637599024E-2</v>
      </c>
      <c r="L2838" s="1">
        <f t="shared" si="398"/>
        <v>1</v>
      </c>
      <c r="M2838" s="1">
        <f t="shared" si="399"/>
        <v>26.43</v>
      </c>
      <c r="N2838" s="1">
        <f t="shared" si="400"/>
        <v>25.76</v>
      </c>
      <c r="O2838" s="1">
        <f t="shared" si="401"/>
        <v>24.11</v>
      </c>
      <c r="P2838" s="1">
        <f t="shared" si="402"/>
        <v>12.301020408163264</v>
      </c>
    </row>
    <row r="2839" spans="1:16">
      <c r="A2839" s="2">
        <v>38939</v>
      </c>
      <c r="B2839" s="1">
        <v>26.2</v>
      </c>
      <c r="C2839" s="1">
        <v>26.52</v>
      </c>
      <c r="D2839" s="1">
        <v>25.88</v>
      </c>
      <c r="E2839" s="1">
        <v>26.49</v>
      </c>
      <c r="F2839" s="1">
        <v>6405600</v>
      </c>
      <c r="G2839" s="1">
        <v>26.49</v>
      </c>
      <c r="H2839" s="1">
        <f t="shared" si="396"/>
        <v>0.64000000000000057</v>
      </c>
      <c r="I2839" s="9">
        <f t="shared" si="403"/>
        <v>2.4729520865533254E-2</v>
      </c>
      <c r="J2839" s="1">
        <f t="shared" si="404"/>
        <v>0.27999999999999758</v>
      </c>
      <c r="K2839" s="9">
        <f t="shared" si="397"/>
        <v>1.0682945440671407E-2</v>
      </c>
      <c r="L2839" s="1">
        <f t="shared" si="398"/>
        <v>1</v>
      </c>
      <c r="M2839" s="1">
        <f t="shared" si="399"/>
        <v>26.52</v>
      </c>
      <c r="N2839" s="1">
        <f t="shared" si="400"/>
        <v>25.88</v>
      </c>
      <c r="O2839" s="1">
        <f t="shared" si="401"/>
        <v>24.529999999999998</v>
      </c>
      <c r="P2839" s="1">
        <f t="shared" si="402"/>
        <v>12.515306122448978</v>
      </c>
    </row>
    <row r="2840" spans="1:16">
      <c r="A2840" s="2">
        <v>38938</v>
      </c>
      <c r="B2840" s="1">
        <v>26.54</v>
      </c>
      <c r="C2840" s="1">
        <v>26.7</v>
      </c>
      <c r="D2840" s="1">
        <v>26</v>
      </c>
      <c r="E2840" s="1">
        <v>26.21</v>
      </c>
      <c r="F2840" s="1">
        <v>6911200</v>
      </c>
      <c r="G2840" s="1">
        <v>26.21</v>
      </c>
      <c r="H2840" s="1">
        <f t="shared" si="396"/>
        <v>0.69999999999999929</v>
      </c>
      <c r="I2840" s="9">
        <f t="shared" si="403"/>
        <v>2.6923076923076897E-2</v>
      </c>
      <c r="J2840" s="1">
        <f t="shared" si="404"/>
        <v>-0.14999999999999858</v>
      </c>
      <c r="K2840" s="9">
        <f t="shared" si="397"/>
        <v>-5.6904400606979733E-3</v>
      </c>
      <c r="L2840" s="1">
        <f t="shared" si="398"/>
        <v>1</v>
      </c>
      <c r="M2840" s="1">
        <f t="shared" si="399"/>
        <v>26.7</v>
      </c>
      <c r="N2840" s="1">
        <f t="shared" si="400"/>
        <v>26</v>
      </c>
      <c r="O2840" s="1">
        <f t="shared" si="401"/>
        <v>24.25</v>
      </c>
      <c r="P2840" s="1">
        <f t="shared" si="402"/>
        <v>12.372448979591837</v>
      </c>
    </row>
    <row r="2841" spans="1:16">
      <c r="A2841" s="2">
        <v>38937</v>
      </c>
      <c r="B2841" s="1">
        <v>26.8</v>
      </c>
      <c r="C2841" s="1">
        <v>27.02</v>
      </c>
      <c r="D2841" s="1">
        <v>26.19</v>
      </c>
      <c r="E2841" s="1">
        <v>26.36</v>
      </c>
      <c r="F2841" s="1">
        <v>7260200</v>
      </c>
      <c r="G2841" s="1">
        <v>26.36</v>
      </c>
      <c r="H2841" s="1">
        <f t="shared" si="396"/>
        <v>0.82999999999999829</v>
      </c>
      <c r="I2841" s="9">
        <f t="shared" si="403"/>
        <v>3.1691485299732654E-2</v>
      </c>
      <c r="J2841" s="1">
        <f t="shared" si="404"/>
        <v>-0.42000000000000171</v>
      </c>
      <c r="K2841" s="9">
        <f t="shared" si="397"/>
        <v>-1.5683345780433223E-2</v>
      </c>
      <c r="L2841" s="1">
        <f t="shared" si="398"/>
        <v>1</v>
      </c>
      <c r="M2841" s="1">
        <f t="shared" si="399"/>
        <v>27.02</v>
      </c>
      <c r="N2841" s="1">
        <f t="shared" si="400"/>
        <v>26.19</v>
      </c>
      <c r="O2841" s="1">
        <f t="shared" si="401"/>
        <v>24.4</v>
      </c>
      <c r="P2841" s="1">
        <f t="shared" si="402"/>
        <v>12.448979591836734</v>
      </c>
    </row>
    <row r="2842" spans="1:16">
      <c r="A2842" s="2">
        <v>38936</v>
      </c>
      <c r="B2842" s="1">
        <v>27.19</v>
      </c>
      <c r="C2842" s="1">
        <v>27.29</v>
      </c>
      <c r="D2842" s="1">
        <v>26.59</v>
      </c>
      <c r="E2842" s="1">
        <v>26.78</v>
      </c>
      <c r="F2842" s="1">
        <v>5476400</v>
      </c>
      <c r="G2842" s="1">
        <v>26.78</v>
      </c>
      <c r="H2842" s="1">
        <f t="shared" si="396"/>
        <v>0.69999999999999929</v>
      </c>
      <c r="I2842" s="9">
        <f t="shared" si="403"/>
        <v>2.6325686348251196E-2</v>
      </c>
      <c r="J2842" s="1">
        <f t="shared" si="404"/>
        <v>-0.50999999999999801</v>
      </c>
      <c r="K2842" s="9">
        <f t="shared" si="397"/>
        <v>-1.8688164162696887E-2</v>
      </c>
      <c r="L2842" s="1">
        <f t="shared" si="398"/>
        <v>1</v>
      </c>
      <c r="M2842" s="1">
        <f t="shared" si="399"/>
        <v>27.29</v>
      </c>
      <c r="N2842" s="1">
        <f t="shared" si="400"/>
        <v>26.59</v>
      </c>
      <c r="O2842" s="1">
        <f t="shared" si="401"/>
        <v>24.82</v>
      </c>
      <c r="P2842" s="1">
        <f t="shared" si="402"/>
        <v>12.663265306122449</v>
      </c>
    </row>
    <row r="2843" spans="1:16">
      <c r="A2843" s="2">
        <v>38933</v>
      </c>
      <c r="B2843" s="1">
        <v>26.94</v>
      </c>
      <c r="C2843" s="1">
        <v>27.59</v>
      </c>
      <c r="D2843" s="1">
        <v>26.8</v>
      </c>
      <c r="E2843" s="1">
        <v>27.29</v>
      </c>
      <c r="F2843" s="1">
        <v>10252400</v>
      </c>
      <c r="G2843" s="1">
        <v>27.29</v>
      </c>
      <c r="H2843" s="1">
        <f t="shared" si="396"/>
        <v>0.78999999999999915</v>
      </c>
      <c r="I2843" s="9">
        <f t="shared" si="403"/>
        <v>2.9477611940298475E-2</v>
      </c>
      <c r="J2843" s="1">
        <f t="shared" si="404"/>
        <v>0.59999999999999787</v>
      </c>
      <c r="K2843" s="9">
        <f t="shared" si="397"/>
        <v>2.2480329711502354E-2</v>
      </c>
      <c r="L2843" s="1">
        <f t="shared" si="398"/>
        <v>1</v>
      </c>
      <c r="M2843" s="1">
        <f t="shared" si="399"/>
        <v>27.59</v>
      </c>
      <c r="N2843" s="1">
        <f t="shared" si="400"/>
        <v>26.8</v>
      </c>
      <c r="O2843" s="1">
        <f t="shared" si="401"/>
        <v>25.33</v>
      </c>
      <c r="P2843" s="1">
        <f t="shared" si="402"/>
        <v>12.923469387755102</v>
      </c>
    </row>
    <row r="2844" spans="1:16">
      <c r="A2844" s="2">
        <v>38932</v>
      </c>
      <c r="B2844" s="1">
        <v>26.09</v>
      </c>
      <c r="C2844" s="1">
        <v>26.9</v>
      </c>
      <c r="D2844" s="1">
        <v>25.9</v>
      </c>
      <c r="E2844" s="1">
        <v>26.69</v>
      </c>
      <c r="F2844" s="1">
        <v>6941100</v>
      </c>
      <c r="G2844" s="1">
        <v>26.69</v>
      </c>
      <c r="H2844" s="1">
        <f t="shared" si="396"/>
        <v>1</v>
      </c>
      <c r="I2844" s="9">
        <f t="shared" si="403"/>
        <v>3.8610038610038609E-2</v>
      </c>
      <c r="J2844" s="1">
        <f t="shared" si="404"/>
        <v>0.60000000000000142</v>
      </c>
      <c r="K2844" s="9">
        <f t="shared" si="397"/>
        <v>2.2997316979685756E-2</v>
      </c>
      <c r="L2844" s="1">
        <f t="shared" si="398"/>
        <v>1</v>
      </c>
      <c r="M2844" s="1">
        <f t="shared" si="399"/>
        <v>26.9</v>
      </c>
      <c r="N2844" s="1">
        <f t="shared" si="400"/>
        <v>25.9</v>
      </c>
      <c r="O2844" s="1">
        <f t="shared" si="401"/>
        <v>24.73</v>
      </c>
      <c r="P2844" s="1">
        <f t="shared" si="402"/>
        <v>12.61734693877551</v>
      </c>
    </row>
    <row r="2845" spans="1:16">
      <c r="A2845" s="2">
        <v>38931</v>
      </c>
      <c r="B2845" s="1">
        <v>26.15</v>
      </c>
      <c r="C2845" s="1">
        <v>26.3</v>
      </c>
      <c r="D2845" s="1">
        <v>25.89</v>
      </c>
      <c r="E2845" s="1">
        <v>26.09</v>
      </c>
      <c r="F2845" s="1">
        <v>7810400</v>
      </c>
      <c r="G2845" s="1">
        <v>26.09</v>
      </c>
      <c r="H2845" s="1">
        <f t="shared" si="396"/>
        <v>0.41000000000000014</v>
      </c>
      <c r="I2845" s="9">
        <f t="shared" si="403"/>
        <v>1.583623020471225E-2</v>
      </c>
      <c r="J2845" s="1">
        <f t="shared" si="404"/>
        <v>-0.23000000000000043</v>
      </c>
      <c r="K2845" s="9">
        <f t="shared" si="397"/>
        <v>-8.7386018237082235E-3</v>
      </c>
      <c r="L2845" s="1">
        <f t="shared" si="398"/>
        <v>1</v>
      </c>
      <c r="M2845" s="1">
        <f t="shared" si="399"/>
        <v>26.3</v>
      </c>
      <c r="N2845" s="1">
        <f t="shared" si="400"/>
        <v>25.89</v>
      </c>
      <c r="O2845" s="1">
        <f t="shared" si="401"/>
        <v>24.13</v>
      </c>
      <c r="P2845" s="1">
        <f t="shared" si="402"/>
        <v>12.311224489795919</v>
      </c>
    </row>
    <row r="2846" spans="1:16">
      <c r="A2846" s="2">
        <v>38930</v>
      </c>
      <c r="B2846" s="1">
        <v>26.55</v>
      </c>
      <c r="C2846" s="1">
        <v>26.64</v>
      </c>
      <c r="D2846" s="1">
        <v>25.84</v>
      </c>
      <c r="E2846" s="1">
        <v>26.32</v>
      </c>
      <c r="F2846" s="1">
        <v>13128800</v>
      </c>
      <c r="G2846" s="1">
        <v>26.32</v>
      </c>
      <c r="H2846" s="1">
        <f t="shared" si="396"/>
        <v>0.80000000000000071</v>
      </c>
      <c r="I2846" s="9">
        <f t="shared" si="403"/>
        <v>3.0959752321981452E-2</v>
      </c>
      <c r="J2846" s="1">
        <f t="shared" si="404"/>
        <v>-0.57000000000000028</v>
      </c>
      <c r="K2846" s="9">
        <f t="shared" si="397"/>
        <v>-2.1197471178876916E-2</v>
      </c>
      <c r="L2846" s="1">
        <f t="shared" si="398"/>
        <v>1</v>
      </c>
      <c r="M2846" s="1">
        <f t="shared" si="399"/>
        <v>26.64</v>
      </c>
      <c r="N2846" s="1">
        <f t="shared" si="400"/>
        <v>25.84</v>
      </c>
      <c r="O2846" s="1">
        <f t="shared" si="401"/>
        <v>24.36</v>
      </c>
      <c r="P2846" s="1">
        <f t="shared" si="402"/>
        <v>12.428571428571429</v>
      </c>
    </row>
    <row r="2847" spans="1:16">
      <c r="A2847" s="2">
        <v>38929</v>
      </c>
      <c r="B2847" s="1">
        <v>27.02</v>
      </c>
      <c r="C2847" s="1">
        <v>27.29</v>
      </c>
      <c r="D2847" s="1">
        <v>26.74</v>
      </c>
      <c r="E2847" s="1">
        <v>26.89</v>
      </c>
      <c r="F2847" s="1">
        <v>8038200</v>
      </c>
      <c r="G2847" s="1">
        <v>26.89</v>
      </c>
      <c r="H2847" s="1">
        <f t="shared" si="396"/>
        <v>0.55000000000000071</v>
      </c>
      <c r="I2847" s="9">
        <f t="shared" si="403"/>
        <v>2.0568436798803318E-2</v>
      </c>
      <c r="J2847" s="1">
        <f t="shared" si="404"/>
        <v>-0.28000000000000114</v>
      </c>
      <c r="K2847" s="9">
        <f t="shared" si="397"/>
        <v>-1.0305483989694558E-2</v>
      </c>
      <c r="L2847" s="1">
        <f t="shared" si="398"/>
        <v>1</v>
      </c>
      <c r="M2847" s="1">
        <f t="shared" si="399"/>
        <v>27.29</v>
      </c>
      <c r="N2847" s="1">
        <f t="shared" si="400"/>
        <v>26.74</v>
      </c>
      <c r="O2847" s="1">
        <f t="shared" si="401"/>
        <v>24.93</v>
      </c>
      <c r="P2847" s="1">
        <f t="shared" si="402"/>
        <v>12.719387755102041</v>
      </c>
    </row>
    <row r="2848" spans="1:16">
      <c r="A2848" s="2">
        <v>38926</v>
      </c>
      <c r="B2848" s="1">
        <v>26.8</v>
      </c>
      <c r="C2848" s="1">
        <v>27.18</v>
      </c>
      <c r="D2848" s="1">
        <v>26.57</v>
      </c>
      <c r="E2848" s="1">
        <v>27.17</v>
      </c>
      <c r="F2848" s="1">
        <v>12422000</v>
      </c>
      <c r="G2848" s="1">
        <v>27.17</v>
      </c>
      <c r="H2848" s="1">
        <f t="shared" si="396"/>
        <v>0.60999999999999943</v>
      </c>
      <c r="I2848" s="9">
        <f t="shared" si="403"/>
        <v>2.295822356040645E-2</v>
      </c>
      <c r="J2848" s="1">
        <f t="shared" si="404"/>
        <v>0.61000000000000298</v>
      </c>
      <c r="K2848" s="9">
        <f t="shared" si="397"/>
        <v>2.296686746987963E-2</v>
      </c>
      <c r="L2848" s="1">
        <f t="shared" si="398"/>
        <v>1</v>
      </c>
      <c r="M2848" s="1">
        <f t="shared" si="399"/>
        <v>27.18</v>
      </c>
      <c r="N2848" s="1">
        <f t="shared" si="400"/>
        <v>26.57</v>
      </c>
      <c r="O2848" s="1">
        <f t="shared" si="401"/>
        <v>25.21</v>
      </c>
      <c r="P2848" s="1">
        <f t="shared" si="402"/>
        <v>12.862244897959185</v>
      </c>
    </row>
    <row r="2849" spans="1:16">
      <c r="A2849" s="2">
        <v>38925</v>
      </c>
      <c r="B2849" s="1">
        <v>26.45</v>
      </c>
      <c r="C2849" s="1">
        <v>26.8</v>
      </c>
      <c r="D2849" s="1">
        <v>26.21</v>
      </c>
      <c r="E2849" s="1">
        <v>26.56</v>
      </c>
      <c r="F2849" s="1">
        <v>26393800</v>
      </c>
      <c r="G2849" s="1">
        <v>26.56</v>
      </c>
      <c r="H2849" s="1">
        <f t="shared" si="396"/>
        <v>0.58999999999999986</v>
      </c>
      <c r="I2849" s="9">
        <f t="shared" si="403"/>
        <v>2.2510492178557797E-2</v>
      </c>
      <c r="J2849" s="1">
        <f t="shared" si="404"/>
        <v>0.29999999999999716</v>
      </c>
      <c r="K2849" s="9">
        <f t="shared" si="397"/>
        <v>1.1424219345011316E-2</v>
      </c>
      <c r="L2849" s="1">
        <f t="shared" si="398"/>
        <v>1</v>
      </c>
      <c r="M2849" s="1">
        <f t="shared" si="399"/>
        <v>26.8</v>
      </c>
      <c r="N2849" s="1">
        <f t="shared" si="400"/>
        <v>26.21</v>
      </c>
      <c r="O2849" s="1">
        <f t="shared" si="401"/>
        <v>24.599999999999998</v>
      </c>
      <c r="P2849" s="1">
        <f t="shared" si="402"/>
        <v>12.551020408163264</v>
      </c>
    </row>
    <row r="2850" spans="1:16">
      <c r="A2850" s="2">
        <v>38924</v>
      </c>
      <c r="B2850" s="1">
        <v>28.76</v>
      </c>
      <c r="C2850" s="1">
        <v>29</v>
      </c>
      <c r="D2850" s="1">
        <v>25.96</v>
      </c>
      <c r="E2850" s="1">
        <v>26.26</v>
      </c>
      <c r="F2850" s="1">
        <v>76985200</v>
      </c>
      <c r="G2850" s="1">
        <v>26.26</v>
      </c>
      <c r="H2850" s="1">
        <f t="shared" si="396"/>
        <v>3.0399999999999991</v>
      </c>
      <c r="I2850" s="9">
        <f t="shared" si="403"/>
        <v>0.11710323574730351</v>
      </c>
      <c r="J2850" s="1">
        <f t="shared" si="404"/>
        <v>-7.3300000000000018</v>
      </c>
      <c r="K2850" s="9">
        <f t="shared" si="397"/>
        <v>-0.21821970824650197</v>
      </c>
      <c r="L2850" s="1">
        <f t="shared" si="398"/>
        <v>1</v>
      </c>
      <c r="M2850" s="1">
        <f t="shared" si="399"/>
        <v>29</v>
      </c>
      <c r="N2850" s="1">
        <f t="shared" si="400"/>
        <v>25.96</v>
      </c>
      <c r="O2850" s="1">
        <f t="shared" si="401"/>
        <v>24.3</v>
      </c>
      <c r="P2850" s="1">
        <f t="shared" si="402"/>
        <v>12.397959183673469</v>
      </c>
    </row>
    <row r="2851" spans="1:16">
      <c r="A2851" s="2">
        <v>38923</v>
      </c>
      <c r="B2851" s="1">
        <v>34</v>
      </c>
      <c r="C2851" s="1">
        <v>34.159999999999997</v>
      </c>
      <c r="D2851" s="1">
        <v>33.39</v>
      </c>
      <c r="E2851" s="1">
        <v>33.590000000000003</v>
      </c>
      <c r="F2851" s="1">
        <v>17230000</v>
      </c>
      <c r="G2851" s="1">
        <v>33.590000000000003</v>
      </c>
      <c r="H2851" s="1">
        <f t="shared" si="396"/>
        <v>0.76999999999999602</v>
      </c>
      <c r="I2851" s="9">
        <f t="shared" si="403"/>
        <v>2.3060796645702188E-2</v>
      </c>
      <c r="J2851" s="1">
        <f t="shared" si="404"/>
        <v>-0.71999999999999886</v>
      </c>
      <c r="K2851" s="9">
        <f t="shared" si="397"/>
        <v>-2.0985135529000255E-2</v>
      </c>
      <c r="L2851" s="1">
        <f t="shared" si="398"/>
        <v>1</v>
      </c>
      <c r="M2851" s="1">
        <f t="shared" si="399"/>
        <v>34.159999999999997</v>
      </c>
      <c r="N2851" s="1">
        <f t="shared" si="400"/>
        <v>33.39</v>
      </c>
      <c r="O2851" s="1">
        <f t="shared" si="401"/>
        <v>31.630000000000003</v>
      </c>
      <c r="P2851" s="1">
        <f t="shared" si="402"/>
        <v>16.137755102040817</v>
      </c>
    </row>
    <row r="2852" spans="1:16">
      <c r="A2852" s="2">
        <v>38922</v>
      </c>
      <c r="B2852" s="1">
        <v>33.35</v>
      </c>
      <c r="C2852" s="1">
        <v>34.68</v>
      </c>
      <c r="D2852" s="1">
        <v>33.340000000000003</v>
      </c>
      <c r="E2852" s="1">
        <v>34.31</v>
      </c>
      <c r="F2852" s="1">
        <v>7385400</v>
      </c>
      <c r="G2852" s="1">
        <v>34.31</v>
      </c>
      <c r="H2852" s="1">
        <f t="shared" si="396"/>
        <v>1.3399999999999963</v>
      </c>
      <c r="I2852" s="9">
        <f t="shared" si="403"/>
        <v>4.019196160767835E-2</v>
      </c>
      <c r="J2852" s="1">
        <f t="shared" si="404"/>
        <v>1.1200000000000045</v>
      </c>
      <c r="K2852" s="9">
        <f t="shared" si="397"/>
        <v>3.3745103946972117E-2</v>
      </c>
      <c r="L2852" s="1">
        <f t="shared" si="398"/>
        <v>1</v>
      </c>
      <c r="M2852" s="1">
        <f t="shared" si="399"/>
        <v>34.68</v>
      </c>
      <c r="N2852" s="1">
        <f t="shared" si="400"/>
        <v>33.340000000000003</v>
      </c>
      <c r="O2852" s="1">
        <f t="shared" si="401"/>
        <v>32.35</v>
      </c>
      <c r="P2852" s="1">
        <f t="shared" si="402"/>
        <v>16.505102040816329</v>
      </c>
    </row>
    <row r="2853" spans="1:16">
      <c r="A2853" s="2">
        <v>38919</v>
      </c>
      <c r="B2853" s="1">
        <v>33.85</v>
      </c>
      <c r="C2853" s="1">
        <v>33.97</v>
      </c>
      <c r="D2853" s="1">
        <v>32.92</v>
      </c>
      <c r="E2853" s="1">
        <v>33.19</v>
      </c>
      <c r="F2853" s="1">
        <v>7136600</v>
      </c>
      <c r="G2853" s="1">
        <v>33.19</v>
      </c>
      <c r="H2853" s="1">
        <f t="shared" si="396"/>
        <v>1.0499999999999972</v>
      </c>
      <c r="I2853" s="9">
        <f t="shared" si="403"/>
        <v>3.1895504252733811E-2</v>
      </c>
      <c r="J2853" s="1">
        <f t="shared" si="404"/>
        <v>-0.99000000000000199</v>
      </c>
      <c r="K2853" s="9">
        <f t="shared" si="397"/>
        <v>-2.8964306612053892E-2</v>
      </c>
      <c r="L2853" s="1">
        <f t="shared" si="398"/>
        <v>1</v>
      </c>
      <c r="M2853" s="1">
        <f t="shared" si="399"/>
        <v>33.97</v>
      </c>
      <c r="N2853" s="1">
        <f t="shared" si="400"/>
        <v>32.92</v>
      </c>
      <c r="O2853" s="1">
        <f t="shared" si="401"/>
        <v>31.229999999999997</v>
      </c>
      <c r="P2853" s="1">
        <f t="shared" si="402"/>
        <v>15.933673469387754</v>
      </c>
    </row>
    <row r="2854" spans="1:16">
      <c r="A2854" s="2">
        <v>38918</v>
      </c>
      <c r="B2854" s="1">
        <v>34.39</v>
      </c>
      <c r="C2854" s="1">
        <v>34.81</v>
      </c>
      <c r="D2854" s="1">
        <v>33.83</v>
      </c>
      <c r="E2854" s="1">
        <v>34.18</v>
      </c>
      <c r="F2854" s="1">
        <v>5836200</v>
      </c>
      <c r="G2854" s="1">
        <v>34.18</v>
      </c>
      <c r="H2854" s="1">
        <f t="shared" si="396"/>
        <v>0.98000000000000398</v>
      </c>
      <c r="I2854" s="9">
        <f t="shared" si="403"/>
        <v>2.896837126810535E-2</v>
      </c>
      <c r="J2854" s="1">
        <f t="shared" si="404"/>
        <v>-0.29999999999999716</v>
      </c>
      <c r="K2854" s="9">
        <f t="shared" si="397"/>
        <v>-8.7006960556843729E-3</v>
      </c>
      <c r="L2854" s="1">
        <f t="shared" si="398"/>
        <v>1</v>
      </c>
      <c r="M2854" s="1">
        <f t="shared" si="399"/>
        <v>34.81</v>
      </c>
      <c r="N2854" s="1">
        <f t="shared" si="400"/>
        <v>33.83</v>
      </c>
      <c r="O2854" s="1">
        <f t="shared" si="401"/>
        <v>32.22</v>
      </c>
      <c r="P2854" s="1">
        <f t="shared" si="402"/>
        <v>16.438775510204081</v>
      </c>
    </row>
    <row r="2855" spans="1:16">
      <c r="A2855" s="2">
        <v>38917</v>
      </c>
      <c r="B2855" s="1">
        <v>33.5</v>
      </c>
      <c r="C2855" s="1">
        <v>34.770000000000003</v>
      </c>
      <c r="D2855" s="1">
        <v>33.39</v>
      </c>
      <c r="E2855" s="1">
        <v>34.479999999999997</v>
      </c>
      <c r="F2855" s="1">
        <v>8866300</v>
      </c>
      <c r="G2855" s="1">
        <v>34.479999999999997</v>
      </c>
      <c r="H2855" s="1">
        <f t="shared" si="396"/>
        <v>1.3800000000000026</v>
      </c>
      <c r="I2855" s="9">
        <f t="shared" si="403"/>
        <v>4.1329739442947065E-2</v>
      </c>
      <c r="J2855" s="1">
        <f t="shared" si="404"/>
        <v>0.98999999999999488</v>
      </c>
      <c r="K2855" s="9">
        <f t="shared" si="397"/>
        <v>2.9561063003881602E-2</v>
      </c>
      <c r="L2855" s="1">
        <f t="shared" si="398"/>
        <v>1</v>
      </c>
      <c r="M2855" s="1">
        <f t="shared" si="399"/>
        <v>34.770000000000003</v>
      </c>
      <c r="N2855" s="1">
        <f t="shared" si="400"/>
        <v>33.39</v>
      </c>
      <c r="O2855" s="1">
        <f t="shared" si="401"/>
        <v>32.519999999999996</v>
      </c>
      <c r="P2855" s="1">
        <f t="shared" si="402"/>
        <v>16.591836734693874</v>
      </c>
    </row>
    <row r="2856" spans="1:16">
      <c r="A2856" s="2">
        <v>38916</v>
      </c>
      <c r="B2856" s="1">
        <v>33.65</v>
      </c>
      <c r="C2856" s="1">
        <v>34.29</v>
      </c>
      <c r="D2856" s="1">
        <v>32.96</v>
      </c>
      <c r="E2856" s="1">
        <v>33.49</v>
      </c>
      <c r="F2856" s="1">
        <v>5215000</v>
      </c>
      <c r="G2856" s="1">
        <v>33.49</v>
      </c>
      <c r="H2856" s="1">
        <f t="shared" si="396"/>
        <v>1.3299999999999983</v>
      </c>
      <c r="I2856" s="9">
        <f t="shared" si="403"/>
        <v>4.0351941747572763E-2</v>
      </c>
      <c r="J2856" s="1">
        <f t="shared" si="404"/>
        <v>-0.17999999999999972</v>
      </c>
      <c r="K2856" s="9">
        <f t="shared" si="397"/>
        <v>-5.3460053460053373E-3</v>
      </c>
      <c r="L2856" s="1">
        <f t="shared" si="398"/>
        <v>1</v>
      </c>
      <c r="M2856" s="1">
        <f t="shared" si="399"/>
        <v>34.29</v>
      </c>
      <c r="N2856" s="1">
        <f t="shared" si="400"/>
        <v>32.96</v>
      </c>
      <c r="O2856" s="1">
        <f t="shared" si="401"/>
        <v>31.53</v>
      </c>
      <c r="P2856" s="1">
        <f t="shared" si="402"/>
        <v>16.086734693877553</v>
      </c>
    </row>
    <row r="2857" spans="1:16">
      <c r="A2857" s="2">
        <v>38915</v>
      </c>
      <c r="B2857" s="1">
        <v>32.79</v>
      </c>
      <c r="C2857" s="1">
        <v>33.93</v>
      </c>
      <c r="D2857" s="1">
        <v>32.79</v>
      </c>
      <c r="E2857" s="1">
        <v>33.67</v>
      </c>
      <c r="F2857" s="1">
        <v>7197300</v>
      </c>
      <c r="G2857" s="1">
        <v>33.67</v>
      </c>
      <c r="H2857" s="1">
        <f t="shared" si="396"/>
        <v>1.1400000000000006</v>
      </c>
      <c r="I2857" s="9">
        <f t="shared" si="403"/>
        <v>3.4766697163769462E-2</v>
      </c>
      <c r="J2857" s="1">
        <f t="shared" si="404"/>
        <v>0.75</v>
      </c>
      <c r="K2857" s="9">
        <f t="shared" si="397"/>
        <v>2.278250303766707E-2</v>
      </c>
      <c r="L2857" s="1">
        <f t="shared" si="398"/>
        <v>1</v>
      </c>
      <c r="M2857" s="1">
        <f t="shared" si="399"/>
        <v>33.93</v>
      </c>
      <c r="N2857" s="1">
        <f t="shared" si="400"/>
        <v>32.79</v>
      </c>
      <c r="O2857" s="1">
        <f t="shared" si="401"/>
        <v>31.71</v>
      </c>
      <c r="P2857" s="1">
        <f t="shared" si="402"/>
        <v>16.178571428571431</v>
      </c>
    </row>
    <row r="2858" spans="1:16">
      <c r="A2858" s="2">
        <v>38912</v>
      </c>
      <c r="B2858" s="1">
        <v>33.51</v>
      </c>
      <c r="C2858" s="1">
        <v>33.729999999999997</v>
      </c>
      <c r="D2858" s="1">
        <v>32.799999999999997</v>
      </c>
      <c r="E2858" s="1">
        <v>32.92</v>
      </c>
      <c r="F2858" s="1">
        <v>8094800</v>
      </c>
      <c r="G2858" s="1">
        <v>32.92</v>
      </c>
      <c r="H2858" s="1">
        <f t="shared" si="396"/>
        <v>0.92999999999999972</v>
      </c>
      <c r="I2858" s="9">
        <f t="shared" si="403"/>
        <v>2.835365853658536E-2</v>
      </c>
      <c r="J2858" s="1">
        <f t="shared" si="404"/>
        <v>-0.80999999999999517</v>
      </c>
      <c r="K2858" s="9">
        <f t="shared" si="397"/>
        <v>-2.4014230655202942E-2</v>
      </c>
      <c r="L2858" s="1">
        <f t="shared" si="398"/>
        <v>1</v>
      </c>
      <c r="M2858" s="1">
        <f t="shared" si="399"/>
        <v>33.729999999999997</v>
      </c>
      <c r="N2858" s="1">
        <f t="shared" si="400"/>
        <v>32.799999999999997</v>
      </c>
      <c r="O2858" s="1">
        <f t="shared" si="401"/>
        <v>30.96</v>
      </c>
      <c r="P2858" s="1">
        <f t="shared" si="402"/>
        <v>15.795918367346939</v>
      </c>
    </row>
    <row r="2859" spans="1:16">
      <c r="A2859" s="2">
        <v>38911</v>
      </c>
      <c r="B2859" s="1">
        <v>34.33</v>
      </c>
      <c r="C2859" s="1">
        <v>34.630000000000003</v>
      </c>
      <c r="D2859" s="1">
        <v>33.71</v>
      </c>
      <c r="E2859" s="1">
        <v>33.729999999999997</v>
      </c>
      <c r="F2859" s="1">
        <v>6455500</v>
      </c>
      <c r="G2859" s="1">
        <v>33.729999999999997</v>
      </c>
      <c r="H2859" s="1">
        <f t="shared" si="396"/>
        <v>0.92000000000000171</v>
      </c>
      <c r="I2859" s="9">
        <f t="shared" si="403"/>
        <v>2.7291604865025264E-2</v>
      </c>
      <c r="J2859" s="1">
        <f t="shared" si="404"/>
        <v>-0.90000000000000568</v>
      </c>
      <c r="K2859" s="9">
        <f t="shared" si="397"/>
        <v>-2.5989026855327911E-2</v>
      </c>
      <c r="L2859" s="1">
        <f t="shared" si="398"/>
        <v>1</v>
      </c>
      <c r="M2859" s="1">
        <f t="shared" si="399"/>
        <v>34.630000000000003</v>
      </c>
      <c r="N2859" s="1">
        <f t="shared" si="400"/>
        <v>33.71</v>
      </c>
      <c r="O2859" s="1">
        <f t="shared" si="401"/>
        <v>31.769999999999996</v>
      </c>
      <c r="P2859" s="1">
        <f t="shared" si="402"/>
        <v>16.209183673469386</v>
      </c>
    </row>
    <row r="2860" spans="1:16">
      <c r="A2860" s="2">
        <v>38910</v>
      </c>
      <c r="B2860" s="1">
        <v>35.6</v>
      </c>
      <c r="C2860" s="1">
        <v>35.9</v>
      </c>
      <c r="D2860" s="1">
        <v>34.57</v>
      </c>
      <c r="E2860" s="1">
        <v>34.630000000000003</v>
      </c>
      <c r="F2860" s="1">
        <v>4894700</v>
      </c>
      <c r="G2860" s="1">
        <v>34.630000000000003</v>
      </c>
      <c r="H2860" s="1">
        <f t="shared" si="396"/>
        <v>1.3299999999999983</v>
      </c>
      <c r="I2860" s="9">
        <f t="shared" si="403"/>
        <v>3.8472664159675971E-2</v>
      </c>
      <c r="J2860" s="1">
        <f t="shared" si="404"/>
        <v>-1.029999999999994</v>
      </c>
      <c r="K2860" s="9">
        <f t="shared" si="397"/>
        <v>-2.8883903533370558E-2</v>
      </c>
      <c r="L2860" s="1">
        <f t="shared" si="398"/>
        <v>1</v>
      </c>
      <c r="M2860" s="1">
        <f t="shared" si="399"/>
        <v>35.9</v>
      </c>
      <c r="N2860" s="1">
        <f t="shared" si="400"/>
        <v>34.57</v>
      </c>
      <c r="O2860" s="1">
        <f t="shared" si="401"/>
        <v>32.67</v>
      </c>
      <c r="P2860" s="1">
        <f t="shared" si="402"/>
        <v>16.668367346938776</v>
      </c>
    </row>
    <row r="2861" spans="1:16">
      <c r="A2861" s="2">
        <v>38909</v>
      </c>
      <c r="B2861" s="1">
        <v>35.74</v>
      </c>
      <c r="C2861" s="1">
        <v>35.92</v>
      </c>
      <c r="D2861" s="1">
        <v>35.01</v>
      </c>
      <c r="E2861" s="1">
        <v>35.659999999999997</v>
      </c>
      <c r="F2861" s="1">
        <v>6088600</v>
      </c>
      <c r="G2861" s="1">
        <v>35.659999999999997</v>
      </c>
      <c r="H2861" s="1">
        <f t="shared" si="396"/>
        <v>0.91000000000000369</v>
      </c>
      <c r="I2861" s="9">
        <f t="shared" si="403"/>
        <v>2.5992573550414275E-2</v>
      </c>
      <c r="J2861" s="1">
        <f t="shared" si="404"/>
        <v>-0.13000000000000256</v>
      </c>
      <c r="K2861" s="9">
        <f t="shared" si="397"/>
        <v>-3.6322995250070568E-3</v>
      </c>
      <c r="L2861" s="1">
        <f t="shared" si="398"/>
        <v>1</v>
      </c>
      <c r="M2861" s="1">
        <f t="shared" si="399"/>
        <v>35.92</v>
      </c>
      <c r="N2861" s="1">
        <f t="shared" si="400"/>
        <v>35.01</v>
      </c>
      <c r="O2861" s="1">
        <f t="shared" si="401"/>
        <v>33.699999999999996</v>
      </c>
      <c r="P2861" s="1">
        <f t="shared" si="402"/>
        <v>17.193877551020407</v>
      </c>
    </row>
    <row r="2862" spans="1:16">
      <c r="A2862" s="2">
        <v>38908</v>
      </c>
      <c r="B2862" s="1">
        <v>36.299999999999997</v>
      </c>
      <c r="C2862" s="1">
        <v>36.700000000000003</v>
      </c>
      <c r="D2862" s="1">
        <v>35.4</v>
      </c>
      <c r="E2862" s="1">
        <v>35.79</v>
      </c>
      <c r="F2862" s="1">
        <v>3876700</v>
      </c>
      <c r="G2862" s="1">
        <v>35.79</v>
      </c>
      <c r="H2862" s="1">
        <f t="shared" si="396"/>
        <v>1.3000000000000043</v>
      </c>
      <c r="I2862" s="9">
        <f t="shared" si="403"/>
        <v>3.6723163841808029E-2</v>
      </c>
      <c r="J2862" s="1">
        <f t="shared" si="404"/>
        <v>-0.32000000000000028</v>
      </c>
      <c r="K2862" s="9">
        <f t="shared" si="397"/>
        <v>-8.8618111326502439E-3</v>
      </c>
      <c r="L2862" s="1">
        <f t="shared" si="398"/>
        <v>1</v>
      </c>
      <c r="M2862" s="1">
        <f t="shared" si="399"/>
        <v>36.700000000000003</v>
      </c>
      <c r="N2862" s="1">
        <f t="shared" si="400"/>
        <v>35.4</v>
      </c>
      <c r="O2862" s="1">
        <f t="shared" si="401"/>
        <v>33.83</v>
      </c>
      <c r="P2862" s="1">
        <f t="shared" si="402"/>
        <v>17.260204081632651</v>
      </c>
    </row>
    <row r="2863" spans="1:16">
      <c r="A2863" s="2">
        <v>38905</v>
      </c>
      <c r="B2863" s="1">
        <v>36.71</v>
      </c>
      <c r="C2863" s="1">
        <v>37.28</v>
      </c>
      <c r="D2863" s="1">
        <v>35.75</v>
      </c>
      <c r="E2863" s="1">
        <v>36.11</v>
      </c>
      <c r="F2863" s="1">
        <v>5004100</v>
      </c>
      <c r="G2863" s="1">
        <v>36.11</v>
      </c>
      <c r="H2863" s="1">
        <f t="shared" si="396"/>
        <v>1.5300000000000011</v>
      </c>
      <c r="I2863" s="9">
        <f t="shared" si="403"/>
        <v>4.2797202797202831E-2</v>
      </c>
      <c r="J2863" s="1">
        <f t="shared" si="404"/>
        <v>-0.68999999999999773</v>
      </c>
      <c r="K2863" s="9">
        <f t="shared" si="397"/>
        <v>-1.874999999999994E-2</v>
      </c>
      <c r="L2863" s="1">
        <f t="shared" si="398"/>
        <v>1</v>
      </c>
      <c r="M2863" s="1">
        <f t="shared" si="399"/>
        <v>37.28</v>
      </c>
      <c r="N2863" s="1">
        <f t="shared" si="400"/>
        <v>35.75</v>
      </c>
      <c r="O2863" s="1">
        <f t="shared" si="401"/>
        <v>34.15</v>
      </c>
      <c r="P2863" s="1">
        <f t="shared" si="402"/>
        <v>17.423469387755102</v>
      </c>
    </row>
    <row r="2864" spans="1:16">
      <c r="A2864" s="2">
        <v>38904</v>
      </c>
      <c r="B2864" s="1">
        <v>37.07</v>
      </c>
      <c r="C2864" s="1">
        <v>37.74</v>
      </c>
      <c r="D2864" s="1">
        <v>36.520000000000003</v>
      </c>
      <c r="E2864" s="1">
        <v>36.799999999999997</v>
      </c>
      <c r="F2864" s="1">
        <v>4372700</v>
      </c>
      <c r="G2864" s="1">
        <v>36.799999999999997</v>
      </c>
      <c r="H2864" s="1">
        <f t="shared" si="396"/>
        <v>1.2199999999999989</v>
      </c>
      <c r="I2864" s="9">
        <f t="shared" si="403"/>
        <v>3.3406352683461087E-2</v>
      </c>
      <c r="J2864" s="1">
        <f t="shared" si="404"/>
        <v>-0.31000000000000227</v>
      </c>
      <c r="K2864" s="9">
        <f t="shared" si="397"/>
        <v>-8.3535435192671047E-3</v>
      </c>
      <c r="L2864" s="1">
        <f t="shared" si="398"/>
        <v>1</v>
      </c>
      <c r="M2864" s="1">
        <f t="shared" si="399"/>
        <v>37.74</v>
      </c>
      <c r="N2864" s="1">
        <f t="shared" si="400"/>
        <v>36.520000000000003</v>
      </c>
      <c r="O2864" s="1">
        <f t="shared" si="401"/>
        <v>34.839999999999996</v>
      </c>
      <c r="P2864" s="1">
        <f t="shared" si="402"/>
        <v>17.77551020408163</v>
      </c>
    </row>
    <row r="2865" spans="1:16">
      <c r="A2865" s="2">
        <v>38903</v>
      </c>
      <c r="B2865" s="1">
        <v>38.28</v>
      </c>
      <c r="C2865" s="1">
        <v>38.43</v>
      </c>
      <c r="D2865" s="1">
        <v>36.78</v>
      </c>
      <c r="E2865" s="1">
        <v>37.11</v>
      </c>
      <c r="F2865" s="1">
        <v>5734000</v>
      </c>
      <c r="G2865" s="1">
        <v>37.11</v>
      </c>
      <c r="H2865" s="1">
        <f t="shared" si="396"/>
        <v>1.6499999999999986</v>
      </c>
      <c r="I2865" s="9">
        <f t="shared" si="403"/>
        <v>4.4861337683523614E-2</v>
      </c>
      <c r="J2865" s="1">
        <f t="shared" si="404"/>
        <v>-1.5</v>
      </c>
      <c r="K2865" s="9">
        <f t="shared" si="397"/>
        <v>-3.8850038850038848E-2</v>
      </c>
      <c r="L2865" s="1">
        <f t="shared" si="398"/>
        <v>1</v>
      </c>
      <c r="M2865" s="1">
        <f t="shared" si="399"/>
        <v>38.43</v>
      </c>
      <c r="N2865" s="1">
        <f t="shared" si="400"/>
        <v>36.78</v>
      </c>
      <c r="O2865" s="1">
        <f t="shared" si="401"/>
        <v>35.15</v>
      </c>
      <c r="P2865" s="1">
        <f t="shared" si="402"/>
        <v>17.933673469387756</v>
      </c>
    </row>
    <row r="2866" spans="1:16">
      <c r="A2866" s="2">
        <v>38901</v>
      </c>
      <c r="B2866" s="1">
        <v>38.520000000000003</v>
      </c>
      <c r="C2866" s="1">
        <v>38.619999999999997</v>
      </c>
      <c r="D2866" s="1">
        <v>38.229999999999997</v>
      </c>
      <c r="E2866" s="1">
        <v>38.61</v>
      </c>
      <c r="F2866" s="1">
        <v>1436300</v>
      </c>
      <c r="G2866" s="1">
        <v>38.61</v>
      </c>
      <c r="H2866" s="1">
        <f t="shared" si="396"/>
        <v>0.39000000000000057</v>
      </c>
      <c r="I2866" s="9">
        <f t="shared" si="403"/>
        <v>1.0201412503269698E-2</v>
      </c>
      <c r="J2866" s="1">
        <f t="shared" si="404"/>
        <v>-7.0000000000000284E-2</v>
      </c>
      <c r="K2866" s="9">
        <f t="shared" si="397"/>
        <v>-1.8097207859358916E-3</v>
      </c>
      <c r="L2866" s="1">
        <f t="shared" si="398"/>
        <v>1</v>
      </c>
      <c r="M2866" s="1">
        <f t="shared" si="399"/>
        <v>38.619999999999997</v>
      </c>
      <c r="N2866" s="1">
        <f t="shared" si="400"/>
        <v>38.229999999999997</v>
      </c>
      <c r="O2866" s="1">
        <f t="shared" si="401"/>
        <v>36.65</v>
      </c>
      <c r="P2866" s="1">
        <f t="shared" si="402"/>
        <v>18.698979591836736</v>
      </c>
    </row>
    <row r="2867" spans="1:16">
      <c r="A2867" s="2">
        <v>38898</v>
      </c>
      <c r="B2867" s="1">
        <v>38.58</v>
      </c>
      <c r="C2867" s="1">
        <v>38.840000000000003</v>
      </c>
      <c r="D2867" s="1">
        <v>37.83</v>
      </c>
      <c r="E2867" s="1">
        <v>38.68</v>
      </c>
      <c r="F2867" s="1">
        <v>5191200</v>
      </c>
      <c r="G2867" s="1">
        <v>38.68</v>
      </c>
      <c r="H2867" s="1">
        <f t="shared" si="396"/>
        <v>1.0100000000000051</v>
      </c>
      <c r="I2867" s="9">
        <f t="shared" si="403"/>
        <v>2.6698387523129929E-2</v>
      </c>
      <c r="J2867" s="1">
        <f t="shared" si="404"/>
        <v>0.15999999999999659</v>
      </c>
      <c r="K2867" s="9">
        <f t="shared" si="397"/>
        <v>4.1536863966769623E-3</v>
      </c>
      <c r="L2867" s="1">
        <f t="shared" si="398"/>
        <v>1</v>
      </c>
      <c r="M2867" s="1">
        <f t="shared" si="399"/>
        <v>38.840000000000003</v>
      </c>
      <c r="N2867" s="1">
        <f t="shared" si="400"/>
        <v>37.83</v>
      </c>
      <c r="O2867" s="1">
        <f t="shared" si="401"/>
        <v>36.72</v>
      </c>
      <c r="P2867" s="1">
        <f t="shared" si="402"/>
        <v>18.73469387755102</v>
      </c>
    </row>
    <row r="2868" spans="1:16">
      <c r="A2868" s="2">
        <v>38897</v>
      </c>
      <c r="B2868" s="1">
        <v>36.82</v>
      </c>
      <c r="C2868" s="1">
        <v>38.57</v>
      </c>
      <c r="D2868" s="1">
        <v>36.700000000000003</v>
      </c>
      <c r="E2868" s="1">
        <v>38.520000000000003</v>
      </c>
      <c r="F2868" s="1">
        <v>6372500</v>
      </c>
      <c r="G2868" s="1">
        <v>38.520000000000003</v>
      </c>
      <c r="H2868" s="1">
        <f t="shared" si="396"/>
        <v>1.8699999999999974</v>
      </c>
      <c r="I2868" s="9">
        <f t="shared" si="403"/>
        <v>5.0953678474114368E-2</v>
      </c>
      <c r="J2868" s="1">
        <f t="shared" si="404"/>
        <v>1.8200000000000003</v>
      </c>
      <c r="K2868" s="9">
        <f t="shared" si="397"/>
        <v>4.9591280653950957E-2</v>
      </c>
      <c r="L2868" s="1">
        <f t="shared" si="398"/>
        <v>1</v>
      </c>
      <c r="M2868" s="1">
        <f t="shared" si="399"/>
        <v>38.57</v>
      </c>
      <c r="N2868" s="1">
        <f t="shared" si="400"/>
        <v>36.700000000000003</v>
      </c>
      <c r="O2868" s="1">
        <f t="shared" si="401"/>
        <v>36.56</v>
      </c>
      <c r="P2868" s="1">
        <f t="shared" si="402"/>
        <v>18.653061224489797</v>
      </c>
    </row>
    <row r="2869" spans="1:16">
      <c r="A2869" s="2">
        <v>38896</v>
      </c>
      <c r="B2869" s="1">
        <v>36.700000000000003</v>
      </c>
      <c r="C2869" s="1">
        <v>37.11</v>
      </c>
      <c r="D2869" s="1">
        <v>36.479999999999997</v>
      </c>
      <c r="E2869" s="1">
        <v>36.700000000000003</v>
      </c>
      <c r="F2869" s="1">
        <v>3751700</v>
      </c>
      <c r="G2869" s="1">
        <v>36.700000000000003</v>
      </c>
      <c r="H2869" s="1">
        <f t="shared" si="396"/>
        <v>0.63000000000000256</v>
      </c>
      <c r="I2869" s="9">
        <f t="shared" si="403"/>
        <v>1.7269736842105334E-2</v>
      </c>
      <c r="J2869" s="1">
        <f t="shared" si="404"/>
        <v>0.22000000000000597</v>
      </c>
      <c r="K2869" s="9">
        <f t="shared" si="397"/>
        <v>6.0307017543861294E-3</v>
      </c>
      <c r="L2869" s="1">
        <f t="shared" si="398"/>
        <v>1</v>
      </c>
      <c r="M2869" s="1">
        <f t="shared" si="399"/>
        <v>37.11</v>
      </c>
      <c r="N2869" s="1">
        <f t="shared" si="400"/>
        <v>36.479999999999997</v>
      </c>
      <c r="O2869" s="1">
        <f t="shared" si="401"/>
        <v>34.74</v>
      </c>
      <c r="P2869" s="1">
        <f t="shared" si="402"/>
        <v>17.72448979591837</v>
      </c>
    </row>
    <row r="2870" spans="1:16">
      <c r="A2870" s="2">
        <v>38895</v>
      </c>
      <c r="B2870" s="1">
        <v>36.72</v>
      </c>
      <c r="C2870" s="1">
        <v>37.5</v>
      </c>
      <c r="D2870" s="1">
        <v>36.17</v>
      </c>
      <c r="E2870" s="1">
        <v>36.479999999999997</v>
      </c>
      <c r="F2870" s="1">
        <v>5641000</v>
      </c>
      <c r="G2870" s="1">
        <v>36.479999999999997</v>
      </c>
      <c r="H2870" s="1">
        <f t="shared" si="396"/>
        <v>1.3299999999999983</v>
      </c>
      <c r="I2870" s="9">
        <f t="shared" si="403"/>
        <v>3.6770804534144268E-2</v>
      </c>
      <c r="J2870" s="1">
        <f t="shared" si="404"/>
        <v>-0.29000000000000625</v>
      </c>
      <c r="K2870" s="9">
        <f t="shared" si="397"/>
        <v>-7.8868642915421866E-3</v>
      </c>
      <c r="L2870" s="1">
        <f t="shared" si="398"/>
        <v>1</v>
      </c>
      <c r="M2870" s="1">
        <f t="shared" si="399"/>
        <v>37.5</v>
      </c>
      <c r="N2870" s="1">
        <f t="shared" si="400"/>
        <v>36.17</v>
      </c>
      <c r="O2870" s="1">
        <f t="shared" si="401"/>
        <v>34.519999999999996</v>
      </c>
      <c r="P2870" s="1">
        <f t="shared" si="402"/>
        <v>17.612244897959183</v>
      </c>
    </row>
    <row r="2871" spans="1:16">
      <c r="A2871" s="2">
        <v>38894</v>
      </c>
      <c r="B2871" s="1">
        <v>36.549999999999997</v>
      </c>
      <c r="C2871" s="1">
        <v>37.17</v>
      </c>
      <c r="D2871" s="1">
        <v>36.43</v>
      </c>
      <c r="E2871" s="1">
        <v>36.770000000000003</v>
      </c>
      <c r="F2871" s="1">
        <v>3605800</v>
      </c>
      <c r="G2871" s="1">
        <v>36.770000000000003</v>
      </c>
      <c r="H2871" s="1">
        <f t="shared" si="396"/>
        <v>0.74000000000000199</v>
      </c>
      <c r="I2871" s="9">
        <f t="shared" si="403"/>
        <v>2.0312928904748888E-2</v>
      </c>
      <c r="J2871" s="1">
        <f t="shared" si="404"/>
        <v>0.22000000000000597</v>
      </c>
      <c r="K2871" s="9">
        <f t="shared" si="397"/>
        <v>6.0191518467853896E-3</v>
      </c>
      <c r="L2871" s="1">
        <f t="shared" si="398"/>
        <v>1</v>
      </c>
      <c r="M2871" s="1">
        <f t="shared" si="399"/>
        <v>37.17</v>
      </c>
      <c r="N2871" s="1">
        <f t="shared" si="400"/>
        <v>36.43</v>
      </c>
      <c r="O2871" s="1">
        <f t="shared" si="401"/>
        <v>34.81</v>
      </c>
      <c r="P2871" s="1">
        <f t="shared" si="402"/>
        <v>17.760204081632654</v>
      </c>
    </row>
    <row r="2872" spans="1:16">
      <c r="A2872" s="2">
        <v>38891</v>
      </c>
      <c r="B2872" s="1">
        <v>36.46</v>
      </c>
      <c r="C2872" s="1">
        <v>36.65</v>
      </c>
      <c r="D2872" s="1">
        <v>36.020000000000003</v>
      </c>
      <c r="E2872" s="1">
        <v>36.549999999999997</v>
      </c>
      <c r="F2872" s="1">
        <v>3923400</v>
      </c>
      <c r="G2872" s="1">
        <v>36.549999999999997</v>
      </c>
      <c r="H2872" s="1">
        <f t="shared" si="396"/>
        <v>0.62999999999999545</v>
      </c>
      <c r="I2872" s="9">
        <f t="shared" si="403"/>
        <v>1.7490283176013199E-2</v>
      </c>
      <c r="J2872" s="1">
        <f t="shared" si="404"/>
        <v>0.17999999999999972</v>
      </c>
      <c r="K2872" s="9">
        <f t="shared" si="397"/>
        <v>4.9491339015672181E-3</v>
      </c>
      <c r="L2872" s="1">
        <f t="shared" si="398"/>
        <v>1</v>
      </c>
      <c r="M2872" s="1">
        <f t="shared" si="399"/>
        <v>36.65</v>
      </c>
      <c r="N2872" s="1">
        <f t="shared" si="400"/>
        <v>36.020000000000003</v>
      </c>
      <c r="O2872" s="1">
        <f t="shared" si="401"/>
        <v>34.589999999999996</v>
      </c>
      <c r="P2872" s="1">
        <f t="shared" si="402"/>
        <v>17.647959183673468</v>
      </c>
    </row>
    <row r="2873" spans="1:16">
      <c r="A2873" s="2">
        <v>38890</v>
      </c>
      <c r="B2873" s="1">
        <v>36.549999999999997</v>
      </c>
      <c r="C2873" s="1">
        <v>36.85</v>
      </c>
      <c r="D2873" s="1">
        <v>36.11</v>
      </c>
      <c r="E2873" s="1">
        <v>36.369999999999997</v>
      </c>
      <c r="F2873" s="1">
        <v>4732000</v>
      </c>
      <c r="G2873" s="1">
        <v>36.369999999999997</v>
      </c>
      <c r="H2873" s="1">
        <f t="shared" si="396"/>
        <v>0.74000000000000199</v>
      </c>
      <c r="I2873" s="9">
        <f t="shared" si="403"/>
        <v>2.0492938244253724E-2</v>
      </c>
      <c r="J2873" s="1">
        <f t="shared" si="404"/>
        <v>-0.28000000000000114</v>
      </c>
      <c r="K2873" s="9">
        <f t="shared" si="397"/>
        <v>-7.6398362892224052E-3</v>
      </c>
      <c r="L2873" s="1">
        <f t="shared" si="398"/>
        <v>1</v>
      </c>
      <c r="M2873" s="1">
        <f t="shared" si="399"/>
        <v>36.85</v>
      </c>
      <c r="N2873" s="1">
        <f t="shared" si="400"/>
        <v>36.11</v>
      </c>
      <c r="O2873" s="1">
        <f t="shared" si="401"/>
        <v>34.409999999999997</v>
      </c>
      <c r="P2873" s="1">
        <f t="shared" si="402"/>
        <v>17.55612244897959</v>
      </c>
    </row>
    <row r="2874" spans="1:16">
      <c r="A2874" s="2">
        <v>38889</v>
      </c>
      <c r="B2874" s="1">
        <v>35.340000000000003</v>
      </c>
      <c r="C2874" s="1">
        <v>37.049999999999997</v>
      </c>
      <c r="D2874" s="1">
        <v>35.340000000000003</v>
      </c>
      <c r="E2874" s="1">
        <v>36.65</v>
      </c>
      <c r="F2874" s="1">
        <v>7865300</v>
      </c>
      <c r="G2874" s="1">
        <v>36.65</v>
      </c>
      <c r="H2874" s="1">
        <f t="shared" si="396"/>
        <v>1.7099999999999937</v>
      </c>
      <c r="I2874" s="9">
        <f t="shared" si="403"/>
        <v>4.8387096774193367E-2</v>
      </c>
      <c r="J2874" s="1">
        <f t="shared" si="404"/>
        <v>1.1700000000000017</v>
      </c>
      <c r="K2874" s="9">
        <f t="shared" si="397"/>
        <v>3.2976324689966231E-2</v>
      </c>
      <c r="L2874" s="1">
        <f t="shared" si="398"/>
        <v>1</v>
      </c>
      <c r="M2874" s="1">
        <f t="shared" si="399"/>
        <v>37.049999999999997</v>
      </c>
      <c r="N2874" s="1">
        <f t="shared" si="400"/>
        <v>35.340000000000003</v>
      </c>
      <c r="O2874" s="1">
        <f t="shared" si="401"/>
        <v>34.69</v>
      </c>
      <c r="P2874" s="1">
        <f t="shared" si="402"/>
        <v>17.698979591836732</v>
      </c>
    </row>
    <row r="2875" spans="1:16">
      <c r="A2875" s="2">
        <v>38888</v>
      </c>
      <c r="B2875" s="1">
        <v>35.01</v>
      </c>
      <c r="C2875" s="1">
        <v>35.65</v>
      </c>
      <c r="D2875" s="1">
        <v>34.880000000000003</v>
      </c>
      <c r="E2875" s="1">
        <v>35.479999999999997</v>
      </c>
      <c r="F2875" s="1">
        <v>4465500</v>
      </c>
      <c r="G2875" s="1">
        <v>35.479999999999997</v>
      </c>
      <c r="H2875" s="1">
        <f t="shared" si="396"/>
        <v>0.76999999999999602</v>
      </c>
      <c r="I2875" s="9">
        <f t="shared" si="403"/>
        <v>2.207568807339438E-2</v>
      </c>
      <c r="J2875" s="1">
        <f t="shared" si="404"/>
        <v>0.40999999999999659</v>
      </c>
      <c r="K2875" s="9">
        <f t="shared" si="397"/>
        <v>1.1690903906472672E-2</v>
      </c>
      <c r="L2875" s="1">
        <f t="shared" si="398"/>
        <v>1</v>
      </c>
      <c r="M2875" s="1">
        <f t="shared" si="399"/>
        <v>35.65</v>
      </c>
      <c r="N2875" s="1">
        <f t="shared" si="400"/>
        <v>34.880000000000003</v>
      </c>
      <c r="O2875" s="1">
        <f t="shared" si="401"/>
        <v>33.519999999999996</v>
      </c>
      <c r="P2875" s="1">
        <f t="shared" si="402"/>
        <v>17.102040816326529</v>
      </c>
    </row>
    <row r="2876" spans="1:16">
      <c r="A2876" s="2">
        <v>38887</v>
      </c>
      <c r="B2876" s="1">
        <v>35.200000000000003</v>
      </c>
      <c r="C2876" s="1">
        <v>35.479999999999997</v>
      </c>
      <c r="D2876" s="1">
        <v>35.04</v>
      </c>
      <c r="E2876" s="1">
        <v>35.07</v>
      </c>
      <c r="F2876" s="1">
        <v>4211600</v>
      </c>
      <c r="G2876" s="1">
        <v>35.07</v>
      </c>
      <c r="H2876" s="1">
        <f t="shared" si="396"/>
        <v>0.43999999999999773</v>
      </c>
      <c r="I2876" s="9">
        <f t="shared" si="403"/>
        <v>1.2557077625570711E-2</v>
      </c>
      <c r="J2876" s="1">
        <f t="shared" si="404"/>
        <v>-2.0000000000003126E-2</v>
      </c>
      <c r="K2876" s="9">
        <f t="shared" si="397"/>
        <v>-5.6996295240818251E-4</v>
      </c>
      <c r="L2876" s="1">
        <f t="shared" si="398"/>
        <v>1</v>
      </c>
      <c r="M2876" s="1">
        <f t="shared" si="399"/>
        <v>35.479999999999997</v>
      </c>
      <c r="N2876" s="1">
        <f t="shared" si="400"/>
        <v>35.04</v>
      </c>
      <c r="O2876" s="1">
        <f t="shared" si="401"/>
        <v>33.11</v>
      </c>
      <c r="P2876" s="1">
        <f t="shared" si="402"/>
        <v>16.892857142857142</v>
      </c>
    </row>
    <row r="2877" spans="1:16">
      <c r="A2877" s="2">
        <v>38884</v>
      </c>
      <c r="B2877" s="1">
        <v>34.880000000000003</v>
      </c>
      <c r="C2877" s="1">
        <v>35.26</v>
      </c>
      <c r="D2877" s="1">
        <v>34.700000000000003</v>
      </c>
      <c r="E2877" s="1">
        <v>35.090000000000003</v>
      </c>
      <c r="F2877" s="1">
        <v>5135100</v>
      </c>
      <c r="G2877" s="1">
        <v>35.090000000000003</v>
      </c>
      <c r="H2877" s="1">
        <f t="shared" si="396"/>
        <v>0.55999999999999517</v>
      </c>
      <c r="I2877" s="9">
        <f t="shared" si="403"/>
        <v>1.6138328530259226E-2</v>
      </c>
      <c r="J2877" s="1">
        <f t="shared" si="404"/>
        <v>0.13000000000000256</v>
      </c>
      <c r="K2877" s="9">
        <f t="shared" si="397"/>
        <v>3.7185354691076245E-3</v>
      </c>
      <c r="L2877" s="1">
        <f t="shared" si="398"/>
        <v>1</v>
      </c>
      <c r="M2877" s="1">
        <f t="shared" si="399"/>
        <v>35.26</v>
      </c>
      <c r="N2877" s="1">
        <f t="shared" si="400"/>
        <v>34.700000000000003</v>
      </c>
      <c r="O2877" s="1">
        <f t="shared" si="401"/>
        <v>33.130000000000003</v>
      </c>
      <c r="P2877" s="1">
        <f t="shared" si="402"/>
        <v>16.903061224489797</v>
      </c>
    </row>
    <row r="2878" spans="1:16">
      <c r="A2878" s="2">
        <v>38883</v>
      </c>
      <c r="B2878" s="1">
        <v>33.840000000000003</v>
      </c>
      <c r="C2878" s="1">
        <v>35.17</v>
      </c>
      <c r="D2878" s="1">
        <v>33.67</v>
      </c>
      <c r="E2878" s="1">
        <v>34.96</v>
      </c>
      <c r="F2878" s="1">
        <v>6206100</v>
      </c>
      <c r="G2878" s="1">
        <v>34.96</v>
      </c>
      <c r="H2878" s="1">
        <f t="shared" si="396"/>
        <v>1.5</v>
      </c>
      <c r="I2878" s="9">
        <f t="shared" si="403"/>
        <v>4.4550044550044549E-2</v>
      </c>
      <c r="J2878" s="1">
        <f t="shared" si="404"/>
        <v>1.2800000000000011</v>
      </c>
      <c r="K2878" s="9">
        <f t="shared" si="397"/>
        <v>3.8004750593824264E-2</v>
      </c>
      <c r="L2878" s="1">
        <f t="shared" si="398"/>
        <v>1</v>
      </c>
      <c r="M2878" s="1">
        <f t="shared" si="399"/>
        <v>35.17</v>
      </c>
      <c r="N2878" s="1">
        <f t="shared" si="400"/>
        <v>33.67</v>
      </c>
      <c r="O2878" s="1">
        <f t="shared" si="401"/>
        <v>33</v>
      </c>
      <c r="P2878" s="1">
        <f t="shared" si="402"/>
        <v>16.836734693877553</v>
      </c>
    </row>
    <row r="2879" spans="1:16">
      <c r="A2879" s="2">
        <v>38882</v>
      </c>
      <c r="B2879" s="1">
        <v>33.5</v>
      </c>
      <c r="C2879" s="1">
        <v>33.99</v>
      </c>
      <c r="D2879" s="1">
        <v>33.08</v>
      </c>
      <c r="E2879" s="1">
        <v>33.68</v>
      </c>
      <c r="F2879" s="1">
        <v>4869100</v>
      </c>
      <c r="G2879" s="1">
        <v>33.68</v>
      </c>
      <c r="H2879" s="1">
        <f t="shared" si="396"/>
        <v>0.91000000000000369</v>
      </c>
      <c r="I2879" s="9">
        <f t="shared" si="403"/>
        <v>2.7509068923821153E-2</v>
      </c>
      <c r="J2879" s="1">
        <f t="shared" si="404"/>
        <v>0.21000000000000085</v>
      </c>
      <c r="K2879" s="9">
        <f t="shared" si="397"/>
        <v>6.2742754705706859E-3</v>
      </c>
      <c r="L2879" s="1">
        <f t="shared" si="398"/>
        <v>1</v>
      </c>
      <c r="M2879" s="1">
        <f t="shared" si="399"/>
        <v>33.99</v>
      </c>
      <c r="N2879" s="1">
        <f t="shared" si="400"/>
        <v>33.08</v>
      </c>
      <c r="O2879" s="1">
        <f t="shared" si="401"/>
        <v>31.72</v>
      </c>
      <c r="P2879" s="1">
        <f t="shared" si="402"/>
        <v>16.183673469387756</v>
      </c>
    </row>
    <row r="2880" spans="1:16">
      <c r="A2880" s="2">
        <v>38881</v>
      </c>
      <c r="B2880" s="1">
        <v>33.49</v>
      </c>
      <c r="C2880" s="1">
        <v>34.17</v>
      </c>
      <c r="D2880" s="1">
        <v>33.130000000000003</v>
      </c>
      <c r="E2880" s="1">
        <v>33.47</v>
      </c>
      <c r="F2880" s="1">
        <v>5403000</v>
      </c>
      <c r="G2880" s="1">
        <v>33.47</v>
      </c>
      <c r="H2880" s="1">
        <f t="shared" si="396"/>
        <v>1.0399999999999991</v>
      </c>
      <c r="I2880" s="9">
        <f t="shared" si="403"/>
        <v>3.139148807727133E-2</v>
      </c>
      <c r="J2880" s="1">
        <f t="shared" si="404"/>
        <v>-0.13000000000000256</v>
      </c>
      <c r="K2880" s="9">
        <f t="shared" si="397"/>
        <v>-3.8690476190476951E-3</v>
      </c>
      <c r="L2880" s="1">
        <f t="shared" si="398"/>
        <v>1</v>
      </c>
      <c r="M2880" s="1">
        <f t="shared" si="399"/>
        <v>34.17</v>
      </c>
      <c r="N2880" s="1">
        <f t="shared" si="400"/>
        <v>33.130000000000003</v>
      </c>
      <c r="O2880" s="1">
        <f t="shared" si="401"/>
        <v>31.509999999999998</v>
      </c>
      <c r="P2880" s="1">
        <f t="shared" si="402"/>
        <v>16.076530612244898</v>
      </c>
    </row>
    <row r="2881" spans="1:16">
      <c r="A2881" s="2">
        <v>38880</v>
      </c>
      <c r="B2881" s="1">
        <v>34</v>
      </c>
      <c r="C2881" s="1">
        <v>34.450000000000003</v>
      </c>
      <c r="D2881" s="1">
        <v>33.49</v>
      </c>
      <c r="E2881" s="1">
        <v>33.6</v>
      </c>
      <c r="F2881" s="1">
        <v>4195800</v>
      </c>
      <c r="G2881" s="1">
        <v>33.6</v>
      </c>
      <c r="H2881" s="1">
        <f t="shared" si="396"/>
        <v>0.96000000000000085</v>
      </c>
      <c r="I2881" s="9">
        <f t="shared" si="403"/>
        <v>2.8665273215885363E-2</v>
      </c>
      <c r="J2881" s="1">
        <f t="shared" si="404"/>
        <v>-0.17999999999999972</v>
      </c>
      <c r="K2881" s="9">
        <f t="shared" si="397"/>
        <v>-5.3285968028419098E-3</v>
      </c>
      <c r="L2881" s="1">
        <f t="shared" si="398"/>
        <v>1</v>
      </c>
      <c r="M2881" s="1">
        <f t="shared" si="399"/>
        <v>34.450000000000003</v>
      </c>
      <c r="N2881" s="1">
        <f t="shared" si="400"/>
        <v>33.49</v>
      </c>
      <c r="O2881" s="1">
        <f t="shared" si="401"/>
        <v>31.64</v>
      </c>
      <c r="P2881" s="1">
        <f t="shared" si="402"/>
        <v>16.142857142857142</v>
      </c>
    </row>
    <row r="2882" spans="1:16">
      <c r="A2882" s="2">
        <v>38877</v>
      </c>
      <c r="B2882" s="1">
        <v>33.5</v>
      </c>
      <c r="C2882" s="1">
        <v>34.35</v>
      </c>
      <c r="D2882" s="1">
        <v>33.450000000000003</v>
      </c>
      <c r="E2882" s="1">
        <v>33.78</v>
      </c>
      <c r="F2882" s="1">
        <v>5232600</v>
      </c>
      <c r="G2882" s="1">
        <v>33.78</v>
      </c>
      <c r="H2882" s="1">
        <f t="shared" si="396"/>
        <v>0.89999999999999858</v>
      </c>
      <c r="I2882" s="9">
        <f t="shared" si="403"/>
        <v>2.6905829596412512E-2</v>
      </c>
      <c r="J2882" s="1">
        <f t="shared" si="404"/>
        <v>0.23000000000000398</v>
      </c>
      <c r="K2882" s="9">
        <f t="shared" si="397"/>
        <v>6.855439642325007E-3</v>
      </c>
      <c r="L2882" s="1">
        <f t="shared" si="398"/>
        <v>1</v>
      </c>
      <c r="M2882" s="1">
        <f t="shared" si="399"/>
        <v>34.35</v>
      </c>
      <c r="N2882" s="1">
        <f t="shared" si="400"/>
        <v>33.450000000000003</v>
      </c>
      <c r="O2882" s="1">
        <f t="shared" si="401"/>
        <v>31.82</v>
      </c>
      <c r="P2882" s="1">
        <f t="shared" si="402"/>
        <v>16.23469387755102</v>
      </c>
    </row>
    <row r="2883" spans="1:16">
      <c r="A2883" s="2">
        <v>38876</v>
      </c>
      <c r="B2883" s="1">
        <v>33.549999999999997</v>
      </c>
      <c r="C2883" s="1">
        <v>34.06</v>
      </c>
      <c r="D2883" s="1">
        <v>32.42</v>
      </c>
      <c r="E2883" s="1">
        <v>33.549999999999997</v>
      </c>
      <c r="F2883" s="1">
        <v>8311000</v>
      </c>
      <c r="G2883" s="1">
        <v>33.549999999999997</v>
      </c>
      <c r="H2883" s="1">
        <f t="shared" ref="H2883:H2946" si="405">C2883-D2883</f>
        <v>1.6400000000000006</v>
      </c>
      <c r="I2883" s="9">
        <f t="shared" si="403"/>
        <v>5.0586057988895761E-2</v>
      </c>
      <c r="J2883" s="1">
        <f t="shared" si="404"/>
        <v>-0.22000000000000597</v>
      </c>
      <c r="K2883" s="9">
        <f t="shared" ref="K2883:K2946" si="406">(G2883-G2884)/G2884</f>
        <v>-6.5146579804562024E-3</v>
      </c>
      <c r="L2883" s="1">
        <f t="shared" ref="L2883:L2946" si="407">G2883/E2883</f>
        <v>1</v>
      </c>
      <c r="M2883" s="1">
        <f t="shared" ref="M2883:M2946" si="408">L2883*C2883</f>
        <v>34.06</v>
      </c>
      <c r="N2883" s="1">
        <f t="shared" ref="N2883:N2946" si="409">L2883*D2883</f>
        <v>32.42</v>
      </c>
      <c r="O2883" s="1">
        <f t="shared" ref="O2883:O2946" si="410">G2883-$G$5163</f>
        <v>31.589999999999996</v>
      </c>
      <c r="P2883" s="1">
        <f t="shared" ref="P2883:P2946" si="411">(G2883-$G$5163)/$G$5163</f>
        <v>16.117346938775508</v>
      </c>
    </row>
    <row r="2884" spans="1:16">
      <c r="A2884" s="2">
        <v>38875</v>
      </c>
      <c r="B2884" s="1">
        <v>33.4</v>
      </c>
      <c r="C2884" s="1">
        <v>34.54</v>
      </c>
      <c r="D2884" s="1">
        <v>32.909999999999997</v>
      </c>
      <c r="E2884" s="1">
        <v>33.770000000000003</v>
      </c>
      <c r="F2884" s="1">
        <v>5303800</v>
      </c>
      <c r="G2884" s="1">
        <v>33.770000000000003</v>
      </c>
      <c r="H2884" s="1">
        <f t="shared" si="405"/>
        <v>1.6300000000000026</v>
      </c>
      <c r="I2884" s="9">
        <f t="shared" ref="I2884:I2947" si="412">(C2884-D2884)/D2884</f>
        <v>4.9529018535399656E-2</v>
      </c>
      <c r="J2884" s="1">
        <f t="shared" ref="J2884:J2947" si="413">G2884-G2885</f>
        <v>0.36000000000000654</v>
      </c>
      <c r="K2884" s="9">
        <f t="shared" si="406"/>
        <v>1.0775217000898131E-2</v>
      </c>
      <c r="L2884" s="1">
        <f t="shared" si="407"/>
        <v>1</v>
      </c>
      <c r="M2884" s="1">
        <f t="shared" si="408"/>
        <v>34.54</v>
      </c>
      <c r="N2884" s="1">
        <f t="shared" si="409"/>
        <v>32.909999999999997</v>
      </c>
      <c r="O2884" s="1">
        <f t="shared" si="410"/>
        <v>31.810000000000002</v>
      </c>
      <c r="P2884" s="1">
        <f t="shared" si="411"/>
        <v>16.229591836734695</v>
      </c>
    </row>
    <row r="2885" spans="1:16">
      <c r="A2885" s="2">
        <v>38874</v>
      </c>
      <c r="B2885" s="1">
        <v>33.58</v>
      </c>
      <c r="C2885" s="1">
        <v>33.799999999999997</v>
      </c>
      <c r="D2885" s="1">
        <v>32.93</v>
      </c>
      <c r="E2885" s="1">
        <v>33.409999999999997</v>
      </c>
      <c r="F2885" s="1">
        <v>4276600</v>
      </c>
      <c r="G2885" s="1">
        <v>33.409999999999997</v>
      </c>
      <c r="H2885" s="1">
        <f t="shared" si="405"/>
        <v>0.86999999999999744</v>
      </c>
      <c r="I2885" s="9">
        <f t="shared" si="412"/>
        <v>2.6419678105071287E-2</v>
      </c>
      <c r="J2885" s="1">
        <f t="shared" si="413"/>
        <v>-8.00000000000054E-2</v>
      </c>
      <c r="K2885" s="9">
        <f t="shared" si="406"/>
        <v>-2.3887727679906059E-3</v>
      </c>
      <c r="L2885" s="1">
        <f t="shared" si="407"/>
        <v>1</v>
      </c>
      <c r="M2885" s="1">
        <f t="shared" si="408"/>
        <v>33.799999999999997</v>
      </c>
      <c r="N2885" s="1">
        <f t="shared" si="409"/>
        <v>32.93</v>
      </c>
      <c r="O2885" s="1">
        <f t="shared" si="410"/>
        <v>31.449999999999996</v>
      </c>
      <c r="P2885" s="1">
        <f t="shared" si="411"/>
        <v>16.045918367346935</v>
      </c>
    </row>
    <row r="2886" spans="1:16">
      <c r="A2886" s="2">
        <v>38873</v>
      </c>
      <c r="B2886" s="1">
        <v>34.46</v>
      </c>
      <c r="C2886" s="1">
        <v>34.54</v>
      </c>
      <c r="D2886" s="1">
        <v>33.270000000000003</v>
      </c>
      <c r="E2886" s="1">
        <v>33.49</v>
      </c>
      <c r="F2886" s="1">
        <v>5049400</v>
      </c>
      <c r="G2886" s="1">
        <v>33.49</v>
      </c>
      <c r="H2886" s="1">
        <f t="shared" si="405"/>
        <v>1.269999999999996</v>
      </c>
      <c r="I2886" s="9">
        <f t="shared" si="412"/>
        <v>3.8172527802825242E-2</v>
      </c>
      <c r="J2886" s="1">
        <f t="shared" si="413"/>
        <v>-1.269999999999996</v>
      </c>
      <c r="K2886" s="9">
        <f t="shared" si="406"/>
        <v>-3.6536248561564906E-2</v>
      </c>
      <c r="L2886" s="1">
        <f t="shared" si="407"/>
        <v>1</v>
      </c>
      <c r="M2886" s="1">
        <f t="shared" si="408"/>
        <v>34.54</v>
      </c>
      <c r="N2886" s="1">
        <f t="shared" si="409"/>
        <v>33.270000000000003</v>
      </c>
      <c r="O2886" s="1">
        <f t="shared" si="410"/>
        <v>31.53</v>
      </c>
      <c r="P2886" s="1">
        <f t="shared" si="411"/>
        <v>16.086734693877553</v>
      </c>
    </row>
    <row r="2887" spans="1:16">
      <c r="A2887" s="2">
        <v>38870</v>
      </c>
      <c r="B2887" s="1">
        <v>35.19</v>
      </c>
      <c r="C2887" s="1">
        <v>35.22</v>
      </c>
      <c r="D2887" s="1">
        <v>34.049999999999997</v>
      </c>
      <c r="E2887" s="1">
        <v>34.76</v>
      </c>
      <c r="F2887" s="1">
        <v>5442900</v>
      </c>
      <c r="G2887" s="1">
        <v>34.76</v>
      </c>
      <c r="H2887" s="1">
        <f t="shared" si="405"/>
        <v>1.1700000000000017</v>
      </c>
      <c r="I2887" s="9">
        <f t="shared" si="412"/>
        <v>3.4361233480176265E-2</v>
      </c>
      <c r="J2887" s="1">
        <f t="shared" si="413"/>
        <v>-0.31000000000000227</v>
      </c>
      <c r="K2887" s="9">
        <f t="shared" si="406"/>
        <v>-8.8394639292843531E-3</v>
      </c>
      <c r="L2887" s="1">
        <f t="shared" si="407"/>
        <v>1</v>
      </c>
      <c r="M2887" s="1">
        <f t="shared" si="408"/>
        <v>35.22</v>
      </c>
      <c r="N2887" s="1">
        <f t="shared" si="409"/>
        <v>34.049999999999997</v>
      </c>
      <c r="O2887" s="1">
        <f t="shared" si="410"/>
        <v>32.799999999999997</v>
      </c>
      <c r="P2887" s="1">
        <f t="shared" si="411"/>
        <v>16.73469387755102</v>
      </c>
    </row>
    <row r="2888" spans="1:16">
      <c r="A2888" s="2">
        <v>38869</v>
      </c>
      <c r="B2888" s="1">
        <v>34.630000000000003</v>
      </c>
      <c r="C2888" s="1">
        <v>35.450000000000003</v>
      </c>
      <c r="D2888" s="1">
        <v>34.299999999999997</v>
      </c>
      <c r="E2888" s="1">
        <v>35.07</v>
      </c>
      <c r="F2888" s="1">
        <v>5932000</v>
      </c>
      <c r="G2888" s="1">
        <v>35.07</v>
      </c>
      <c r="H2888" s="1">
        <f t="shared" si="405"/>
        <v>1.1500000000000057</v>
      </c>
      <c r="I2888" s="9">
        <f t="shared" si="412"/>
        <v>3.3527696793003083E-2</v>
      </c>
      <c r="J2888" s="1">
        <f t="shared" si="413"/>
        <v>0.46000000000000085</v>
      </c>
      <c r="K2888" s="9">
        <f t="shared" si="406"/>
        <v>1.3290956370991067E-2</v>
      </c>
      <c r="L2888" s="1">
        <f t="shared" si="407"/>
        <v>1</v>
      </c>
      <c r="M2888" s="1">
        <f t="shared" si="408"/>
        <v>35.450000000000003</v>
      </c>
      <c r="N2888" s="1">
        <f t="shared" si="409"/>
        <v>34.299999999999997</v>
      </c>
      <c r="O2888" s="1">
        <f t="shared" si="410"/>
        <v>33.11</v>
      </c>
      <c r="P2888" s="1">
        <f t="shared" si="411"/>
        <v>16.892857142857142</v>
      </c>
    </row>
    <row r="2889" spans="1:16">
      <c r="A2889" s="2">
        <v>38868</v>
      </c>
      <c r="B2889" s="1">
        <v>34.74</v>
      </c>
      <c r="C2889" s="1">
        <v>34.94</v>
      </c>
      <c r="D2889" s="1">
        <v>33.729999999999997</v>
      </c>
      <c r="E2889" s="1">
        <v>34.61</v>
      </c>
      <c r="F2889" s="1">
        <v>5196600</v>
      </c>
      <c r="G2889" s="1">
        <v>34.61</v>
      </c>
      <c r="H2889" s="1">
        <f t="shared" si="405"/>
        <v>1.2100000000000009</v>
      </c>
      <c r="I2889" s="9">
        <f t="shared" si="412"/>
        <v>3.5873109991105871E-2</v>
      </c>
      <c r="J2889" s="1">
        <f t="shared" si="413"/>
        <v>-3.0000000000001137E-2</v>
      </c>
      <c r="K2889" s="9">
        <f t="shared" si="406"/>
        <v>-8.6605080831412054E-4</v>
      </c>
      <c r="L2889" s="1">
        <f t="shared" si="407"/>
        <v>1</v>
      </c>
      <c r="M2889" s="1">
        <f t="shared" si="408"/>
        <v>34.94</v>
      </c>
      <c r="N2889" s="1">
        <f t="shared" si="409"/>
        <v>33.729999999999997</v>
      </c>
      <c r="O2889" s="1">
        <f t="shared" si="410"/>
        <v>32.65</v>
      </c>
      <c r="P2889" s="1">
        <f t="shared" si="411"/>
        <v>16.658163265306122</v>
      </c>
    </row>
    <row r="2890" spans="1:16">
      <c r="A2890" s="2">
        <v>38867</v>
      </c>
      <c r="B2890" s="1">
        <v>35.729999999999997</v>
      </c>
      <c r="C2890" s="1">
        <v>35.75</v>
      </c>
      <c r="D2890" s="1">
        <v>34.44</v>
      </c>
      <c r="E2890" s="1">
        <v>34.64</v>
      </c>
      <c r="F2890" s="1">
        <v>5920800</v>
      </c>
      <c r="G2890" s="1">
        <v>34.64</v>
      </c>
      <c r="H2890" s="1">
        <f t="shared" si="405"/>
        <v>1.3100000000000023</v>
      </c>
      <c r="I2890" s="9">
        <f t="shared" si="412"/>
        <v>3.8037166085946643E-2</v>
      </c>
      <c r="J2890" s="1">
        <f t="shared" si="413"/>
        <v>-1.4299999999999997</v>
      </c>
      <c r="K2890" s="9">
        <f t="shared" si="406"/>
        <v>-3.9645134460770719E-2</v>
      </c>
      <c r="L2890" s="1">
        <f t="shared" si="407"/>
        <v>1</v>
      </c>
      <c r="M2890" s="1">
        <f t="shared" si="408"/>
        <v>35.75</v>
      </c>
      <c r="N2890" s="1">
        <f t="shared" si="409"/>
        <v>34.44</v>
      </c>
      <c r="O2890" s="1">
        <f t="shared" si="410"/>
        <v>32.68</v>
      </c>
      <c r="P2890" s="1">
        <f t="shared" si="411"/>
        <v>16.673469387755102</v>
      </c>
    </row>
    <row r="2891" spans="1:16">
      <c r="A2891" s="2">
        <v>38863</v>
      </c>
      <c r="B2891" s="1">
        <v>35.659999999999997</v>
      </c>
      <c r="C2891" s="1">
        <v>36.5</v>
      </c>
      <c r="D2891" s="1">
        <v>35.46</v>
      </c>
      <c r="E2891" s="1">
        <v>36.07</v>
      </c>
      <c r="F2891" s="1">
        <v>4524300</v>
      </c>
      <c r="G2891" s="1">
        <v>36.07</v>
      </c>
      <c r="H2891" s="1">
        <f t="shared" si="405"/>
        <v>1.0399999999999991</v>
      </c>
      <c r="I2891" s="9">
        <f t="shared" si="412"/>
        <v>2.9328821206993771E-2</v>
      </c>
      <c r="J2891" s="1">
        <f t="shared" si="413"/>
        <v>0.43999999999999773</v>
      </c>
      <c r="K2891" s="9">
        <f t="shared" si="406"/>
        <v>1.2349143979792246E-2</v>
      </c>
      <c r="L2891" s="1">
        <f t="shared" si="407"/>
        <v>1</v>
      </c>
      <c r="M2891" s="1">
        <f t="shared" si="408"/>
        <v>36.5</v>
      </c>
      <c r="N2891" s="1">
        <f t="shared" si="409"/>
        <v>35.46</v>
      </c>
      <c r="O2891" s="1">
        <f t="shared" si="410"/>
        <v>34.11</v>
      </c>
      <c r="P2891" s="1">
        <f t="shared" si="411"/>
        <v>17.403061224489797</v>
      </c>
    </row>
    <row r="2892" spans="1:16">
      <c r="A2892" s="2">
        <v>38862</v>
      </c>
      <c r="B2892" s="1">
        <v>35.36</v>
      </c>
      <c r="C2892" s="1">
        <v>35.69</v>
      </c>
      <c r="D2892" s="1">
        <v>34.6</v>
      </c>
      <c r="E2892" s="1">
        <v>35.630000000000003</v>
      </c>
      <c r="F2892" s="1">
        <v>5845700</v>
      </c>
      <c r="G2892" s="1">
        <v>35.630000000000003</v>
      </c>
      <c r="H2892" s="1">
        <f t="shared" si="405"/>
        <v>1.0899999999999963</v>
      </c>
      <c r="I2892" s="9">
        <f t="shared" si="412"/>
        <v>3.1502890173410299E-2</v>
      </c>
      <c r="J2892" s="1">
        <f t="shared" si="413"/>
        <v>0.44000000000000483</v>
      </c>
      <c r="K2892" s="9">
        <f t="shared" si="406"/>
        <v>1.2503552145496017E-2</v>
      </c>
      <c r="L2892" s="1">
        <f t="shared" si="407"/>
        <v>1</v>
      </c>
      <c r="M2892" s="1">
        <f t="shared" si="408"/>
        <v>35.69</v>
      </c>
      <c r="N2892" s="1">
        <f t="shared" si="409"/>
        <v>34.6</v>
      </c>
      <c r="O2892" s="1">
        <f t="shared" si="410"/>
        <v>33.67</v>
      </c>
      <c r="P2892" s="1">
        <f t="shared" si="411"/>
        <v>17.178571428571431</v>
      </c>
    </row>
    <row r="2893" spans="1:16">
      <c r="A2893" s="2">
        <v>38861</v>
      </c>
      <c r="B2893" s="1">
        <v>33.409999999999997</v>
      </c>
      <c r="C2893" s="1">
        <v>35.229999999999997</v>
      </c>
      <c r="D2893" s="1">
        <v>33.369999999999997</v>
      </c>
      <c r="E2893" s="1">
        <v>35.19</v>
      </c>
      <c r="F2893" s="1">
        <v>9542100</v>
      </c>
      <c r="G2893" s="1">
        <v>35.19</v>
      </c>
      <c r="H2893" s="1">
        <f t="shared" si="405"/>
        <v>1.8599999999999994</v>
      </c>
      <c r="I2893" s="9">
        <f t="shared" si="412"/>
        <v>5.5738687443811795E-2</v>
      </c>
      <c r="J2893" s="1">
        <f t="shared" si="413"/>
        <v>1.4299999999999997</v>
      </c>
      <c r="K2893" s="9">
        <f t="shared" si="406"/>
        <v>4.2357819905213263E-2</v>
      </c>
      <c r="L2893" s="1">
        <f t="shared" si="407"/>
        <v>1</v>
      </c>
      <c r="M2893" s="1">
        <f t="shared" si="408"/>
        <v>35.229999999999997</v>
      </c>
      <c r="N2893" s="1">
        <f t="shared" si="409"/>
        <v>33.369999999999997</v>
      </c>
      <c r="O2893" s="1">
        <f t="shared" si="410"/>
        <v>33.229999999999997</v>
      </c>
      <c r="P2893" s="1">
        <f t="shared" si="411"/>
        <v>16.954081632653061</v>
      </c>
    </row>
    <row r="2894" spans="1:16">
      <c r="A2894" s="2">
        <v>38860</v>
      </c>
      <c r="B2894" s="1">
        <v>35</v>
      </c>
      <c r="C2894" s="1">
        <v>36</v>
      </c>
      <c r="D2894" s="1">
        <v>33.76</v>
      </c>
      <c r="E2894" s="1">
        <v>33.76</v>
      </c>
      <c r="F2894" s="1">
        <v>8822700</v>
      </c>
      <c r="G2894" s="1">
        <v>33.76</v>
      </c>
      <c r="H2894" s="1">
        <f t="shared" si="405"/>
        <v>2.240000000000002</v>
      </c>
      <c r="I2894" s="9">
        <f t="shared" si="412"/>
        <v>6.6350710900473994E-2</v>
      </c>
      <c r="J2894" s="1">
        <f t="shared" si="413"/>
        <v>-1.0700000000000003</v>
      </c>
      <c r="K2894" s="9">
        <f t="shared" si="406"/>
        <v>-3.072064312374391E-2</v>
      </c>
      <c r="L2894" s="1">
        <f t="shared" si="407"/>
        <v>1</v>
      </c>
      <c r="M2894" s="1">
        <f t="shared" si="408"/>
        <v>36</v>
      </c>
      <c r="N2894" s="1">
        <f t="shared" si="409"/>
        <v>33.76</v>
      </c>
      <c r="O2894" s="1">
        <f t="shared" si="410"/>
        <v>31.799999999999997</v>
      </c>
      <c r="P2894" s="1">
        <f t="shared" si="411"/>
        <v>16.224489795918366</v>
      </c>
    </row>
    <row r="2895" spans="1:16">
      <c r="A2895" s="2">
        <v>38859</v>
      </c>
      <c r="B2895" s="1">
        <v>33.96</v>
      </c>
      <c r="C2895" s="1">
        <v>34.99</v>
      </c>
      <c r="D2895" s="1">
        <v>33.18</v>
      </c>
      <c r="E2895" s="1">
        <v>34.83</v>
      </c>
      <c r="F2895" s="1">
        <v>11122900</v>
      </c>
      <c r="G2895" s="1">
        <v>34.83</v>
      </c>
      <c r="H2895" s="1">
        <f t="shared" si="405"/>
        <v>1.8100000000000023</v>
      </c>
      <c r="I2895" s="9">
        <f t="shared" si="412"/>
        <v>5.4550934297769811E-2</v>
      </c>
      <c r="J2895" s="1">
        <f t="shared" si="413"/>
        <v>0.89000000000000057</v>
      </c>
      <c r="K2895" s="9">
        <f t="shared" si="406"/>
        <v>2.6222746022392475E-2</v>
      </c>
      <c r="L2895" s="1">
        <f t="shared" si="407"/>
        <v>1</v>
      </c>
      <c r="M2895" s="1">
        <f t="shared" si="408"/>
        <v>34.99</v>
      </c>
      <c r="N2895" s="1">
        <f t="shared" si="409"/>
        <v>33.18</v>
      </c>
      <c r="O2895" s="1">
        <f t="shared" si="410"/>
        <v>32.869999999999997</v>
      </c>
      <c r="P2895" s="1">
        <f t="shared" si="411"/>
        <v>16.770408163265305</v>
      </c>
    </row>
    <row r="2896" spans="1:16">
      <c r="A2896" s="2">
        <v>38856</v>
      </c>
      <c r="B2896" s="1">
        <v>32.659999999999997</v>
      </c>
      <c r="C2896" s="1">
        <v>34</v>
      </c>
      <c r="D2896" s="1">
        <v>32.03</v>
      </c>
      <c r="E2896" s="1">
        <v>33.94</v>
      </c>
      <c r="F2896" s="1">
        <v>9817200</v>
      </c>
      <c r="G2896" s="1">
        <v>33.94</v>
      </c>
      <c r="H2896" s="1">
        <f t="shared" si="405"/>
        <v>1.9699999999999989</v>
      </c>
      <c r="I2896" s="9">
        <f t="shared" si="412"/>
        <v>6.1504839213237551E-2</v>
      </c>
      <c r="J2896" s="1">
        <f t="shared" si="413"/>
        <v>1.3299999999999983</v>
      </c>
      <c r="K2896" s="9">
        <f t="shared" si="406"/>
        <v>4.0785035265256002E-2</v>
      </c>
      <c r="L2896" s="1">
        <f t="shared" si="407"/>
        <v>1</v>
      </c>
      <c r="M2896" s="1">
        <f t="shared" si="408"/>
        <v>34</v>
      </c>
      <c r="N2896" s="1">
        <f t="shared" si="409"/>
        <v>32.03</v>
      </c>
      <c r="O2896" s="1">
        <f t="shared" si="410"/>
        <v>31.979999999999997</v>
      </c>
      <c r="P2896" s="1">
        <f t="shared" si="411"/>
        <v>16.316326530612244</v>
      </c>
    </row>
    <row r="2897" spans="1:16">
      <c r="A2897" s="2">
        <v>38855</v>
      </c>
      <c r="B2897" s="1">
        <v>31.71</v>
      </c>
      <c r="C2897" s="1">
        <v>33.64</v>
      </c>
      <c r="D2897" s="1">
        <v>31.52</v>
      </c>
      <c r="E2897" s="1">
        <v>32.61</v>
      </c>
      <c r="F2897" s="1">
        <v>12027200</v>
      </c>
      <c r="G2897" s="1">
        <v>32.61</v>
      </c>
      <c r="H2897" s="1">
        <f t="shared" si="405"/>
        <v>2.120000000000001</v>
      </c>
      <c r="I2897" s="9">
        <f t="shared" si="412"/>
        <v>6.7258883248731E-2</v>
      </c>
      <c r="J2897" s="1">
        <f t="shared" si="413"/>
        <v>1</v>
      </c>
      <c r="K2897" s="9">
        <f t="shared" si="406"/>
        <v>3.163555836760519E-2</v>
      </c>
      <c r="L2897" s="1">
        <f t="shared" si="407"/>
        <v>1</v>
      </c>
      <c r="M2897" s="1">
        <f t="shared" si="408"/>
        <v>33.64</v>
      </c>
      <c r="N2897" s="1">
        <f t="shared" si="409"/>
        <v>31.52</v>
      </c>
      <c r="O2897" s="1">
        <f t="shared" si="410"/>
        <v>30.65</v>
      </c>
      <c r="P2897" s="1">
        <f t="shared" si="411"/>
        <v>15.637755102040815</v>
      </c>
    </row>
    <row r="2898" spans="1:16">
      <c r="A2898" s="2">
        <v>38854</v>
      </c>
      <c r="B2898" s="1">
        <v>32.450000000000003</v>
      </c>
      <c r="C2898" s="1">
        <v>32.700000000000003</v>
      </c>
      <c r="D2898" s="1">
        <v>31.53</v>
      </c>
      <c r="E2898" s="1">
        <v>31.61</v>
      </c>
      <c r="F2898" s="1">
        <v>6704100</v>
      </c>
      <c r="G2898" s="1">
        <v>31.61</v>
      </c>
      <c r="H2898" s="1">
        <f t="shared" si="405"/>
        <v>1.1700000000000017</v>
      </c>
      <c r="I2898" s="9">
        <f t="shared" si="412"/>
        <v>3.710751665080881E-2</v>
      </c>
      <c r="J2898" s="1">
        <f t="shared" si="413"/>
        <v>-1.1499999999999986</v>
      </c>
      <c r="K2898" s="9">
        <f t="shared" si="406"/>
        <v>-3.5103785103785062E-2</v>
      </c>
      <c r="L2898" s="1">
        <f t="shared" si="407"/>
        <v>1</v>
      </c>
      <c r="M2898" s="1">
        <f t="shared" si="408"/>
        <v>32.700000000000003</v>
      </c>
      <c r="N2898" s="1">
        <f t="shared" si="409"/>
        <v>31.53</v>
      </c>
      <c r="O2898" s="1">
        <f t="shared" si="410"/>
        <v>29.65</v>
      </c>
      <c r="P2898" s="1">
        <f t="shared" si="411"/>
        <v>15.127551020408163</v>
      </c>
    </row>
    <row r="2899" spans="1:16">
      <c r="A2899" s="2">
        <v>38853</v>
      </c>
      <c r="B2899" s="1">
        <v>32.840000000000003</v>
      </c>
      <c r="C2899" s="1">
        <v>33.020000000000003</v>
      </c>
      <c r="D2899" s="1">
        <v>32.32</v>
      </c>
      <c r="E2899" s="1">
        <v>32.76</v>
      </c>
      <c r="F2899" s="1">
        <v>5221600</v>
      </c>
      <c r="G2899" s="1">
        <v>32.76</v>
      </c>
      <c r="H2899" s="1">
        <f t="shared" si="405"/>
        <v>0.70000000000000284</v>
      </c>
      <c r="I2899" s="9">
        <f t="shared" si="412"/>
        <v>2.1658415841584247E-2</v>
      </c>
      <c r="J2899" s="1">
        <f t="shared" si="413"/>
        <v>-2.0000000000003126E-2</v>
      </c>
      <c r="K2899" s="9">
        <f t="shared" si="406"/>
        <v>-6.1012812690674578E-4</v>
      </c>
      <c r="L2899" s="1">
        <f t="shared" si="407"/>
        <v>1</v>
      </c>
      <c r="M2899" s="1">
        <f t="shared" si="408"/>
        <v>33.020000000000003</v>
      </c>
      <c r="N2899" s="1">
        <f t="shared" si="409"/>
        <v>32.32</v>
      </c>
      <c r="O2899" s="1">
        <f t="shared" si="410"/>
        <v>30.799999999999997</v>
      </c>
      <c r="P2899" s="1">
        <f t="shared" si="411"/>
        <v>15.714285714285714</v>
      </c>
    </row>
    <row r="2900" spans="1:16">
      <c r="A2900" s="2">
        <v>38852</v>
      </c>
      <c r="B2900" s="1">
        <v>32.549999999999997</v>
      </c>
      <c r="C2900" s="1">
        <v>32.85</v>
      </c>
      <c r="D2900" s="1">
        <v>32.21</v>
      </c>
      <c r="E2900" s="1">
        <v>32.78</v>
      </c>
      <c r="F2900" s="1">
        <v>4305000</v>
      </c>
      <c r="G2900" s="1">
        <v>32.78</v>
      </c>
      <c r="H2900" s="1">
        <f t="shared" si="405"/>
        <v>0.64000000000000057</v>
      </c>
      <c r="I2900" s="9">
        <f t="shared" si="412"/>
        <v>1.9869605712511659E-2</v>
      </c>
      <c r="J2900" s="1">
        <f t="shared" si="413"/>
        <v>5.0000000000004263E-2</v>
      </c>
      <c r="K2900" s="9">
        <f t="shared" si="406"/>
        <v>1.5276504735717773E-3</v>
      </c>
      <c r="L2900" s="1">
        <f t="shared" si="407"/>
        <v>1</v>
      </c>
      <c r="M2900" s="1">
        <f t="shared" si="408"/>
        <v>32.85</v>
      </c>
      <c r="N2900" s="1">
        <f t="shared" si="409"/>
        <v>32.21</v>
      </c>
      <c r="O2900" s="1">
        <f t="shared" si="410"/>
        <v>30.82</v>
      </c>
      <c r="P2900" s="1">
        <f t="shared" si="411"/>
        <v>15.724489795918368</v>
      </c>
    </row>
    <row r="2901" spans="1:16">
      <c r="A2901" s="2">
        <v>38849</v>
      </c>
      <c r="B2901" s="1">
        <v>33.56</v>
      </c>
      <c r="C2901" s="1">
        <v>33.78</v>
      </c>
      <c r="D2901" s="1">
        <v>32.549999999999997</v>
      </c>
      <c r="E2901" s="1">
        <v>32.729999999999997</v>
      </c>
      <c r="F2901" s="1">
        <v>4873600</v>
      </c>
      <c r="G2901" s="1">
        <v>32.729999999999997</v>
      </c>
      <c r="H2901" s="1">
        <f t="shared" si="405"/>
        <v>1.230000000000004</v>
      </c>
      <c r="I2901" s="9">
        <f t="shared" si="412"/>
        <v>3.7788018433179846E-2</v>
      </c>
      <c r="J2901" s="1">
        <f t="shared" si="413"/>
        <v>-0.80000000000000426</v>
      </c>
      <c r="K2901" s="9">
        <f t="shared" si="406"/>
        <v>-2.3859230539815219E-2</v>
      </c>
      <c r="L2901" s="1">
        <f t="shared" si="407"/>
        <v>1</v>
      </c>
      <c r="M2901" s="1">
        <f t="shared" si="408"/>
        <v>33.78</v>
      </c>
      <c r="N2901" s="1">
        <f t="shared" si="409"/>
        <v>32.549999999999997</v>
      </c>
      <c r="O2901" s="1">
        <f t="shared" si="410"/>
        <v>30.769999999999996</v>
      </c>
      <c r="P2901" s="1">
        <f t="shared" si="411"/>
        <v>15.698979591836732</v>
      </c>
    </row>
    <row r="2902" spans="1:16">
      <c r="A2902" s="2">
        <v>38848</v>
      </c>
      <c r="B2902" s="1">
        <v>34.119999999999997</v>
      </c>
      <c r="C2902" s="1">
        <v>34.15</v>
      </c>
      <c r="D2902" s="1">
        <v>33.08</v>
      </c>
      <c r="E2902" s="1">
        <v>33.53</v>
      </c>
      <c r="F2902" s="1">
        <v>7696000</v>
      </c>
      <c r="G2902" s="1">
        <v>33.53</v>
      </c>
      <c r="H2902" s="1">
        <f t="shared" si="405"/>
        <v>1.0700000000000003</v>
      </c>
      <c r="I2902" s="9">
        <f t="shared" si="412"/>
        <v>3.2345828295042331E-2</v>
      </c>
      <c r="J2902" s="1">
        <f t="shared" si="413"/>
        <v>-0.62999999999999545</v>
      </c>
      <c r="K2902" s="9">
        <f t="shared" si="406"/>
        <v>-1.844262295081954E-2</v>
      </c>
      <c r="L2902" s="1">
        <f t="shared" si="407"/>
        <v>1</v>
      </c>
      <c r="M2902" s="1">
        <f t="shared" si="408"/>
        <v>34.15</v>
      </c>
      <c r="N2902" s="1">
        <f t="shared" si="409"/>
        <v>33.08</v>
      </c>
      <c r="O2902" s="1">
        <f t="shared" si="410"/>
        <v>31.57</v>
      </c>
      <c r="P2902" s="1">
        <f t="shared" si="411"/>
        <v>16.107142857142858</v>
      </c>
    </row>
    <row r="2903" spans="1:16">
      <c r="A2903" s="2">
        <v>38847</v>
      </c>
      <c r="B2903" s="1">
        <v>34.68</v>
      </c>
      <c r="C2903" s="1">
        <v>35</v>
      </c>
      <c r="D2903" s="1">
        <v>34.1</v>
      </c>
      <c r="E2903" s="1">
        <v>34.159999999999997</v>
      </c>
      <c r="F2903" s="1">
        <v>3300300</v>
      </c>
      <c r="G2903" s="1">
        <v>34.159999999999997</v>
      </c>
      <c r="H2903" s="1">
        <f t="shared" si="405"/>
        <v>0.89999999999999858</v>
      </c>
      <c r="I2903" s="9">
        <f t="shared" si="412"/>
        <v>2.63929618768328E-2</v>
      </c>
      <c r="J2903" s="1">
        <f t="shared" si="413"/>
        <v>-0.68000000000000682</v>
      </c>
      <c r="K2903" s="9">
        <f t="shared" si="406"/>
        <v>-1.9517795637198816E-2</v>
      </c>
      <c r="L2903" s="1">
        <f t="shared" si="407"/>
        <v>1</v>
      </c>
      <c r="M2903" s="1">
        <f t="shared" si="408"/>
        <v>35</v>
      </c>
      <c r="N2903" s="1">
        <f t="shared" si="409"/>
        <v>34.1</v>
      </c>
      <c r="O2903" s="1">
        <f t="shared" si="410"/>
        <v>32.199999999999996</v>
      </c>
      <c r="P2903" s="1">
        <f t="shared" si="411"/>
        <v>16.428571428571427</v>
      </c>
    </row>
    <row r="2904" spans="1:16">
      <c r="A2904" s="2">
        <v>38846</v>
      </c>
      <c r="B2904" s="1">
        <v>34.42</v>
      </c>
      <c r="C2904" s="1">
        <v>35.26</v>
      </c>
      <c r="D2904" s="1">
        <v>34.21</v>
      </c>
      <c r="E2904" s="1">
        <v>34.840000000000003</v>
      </c>
      <c r="F2904" s="1">
        <v>5484700</v>
      </c>
      <c r="G2904" s="1">
        <v>34.840000000000003</v>
      </c>
      <c r="H2904" s="1">
        <f t="shared" si="405"/>
        <v>1.0499999999999972</v>
      </c>
      <c r="I2904" s="9">
        <f t="shared" si="412"/>
        <v>3.0692779888921284E-2</v>
      </c>
      <c r="J2904" s="1">
        <f t="shared" si="413"/>
        <v>0.15000000000000568</v>
      </c>
      <c r="K2904" s="9">
        <f t="shared" si="406"/>
        <v>4.3240126837707036E-3</v>
      </c>
      <c r="L2904" s="1">
        <f t="shared" si="407"/>
        <v>1</v>
      </c>
      <c r="M2904" s="1">
        <f t="shared" si="408"/>
        <v>35.26</v>
      </c>
      <c r="N2904" s="1">
        <f t="shared" si="409"/>
        <v>34.21</v>
      </c>
      <c r="O2904" s="1">
        <f t="shared" si="410"/>
        <v>32.880000000000003</v>
      </c>
      <c r="P2904" s="1">
        <f t="shared" si="411"/>
        <v>16.775510204081634</v>
      </c>
    </row>
    <row r="2905" spans="1:16">
      <c r="A2905" s="2">
        <v>38845</v>
      </c>
      <c r="B2905" s="1">
        <v>34.99</v>
      </c>
      <c r="C2905" s="1">
        <v>35.31</v>
      </c>
      <c r="D2905" s="1">
        <v>34.47</v>
      </c>
      <c r="E2905" s="1">
        <v>34.69</v>
      </c>
      <c r="F2905" s="1">
        <v>4236800</v>
      </c>
      <c r="G2905" s="1">
        <v>34.69</v>
      </c>
      <c r="H2905" s="1">
        <f t="shared" si="405"/>
        <v>0.84000000000000341</v>
      </c>
      <c r="I2905" s="9">
        <f t="shared" si="412"/>
        <v>2.4369016536118462E-2</v>
      </c>
      <c r="J2905" s="1">
        <f t="shared" si="413"/>
        <v>-0.35000000000000142</v>
      </c>
      <c r="K2905" s="9">
        <f t="shared" si="406"/>
        <v>-9.9885844748858858E-3</v>
      </c>
      <c r="L2905" s="1">
        <f t="shared" si="407"/>
        <v>1</v>
      </c>
      <c r="M2905" s="1">
        <f t="shared" si="408"/>
        <v>35.31</v>
      </c>
      <c r="N2905" s="1">
        <f t="shared" si="409"/>
        <v>34.47</v>
      </c>
      <c r="O2905" s="1">
        <f t="shared" si="410"/>
        <v>32.729999999999997</v>
      </c>
      <c r="P2905" s="1">
        <f t="shared" si="411"/>
        <v>16.698979591836732</v>
      </c>
    </row>
    <row r="2906" spans="1:16">
      <c r="A2906" s="2">
        <v>38842</v>
      </c>
      <c r="B2906" s="1">
        <v>34.65</v>
      </c>
      <c r="C2906" s="1">
        <v>35.04</v>
      </c>
      <c r="D2906" s="1">
        <v>34.15</v>
      </c>
      <c r="E2906" s="1">
        <v>35.04</v>
      </c>
      <c r="F2906" s="1">
        <v>5740900</v>
      </c>
      <c r="G2906" s="1">
        <v>35.04</v>
      </c>
      <c r="H2906" s="1">
        <f t="shared" si="405"/>
        <v>0.89000000000000057</v>
      </c>
      <c r="I2906" s="9">
        <f t="shared" si="412"/>
        <v>2.6061493411420222E-2</v>
      </c>
      <c r="J2906" s="1">
        <f t="shared" si="413"/>
        <v>0.57000000000000028</v>
      </c>
      <c r="K2906" s="9">
        <f t="shared" si="406"/>
        <v>1.6536118363794611E-2</v>
      </c>
      <c r="L2906" s="1">
        <f t="shared" si="407"/>
        <v>1</v>
      </c>
      <c r="M2906" s="1">
        <f t="shared" si="408"/>
        <v>35.04</v>
      </c>
      <c r="N2906" s="1">
        <f t="shared" si="409"/>
        <v>34.15</v>
      </c>
      <c r="O2906" s="1">
        <f t="shared" si="410"/>
        <v>33.08</v>
      </c>
      <c r="P2906" s="1">
        <f t="shared" si="411"/>
        <v>16.877551020408163</v>
      </c>
    </row>
    <row r="2907" spans="1:16">
      <c r="A2907" s="2">
        <v>38841</v>
      </c>
      <c r="B2907" s="1">
        <v>34.619999999999997</v>
      </c>
      <c r="C2907" s="1">
        <v>34.72</v>
      </c>
      <c r="D2907" s="1">
        <v>34.380000000000003</v>
      </c>
      <c r="E2907" s="1">
        <v>34.47</v>
      </c>
      <c r="F2907" s="1">
        <v>5997900</v>
      </c>
      <c r="G2907" s="1">
        <v>34.47</v>
      </c>
      <c r="H2907" s="1">
        <f t="shared" si="405"/>
        <v>0.33999999999999631</v>
      </c>
      <c r="I2907" s="9">
        <f t="shared" si="412"/>
        <v>9.8894706224548073E-3</v>
      </c>
      <c r="J2907" s="1">
        <f t="shared" si="413"/>
        <v>0.50999999999999801</v>
      </c>
      <c r="K2907" s="9">
        <f t="shared" si="406"/>
        <v>1.5017667844522908E-2</v>
      </c>
      <c r="L2907" s="1">
        <f t="shared" si="407"/>
        <v>1</v>
      </c>
      <c r="M2907" s="1">
        <f t="shared" si="408"/>
        <v>34.72</v>
      </c>
      <c r="N2907" s="1">
        <f t="shared" si="409"/>
        <v>34.380000000000003</v>
      </c>
      <c r="O2907" s="1">
        <f t="shared" si="410"/>
        <v>32.51</v>
      </c>
      <c r="P2907" s="1">
        <f t="shared" si="411"/>
        <v>16.586734693877549</v>
      </c>
    </row>
    <row r="2908" spans="1:16">
      <c r="A2908" s="2">
        <v>38840</v>
      </c>
      <c r="B2908" s="1">
        <v>34.29</v>
      </c>
      <c r="C2908" s="1">
        <v>34.39</v>
      </c>
      <c r="D2908" s="1">
        <v>33.51</v>
      </c>
      <c r="E2908" s="1">
        <v>33.96</v>
      </c>
      <c r="F2908" s="1">
        <v>7585900</v>
      </c>
      <c r="G2908" s="1">
        <v>33.96</v>
      </c>
      <c r="H2908" s="1">
        <f t="shared" si="405"/>
        <v>0.88000000000000256</v>
      </c>
      <c r="I2908" s="9">
        <f t="shared" si="412"/>
        <v>2.6260817666368327E-2</v>
      </c>
      <c r="J2908" s="1">
        <f t="shared" si="413"/>
        <v>-0.42000000000000171</v>
      </c>
      <c r="K2908" s="9">
        <f t="shared" si="406"/>
        <v>-1.2216404886562003E-2</v>
      </c>
      <c r="L2908" s="1">
        <f t="shared" si="407"/>
        <v>1</v>
      </c>
      <c r="M2908" s="1">
        <f t="shared" si="408"/>
        <v>34.39</v>
      </c>
      <c r="N2908" s="1">
        <f t="shared" si="409"/>
        <v>33.51</v>
      </c>
      <c r="O2908" s="1">
        <f t="shared" si="410"/>
        <v>32</v>
      </c>
      <c r="P2908" s="1">
        <f t="shared" si="411"/>
        <v>16.326530612244898</v>
      </c>
    </row>
    <row r="2909" spans="1:16">
      <c r="A2909" s="2">
        <v>38839</v>
      </c>
      <c r="B2909" s="1">
        <v>34.64</v>
      </c>
      <c r="C2909" s="1">
        <v>34.94</v>
      </c>
      <c r="D2909" s="1">
        <v>34.229999999999997</v>
      </c>
      <c r="E2909" s="1">
        <v>34.380000000000003</v>
      </c>
      <c r="F2909" s="1">
        <v>5857000</v>
      </c>
      <c r="G2909" s="1">
        <v>34.380000000000003</v>
      </c>
      <c r="H2909" s="1">
        <f t="shared" si="405"/>
        <v>0.71000000000000085</v>
      </c>
      <c r="I2909" s="9">
        <f t="shared" si="412"/>
        <v>2.0742039146947149E-2</v>
      </c>
      <c r="J2909" s="1">
        <f t="shared" si="413"/>
        <v>-0.21000000000000085</v>
      </c>
      <c r="K2909" s="9">
        <f t="shared" si="406"/>
        <v>-6.0711188204683672E-3</v>
      </c>
      <c r="L2909" s="1">
        <f t="shared" si="407"/>
        <v>1</v>
      </c>
      <c r="M2909" s="1">
        <f t="shared" si="408"/>
        <v>34.94</v>
      </c>
      <c r="N2909" s="1">
        <f t="shared" si="409"/>
        <v>34.229999999999997</v>
      </c>
      <c r="O2909" s="1">
        <f t="shared" si="410"/>
        <v>32.42</v>
      </c>
      <c r="P2909" s="1">
        <f t="shared" si="411"/>
        <v>16.540816326530614</v>
      </c>
    </row>
    <row r="2910" spans="1:16">
      <c r="A2910" s="2">
        <v>38838</v>
      </c>
      <c r="B2910" s="1">
        <v>35.19</v>
      </c>
      <c r="C2910" s="1">
        <v>35.57</v>
      </c>
      <c r="D2910" s="1">
        <v>34.44</v>
      </c>
      <c r="E2910" s="1">
        <v>34.590000000000003</v>
      </c>
      <c r="F2910" s="1">
        <v>7072700</v>
      </c>
      <c r="G2910" s="1">
        <v>34.590000000000003</v>
      </c>
      <c r="H2910" s="1">
        <f t="shared" si="405"/>
        <v>1.1300000000000026</v>
      </c>
      <c r="I2910" s="9">
        <f t="shared" si="412"/>
        <v>3.2810685249709717E-2</v>
      </c>
      <c r="J2910" s="1">
        <f t="shared" si="413"/>
        <v>-0.61999999999999744</v>
      </c>
      <c r="K2910" s="9">
        <f t="shared" si="406"/>
        <v>-1.7608633910820716E-2</v>
      </c>
      <c r="L2910" s="1">
        <f t="shared" si="407"/>
        <v>1</v>
      </c>
      <c r="M2910" s="1">
        <f t="shared" si="408"/>
        <v>35.57</v>
      </c>
      <c r="N2910" s="1">
        <f t="shared" si="409"/>
        <v>34.44</v>
      </c>
      <c r="O2910" s="1">
        <f t="shared" si="410"/>
        <v>32.630000000000003</v>
      </c>
      <c r="P2910" s="1">
        <f t="shared" si="411"/>
        <v>16.647959183673471</v>
      </c>
    </row>
    <row r="2911" spans="1:16">
      <c r="A2911" s="2">
        <v>38835</v>
      </c>
      <c r="B2911" s="1">
        <v>35.770000000000003</v>
      </c>
      <c r="C2911" s="1">
        <v>35.89</v>
      </c>
      <c r="D2911" s="1">
        <v>35.14</v>
      </c>
      <c r="E2911" s="1">
        <v>35.21</v>
      </c>
      <c r="F2911" s="1">
        <v>3492500</v>
      </c>
      <c r="G2911" s="1">
        <v>35.21</v>
      </c>
      <c r="H2911" s="1">
        <f t="shared" si="405"/>
        <v>0.75</v>
      </c>
      <c r="I2911" s="9">
        <f t="shared" si="412"/>
        <v>2.1343198634035287E-2</v>
      </c>
      <c r="J2911" s="1">
        <f t="shared" si="413"/>
        <v>-0.53000000000000114</v>
      </c>
      <c r="K2911" s="9">
        <f t="shared" si="406"/>
        <v>-1.4829322887521016E-2</v>
      </c>
      <c r="L2911" s="1">
        <f t="shared" si="407"/>
        <v>1</v>
      </c>
      <c r="M2911" s="1">
        <f t="shared" si="408"/>
        <v>35.89</v>
      </c>
      <c r="N2911" s="1">
        <f t="shared" si="409"/>
        <v>35.14</v>
      </c>
      <c r="O2911" s="1">
        <f t="shared" si="410"/>
        <v>33.25</v>
      </c>
      <c r="P2911" s="1">
        <f t="shared" si="411"/>
        <v>16.964285714285715</v>
      </c>
    </row>
    <row r="2912" spans="1:16">
      <c r="A2912" s="2">
        <v>38834</v>
      </c>
      <c r="B2912" s="1">
        <v>35.51</v>
      </c>
      <c r="C2912" s="1">
        <v>35.869999999999997</v>
      </c>
      <c r="D2912" s="1">
        <v>35.299999999999997</v>
      </c>
      <c r="E2912" s="1">
        <v>35.74</v>
      </c>
      <c r="F2912" s="1">
        <v>5932500</v>
      </c>
      <c r="G2912" s="1">
        <v>35.74</v>
      </c>
      <c r="H2912" s="1">
        <f t="shared" si="405"/>
        <v>0.57000000000000028</v>
      </c>
      <c r="I2912" s="9">
        <f t="shared" si="412"/>
        <v>1.6147308781869697E-2</v>
      </c>
      <c r="J2912" s="1">
        <f t="shared" si="413"/>
        <v>-4.9999999999997158E-2</v>
      </c>
      <c r="K2912" s="9">
        <f t="shared" si="406"/>
        <v>-1.3970382788487611E-3</v>
      </c>
      <c r="L2912" s="1">
        <f t="shared" si="407"/>
        <v>1</v>
      </c>
      <c r="M2912" s="1">
        <f t="shared" si="408"/>
        <v>35.869999999999997</v>
      </c>
      <c r="N2912" s="1">
        <f t="shared" si="409"/>
        <v>35.299999999999997</v>
      </c>
      <c r="O2912" s="1">
        <f t="shared" si="410"/>
        <v>33.78</v>
      </c>
      <c r="P2912" s="1">
        <f t="shared" si="411"/>
        <v>17.23469387755102</v>
      </c>
    </row>
    <row r="2913" spans="1:16">
      <c r="A2913" s="2">
        <v>38833</v>
      </c>
      <c r="B2913" s="1">
        <v>35.340000000000003</v>
      </c>
      <c r="C2913" s="1">
        <v>36.35</v>
      </c>
      <c r="D2913" s="1">
        <v>35.15</v>
      </c>
      <c r="E2913" s="1">
        <v>35.79</v>
      </c>
      <c r="F2913" s="1">
        <v>11071500</v>
      </c>
      <c r="G2913" s="1">
        <v>35.79</v>
      </c>
      <c r="H2913" s="1">
        <f t="shared" si="405"/>
        <v>1.2000000000000028</v>
      </c>
      <c r="I2913" s="9">
        <f t="shared" si="412"/>
        <v>3.4139402560455272E-2</v>
      </c>
      <c r="J2913" s="1">
        <f t="shared" si="413"/>
        <v>0.24000000000000199</v>
      </c>
      <c r="K2913" s="9">
        <f t="shared" si="406"/>
        <v>6.7510548523207316E-3</v>
      </c>
      <c r="L2913" s="1">
        <f t="shared" si="407"/>
        <v>1</v>
      </c>
      <c r="M2913" s="1">
        <f t="shared" si="408"/>
        <v>36.35</v>
      </c>
      <c r="N2913" s="1">
        <f t="shared" si="409"/>
        <v>35.15</v>
      </c>
      <c r="O2913" s="1">
        <f t="shared" si="410"/>
        <v>33.83</v>
      </c>
      <c r="P2913" s="1">
        <f t="shared" si="411"/>
        <v>17.260204081632651</v>
      </c>
    </row>
    <row r="2914" spans="1:16">
      <c r="A2914" s="2">
        <v>38832</v>
      </c>
      <c r="B2914" s="1">
        <v>35.590000000000003</v>
      </c>
      <c r="C2914" s="1">
        <v>35.770000000000003</v>
      </c>
      <c r="D2914" s="1">
        <v>35.01</v>
      </c>
      <c r="E2914" s="1">
        <v>35.549999999999997</v>
      </c>
      <c r="F2914" s="1">
        <v>12790500</v>
      </c>
      <c r="G2914" s="1">
        <v>35.549999999999997</v>
      </c>
      <c r="H2914" s="1">
        <f t="shared" si="405"/>
        <v>0.76000000000000512</v>
      </c>
      <c r="I2914" s="9">
        <f t="shared" si="412"/>
        <v>2.1708083404741649E-2</v>
      </c>
      <c r="J2914" s="1">
        <f t="shared" si="413"/>
        <v>-0.24000000000000199</v>
      </c>
      <c r="K2914" s="9">
        <f t="shared" si="406"/>
        <v>-6.7057837384744898E-3</v>
      </c>
      <c r="L2914" s="1">
        <f t="shared" si="407"/>
        <v>1</v>
      </c>
      <c r="M2914" s="1">
        <f t="shared" si="408"/>
        <v>35.770000000000003</v>
      </c>
      <c r="N2914" s="1">
        <f t="shared" si="409"/>
        <v>35.01</v>
      </c>
      <c r="O2914" s="1">
        <f t="shared" si="410"/>
        <v>33.589999999999996</v>
      </c>
      <c r="P2914" s="1">
        <f t="shared" si="411"/>
        <v>17.137755102040813</v>
      </c>
    </row>
    <row r="2915" spans="1:16">
      <c r="A2915" s="2">
        <v>38831</v>
      </c>
      <c r="B2915" s="1">
        <v>36.119999999999997</v>
      </c>
      <c r="C2915" s="1">
        <v>36.119999999999997</v>
      </c>
      <c r="D2915" s="1">
        <v>35.32</v>
      </c>
      <c r="E2915" s="1">
        <v>35.79</v>
      </c>
      <c r="F2915" s="1">
        <v>3087600</v>
      </c>
      <c r="G2915" s="1">
        <v>35.79</v>
      </c>
      <c r="H2915" s="1">
        <f t="shared" si="405"/>
        <v>0.79999999999999716</v>
      </c>
      <c r="I2915" s="9">
        <f t="shared" si="412"/>
        <v>2.2650056625141482E-2</v>
      </c>
      <c r="J2915" s="1">
        <f t="shared" si="413"/>
        <v>-0.24000000000000199</v>
      </c>
      <c r="K2915" s="9">
        <f t="shared" si="406"/>
        <v>-6.6611157368859832E-3</v>
      </c>
      <c r="L2915" s="1">
        <f t="shared" si="407"/>
        <v>1</v>
      </c>
      <c r="M2915" s="1">
        <f t="shared" si="408"/>
        <v>36.119999999999997</v>
      </c>
      <c r="N2915" s="1">
        <f t="shared" si="409"/>
        <v>35.32</v>
      </c>
      <c r="O2915" s="1">
        <f t="shared" si="410"/>
        <v>33.83</v>
      </c>
      <c r="P2915" s="1">
        <f t="shared" si="411"/>
        <v>17.260204081632651</v>
      </c>
    </row>
    <row r="2916" spans="1:16">
      <c r="A2916" s="2">
        <v>38828</v>
      </c>
      <c r="B2916" s="1">
        <v>36.619999999999997</v>
      </c>
      <c r="C2916" s="1">
        <v>36.78</v>
      </c>
      <c r="D2916" s="1">
        <v>35.72</v>
      </c>
      <c r="E2916" s="1">
        <v>36.03</v>
      </c>
      <c r="F2916" s="1">
        <v>4423500</v>
      </c>
      <c r="G2916" s="1">
        <v>36.03</v>
      </c>
      <c r="H2916" s="1">
        <f t="shared" si="405"/>
        <v>1.0600000000000023</v>
      </c>
      <c r="I2916" s="9">
        <f t="shared" si="412"/>
        <v>2.9675251959686514E-2</v>
      </c>
      <c r="J2916" s="1">
        <f t="shared" si="413"/>
        <v>-0.31000000000000227</v>
      </c>
      <c r="K2916" s="9">
        <f t="shared" si="406"/>
        <v>-8.5305448541552632E-3</v>
      </c>
      <c r="L2916" s="1">
        <f t="shared" si="407"/>
        <v>1</v>
      </c>
      <c r="M2916" s="1">
        <f t="shared" si="408"/>
        <v>36.78</v>
      </c>
      <c r="N2916" s="1">
        <f t="shared" si="409"/>
        <v>35.72</v>
      </c>
      <c r="O2916" s="1">
        <f t="shared" si="410"/>
        <v>34.07</v>
      </c>
      <c r="P2916" s="1">
        <f t="shared" si="411"/>
        <v>17.382653061224492</v>
      </c>
    </row>
    <row r="2917" spans="1:16">
      <c r="A2917" s="2">
        <v>38827</v>
      </c>
      <c r="B2917" s="1">
        <v>36.700000000000003</v>
      </c>
      <c r="C2917" s="1">
        <v>37.200000000000003</v>
      </c>
      <c r="D2917" s="1">
        <v>36.229999999999997</v>
      </c>
      <c r="E2917" s="1">
        <v>36.340000000000003</v>
      </c>
      <c r="F2917" s="1">
        <v>5387600</v>
      </c>
      <c r="G2917" s="1">
        <v>36.340000000000003</v>
      </c>
      <c r="H2917" s="1">
        <f t="shared" si="405"/>
        <v>0.97000000000000597</v>
      </c>
      <c r="I2917" s="9">
        <f t="shared" si="412"/>
        <v>2.6773392216395419E-2</v>
      </c>
      <c r="J2917" s="1">
        <f t="shared" si="413"/>
        <v>-0.54999999999999716</v>
      </c>
      <c r="K2917" s="9">
        <f t="shared" si="406"/>
        <v>-1.4909189482244433E-2</v>
      </c>
      <c r="L2917" s="1">
        <f t="shared" si="407"/>
        <v>1</v>
      </c>
      <c r="M2917" s="1">
        <f t="shared" si="408"/>
        <v>37.200000000000003</v>
      </c>
      <c r="N2917" s="1">
        <f t="shared" si="409"/>
        <v>36.229999999999997</v>
      </c>
      <c r="O2917" s="1">
        <f t="shared" si="410"/>
        <v>34.380000000000003</v>
      </c>
      <c r="P2917" s="1">
        <f t="shared" si="411"/>
        <v>17.540816326530614</v>
      </c>
    </row>
    <row r="2918" spans="1:16">
      <c r="A2918" s="2">
        <v>38826</v>
      </c>
      <c r="B2918" s="1">
        <v>36.119999999999997</v>
      </c>
      <c r="C2918" s="1">
        <v>36.96</v>
      </c>
      <c r="D2918" s="1">
        <v>35.89</v>
      </c>
      <c r="E2918" s="1">
        <v>36.89</v>
      </c>
      <c r="F2918" s="1">
        <v>4280500</v>
      </c>
      <c r="G2918" s="1">
        <v>36.89</v>
      </c>
      <c r="H2918" s="1">
        <f t="shared" si="405"/>
        <v>1.0700000000000003</v>
      </c>
      <c r="I2918" s="9">
        <f t="shared" si="412"/>
        <v>2.9813318473112294E-2</v>
      </c>
      <c r="J2918" s="1">
        <f t="shared" si="413"/>
        <v>0.60999999999999943</v>
      </c>
      <c r="K2918" s="9">
        <f t="shared" si="406"/>
        <v>1.6813671444321925E-2</v>
      </c>
      <c r="L2918" s="1">
        <f t="shared" si="407"/>
        <v>1</v>
      </c>
      <c r="M2918" s="1">
        <f t="shared" si="408"/>
        <v>36.96</v>
      </c>
      <c r="N2918" s="1">
        <f t="shared" si="409"/>
        <v>35.89</v>
      </c>
      <c r="O2918" s="1">
        <f t="shared" si="410"/>
        <v>34.93</v>
      </c>
      <c r="P2918" s="1">
        <f t="shared" si="411"/>
        <v>17.821428571428573</v>
      </c>
    </row>
    <row r="2919" spans="1:16">
      <c r="A2919" s="2">
        <v>38825</v>
      </c>
      <c r="B2919" s="1">
        <v>35.39</v>
      </c>
      <c r="C2919" s="1">
        <v>36.450000000000003</v>
      </c>
      <c r="D2919" s="1">
        <v>35.200000000000003</v>
      </c>
      <c r="E2919" s="1">
        <v>36.28</v>
      </c>
      <c r="F2919" s="1">
        <v>4595700</v>
      </c>
      <c r="G2919" s="1">
        <v>36.28</v>
      </c>
      <c r="H2919" s="1">
        <f t="shared" si="405"/>
        <v>1.25</v>
      </c>
      <c r="I2919" s="9">
        <f t="shared" si="412"/>
        <v>3.5511363636363633E-2</v>
      </c>
      <c r="J2919" s="1">
        <f t="shared" si="413"/>
        <v>1.009999999999998</v>
      </c>
      <c r="K2919" s="9">
        <f t="shared" si="406"/>
        <v>2.8636234760419561E-2</v>
      </c>
      <c r="L2919" s="1">
        <f t="shared" si="407"/>
        <v>1</v>
      </c>
      <c r="M2919" s="1">
        <f t="shared" si="408"/>
        <v>36.450000000000003</v>
      </c>
      <c r="N2919" s="1">
        <f t="shared" si="409"/>
        <v>35.200000000000003</v>
      </c>
      <c r="O2919" s="1">
        <f t="shared" si="410"/>
        <v>34.32</v>
      </c>
      <c r="P2919" s="1">
        <f t="shared" si="411"/>
        <v>17.510204081632654</v>
      </c>
    </row>
    <row r="2920" spans="1:16">
      <c r="A2920" s="2">
        <v>38824</v>
      </c>
      <c r="B2920" s="1">
        <v>36.47</v>
      </c>
      <c r="C2920" s="1">
        <v>36.619999999999997</v>
      </c>
      <c r="D2920" s="1">
        <v>35.049999999999997</v>
      </c>
      <c r="E2920" s="1">
        <v>35.270000000000003</v>
      </c>
      <c r="F2920" s="1">
        <v>4442200</v>
      </c>
      <c r="G2920" s="1">
        <v>35.270000000000003</v>
      </c>
      <c r="H2920" s="1">
        <f t="shared" si="405"/>
        <v>1.5700000000000003</v>
      </c>
      <c r="I2920" s="9">
        <f t="shared" si="412"/>
        <v>4.4793152639087029E-2</v>
      </c>
      <c r="J2920" s="1">
        <f t="shared" si="413"/>
        <v>-1.3499999999999943</v>
      </c>
      <c r="K2920" s="9">
        <f t="shared" si="406"/>
        <v>-3.6865101037684173E-2</v>
      </c>
      <c r="L2920" s="1">
        <f t="shared" si="407"/>
        <v>1</v>
      </c>
      <c r="M2920" s="1">
        <f t="shared" si="408"/>
        <v>36.619999999999997</v>
      </c>
      <c r="N2920" s="1">
        <f t="shared" si="409"/>
        <v>35.049999999999997</v>
      </c>
      <c r="O2920" s="1">
        <f t="shared" si="410"/>
        <v>33.31</v>
      </c>
      <c r="P2920" s="1">
        <f t="shared" si="411"/>
        <v>16.994897959183675</v>
      </c>
    </row>
    <row r="2921" spans="1:16">
      <c r="A2921" s="2">
        <v>38820</v>
      </c>
      <c r="B2921" s="1">
        <v>35.950000000000003</v>
      </c>
      <c r="C2921" s="1">
        <v>36.72</v>
      </c>
      <c r="D2921" s="1">
        <v>35.49</v>
      </c>
      <c r="E2921" s="1">
        <v>36.619999999999997</v>
      </c>
      <c r="F2921" s="1">
        <v>3715200</v>
      </c>
      <c r="G2921" s="1">
        <v>36.619999999999997</v>
      </c>
      <c r="H2921" s="1">
        <f t="shared" si="405"/>
        <v>1.2299999999999969</v>
      </c>
      <c r="I2921" s="9">
        <f t="shared" si="412"/>
        <v>3.4657650042265335E-2</v>
      </c>
      <c r="J2921" s="1">
        <f t="shared" si="413"/>
        <v>0.48999999999999488</v>
      </c>
      <c r="K2921" s="9">
        <f t="shared" si="406"/>
        <v>1.3562136728480344E-2</v>
      </c>
      <c r="L2921" s="1">
        <f t="shared" si="407"/>
        <v>1</v>
      </c>
      <c r="M2921" s="1">
        <f t="shared" si="408"/>
        <v>36.72</v>
      </c>
      <c r="N2921" s="1">
        <f t="shared" si="409"/>
        <v>35.49</v>
      </c>
      <c r="O2921" s="1">
        <f t="shared" si="410"/>
        <v>34.659999999999997</v>
      </c>
      <c r="P2921" s="1">
        <f t="shared" si="411"/>
        <v>17.683673469387752</v>
      </c>
    </row>
    <row r="2922" spans="1:16">
      <c r="A2922" s="2">
        <v>38819</v>
      </c>
      <c r="B2922" s="1">
        <v>35.909999999999997</v>
      </c>
      <c r="C2922" s="1">
        <v>36.44</v>
      </c>
      <c r="D2922" s="1">
        <v>35.909999999999997</v>
      </c>
      <c r="E2922" s="1">
        <v>36.130000000000003</v>
      </c>
      <c r="F2922" s="1">
        <v>2855800</v>
      </c>
      <c r="G2922" s="1">
        <v>36.130000000000003</v>
      </c>
      <c r="H2922" s="1">
        <f t="shared" si="405"/>
        <v>0.53000000000000114</v>
      </c>
      <c r="I2922" s="9">
        <f t="shared" si="412"/>
        <v>1.4759120022277951E-2</v>
      </c>
      <c r="J2922" s="1">
        <f t="shared" si="413"/>
        <v>7.0000000000000284E-2</v>
      </c>
      <c r="K2922" s="9">
        <f t="shared" si="406"/>
        <v>1.9412090959512003E-3</v>
      </c>
      <c r="L2922" s="1">
        <f t="shared" si="407"/>
        <v>1</v>
      </c>
      <c r="M2922" s="1">
        <f t="shared" si="408"/>
        <v>36.44</v>
      </c>
      <c r="N2922" s="1">
        <f t="shared" si="409"/>
        <v>35.909999999999997</v>
      </c>
      <c r="O2922" s="1">
        <f t="shared" si="410"/>
        <v>34.17</v>
      </c>
      <c r="P2922" s="1">
        <f t="shared" si="411"/>
        <v>17.433673469387756</v>
      </c>
    </row>
    <row r="2923" spans="1:16">
      <c r="A2923" s="2">
        <v>38818</v>
      </c>
      <c r="B2923" s="1">
        <v>36.61</v>
      </c>
      <c r="C2923" s="1">
        <v>36.75</v>
      </c>
      <c r="D2923" s="1">
        <v>35.520000000000003</v>
      </c>
      <c r="E2923" s="1">
        <v>36.06</v>
      </c>
      <c r="F2923" s="1">
        <v>6605600</v>
      </c>
      <c r="G2923" s="1">
        <v>36.06</v>
      </c>
      <c r="H2923" s="1">
        <f t="shared" si="405"/>
        <v>1.2299999999999969</v>
      </c>
      <c r="I2923" s="9">
        <f t="shared" si="412"/>
        <v>3.4628378378378288E-2</v>
      </c>
      <c r="J2923" s="1">
        <f t="shared" si="413"/>
        <v>-0.54999999999999716</v>
      </c>
      <c r="K2923" s="9">
        <f t="shared" si="406"/>
        <v>-1.5023217700081868E-2</v>
      </c>
      <c r="L2923" s="1">
        <f t="shared" si="407"/>
        <v>1</v>
      </c>
      <c r="M2923" s="1">
        <f t="shared" si="408"/>
        <v>36.75</v>
      </c>
      <c r="N2923" s="1">
        <f t="shared" si="409"/>
        <v>35.520000000000003</v>
      </c>
      <c r="O2923" s="1">
        <f t="shared" si="410"/>
        <v>34.1</v>
      </c>
      <c r="P2923" s="1">
        <f t="shared" si="411"/>
        <v>17.397959183673471</v>
      </c>
    </row>
    <row r="2924" spans="1:16">
      <c r="A2924" s="2">
        <v>38817</v>
      </c>
      <c r="B2924" s="1">
        <v>37.15</v>
      </c>
      <c r="C2924" s="1">
        <v>37.28</v>
      </c>
      <c r="D2924" s="1">
        <v>36.22</v>
      </c>
      <c r="E2924" s="1">
        <v>36.61</v>
      </c>
      <c r="F2924" s="1">
        <v>4747500</v>
      </c>
      <c r="G2924" s="1">
        <v>36.61</v>
      </c>
      <c r="H2924" s="1">
        <f t="shared" si="405"/>
        <v>1.0600000000000023</v>
      </c>
      <c r="I2924" s="9">
        <f t="shared" si="412"/>
        <v>2.926559911651028E-2</v>
      </c>
      <c r="J2924" s="1">
        <f t="shared" si="413"/>
        <v>-0.48000000000000398</v>
      </c>
      <c r="K2924" s="9">
        <f t="shared" si="406"/>
        <v>-1.2941493664060499E-2</v>
      </c>
      <c r="L2924" s="1">
        <f t="shared" si="407"/>
        <v>1</v>
      </c>
      <c r="M2924" s="1">
        <f t="shared" si="408"/>
        <v>37.28</v>
      </c>
      <c r="N2924" s="1">
        <f t="shared" si="409"/>
        <v>36.22</v>
      </c>
      <c r="O2924" s="1">
        <f t="shared" si="410"/>
        <v>34.65</v>
      </c>
      <c r="P2924" s="1">
        <f t="shared" si="411"/>
        <v>17.678571428571427</v>
      </c>
    </row>
    <row r="2925" spans="1:16">
      <c r="A2925" s="2">
        <v>38814</v>
      </c>
      <c r="B2925" s="1">
        <v>38.549999999999997</v>
      </c>
      <c r="C2925" s="1">
        <v>38.67</v>
      </c>
      <c r="D2925" s="1">
        <v>37</v>
      </c>
      <c r="E2925" s="1">
        <v>37.090000000000003</v>
      </c>
      <c r="F2925" s="1">
        <v>5704500</v>
      </c>
      <c r="G2925" s="1">
        <v>37.090000000000003</v>
      </c>
      <c r="H2925" s="1">
        <f t="shared" si="405"/>
        <v>1.6700000000000017</v>
      </c>
      <c r="I2925" s="9">
        <f t="shared" si="412"/>
        <v>4.5135135135135181E-2</v>
      </c>
      <c r="J2925" s="1">
        <f t="shared" si="413"/>
        <v>-1.4199999999999946</v>
      </c>
      <c r="K2925" s="9">
        <f t="shared" si="406"/>
        <v>-3.6873539340430916E-2</v>
      </c>
      <c r="L2925" s="1">
        <f t="shared" si="407"/>
        <v>1</v>
      </c>
      <c r="M2925" s="1">
        <f t="shared" si="408"/>
        <v>38.67</v>
      </c>
      <c r="N2925" s="1">
        <f t="shared" si="409"/>
        <v>37</v>
      </c>
      <c r="O2925" s="1">
        <f t="shared" si="410"/>
        <v>35.130000000000003</v>
      </c>
      <c r="P2925" s="1">
        <f t="shared" si="411"/>
        <v>17.923469387755105</v>
      </c>
    </row>
    <row r="2926" spans="1:16">
      <c r="A2926" s="2">
        <v>38813</v>
      </c>
      <c r="B2926" s="1">
        <v>37.200000000000003</v>
      </c>
      <c r="C2926" s="1">
        <v>38.840000000000003</v>
      </c>
      <c r="D2926" s="1">
        <v>37.130000000000003</v>
      </c>
      <c r="E2926" s="1">
        <v>38.51</v>
      </c>
      <c r="F2926" s="1">
        <v>9294600</v>
      </c>
      <c r="G2926" s="1">
        <v>38.51</v>
      </c>
      <c r="H2926" s="1">
        <f t="shared" si="405"/>
        <v>1.7100000000000009</v>
      </c>
      <c r="I2926" s="9">
        <f t="shared" si="412"/>
        <v>4.6054403447347181E-2</v>
      </c>
      <c r="J2926" s="1">
        <f t="shared" si="413"/>
        <v>1.1699999999999946</v>
      </c>
      <c r="K2926" s="9">
        <f t="shared" si="406"/>
        <v>3.1333690412426202E-2</v>
      </c>
      <c r="L2926" s="1">
        <f t="shared" si="407"/>
        <v>1</v>
      </c>
      <c r="M2926" s="1">
        <f t="shared" si="408"/>
        <v>38.840000000000003</v>
      </c>
      <c r="N2926" s="1">
        <f t="shared" si="409"/>
        <v>37.130000000000003</v>
      </c>
      <c r="O2926" s="1">
        <f t="shared" si="410"/>
        <v>36.549999999999997</v>
      </c>
      <c r="P2926" s="1">
        <f t="shared" si="411"/>
        <v>18.647959183673468</v>
      </c>
    </row>
    <row r="2927" spans="1:16">
      <c r="A2927" s="2">
        <v>38812</v>
      </c>
      <c r="B2927" s="1">
        <v>36.659999999999997</v>
      </c>
      <c r="C2927" s="1">
        <v>37.340000000000003</v>
      </c>
      <c r="D2927" s="1">
        <v>36.270000000000003</v>
      </c>
      <c r="E2927" s="1">
        <v>37.340000000000003</v>
      </c>
      <c r="F2927" s="1">
        <v>5559500</v>
      </c>
      <c r="G2927" s="1">
        <v>37.340000000000003</v>
      </c>
      <c r="H2927" s="1">
        <f t="shared" si="405"/>
        <v>1.0700000000000003</v>
      </c>
      <c r="I2927" s="9">
        <f t="shared" si="412"/>
        <v>2.9500964984835957E-2</v>
      </c>
      <c r="J2927" s="1">
        <f t="shared" si="413"/>
        <v>0.57000000000000028</v>
      </c>
      <c r="K2927" s="9">
        <f t="shared" si="406"/>
        <v>1.5501767745444662E-2</v>
      </c>
      <c r="L2927" s="1">
        <f t="shared" si="407"/>
        <v>1</v>
      </c>
      <c r="M2927" s="1">
        <f t="shared" si="408"/>
        <v>37.340000000000003</v>
      </c>
      <c r="N2927" s="1">
        <f t="shared" si="409"/>
        <v>36.270000000000003</v>
      </c>
      <c r="O2927" s="1">
        <f t="shared" si="410"/>
        <v>35.380000000000003</v>
      </c>
      <c r="P2927" s="1">
        <f t="shared" si="411"/>
        <v>18.051020408163268</v>
      </c>
    </row>
    <row r="2928" spans="1:16">
      <c r="A2928" s="2">
        <v>38811</v>
      </c>
      <c r="B2928" s="1">
        <v>36.14</v>
      </c>
      <c r="C2928" s="1">
        <v>37.1</v>
      </c>
      <c r="D2928" s="1">
        <v>36.020000000000003</v>
      </c>
      <c r="E2928" s="1">
        <v>36.770000000000003</v>
      </c>
      <c r="F2928" s="1">
        <v>3717800</v>
      </c>
      <c r="G2928" s="1">
        <v>36.770000000000003</v>
      </c>
      <c r="H2928" s="1">
        <f t="shared" si="405"/>
        <v>1.0799999999999983</v>
      </c>
      <c r="I2928" s="9">
        <f t="shared" si="412"/>
        <v>2.9983342587451365E-2</v>
      </c>
      <c r="J2928" s="1">
        <f t="shared" si="413"/>
        <v>0.63000000000000256</v>
      </c>
      <c r="K2928" s="9">
        <f t="shared" si="406"/>
        <v>1.7432208079690165E-2</v>
      </c>
      <c r="L2928" s="1">
        <f t="shared" si="407"/>
        <v>1</v>
      </c>
      <c r="M2928" s="1">
        <f t="shared" si="408"/>
        <v>37.1</v>
      </c>
      <c r="N2928" s="1">
        <f t="shared" si="409"/>
        <v>36.020000000000003</v>
      </c>
      <c r="O2928" s="1">
        <f t="shared" si="410"/>
        <v>34.81</v>
      </c>
      <c r="P2928" s="1">
        <f t="shared" si="411"/>
        <v>17.760204081632654</v>
      </c>
    </row>
    <row r="2929" spans="1:16">
      <c r="A2929" s="2">
        <v>38810</v>
      </c>
      <c r="B2929" s="1">
        <v>36.67</v>
      </c>
      <c r="C2929" s="1">
        <v>37.33</v>
      </c>
      <c r="D2929" s="1">
        <v>36.1</v>
      </c>
      <c r="E2929" s="1">
        <v>36.14</v>
      </c>
      <c r="F2929" s="1">
        <v>5054000</v>
      </c>
      <c r="G2929" s="1">
        <v>36.14</v>
      </c>
      <c r="H2929" s="1">
        <f t="shared" si="405"/>
        <v>1.2299999999999969</v>
      </c>
      <c r="I2929" s="9">
        <f t="shared" si="412"/>
        <v>3.4072022160664732E-2</v>
      </c>
      <c r="J2929" s="1">
        <f t="shared" si="413"/>
        <v>-0.39000000000000057</v>
      </c>
      <c r="K2929" s="9">
        <f t="shared" si="406"/>
        <v>-1.0676156583629909E-2</v>
      </c>
      <c r="L2929" s="1">
        <f t="shared" si="407"/>
        <v>1</v>
      </c>
      <c r="M2929" s="1">
        <f t="shared" si="408"/>
        <v>37.33</v>
      </c>
      <c r="N2929" s="1">
        <f t="shared" si="409"/>
        <v>36.1</v>
      </c>
      <c r="O2929" s="1">
        <f t="shared" si="410"/>
        <v>34.18</v>
      </c>
      <c r="P2929" s="1">
        <f t="shared" si="411"/>
        <v>17.438775510204081</v>
      </c>
    </row>
    <row r="2930" spans="1:16">
      <c r="A2930" s="2">
        <v>38807</v>
      </c>
      <c r="B2930" s="1">
        <v>36.68</v>
      </c>
      <c r="C2930" s="1">
        <v>36.770000000000003</v>
      </c>
      <c r="D2930" s="1">
        <v>36.479999999999997</v>
      </c>
      <c r="E2930" s="1">
        <v>36.53</v>
      </c>
      <c r="F2930" s="1">
        <v>2659000</v>
      </c>
      <c r="G2930" s="1">
        <v>36.53</v>
      </c>
      <c r="H2930" s="1">
        <f t="shared" si="405"/>
        <v>0.29000000000000625</v>
      </c>
      <c r="I2930" s="9">
        <f t="shared" si="412"/>
        <v>7.9495614035089441E-3</v>
      </c>
      <c r="J2930" s="1">
        <f t="shared" si="413"/>
        <v>-0.14000000000000057</v>
      </c>
      <c r="K2930" s="9">
        <f t="shared" si="406"/>
        <v>-3.8178347422961703E-3</v>
      </c>
      <c r="L2930" s="1">
        <f t="shared" si="407"/>
        <v>1</v>
      </c>
      <c r="M2930" s="1">
        <f t="shared" si="408"/>
        <v>36.770000000000003</v>
      </c>
      <c r="N2930" s="1">
        <f t="shared" si="409"/>
        <v>36.479999999999997</v>
      </c>
      <c r="O2930" s="1">
        <f t="shared" si="410"/>
        <v>34.57</v>
      </c>
      <c r="P2930" s="1">
        <f t="shared" si="411"/>
        <v>17.637755102040817</v>
      </c>
    </row>
    <row r="2931" spans="1:16">
      <c r="A2931" s="2">
        <v>38806</v>
      </c>
      <c r="B2931" s="1">
        <v>36.450000000000003</v>
      </c>
      <c r="C2931" s="1">
        <v>36.9</v>
      </c>
      <c r="D2931" s="1">
        <v>36.18</v>
      </c>
      <c r="E2931" s="1">
        <v>36.67</v>
      </c>
      <c r="F2931" s="1">
        <v>4049200</v>
      </c>
      <c r="G2931" s="1">
        <v>36.67</v>
      </c>
      <c r="H2931" s="1">
        <f t="shared" si="405"/>
        <v>0.71999999999999886</v>
      </c>
      <c r="I2931" s="9">
        <f t="shared" si="412"/>
        <v>1.9900497512437779E-2</v>
      </c>
      <c r="J2931" s="1">
        <f t="shared" si="413"/>
        <v>0.35000000000000142</v>
      </c>
      <c r="K2931" s="9">
        <f t="shared" si="406"/>
        <v>9.6365638766520208E-3</v>
      </c>
      <c r="L2931" s="1">
        <f t="shared" si="407"/>
        <v>1</v>
      </c>
      <c r="M2931" s="1">
        <f t="shared" si="408"/>
        <v>36.9</v>
      </c>
      <c r="N2931" s="1">
        <f t="shared" si="409"/>
        <v>36.18</v>
      </c>
      <c r="O2931" s="1">
        <f t="shared" si="410"/>
        <v>34.71</v>
      </c>
      <c r="P2931" s="1">
        <f t="shared" si="411"/>
        <v>17.70918367346939</v>
      </c>
    </row>
    <row r="2932" spans="1:16">
      <c r="A2932" s="2">
        <v>38805</v>
      </c>
      <c r="B2932" s="1">
        <v>35.69</v>
      </c>
      <c r="C2932" s="1">
        <v>36.81</v>
      </c>
      <c r="D2932" s="1">
        <v>35.31</v>
      </c>
      <c r="E2932" s="1">
        <v>36.32</v>
      </c>
      <c r="F2932" s="1">
        <v>7199200</v>
      </c>
      <c r="G2932" s="1">
        <v>36.32</v>
      </c>
      <c r="H2932" s="1">
        <f t="shared" si="405"/>
        <v>1.5</v>
      </c>
      <c r="I2932" s="9">
        <f t="shared" si="412"/>
        <v>4.2480883602378929E-2</v>
      </c>
      <c r="J2932" s="1">
        <f t="shared" si="413"/>
        <v>0.63000000000000256</v>
      </c>
      <c r="K2932" s="9">
        <f t="shared" si="406"/>
        <v>1.7652003362286426E-2</v>
      </c>
      <c r="L2932" s="1">
        <f t="shared" si="407"/>
        <v>1</v>
      </c>
      <c r="M2932" s="1">
        <f t="shared" si="408"/>
        <v>36.81</v>
      </c>
      <c r="N2932" s="1">
        <f t="shared" si="409"/>
        <v>35.31</v>
      </c>
      <c r="O2932" s="1">
        <f t="shared" si="410"/>
        <v>34.36</v>
      </c>
      <c r="P2932" s="1">
        <f t="shared" si="411"/>
        <v>17.530612244897959</v>
      </c>
    </row>
    <row r="2933" spans="1:16">
      <c r="A2933" s="2">
        <v>38804</v>
      </c>
      <c r="B2933" s="1">
        <v>35.21</v>
      </c>
      <c r="C2933" s="1">
        <v>36.020000000000003</v>
      </c>
      <c r="D2933" s="1">
        <v>35.200000000000003</v>
      </c>
      <c r="E2933" s="1">
        <v>35.69</v>
      </c>
      <c r="F2933" s="1">
        <v>5727200</v>
      </c>
      <c r="G2933" s="1">
        <v>35.69</v>
      </c>
      <c r="H2933" s="1">
        <f t="shared" si="405"/>
        <v>0.82000000000000028</v>
      </c>
      <c r="I2933" s="9">
        <f t="shared" si="412"/>
        <v>2.3295454545454553E-2</v>
      </c>
      <c r="J2933" s="1">
        <f t="shared" si="413"/>
        <v>0.43999999999999773</v>
      </c>
      <c r="K2933" s="9">
        <f t="shared" si="406"/>
        <v>1.2482269503546035E-2</v>
      </c>
      <c r="L2933" s="1">
        <f t="shared" si="407"/>
        <v>1</v>
      </c>
      <c r="M2933" s="1">
        <f t="shared" si="408"/>
        <v>36.020000000000003</v>
      </c>
      <c r="N2933" s="1">
        <f t="shared" si="409"/>
        <v>35.200000000000003</v>
      </c>
      <c r="O2933" s="1">
        <f t="shared" si="410"/>
        <v>33.729999999999997</v>
      </c>
      <c r="P2933" s="1">
        <f t="shared" si="411"/>
        <v>17.209183673469386</v>
      </c>
    </row>
    <row r="2934" spans="1:16">
      <c r="A2934" s="2">
        <v>38803</v>
      </c>
      <c r="B2934" s="1">
        <v>35.5</v>
      </c>
      <c r="C2934" s="1">
        <v>35.659999999999997</v>
      </c>
      <c r="D2934" s="1">
        <v>35.14</v>
      </c>
      <c r="E2934" s="1">
        <v>35.25</v>
      </c>
      <c r="F2934" s="1">
        <v>3708500</v>
      </c>
      <c r="G2934" s="1">
        <v>35.25</v>
      </c>
      <c r="H2934" s="1">
        <f t="shared" si="405"/>
        <v>0.51999999999999602</v>
      </c>
      <c r="I2934" s="9">
        <f t="shared" si="412"/>
        <v>1.4797951052931019E-2</v>
      </c>
      <c r="J2934" s="1">
        <f t="shared" si="413"/>
        <v>-0.21999999999999886</v>
      </c>
      <c r="K2934" s="9">
        <f t="shared" si="406"/>
        <v>-6.2024245841555926E-3</v>
      </c>
      <c r="L2934" s="1">
        <f t="shared" si="407"/>
        <v>1</v>
      </c>
      <c r="M2934" s="1">
        <f t="shared" si="408"/>
        <v>35.659999999999997</v>
      </c>
      <c r="N2934" s="1">
        <f t="shared" si="409"/>
        <v>35.14</v>
      </c>
      <c r="O2934" s="1">
        <f t="shared" si="410"/>
        <v>33.29</v>
      </c>
      <c r="P2934" s="1">
        <f t="shared" si="411"/>
        <v>16.98469387755102</v>
      </c>
    </row>
    <row r="2935" spans="1:16">
      <c r="A2935" s="2">
        <v>38800</v>
      </c>
      <c r="B2935" s="1">
        <v>35.72</v>
      </c>
      <c r="C2935" s="1">
        <v>36.119999999999997</v>
      </c>
      <c r="D2935" s="1">
        <v>35.31</v>
      </c>
      <c r="E2935" s="1">
        <v>35.47</v>
      </c>
      <c r="F2935" s="1">
        <v>3682000</v>
      </c>
      <c r="G2935" s="1">
        <v>35.47</v>
      </c>
      <c r="H2935" s="1">
        <f t="shared" si="405"/>
        <v>0.80999999999999517</v>
      </c>
      <c r="I2935" s="9">
        <f t="shared" si="412"/>
        <v>2.2939677145284484E-2</v>
      </c>
      <c r="J2935" s="1">
        <f t="shared" si="413"/>
        <v>-0.21000000000000085</v>
      </c>
      <c r="K2935" s="9">
        <f t="shared" si="406"/>
        <v>-5.8856502242152706E-3</v>
      </c>
      <c r="L2935" s="1">
        <f t="shared" si="407"/>
        <v>1</v>
      </c>
      <c r="M2935" s="1">
        <f t="shared" si="408"/>
        <v>36.119999999999997</v>
      </c>
      <c r="N2935" s="1">
        <f t="shared" si="409"/>
        <v>35.31</v>
      </c>
      <c r="O2935" s="1">
        <f t="shared" si="410"/>
        <v>33.51</v>
      </c>
      <c r="P2935" s="1">
        <f t="shared" si="411"/>
        <v>17.096938775510203</v>
      </c>
    </row>
    <row r="2936" spans="1:16">
      <c r="A2936" s="2">
        <v>38799</v>
      </c>
      <c r="B2936" s="1">
        <v>35.96</v>
      </c>
      <c r="C2936" s="1">
        <v>36.340000000000003</v>
      </c>
      <c r="D2936" s="1">
        <v>35.479999999999997</v>
      </c>
      <c r="E2936" s="1">
        <v>35.68</v>
      </c>
      <c r="F2936" s="1">
        <v>4035900</v>
      </c>
      <c r="G2936" s="1">
        <v>35.68</v>
      </c>
      <c r="H2936" s="1">
        <f t="shared" si="405"/>
        <v>0.86000000000000654</v>
      </c>
      <c r="I2936" s="9">
        <f t="shared" si="412"/>
        <v>2.4239007891770199E-2</v>
      </c>
      <c r="J2936" s="1">
        <f t="shared" si="413"/>
        <v>-0.32000000000000028</v>
      </c>
      <c r="K2936" s="9">
        <f t="shared" si="406"/>
        <v>-8.8888888888888976E-3</v>
      </c>
      <c r="L2936" s="1">
        <f t="shared" si="407"/>
        <v>1</v>
      </c>
      <c r="M2936" s="1">
        <f t="shared" si="408"/>
        <v>36.340000000000003</v>
      </c>
      <c r="N2936" s="1">
        <f t="shared" si="409"/>
        <v>35.479999999999997</v>
      </c>
      <c r="O2936" s="1">
        <f t="shared" si="410"/>
        <v>33.72</v>
      </c>
      <c r="P2936" s="1">
        <f t="shared" si="411"/>
        <v>17.204081632653061</v>
      </c>
    </row>
    <row r="2937" spans="1:16">
      <c r="A2937" s="2">
        <v>38798</v>
      </c>
      <c r="B2937" s="1">
        <v>36</v>
      </c>
      <c r="C2937" s="1">
        <v>36.54</v>
      </c>
      <c r="D2937" s="1">
        <v>35.79</v>
      </c>
      <c r="E2937" s="1">
        <v>36</v>
      </c>
      <c r="F2937" s="1">
        <v>4300800</v>
      </c>
      <c r="G2937" s="1">
        <v>36</v>
      </c>
      <c r="H2937" s="1">
        <f t="shared" si="405"/>
        <v>0.75</v>
      </c>
      <c r="I2937" s="9">
        <f t="shared" si="412"/>
        <v>2.0955574182732608E-2</v>
      </c>
      <c r="J2937" s="1">
        <f t="shared" si="413"/>
        <v>7.9999999999998295E-2</v>
      </c>
      <c r="K2937" s="9">
        <f t="shared" si="406"/>
        <v>2.2271714922048524E-3</v>
      </c>
      <c r="L2937" s="1">
        <f t="shared" si="407"/>
        <v>1</v>
      </c>
      <c r="M2937" s="1">
        <f t="shared" si="408"/>
        <v>36.54</v>
      </c>
      <c r="N2937" s="1">
        <f t="shared" si="409"/>
        <v>35.79</v>
      </c>
      <c r="O2937" s="1">
        <f t="shared" si="410"/>
        <v>34.04</v>
      </c>
      <c r="P2937" s="1">
        <f t="shared" si="411"/>
        <v>17.367346938775508</v>
      </c>
    </row>
    <row r="2938" spans="1:16">
      <c r="A2938" s="2">
        <v>38797</v>
      </c>
      <c r="B2938" s="1">
        <v>35.92</v>
      </c>
      <c r="C2938" s="1">
        <v>36.729999999999997</v>
      </c>
      <c r="D2938" s="1">
        <v>35.659999999999997</v>
      </c>
      <c r="E2938" s="1">
        <v>35.92</v>
      </c>
      <c r="F2938" s="1">
        <v>6671600</v>
      </c>
      <c r="G2938" s="1">
        <v>35.92</v>
      </c>
      <c r="H2938" s="1">
        <f t="shared" si="405"/>
        <v>1.0700000000000003</v>
      </c>
      <c r="I2938" s="9">
        <f t="shared" si="412"/>
        <v>3.0005608524957948E-2</v>
      </c>
      <c r="J2938" s="1">
        <f t="shared" si="413"/>
        <v>-0.30999999999999517</v>
      </c>
      <c r="K2938" s="9">
        <f t="shared" si="406"/>
        <v>-8.5564449351364941E-3</v>
      </c>
      <c r="L2938" s="1">
        <f t="shared" si="407"/>
        <v>1</v>
      </c>
      <c r="M2938" s="1">
        <f t="shared" si="408"/>
        <v>36.729999999999997</v>
      </c>
      <c r="N2938" s="1">
        <f t="shared" si="409"/>
        <v>35.659999999999997</v>
      </c>
      <c r="O2938" s="1">
        <f t="shared" si="410"/>
        <v>33.96</v>
      </c>
      <c r="P2938" s="1">
        <f t="shared" si="411"/>
        <v>17.326530612244898</v>
      </c>
    </row>
    <row r="2939" spans="1:16">
      <c r="A2939" s="2">
        <v>38796</v>
      </c>
      <c r="B2939" s="1">
        <v>35.92</v>
      </c>
      <c r="C2939" s="1">
        <v>37.270000000000003</v>
      </c>
      <c r="D2939" s="1">
        <v>35.799999999999997</v>
      </c>
      <c r="E2939" s="1">
        <v>36.229999999999997</v>
      </c>
      <c r="F2939" s="1">
        <v>6170800</v>
      </c>
      <c r="G2939" s="1">
        <v>36.229999999999997</v>
      </c>
      <c r="H2939" s="1">
        <f t="shared" si="405"/>
        <v>1.470000000000006</v>
      </c>
      <c r="I2939" s="9">
        <f t="shared" si="412"/>
        <v>4.1061452513966652E-2</v>
      </c>
      <c r="J2939" s="1">
        <f t="shared" si="413"/>
        <v>0.23999999999999488</v>
      </c>
      <c r="K2939" s="9">
        <f t="shared" si="406"/>
        <v>6.6685190330645974E-3</v>
      </c>
      <c r="L2939" s="1">
        <f t="shared" si="407"/>
        <v>1</v>
      </c>
      <c r="M2939" s="1">
        <f t="shared" si="408"/>
        <v>37.270000000000003</v>
      </c>
      <c r="N2939" s="1">
        <f t="shared" si="409"/>
        <v>35.799999999999997</v>
      </c>
      <c r="O2939" s="1">
        <f t="shared" si="410"/>
        <v>34.269999999999996</v>
      </c>
      <c r="P2939" s="1">
        <f t="shared" si="411"/>
        <v>17.48469387755102</v>
      </c>
    </row>
    <row r="2940" spans="1:16">
      <c r="A2940" s="2">
        <v>38793</v>
      </c>
      <c r="B2940" s="1">
        <v>36.880000000000003</v>
      </c>
      <c r="C2940" s="1">
        <v>36.979999999999997</v>
      </c>
      <c r="D2940" s="1">
        <v>35.85</v>
      </c>
      <c r="E2940" s="1">
        <v>35.99</v>
      </c>
      <c r="F2940" s="1">
        <v>6886200</v>
      </c>
      <c r="G2940" s="1">
        <v>35.99</v>
      </c>
      <c r="H2940" s="1">
        <f t="shared" si="405"/>
        <v>1.1299999999999955</v>
      </c>
      <c r="I2940" s="9">
        <f t="shared" si="412"/>
        <v>3.1520223152022186E-2</v>
      </c>
      <c r="J2940" s="1">
        <f t="shared" si="413"/>
        <v>-0.78000000000000114</v>
      </c>
      <c r="K2940" s="9">
        <f t="shared" si="406"/>
        <v>-2.1212945335871664E-2</v>
      </c>
      <c r="L2940" s="1">
        <f t="shared" si="407"/>
        <v>1</v>
      </c>
      <c r="M2940" s="1">
        <f t="shared" si="408"/>
        <v>36.979999999999997</v>
      </c>
      <c r="N2940" s="1">
        <f t="shared" si="409"/>
        <v>35.85</v>
      </c>
      <c r="O2940" s="1">
        <f t="shared" si="410"/>
        <v>34.03</v>
      </c>
      <c r="P2940" s="1">
        <f t="shared" si="411"/>
        <v>17.362244897959183</v>
      </c>
    </row>
    <row r="2941" spans="1:16">
      <c r="A2941" s="2">
        <v>38792</v>
      </c>
      <c r="B2941" s="1">
        <v>37.08</v>
      </c>
      <c r="C2941" s="1">
        <v>37.39</v>
      </c>
      <c r="D2941" s="1">
        <v>36.74</v>
      </c>
      <c r="E2941" s="1">
        <v>36.770000000000003</v>
      </c>
      <c r="F2941" s="1">
        <v>4822800</v>
      </c>
      <c r="G2941" s="1">
        <v>36.770000000000003</v>
      </c>
      <c r="H2941" s="1">
        <f t="shared" si="405"/>
        <v>0.64999999999999858</v>
      </c>
      <c r="I2941" s="9">
        <f t="shared" si="412"/>
        <v>1.769188894937394E-2</v>
      </c>
      <c r="J2941" s="1">
        <f t="shared" si="413"/>
        <v>-0.11999999999999744</v>
      </c>
      <c r="K2941" s="9">
        <f t="shared" si="406"/>
        <v>-3.2529140688532785E-3</v>
      </c>
      <c r="L2941" s="1">
        <f t="shared" si="407"/>
        <v>1</v>
      </c>
      <c r="M2941" s="1">
        <f t="shared" si="408"/>
        <v>37.39</v>
      </c>
      <c r="N2941" s="1">
        <f t="shared" si="409"/>
        <v>36.74</v>
      </c>
      <c r="O2941" s="1">
        <f t="shared" si="410"/>
        <v>34.81</v>
      </c>
      <c r="P2941" s="1">
        <f t="shared" si="411"/>
        <v>17.760204081632654</v>
      </c>
    </row>
    <row r="2942" spans="1:16">
      <c r="A2942" s="2">
        <v>38791</v>
      </c>
      <c r="B2942" s="1">
        <v>36.950000000000003</v>
      </c>
      <c r="C2942" s="1">
        <v>37</v>
      </c>
      <c r="D2942" s="1">
        <v>36.43</v>
      </c>
      <c r="E2942" s="1">
        <v>36.89</v>
      </c>
      <c r="F2942" s="1">
        <v>2801500</v>
      </c>
      <c r="G2942" s="1">
        <v>36.89</v>
      </c>
      <c r="H2942" s="1">
        <f t="shared" si="405"/>
        <v>0.57000000000000028</v>
      </c>
      <c r="I2942" s="9">
        <f t="shared" si="412"/>
        <v>1.5646445237441676E-2</v>
      </c>
      <c r="J2942" s="1">
        <f t="shared" si="413"/>
        <v>-1.9999999999996021E-2</v>
      </c>
      <c r="K2942" s="9">
        <f t="shared" si="406"/>
        <v>-5.4185857491184024E-4</v>
      </c>
      <c r="L2942" s="1">
        <f t="shared" si="407"/>
        <v>1</v>
      </c>
      <c r="M2942" s="1">
        <f t="shared" si="408"/>
        <v>37</v>
      </c>
      <c r="N2942" s="1">
        <f t="shared" si="409"/>
        <v>36.43</v>
      </c>
      <c r="O2942" s="1">
        <f t="shared" si="410"/>
        <v>34.93</v>
      </c>
      <c r="P2942" s="1">
        <f t="shared" si="411"/>
        <v>17.821428571428573</v>
      </c>
    </row>
    <row r="2943" spans="1:16">
      <c r="A2943" s="2">
        <v>38790</v>
      </c>
      <c r="B2943" s="1">
        <v>36.04</v>
      </c>
      <c r="C2943" s="1">
        <v>37</v>
      </c>
      <c r="D2943" s="1">
        <v>36.01</v>
      </c>
      <c r="E2943" s="1">
        <v>36.909999999999997</v>
      </c>
      <c r="F2943" s="1">
        <v>4185200</v>
      </c>
      <c r="G2943" s="1">
        <v>36.909999999999997</v>
      </c>
      <c r="H2943" s="1">
        <f t="shared" si="405"/>
        <v>0.99000000000000199</v>
      </c>
      <c r="I2943" s="9">
        <f t="shared" si="412"/>
        <v>2.749236323243549E-2</v>
      </c>
      <c r="J2943" s="1">
        <f t="shared" si="413"/>
        <v>0.71999999999999886</v>
      </c>
      <c r="K2943" s="9">
        <f t="shared" si="406"/>
        <v>1.9894998618402843E-2</v>
      </c>
      <c r="L2943" s="1">
        <f t="shared" si="407"/>
        <v>1</v>
      </c>
      <c r="M2943" s="1">
        <f t="shared" si="408"/>
        <v>37</v>
      </c>
      <c r="N2943" s="1">
        <f t="shared" si="409"/>
        <v>36.01</v>
      </c>
      <c r="O2943" s="1">
        <f t="shared" si="410"/>
        <v>34.949999999999996</v>
      </c>
      <c r="P2943" s="1">
        <f t="shared" si="411"/>
        <v>17.831632653061224</v>
      </c>
    </row>
    <row r="2944" spans="1:16">
      <c r="A2944" s="2">
        <v>38789</v>
      </c>
      <c r="B2944" s="1">
        <v>36.31</v>
      </c>
      <c r="C2944" s="1">
        <v>36.630000000000003</v>
      </c>
      <c r="D2944" s="1">
        <v>35.97</v>
      </c>
      <c r="E2944" s="1">
        <v>36.19</v>
      </c>
      <c r="F2944" s="1">
        <v>3278100</v>
      </c>
      <c r="G2944" s="1">
        <v>36.19</v>
      </c>
      <c r="H2944" s="1">
        <f t="shared" si="405"/>
        <v>0.66000000000000369</v>
      </c>
      <c r="I2944" s="9">
        <f t="shared" si="412"/>
        <v>1.8348623853211111E-2</v>
      </c>
      <c r="J2944" s="1">
        <f t="shared" si="413"/>
        <v>-3.0000000000001137E-2</v>
      </c>
      <c r="K2944" s="9">
        <f t="shared" si="406"/>
        <v>-8.2827167310881109E-4</v>
      </c>
      <c r="L2944" s="1">
        <f t="shared" si="407"/>
        <v>1</v>
      </c>
      <c r="M2944" s="1">
        <f t="shared" si="408"/>
        <v>36.630000000000003</v>
      </c>
      <c r="N2944" s="1">
        <f t="shared" si="409"/>
        <v>35.97</v>
      </c>
      <c r="O2944" s="1">
        <f t="shared" si="410"/>
        <v>34.229999999999997</v>
      </c>
      <c r="P2944" s="1">
        <f t="shared" si="411"/>
        <v>17.464285714285712</v>
      </c>
    </row>
    <row r="2945" spans="1:16">
      <c r="A2945" s="2">
        <v>38786</v>
      </c>
      <c r="B2945" s="1">
        <v>36.24</v>
      </c>
      <c r="C2945" s="1">
        <v>36.5</v>
      </c>
      <c r="D2945" s="1">
        <v>35.74</v>
      </c>
      <c r="E2945" s="1">
        <v>36.22</v>
      </c>
      <c r="F2945" s="1">
        <v>4972700</v>
      </c>
      <c r="G2945" s="1">
        <v>36.22</v>
      </c>
      <c r="H2945" s="1">
        <f t="shared" si="405"/>
        <v>0.75999999999999801</v>
      </c>
      <c r="I2945" s="9">
        <f t="shared" si="412"/>
        <v>2.1264689423614942E-2</v>
      </c>
      <c r="J2945" s="1">
        <f t="shared" si="413"/>
        <v>0.10000000000000142</v>
      </c>
      <c r="K2945" s="9">
        <f t="shared" si="406"/>
        <v>2.7685492801772268E-3</v>
      </c>
      <c r="L2945" s="1">
        <f t="shared" si="407"/>
        <v>1</v>
      </c>
      <c r="M2945" s="1">
        <f t="shared" si="408"/>
        <v>36.5</v>
      </c>
      <c r="N2945" s="1">
        <f t="shared" si="409"/>
        <v>35.74</v>
      </c>
      <c r="O2945" s="1">
        <f t="shared" si="410"/>
        <v>34.26</v>
      </c>
      <c r="P2945" s="1">
        <f t="shared" si="411"/>
        <v>17.479591836734691</v>
      </c>
    </row>
    <row r="2946" spans="1:16">
      <c r="A2946" s="2">
        <v>38785</v>
      </c>
      <c r="B2946" s="1">
        <v>36.799999999999997</v>
      </c>
      <c r="C2946" s="1">
        <v>36.96</v>
      </c>
      <c r="D2946" s="1">
        <v>35.9</v>
      </c>
      <c r="E2946" s="1">
        <v>36.119999999999997</v>
      </c>
      <c r="F2946" s="1">
        <v>7200100</v>
      </c>
      <c r="G2946" s="1">
        <v>36.119999999999997</v>
      </c>
      <c r="H2946" s="1">
        <f t="shared" si="405"/>
        <v>1.0600000000000023</v>
      </c>
      <c r="I2946" s="9">
        <f t="shared" si="412"/>
        <v>2.952646239554324E-2</v>
      </c>
      <c r="J2946" s="1">
        <f t="shared" si="413"/>
        <v>-0.69000000000000483</v>
      </c>
      <c r="K2946" s="9">
        <f t="shared" si="406"/>
        <v>-1.8744906275468754E-2</v>
      </c>
      <c r="L2946" s="1">
        <f t="shared" si="407"/>
        <v>1</v>
      </c>
      <c r="M2946" s="1">
        <f t="shared" si="408"/>
        <v>36.96</v>
      </c>
      <c r="N2946" s="1">
        <f t="shared" si="409"/>
        <v>35.9</v>
      </c>
      <c r="O2946" s="1">
        <f t="shared" si="410"/>
        <v>34.159999999999997</v>
      </c>
      <c r="P2946" s="1">
        <f t="shared" si="411"/>
        <v>17.428571428571427</v>
      </c>
    </row>
    <row r="2947" spans="1:16">
      <c r="A2947" s="2">
        <v>38784</v>
      </c>
      <c r="B2947" s="1">
        <v>36.72</v>
      </c>
      <c r="C2947" s="1">
        <v>37.47</v>
      </c>
      <c r="D2947" s="1">
        <v>36.61</v>
      </c>
      <c r="E2947" s="1">
        <v>36.81</v>
      </c>
      <c r="F2947" s="1">
        <v>6236600</v>
      </c>
      <c r="G2947" s="1">
        <v>36.81</v>
      </c>
      <c r="H2947" s="1">
        <f t="shared" ref="H2947:H3010" si="414">C2947-D2947</f>
        <v>0.85999999999999943</v>
      </c>
      <c r="I2947" s="9">
        <f t="shared" si="412"/>
        <v>2.3490849494673571E-2</v>
      </c>
      <c r="J2947" s="1">
        <f t="shared" si="413"/>
        <v>-0.11999999999999744</v>
      </c>
      <c r="K2947" s="9">
        <f t="shared" ref="K2947:K3010" si="415">(G2947-G2948)/G2948</f>
        <v>-3.2493907392363241E-3</v>
      </c>
      <c r="L2947" s="1">
        <f t="shared" ref="L2947:L3010" si="416">G2947/E2947</f>
        <v>1</v>
      </c>
      <c r="M2947" s="1">
        <f t="shared" ref="M2947:M3010" si="417">L2947*C2947</f>
        <v>37.47</v>
      </c>
      <c r="N2947" s="1">
        <f t="shared" ref="N2947:N3010" si="418">L2947*D2947</f>
        <v>36.61</v>
      </c>
      <c r="O2947" s="1">
        <f t="shared" ref="O2947:O3010" si="419">G2947-$G$5163</f>
        <v>34.85</v>
      </c>
      <c r="P2947" s="1">
        <f t="shared" ref="P2947:P3010" si="420">(G2947-$G$5163)/$G$5163</f>
        <v>17.780612244897959</v>
      </c>
    </row>
    <row r="2948" spans="1:16">
      <c r="A2948" s="2">
        <v>38783</v>
      </c>
      <c r="B2948" s="1">
        <v>36.71</v>
      </c>
      <c r="C2948" s="1">
        <v>37.42</v>
      </c>
      <c r="D2948" s="1">
        <v>36.700000000000003</v>
      </c>
      <c r="E2948" s="1">
        <v>36.93</v>
      </c>
      <c r="F2948" s="1">
        <v>4722300</v>
      </c>
      <c r="G2948" s="1">
        <v>36.93</v>
      </c>
      <c r="H2948" s="1">
        <f t="shared" si="414"/>
        <v>0.71999999999999886</v>
      </c>
      <c r="I2948" s="9">
        <f t="shared" ref="I2948:I3011" si="421">(C2948-D2948)/D2948</f>
        <v>1.961852861035419E-2</v>
      </c>
      <c r="J2948" s="1">
        <f t="shared" ref="J2948:J3011" si="422">G2948-G2949</f>
        <v>7.0000000000000284E-2</v>
      </c>
      <c r="K2948" s="9">
        <f t="shared" si="415"/>
        <v>1.8990775908844352E-3</v>
      </c>
      <c r="L2948" s="1">
        <f t="shared" si="416"/>
        <v>1</v>
      </c>
      <c r="M2948" s="1">
        <f t="shared" si="417"/>
        <v>37.42</v>
      </c>
      <c r="N2948" s="1">
        <f t="shared" si="418"/>
        <v>36.700000000000003</v>
      </c>
      <c r="O2948" s="1">
        <f t="shared" si="419"/>
        <v>34.97</v>
      </c>
      <c r="P2948" s="1">
        <f t="shared" si="420"/>
        <v>17.841836734693878</v>
      </c>
    </row>
    <row r="2949" spans="1:16">
      <c r="A2949" s="2">
        <v>38782</v>
      </c>
      <c r="B2949" s="1">
        <v>37.32</v>
      </c>
      <c r="C2949" s="1">
        <v>37.58</v>
      </c>
      <c r="D2949" s="1">
        <v>36.770000000000003</v>
      </c>
      <c r="E2949" s="1">
        <v>36.86</v>
      </c>
      <c r="F2949" s="1">
        <v>4258300</v>
      </c>
      <c r="G2949" s="1">
        <v>36.86</v>
      </c>
      <c r="H2949" s="1">
        <f t="shared" si="414"/>
        <v>0.80999999999999517</v>
      </c>
      <c r="I2949" s="9">
        <f t="shared" si="421"/>
        <v>2.202882784878964E-2</v>
      </c>
      <c r="J2949" s="1">
        <f t="shared" si="422"/>
        <v>-0.35000000000000142</v>
      </c>
      <c r="K2949" s="9">
        <f t="shared" si="415"/>
        <v>-9.4060736361193612E-3</v>
      </c>
      <c r="L2949" s="1">
        <f t="shared" si="416"/>
        <v>1</v>
      </c>
      <c r="M2949" s="1">
        <f t="shared" si="417"/>
        <v>37.58</v>
      </c>
      <c r="N2949" s="1">
        <f t="shared" si="418"/>
        <v>36.770000000000003</v>
      </c>
      <c r="O2949" s="1">
        <f t="shared" si="419"/>
        <v>34.9</v>
      </c>
      <c r="P2949" s="1">
        <f t="shared" si="420"/>
        <v>17.80612244897959</v>
      </c>
    </row>
    <row r="2950" spans="1:16">
      <c r="A2950" s="2">
        <v>38779</v>
      </c>
      <c r="B2950" s="1">
        <v>36.89</v>
      </c>
      <c r="C2950" s="1">
        <v>37.83</v>
      </c>
      <c r="D2950" s="1">
        <v>36.67</v>
      </c>
      <c r="E2950" s="1">
        <v>37.21</v>
      </c>
      <c r="F2950" s="1">
        <v>6044900</v>
      </c>
      <c r="G2950" s="1">
        <v>37.21</v>
      </c>
      <c r="H2950" s="1">
        <f t="shared" si="414"/>
        <v>1.1599999999999966</v>
      </c>
      <c r="I2950" s="9">
        <f t="shared" si="421"/>
        <v>3.1633487864739476E-2</v>
      </c>
      <c r="J2950" s="1">
        <f t="shared" si="422"/>
        <v>0.32999999999999829</v>
      </c>
      <c r="K2950" s="9">
        <f t="shared" si="415"/>
        <v>8.9479392624728388E-3</v>
      </c>
      <c r="L2950" s="1">
        <f t="shared" si="416"/>
        <v>1</v>
      </c>
      <c r="M2950" s="1">
        <f t="shared" si="417"/>
        <v>37.83</v>
      </c>
      <c r="N2950" s="1">
        <f t="shared" si="418"/>
        <v>36.67</v>
      </c>
      <c r="O2950" s="1">
        <f t="shared" si="419"/>
        <v>35.25</v>
      </c>
      <c r="P2950" s="1">
        <f t="shared" si="420"/>
        <v>17.98469387755102</v>
      </c>
    </row>
    <row r="2951" spans="1:16">
      <c r="A2951" s="2">
        <v>38778</v>
      </c>
      <c r="B2951" s="1">
        <v>35.64</v>
      </c>
      <c r="C2951" s="1">
        <v>37</v>
      </c>
      <c r="D2951" s="1">
        <v>35.369999999999997</v>
      </c>
      <c r="E2951" s="1">
        <v>36.880000000000003</v>
      </c>
      <c r="F2951" s="1">
        <v>11583700</v>
      </c>
      <c r="G2951" s="1">
        <v>36.880000000000003</v>
      </c>
      <c r="H2951" s="1">
        <f t="shared" si="414"/>
        <v>1.6300000000000026</v>
      </c>
      <c r="I2951" s="9">
        <f t="shared" si="421"/>
        <v>4.6084252191122499E-2</v>
      </c>
      <c r="J2951" s="1">
        <f t="shared" si="422"/>
        <v>-0.23999999999999488</v>
      </c>
      <c r="K2951" s="9">
        <f t="shared" si="415"/>
        <v>-6.4655172413791732E-3</v>
      </c>
      <c r="L2951" s="1">
        <f t="shared" si="416"/>
        <v>1</v>
      </c>
      <c r="M2951" s="1">
        <f t="shared" si="417"/>
        <v>37</v>
      </c>
      <c r="N2951" s="1">
        <f t="shared" si="418"/>
        <v>35.369999999999997</v>
      </c>
      <c r="O2951" s="1">
        <f t="shared" si="419"/>
        <v>34.92</v>
      </c>
      <c r="P2951" s="1">
        <f t="shared" si="420"/>
        <v>17.816326530612248</v>
      </c>
    </row>
    <row r="2952" spans="1:16">
      <c r="A2952" s="2">
        <v>38777</v>
      </c>
      <c r="B2952" s="1">
        <v>37.450000000000003</v>
      </c>
      <c r="C2952" s="1">
        <v>37.69</v>
      </c>
      <c r="D2952" s="1">
        <v>36.85</v>
      </c>
      <c r="E2952" s="1">
        <v>37.119999999999997</v>
      </c>
      <c r="F2952" s="1">
        <v>6981500</v>
      </c>
      <c r="G2952" s="1">
        <v>37.119999999999997</v>
      </c>
      <c r="H2952" s="1">
        <f t="shared" si="414"/>
        <v>0.83999999999999631</v>
      </c>
      <c r="I2952" s="9">
        <f t="shared" si="421"/>
        <v>2.2795115332428666E-2</v>
      </c>
      <c r="J2952" s="1">
        <f t="shared" si="422"/>
        <v>-0.32000000000000028</v>
      </c>
      <c r="K2952" s="9">
        <f t="shared" si="415"/>
        <v>-8.5470085470085548E-3</v>
      </c>
      <c r="L2952" s="1">
        <f t="shared" si="416"/>
        <v>1</v>
      </c>
      <c r="M2952" s="1">
        <f t="shared" si="417"/>
        <v>37.69</v>
      </c>
      <c r="N2952" s="1">
        <f t="shared" si="418"/>
        <v>36.85</v>
      </c>
      <c r="O2952" s="1">
        <f t="shared" si="419"/>
        <v>35.159999999999997</v>
      </c>
      <c r="P2952" s="1">
        <f t="shared" si="420"/>
        <v>17.938775510204081</v>
      </c>
    </row>
    <row r="2953" spans="1:16">
      <c r="A2953" s="2">
        <v>38776</v>
      </c>
      <c r="B2953" s="1">
        <v>37.79</v>
      </c>
      <c r="C2953" s="1">
        <v>38.090000000000003</v>
      </c>
      <c r="D2953" s="1">
        <v>37.049999999999997</v>
      </c>
      <c r="E2953" s="1">
        <v>37.44</v>
      </c>
      <c r="F2953" s="1">
        <v>9150900</v>
      </c>
      <c r="G2953" s="1">
        <v>37.44</v>
      </c>
      <c r="H2953" s="1">
        <f t="shared" si="414"/>
        <v>1.0400000000000063</v>
      </c>
      <c r="I2953" s="9">
        <f t="shared" si="421"/>
        <v>2.8070175438596662E-2</v>
      </c>
      <c r="J2953" s="1">
        <f t="shared" si="422"/>
        <v>-0.57000000000000028</v>
      </c>
      <c r="K2953" s="9">
        <f t="shared" si="415"/>
        <v>-1.4996053670086827E-2</v>
      </c>
      <c r="L2953" s="1">
        <f t="shared" si="416"/>
        <v>1</v>
      </c>
      <c r="M2953" s="1">
        <f t="shared" si="417"/>
        <v>38.090000000000003</v>
      </c>
      <c r="N2953" s="1">
        <f t="shared" si="418"/>
        <v>37.049999999999997</v>
      </c>
      <c r="O2953" s="1">
        <f t="shared" si="419"/>
        <v>35.479999999999997</v>
      </c>
      <c r="P2953" s="1">
        <f t="shared" si="420"/>
        <v>18.102040816326529</v>
      </c>
    </row>
    <row r="2954" spans="1:16">
      <c r="A2954" s="2">
        <v>38775</v>
      </c>
      <c r="B2954" s="1">
        <v>38.4</v>
      </c>
      <c r="C2954" s="1">
        <v>38.78</v>
      </c>
      <c r="D2954" s="1">
        <v>37.93</v>
      </c>
      <c r="E2954" s="1">
        <v>38.01</v>
      </c>
      <c r="F2954" s="1">
        <v>4449100</v>
      </c>
      <c r="G2954" s="1">
        <v>38.01</v>
      </c>
      <c r="H2954" s="1">
        <f t="shared" si="414"/>
        <v>0.85000000000000142</v>
      </c>
      <c r="I2954" s="9">
        <f t="shared" si="421"/>
        <v>2.2409702082784113E-2</v>
      </c>
      <c r="J2954" s="1">
        <f t="shared" si="422"/>
        <v>-0.34000000000000341</v>
      </c>
      <c r="K2954" s="9">
        <f t="shared" si="415"/>
        <v>-8.8657105606259039E-3</v>
      </c>
      <c r="L2954" s="1">
        <f t="shared" si="416"/>
        <v>1</v>
      </c>
      <c r="M2954" s="1">
        <f t="shared" si="417"/>
        <v>38.78</v>
      </c>
      <c r="N2954" s="1">
        <f t="shared" si="418"/>
        <v>37.93</v>
      </c>
      <c r="O2954" s="1">
        <f t="shared" si="419"/>
        <v>36.049999999999997</v>
      </c>
      <c r="P2954" s="1">
        <f t="shared" si="420"/>
        <v>18.392857142857142</v>
      </c>
    </row>
    <row r="2955" spans="1:16">
      <c r="A2955" s="2">
        <v>38772</v>
      </c>
      <c r="B2955" s="1">
        <v>38.25</v>
      </c>
      <c r="C2955" s="1">
        <v>38.409999999999997</v>
      </c>
      <c r="D2955" s="1">
        <v>37.86</v>
      </c>
      <c r="E2955" s="1">
        <v>38.35</v>
      </c>
      <c r="F2955" s="1">
        <v>3720000</v>
      </c>
      <c r="G2955" s="1">
        <v>38.35</v>
      </c>
      <c r="H2955" s="1">
        <f t="shared" si="414"/>
        <v>0.54999999999999716</v>
      </c>
      <c r="I2955" s="9">
        <f t="shared" si="421"/>
        <v>1.4527205493924913E-2</v>
      </c>
      <c r="J2955" s="1">
        <f t="shared" si="422"/>
        <v>0.45000000000000284</v>
      </c>
      <c r="K2955" s="9">
        <f t="shared" si="415"/>
        <v>1.1873350923482925E-2</v>
      </c>
      <c r="L2955" s="1">
        <f t="shared" si="416"/>
        <v>1</v>
      </c>
      <c r="M2955" s="1">
        <f t="shared" si="417"/>
        <v>38.409999999999997</v>
      </c>
      <c r="N2955" s="1">
        <f t="shared" si="418"/>
        <v>37.86</v>
      </c>
      <c r="O2955" s="1">
        <f t="shared" si="419"/>
        <v>36.39</v>
      </c>
      <c r="P2955" s="1">
        <f t="shared" si="420"/>
        <v>18.566326530612244</v>
      </c>
    </row>
    <row r="2956" spans="1:16">
      <c r="A2956" s="2">
        <v>38771</v>
      </c>
      <c r="B2956" s="1">
        <v>38.619999999999997</v>
      </c>
      <c r="C2956" s="1">
        <v>38.75</v>
      </c>
      <c r="D2956" s="1">
        <v>37.869999999999997</v>
      </c>
      <c r="E2956" s="1">
        <v>37.9</v>
      </c>
      <c r="F2956" s="1">
        <v>9287500</v>
      </c>
      <c r="G2956" s="1">
        <v>37.9</v>
      </c>
      <c r="H2956" s="1">
        <f t="shared" si="414"/>
        <v>0.88000000000000256</v>
      </c>
      <c r="I2956" s="9">
        <f t="shared" si="421"/>
        <v>2.3237391074729406E-2</v>
      </c>
      <c r="J2956" s="1">
        <f t="shared" si="422"/>
        <v>-0.82000000000000028</v>
      </c>
      <c r="K2956" s="9">
        <f t="shared" si="415"/>
        <v>-2.1177685950413232E-2</v>
      </c>
      <c r="L2956" s="1">
        <f t="shared" si="416"/>
        <v>1</v>
      </c>
      <c r="M2956" s="1">
        <f t="shared" si="417"/>
        <v>38.75</v>
      </c>
      <c r="N2956" s="1">
        <f t="shared" si="418"/>
        <v>37.869999999999997</v>
      </c>
      <c r="O2956" s="1">
        <f t="shared" si="419"/>
        <v>35.94</v>
      </c>
      <c r="P2956" s="1">
        <f t="shared" si="420"/>
        <v>18.336734693877549</v>
      </c>
    </row>
    <row r="2957" spans="1:16">
      <c r="A2957" s="2">
        <v>38770</v>
      </c>
      <c r="B2957" s="1">
        <v>38.31</v>
      </c>
      <c r="C2957" s="1">
        <v>39.1</v>
      </c>
      <c r="D2957" s="1">
        <v>37.71</v>
      </c>
      <c r="E2957" s="1">
        <v>38.72</v>
      </c>
      <c r="F2957" s="1">
        <v>7356900</v>
      </c>
      <c r="G2957" s="1">
        <v>38.72</v>
      </c>
      <c r="H2957" s="1">
        <f t="shared" si="414"/>
        <v>1.3900000000000006</v>
      </c>
      <c r="I2957" s="9">
        <f t="shared" si="421"/>
        <v>3.6860249270750475E-2</v>
      </c>
      <c r="J2957" s="1">
        <f t="shared" si="422"/>
        <v>0.42999999999999972</v>
      </c>
      <c r="K2957" s="9">
        <f t="shared" si="415"/>
        <v>1.1230086184382338E-2</v>
      </c>
      <c r="L2957" s="1">
        <f t="shared" si="416"/>
        <v>1</v>
      </c>
      <c r="M2957" s="1">
        <f t="shared" si="417"/>
        <v>39.1</v>
      </c>
      <c r="N2957" s="1">
        <f t="shared" si="418"/>
        <v>37.71</v>
      </c>
      <c r="O2957" s="1">
        <f t="shared" si="419"/>
        <v>36.76</v>
      </c>
      <c r="P2957" s="1">
        <f t="shared" si="420"/>
        <v>18.755102040816325</v>
      </c>
    </row>
    <row r="2958" spans="1:16">
      <c r="A2958" s="2">
        <v>38769</v>
      </c>
      <c r="B2958" s="1">
        <v>39.01</v>
      </c>
      <c r="C2958" s="1">
        <v>39.11</v>
      </c>
      <c r="D2958" s="1">
        <v>38.26</v>
      </c>
      <c r="E2958" s="1">
        <v>38.29</v>
      </c>
      <c r="F2958" s="1">
        <v>5056100</v>
      </c>
      <c r="G2958" s="1">
        <v>38.29</v>
      </c>
      <c r="H2958" s="1">
        <f t="shared" si="414"/>
        <v>0.85000000000000142</v>
      </c>
      <c r="I2958" s="9">
        <f t="shared" si="421"/>
        <v>2.2216414009409342E-2</v>
      </c>
      <c r="J2958" s="1">
        <f t="shared" si="422"/>
        <v>-0.89999999999999858</v>
      </c>
      <c r="K2958" s="9">
        <f t="shared" si="415"/>
        <v>-2.2965042102577153E-2</v>
      </c>
      <c r="L2958" s="1">
        <f t="shared" si="416"/>
        <v>1</v>
      </c>
      <c r="M2958" s="1">
        <f t="shared" si="417"/>
        <v>39.11</v>
      </c>
      <c r="N2958" s="1">
        <f t="shared" si="418"/>
        <v>38.26</v>
      </c>
      <c r="O2958" s="1">
        <f t="shared" si="419"/>
        <v>36.33</v>
      </c>
      <c r="P2958" s="1">
        <f t="shared" si="420"/>
        <v>18.535714285714285</v>
      </c>
    </row>
    <row r="2959" spans="1:16">
      <c r="A2959" s="2">
        <v>38765</v>
      </c>
      <c r="B2959" s="1">
        <v>38.93</v>
      </c>
      <c r="C2959" s="1">
        <v>39.380000000000003</v>
      </c>
      <c r="D2959" s="1">
        <v>38.909999999999997</v>
      </c>
      <c r="E2959" s="1">
        <v>39.19</v>
      </c>
      <c r="F2959" s="1">
        <v>4581800</v>
      </c>
      <c r="G2959" s="1">
        <v>39.19</v>
      </c>
      <c r="H2959" s="1">
        <f t="shared" si="414"/>
        <v>0.47000000000000597</v>
      </c>
      <c r="I2959" s="9">
        <f t="shared" si="421"/>
        <v>1.2079157029041531E-2</v>
      </c>
      <c r="J2959" s="1">
        <f t="shared" si="422"/>
        <v>3.9999999999999147E-2</v>
      </c>
      <c r="K2959" s="9">
        <f t="shared" si="415"/>
        <v>1.021711366538931E-3</v>
      </c>
      <c r="L2959" s="1">
        <f t="shared" si="416"/>
        <v>1</v>
      </c>
      <c r="M2959" s="1">
        <f t="shared" si="417"/>
        <v>39.380000000000003</v>
      </c>
      <c r="N2959" s="1">
        <f t="shared" si="418"/>
        <v>38.909999999999997</v>
      </c>
      <c r="O2959" s="1">
        <f t="shared" si="419"/>
        <v>37.229999999999997</v>
      </c>
      <c r="P2959" s="1">
        <f t="shared" si="420"/>
        <v>18.994897959183671</v>
      </c>
    </row>
    <row r="2960" spans="1:16">
      <c r="A2960" s="2">
        <v>38764</v>
      </c>
      <c r="B2960" s="1">
        <v>39.369999999999997</v>
      </c>
      <c r="C2960" s="1">
        <v>40</v>
      </c>
      <c r="D2960" s="1">
        <v>38.83</v>
      </c>
      <c r="E2960" s="1">
        <v>39.15</v>
      </c>
      <c r="F2960" s="1">
        <v>5638000</v>
      </c>
      <c r="G2960" s="1">
        <v>39.15</v>
      </c>
      <c r="H2960" s="1">
        <f t="shared" si="414"/>
        <v>1.1700000000000017</v>
      </c>
      <c r="I2960" s="9">
        <f t="shared" si="421"/>
        <v>3.0131341746072668E-2</v>
      </c>
      <c r="J2960" s="1">
        <f t="shared" si="422"/>
        <v>-0.10999999999999943</v>
      </c>
      <c r="K2960" s="9">
        <f t="shared" si="415"/>
        <v>-2.8018339276617279E-3</v>
      </c>
      <c r="L2960" s="1">
        <f t="shared" si="416"/>
        <v>1</v>
      </c>
      <c r="M2960" s="1">
        <f t="shared" si="417"/>
        <v>40</v>
      </c>
      <c r="N2960" s="1">
        <f t="shared" si="418"/>
        <v>38.83</v>
      </c>
      <c r="O2960" s="1">
        <f t="shared" si="419"/>
        <v>37.19</v>
      </c>
      <c r="P2960" s="1">
        <f t="shared" si="420"/>
        <v>18.974489795918366</v>
      </c>
    </row>
    <row r="2961" spans="1:16">
      <c r="A2961" s="2">
        <v>38763</v>
      </c>
      <c r="B2961" s="1">
        <v>38.24</v>
      </c>
      <c r="C2961" s="1">
        <v>39.28</v>
      </c>
      <c r="D2961" s="1">
        <v>38.1</v>
      </c>
      <c r="E2961" s="1">
        <v>39.26</v>
      </c>
      <c r="F2961" s="1">
        <v>6902700</v>
      </c>
      <c r="G2961" s="1">
        <v>39.26</v>
      </c>
      <c r="H2961" s="1">
        <f t="shared" si="414"/>
        <v>1.1799999999999997</v>
      </c>
      <c r="I2961" s="9">
        <f t="shared" si="421"/>
        <v>3.0971128608923877E-2</v>
      </c>
      <c r="J2961" s="1">
        <f t="shared" si="422"/>
        <v>1.009999999999998</v>
      </c>
      <c r="K2961" s="9">
        <f t="shared" si="415"/>
        <v>2.6405228758169884E-2</v>
      </c>
      <c r="L2961" s="1">
        <f t="shared" si="416"/>
        <v>1</v>
      </c>
      <c r="M2961" s="1">
        <f t="shared" si="417"/>
        <v>39.28</v>
      </c>
      <c r="N2961" s="1">
        <f t="shared" si="418"/>
        <v>38.1</v>
      </c>
      <c r="O2961" s="1">
        <f t="shared" si="419"/>
        <v>37.299999999999997</v>
      </c>
      <c r="P2961" s="1">
        <f t="shared" si="420"/>
        <v>19.030612244897959</v>
      </c>
    </row>
    <row r="2962" spans="1:16">
      <c r="A2962" s="2">
        <v>38762</v>
      </c>
      <c r="B2962" s="1">
        <v>38.04</v>
      </c>
      <c r="C2962" s="1">
        <v>38.49</v>
      </c>
      <c r="D2962" s="1">
        <v>37.380000000000003</v>
      </c>
      <c r="E2962" s="1">
        <v>38.25</v>
      </c>
      <c r="F2962" s="1">
        <v>4514200</v>
      </c>
      <c r="G2962" s="1">
        <v>38.25</v>
      </c>
      <c r="H2962" s="1">
        <f t="shared" si="414"/>
        <v>1.1099999999999994</v>
      </c>
      <c r="I2962" s="9">
        <f t="shared" si="421"/>
        <v>2.9695024077046533E-2</v>
      </c>
      <c r="J2962" s="1">
        <f t="shared" si="422"/>
        <v>0.39000000000000057</v>
      </c>
      <c r="K2962" s="9">
        <f t="shared" si="415"/>
        <v>1.0301109350237734E-2</v>
      </c>
      <c r="L2962" s="1">
        <f t="shared" si="416"/>
        <v>1</v>
      </c>
      <c r="M2962" s="1">
        <f t="shared" si="417"/>
        <v>38.49</v>
      </c>
      <c r="N2962" s="1">
        <f t="shared" si="418"/>
        <v>37.380000000000003</v>
      </c>
      <c r="O2962" s="1">
        <f t="shared" si="419"/>
        <v>36.29</v>
      </c>
      <c r="P2962" s="1">
        <f t="shared" si="420"/>
        <v>18.51530612244898</v>
      </c>
    </row>
    <row r="2963" spans="1:16">
      <c r="A2963" s="2">
        <v>38761</v>
      </c>
      <c r="B2963" s="1">
        <v>38.25</v>
      </c>
      <c r="C2963" s="1">
        <v>38.42</v>
      </c>
      <c r="D2963" s="1">
        <v>37.53</v>
      </c>
      <c r="E2963" s="1">
        <v>37.86</v>
      </c>
      <c r="F2963" s="1">
        <v>4750400</v>
      </c>
      <c r="G2963" s="1">
        <v>37.86</v>
      </c>
      <c r="H2963" s="1">
        <f t="shared" si="414"/>
        <v>0.89000000000000057</v>
      </c>
      <c r="I2963" s="9">
        <f t="shared" si="421"/>
        <v>2.3714361843858261E-2</v>
      </c>
      <c r="J2963" s="1">
        <f t="shared" si="422"/>
        <v>-0.66000000000000369</v>
      </c>
      <c r="K2963" s="9">
        <f t="shared" si="415"/>
        <v>-1.713395638629293E-2</v>
      </c>
      <c r="L2963" s="1">
        <f t="shared" si="416"/>
        <v>1</v>
      </c>
      <c r="M2963" s="1">
        <f t="shared" si="417"/>
        <v>38.42</v>
      </c>
      <c r="N2963" s="1">
        <f t="shared" si="418"/>
        <v>37.53</v>
      </c>
      <c r="O2963" s="1">
        <f t="shared" si="419"/>
        <v>35.9</v>
      </c>
      <c r="P2963" s="1">
        <f t="shared" si="420"/>
        <v>18.316326530612244</v>
      </c>
    </row>
    <row r="2964" spans="1:16">
      <c r="A2964" s="2">
        <v>38758</v>
      </c>
      <c r="B2964" s="1">
        <v>37.979999999999997</v>
      </c>
      <c r="C2964" s="1">
        <v>38.520000000000003</v>
      </c>
      <c r="D2964" s="1">
        <v>37.369999999999997</v>
      </c>
      <c r="E2964" s="1">
        <v>38.520000000000003</v>
      </c>
      <c r="F2964" s="1">
        <v>5011800</v>
      </c>
      <c r="G2964" s="1">
        <v>38.520000000000003</v>
      </c>
      <c r="H2964" s="1">
        <f t="shared" si="414"/>
        <v>1.1500000000000057</v>
      </c>
      <c r="I2964" s="9">
        <f t="shared" si="421"/>
        <v>3.0773347605030928E-2</v>
      </c>
      <c r="J2964" s="1">
        <f t="shared" si="422"/>
        <v>0.53000000000000114</v>
      </c>
      <c r="K2964" s="9">
        <f t="shared" si="415"/>
        <v>1.3951039747301951E-2</v>
      </c>
      <c r="L2964" s="1">
        <f t="shared" si="416"/>
        <v>1</v>
      </c>
      <c r="M2964" s="1">
        <f t="shared" si="417"/>
        <v>38.520000000000003</v>
      </c>
      <c r="N2964" s="1">
        <f t="shared" si="418"/>
        <v>37.369999999999997</v>
      </c>
      <c r="O2964" s="1">
        <f t="shared" si="419"/>
        <v>36.56</v>
      </c>
      <c r="P2964" s="1">
        <f t="shared" si="420"/>
        <v>18.653061224489797</v>
      </c>
    </row>
    <row r="2965" spans="1:16">
      <c r="A2965" s="2">
        <v>38757</v>
      </c>
      <c r="B2965" s="1">
        <v>38.61</v>
      </c>
      <c r="C2965" s="1">
        <v>39</v>
      </c>
      <c r="D2965" s="1">
        <v>37.93</v>
      </c>
      <c r="E2965" s="1">
        <v>37.99</v>
      </c>
      <c r="F2965" s="1">
        <v>6932800</v>
      </c>
      <c r="G2965" s="1">
        <v>37.99</v>
      </c>
      <c r="H2965" s="1">
        <f t="shared" si="414"/>
        <v>1.0700000000000003</v>
      </c>
      <c r="I2965" s="9">
        <f t="shared" si="421"/>
        <v>2.8209860268916434E-2</v>
      </c>
      <c r="J2965" s="1">
        <f t="shared" si="422"/>
        <v>-0.17999999999999972</v>
      </c>
      <c r="K2965" s="9">
        <f t="shared" si="415"/>
        <v>-4.715745349751106E-3</v>
      </c>
      <c r="L2965" s="1">
        <f t="shared" si="416"/>
        <v>1</v>
      </c>
      <c r="M2965" s="1">
        <f t="shared" si="417"/>
        <v>39</v>
      </c>
      <c r="N2965" s="1">
        <f t="shared" si="418"/>
        <v>37.93</v>
      </c>
      <c r="O2965" s="1">
        <f t="shared" si="419"/>
        <v>36.03</v>
      </c>
      <c r="P2965" s="1">
        <f t="shared" si="420"/>
        <v>18.382653061224492</v>
      </c>
    </row>
    <row r="2966" spans="1:16">
      <c r="A2966" s="2">
        <v>38756</v>
      </c>
      <c r="B2966" s="1">
        <v>37.700000000000003</v>
      </c>
      <c r="C2966" s="1">
        <v>38.39</v>
      </c>
      <c r="D2966" s="1">
        <v>37.11</v>
      </c>
      <c r="E2966" s="1">
        <v>38.17</v>
      </c>
      <c r="F2966" s="1">
        <v>7543700</v>
      </c>
      <c r="G2966" s="1">
        <v>38.17</v>
      </c>
      <c r="H2966" s="1">
        <f t="shared" si="414"/>
        <v>1.2800000000000011</v>
      </c>
      <c r="I2966" s="9">
        <f t="shared" si="421"/>
        <v>3.449205066019944E-2</v>
      </c>
      <c r="J2966" s="1">
        <f t="shared" si="422"/>
        <v>0.64999999999999858</v>
      </c>
      <c r="K2966" s="9">
        <f t="shared" si="415"/>
        <v>1.7324093816631091E-2</v>
      </c>
      <c r="L2966" s="1">
        <f t="shared" si="416"/>
        <v>1</v>
      </c>
      <c r="M2966" s="1">
        <f t="shared" si="417"/>
        <v>38.39</v>
      </c>
      <c r="N2966" s="1">
        <f t="shared" si="418"/>
        <v>37.11</v>
      </c>
      <c r="O2966" s="1">
        <f t="shared" si="419"/>
        <v>36.21</v>
      </c>
      <c r="P2966" s="1">
        <f t="shared" si="420"/>
        <v>18.47448979591837</v>
      </c>
    </row>
    <row r="2967" spans="1:16">
      <c r="A2967" s="2">
        <v>38755</v>
      </c>
      <c r="B2967" s="1">
        <v>38.090000000000003</v>
      </c>
      <c r="C2967" s="1">
        <v>38.200000000000003</v>
      </c>
      <c r="D2967" s="1">
        <v>37.200000000000003</v>
      </c>
      <c r="E2967" s="1">
        <v>37.520000000000003</v>
      </c>
      <c r="F2967" s="1">
        <v>7403600</v>
      </c>
      <c r="G2967" s="1">
        <v>37.520000000000003</v>
      </c>
      <c r="H2967" s="1">
        <f t="shared" si="414"/>
        <v>1</v>
      </c>
      <c r="I2967" s="9">
        <f t="shared" si="421"/>
        <v>2.6881720430107524E-2</v>
      </c>
      <c r="J2967" s="1">
        <f t="shared" si="422"/>
        <v>-0.42999999999999972</v>
      </c>
      <c r="K2967" s="9">
        <f t="shared" si="415"/>
        <v>-1.1330698287220019E-2</v>
      </c>
      <c r="L2967" s="1">
        <f t="shared" si="416"/>
        <v>1</v>
      </c>
      <c r="M2967" s="1">
        <f t="shared" si="417"/>
        <v>38.200000000000003</v>
      </c>
      <c r="N2967" s="1">
        <f t="shared" si="418"/>
        <v>37.200000000000003</v>
      </c>
      <c r="O2967" s="1">
        <f t="shared" si="419"/>
        <v>35.56</v>
      </c>
      <c r="P2967" s="1">
        <f t="shared" si="420"/>
        <v>18.142857142857146</v>
      </c>
    </row>
    <row r="2968" spans="1:16">
      <c r="A2968" s="2">
        <v>38754</v>
      </c>
      <c r="B2968" s="1">
        <v>38.340000000000003</v>
      </c>
      <c r="C2968" s="1">
        <v>38.340000000000003</v>
      </c>
      <c r="D2968" s="1">
        <v>37.770000000000003</v>
      </c>
      <c r="E2968" s="1">
        <v>37.950000000000003</v>
      </c>
      <c r="F2968" s="1">
        <v>8503200</v>
      </c>
      <c r="G2968" s="1">
        <v>37.950000000000003</v>
      </c>
      <c r="H2968" s="1">
        <f t="shared" si="414"/>
        <v>0.57000000000000028</v>
      </c>
      <c r="I2968" s="9">
        <f t="shared" si="421"/>
        <v>1.5091342335186662E-2</v>
      </c>
      <c r="J2968" s="1">
        <f t="shared" si="422"/>
        <v>-0.37999999999999545</v>
      </c>
      <c r="K2968" s="9">
        <f t="shared" si="415"/>
        <v>-9.9139055570048387E-3</v>
      </c>
      <c r="L2968" s="1">
        <f t="shared" si="416"/>
        <v>1</v>
      </c>
      <c r="M2968" s="1">
        <f t="shared" si="417"/>
        <v>38.340000000000003</v>
      </c>
      <c r="N2968" s="1">
        <f t="shared" si="418"/>
        <v>37.770000000000003</v>
      </c>
      <c r="O2968" s="1">
        <f t="shared" si="419"/>
        <v>35.99</v>
      </c>
      <c r="P2968" s="1">
        <f t="shared" si="420"/>
        <v>18.362244897959187</v>
      </c>
    </row>
    <row r="2969" spans="1:16">
      <c r="A2969" s="2">
        <v>38751</v>
      </c>
      <c r="B2969" s="1">
        <v>37.700000000000003</v>
      </c>
      <c r="C2969" s="1">
        <v>38.5</v>
      </c>
      <c r="D2969" s="1">
        <v>37.369999999999997</v>
      </c>
      <c r="E2969" s="1">
        <v>38.33</v>
      </c>
      <c r="F2969" s="1">
        <v>33531300</v>
      </c>
      <c r="G2969" s="1">
        <v>38.33</v>
      </c>
      <c r="H2969" s="1">
        <f t="shared" si="414"/>
        <v>1.1300000000000026</v>
      </c>
      <c r="I2969" s="9">
        <f t="shared" si="421"/>
        <v>3.0238158951030308E-2</v>
      </c>
      <c r="J2969" s="1">
        <f t="shared" si="422"/>
        <v>-4.4100000000000037</v>
      </c>
      <c r="K2969" s="9">
        <f t="shared" si="415"/>
        <v>-0.10318203088441749</v>
      </c>
      <c r="L2969" s="1">
        <f t="shared" si="416"/>
        <v>1</v>
      </c>
      <c r="M2969" s="1">
        <f t="shared" si="417"/>
        <v>38.5</v>
      </c>
      <c r="N2969" s="1">
        <f t="shared" si="418"/>
        <v>37.369999999999997</v>
      </c>
      <c r="O2969" s="1">
        <f t="shared" si="419"/>
        <v>36.369999999999997</v>
      </c>
      <c r="P2969" s="1">
        <f t="shared" si="420"/>
        <v>18.55612244897959</v>
      </c>
    </row>
    <row r="2970" spans="1:16">
      <c r="A2970" s="2">
        <v>38750</v>
      </c>
      <c r="B2970" s="1">
        <v>43.84</v>
      </c>
      <c r="C2970" s="1">
        <v>44.04</v>
      </c>
      <c r="D2970" s="1">
        <v>39.799999999999997</v>
      </c>
      <c r="E2970" s="1">
        <v>42.74</v>
      </c>
      <c r="F2970" s="1">
        <v>23709300</v>
      </c>
      <c r="G2970" s="1">
        <v>42.74</v>
      </c>
      <c r="H2970" s="1">
        <f t="shared" si="414"/>
        <v>4.240000000000002</v>
      </c>
      <c r="I2970" s="9">
        <f t="shared" si="421"/>
        <v>0.10653266331658297</v>
      </c>
      <c r="J2970" s="1">
        <f t="shared" si="422"/>
        <v>-1.2399999999999949</v>
      </c>
      <c r="K2970" s="9">
        <f t="shared" si="415"/>
        <v>-2.8194633924511027E-2</v>
      </c>
      <c r="L2970" s="1">
        <f t="shared" si="416"/>
        <v>1</v>
      </c>
      <c r="M2970" s="1">
        <f t="shared" si="417"/>
        <v>44.04</v>
      </c>
      <c r="N2970" s="1">
        <f t="shared" si="418"/>
        <v>39.799999999999997</v>
      </c>
      <c r="O2970" s="1">
        <f t="shared" si="419"/>
        <v>40.78</v>
      </c>
      <c r="P2970" s="1">
        <f t="shared" si="420"/>
        <v>20.806122448979593</v>
      </c>
    </row>
    <row r="2971" spans="1:16">
      <c r="A2971" s="2">
        <v>38749</v>
      </c>
      <c r="B2971" s="1">
        <v>43.92</v>
      </c>
      <c r="C2971" s="1">
        <v>44.69</v>
      </c>
      <c r="D2971" s="1">
        <v>43.5</v>
      </c>
      <c r="E2971" s="1">
        <v>43.98</v>
      </c>
      <c r="F2971" s="1">
        <v>7501400</v>
      </c>
      <c r="G2971" s="1">
        <v>43.98</v>
      </c>
      <c r="H2971" s="1">
        <f t="shared" si="414"/>
        <v>1.1899999999999977</v>
      </c>
      <c r="I2971" s="9">
        <f t="shared" si="421"/>
        <v>2.7356321839080409E-2</v>
      </c>
      <c r="J2971" s="1">
        <f t="shared" si="422"/>
        <v>-0.84000000000000341</v>
      </c>
      <c r="K2971" s="9">
        <f t="shared" si="415"/>
        <v>-1.8741633199464602E-2</v>
      </c>
      <c r="L2971" s="1">
        <f t="shared" si="416"/>
        <v>1</v>
      </c>
      <c r="M2971" s="1">
        <f t="shared" si="417"/>
        <v>44.69</v>
      </c>
      <c r="N2971" s="1">
        <f t="shared" si="418"/>
        <v>43.5</v>
      </c>
      <c r="O2971" s="1">
        <f t="shared" si="419"/>
        <v>42.019999999999996</v>
      </c>
      <c r="P2971" s="1">
        <f t="shared" si="420"/>
        <v>21.438775510204081</v>
      </c>
    </row>
    <row r="2972" spans="1:16">
      <c r="A2972" s="2">
        <v>38748</v>
      </c>
      <c r="B2972" s="1">
        <v>44.76</v>
      </c>
      <c r="C2972" s="1">
        <v>45.21</v>
      </c>
      <c r="D2972" s="1">
        <v>44.25</v>
      </c>
      <c r="E2972" s="1">
        <v>44.82</v>
      </c>
      <c r="F2972" s="1">
        <v>4056000</v>
      </c>
      <c r="G2972" s="1">
        <v>44.82</v>
      </c>
      <c r="H2972" s="1">
        <f t="shared" si="414"/>
        <v>0.96000000000000085</v>
      </c>
      <c r="I2972" s="9">
        <f t="shared" si="421"/>
        <v>2.1694915254237307E-2</v>
      </c>
      <c r="J2972" s="1">
        <f t="shared" si="422"/>
        <v>-0.14000000000000057</v>
      </c>
      <c r="K2972" s="9">
        <f t="shared" si="415"/>
        <v>-3.1138790035587314E-3</v>
      </c>
      <c r="L2972" s="1">
        <f t="shared" si="416"/>
        <v>1</v>
      </c>
      <c r="M2972" s="1">
        <f t="shared" si="417"/>
        <v>45.21</v>
      </c>
      <c r="N2972" s="1">
        <f t="shared" si="418"/>
        <v>44.25</v>
      </c>
      <c r="O2972" s="1">
        <f t="shared" si="419"/>
        <v>42.86</v>
      </c>
      <c r="P2972" s="1">
        <f t="shared" si="420"/>
        <v>21.867346938775512</v>
      </c>
    </row>
    <row r="2973" spans="1:16">
      <c r="A2973" s="2">
        <v>38747</v>
      </c>
      <c r="B2973" s="1">
        <v>45.41</v>
      </c>
      <c r="C2973" s="1">
        <v>45.97</v>
      </c>
      <c r="D2973" s="1">
        <v>44.74</v>
      </c>
      <c r="E2973" s="1">
        <v>44.96</v>
      </c>
      <c r="F2973" s="1">
        <v>4099800</v>
      </c>
      <c r="G2973" s="1">
        <v>44.96</v>
      </c>
      <c r="H2973" s="1">
        <f t="shared" si="414"/>
        <v>1.2299999999999969</v>
      </c>
      <c r="I2973" s="9">
        <f t="shared" si="421"/>
        <v>2.7492177022798318E-2</v>
      </c>
      <c r="J2973" s="1">
        <f t="shared" si="422"/>
        <v>-0.25999999999999801</v>
      </c>
      <c r="K2973" s="9">
        <f t="shared" si="415"/>
        <v>-5.7496682883679349E-3</v>
      </c>
      <c r="L2973" s="1">
        <f t="shared" si="416"/>
        <v>1</v>
      </c>
      <c r="M2973" s="1">
        <f t="shared" si="417"/>
        <v>45.97</v>
      </c>
      <c r="N2973" s="1">
        <f t="shared" si="418"/>
        <v>44.74</v>
      </c>
      <c r="O2973" s="1">
        <f t="shared" si="419"/>
        <v>43</v>
      </c>
      <c r="P2973" s="1">
        <f t="shared" si="420"/>
        <v>21.938775510204081</v>
      </c>
    </row>
    <row r="2974" spans="1:16">
      <c r="A2974" s="2">
        <v>38744</v>
      </c>
      <c r="B2974" s="1">
        <v>44.55</v>
      </c>
      <c r="C2974" s="1">
        <v>45.22</v>
      </c>
      <c r="D2974" s="1">
        <v>44.53</v>
      </c>
      <c r="E2974" s="1">
        <v>45.22</v>
      </c>
      <c r="F2974" s="1">
        <v>4174000</v>
      </c>
      <c r="G2974" s="1">
        <v>45.22</v>
      </c>
      <c r="H2974" s="1">
        <f t="shared" si="414"/>
        <v>0.68999999999999773</v>
      </c>
      <c r="I2974" s="9">
        <f t="shared" si="421"/>
        <v>1.5495171794295928E-2</v>
      </c>
      <c r="J2974" s="1">
        <f t="shared" si="422"/>
        <v>0.53999999999999915</v>
      </c>
      <c r="K2974" s="9">
        <f t="shared" si="415"/>
        <v>1.2085944494180823E-2</v>
      </c>
      <c r="L2974" s="1">
        <f t="shared" si="416"/>
        <v>1</v>
      </c>
      <c r="M2974" s="1">
        <f t="shared" si="417"/>
        <v>45.22</v>
      </c>
      <c r="N2974" s="1">
        <f t="shared" si="418"/>
        <v>44.53</v>
      </c>
      <c r="O2974" s="1">
        <f t="shared" si="419"/>
        <v>43.26</v>
      </c>
      <c r="P2974" s="1">
        <f t="shared" si="420"/>
        <v>22.071428571428569</v>
      </c>
    </row>
    <row r="2975" spans="1:16">
      <c r="A2975" s="2">
        <v>38743</v>
      </c>
      <c r="B2975" s="1">
        <v>43.95</v>
      </c>
      <c r="C2975" s="1">
        <v>44.78</v>
      </c>
      <c r="D2975" s="1">
        <v>43.79</v>
      </c>
      <c r="E2975" s="1">
        <v>44.68</v>
      </c>
      <c r="F2975" s="1">
        <v>4889500</v>
      </c>
      <c r="G2975" s="1">
        <v>44.68</v>
      </c>
      <c r="H2975" s="1">
        <f t="shared" si="414"/>
        <v>0.99000000000000199</v>
      </c>
      <c r="I2975" s="9">
        <f t="shared" si="421"/>
        <v>2.2607901347339622E-2</v>
      </c>
      <c r="J2975" s="1">
        <f t="shared" si="422"/>
        <v>1.0799999999999983</v>
      </c>
      <c r="K2975" s="9">
        <f t="shared" si="415"/>
        <v>2.4770642201834822E-2</v>
      </c>
      <c r="L2975" s="1">
        <f t="shared" si="416"/>
        <v>1</v>
      </c>
      <c r="M2975" s="1">
        <f t="shared" si="417"/>
        <v>44.78</v>
      </c>
      <c r="N2975" s="1">
        <f t="shared" si="418"/>
        <v>43.79</v>
      </c>
      <c r="O2975" s="1">
        <f t="shared" si="419"/>
        <v>42.72</v>
      </c>
      <c r="P2975" s="1">
        <f t="shared" si="420"/>
        <v>21.795918367346939</v>
      </c>
    </row>
    <row r="2976" spans="1:16">
      <c r="A2976" s="2">
        <v>38742</v>
      </c>
      <c r="B2976" s="1">
        <v>44.05</v>
      </c>
      <c r="C2976" s="1">
        <v>44.47</v>
      </c>
      <c r="D2976" s="1">
        <v>43.34</v>
      </c>
      <c r="E2976" s="1">
        <v>43.6</v>
      </c>
      <c r="F2976" s="1">
        <v>4287100</v>
      </c>
      <c r="G2976" s="1">
        <v>43.6</v>
      </c>
      <c r="H2976" s="1">
        <f t="shared" si="414"/>
        <v>1.1299999999999955</v>
      </c>
      <c r="I2976" s="9">
        <f t="shared" si="421"/>
        <v>2.6072911859713784E-2</v>
      </c>
      <c r="J2976" s="1">
        <f t="shared" si="422"/>
        <v>-0.42000000000000171</v>
      </c>
      <c r="K2976" s="9">
        <f t="shared" si="415"/>
        <v>-9.5411176737846808E-3</v>
      </c>
      <c r="L2976" s="1">
        <f t="shared" si="416"/>
        <v>1</v>
      </c>
      <c r="M2976" s="1">
        <f t="shared" si="417"/>
        <v>44.47</v>
      </c>
      <c r="N2976" s="1">
        <f t="shared" si="418"/>
        <v>43.34</v>
      </c>
      <c r="O2976" s="1">
        <f t="shared" si="419"/>
        <v>41.64</v>
      </c>
      <c r="P2976" s="1">
        <f t="shared" si="420"/>
        <v>21.244897959183675</v>
      </c>
    </row>
    <row r="2977" spans="1:16">
      <c r="A2977" s="2">
        <v>38741</v>
      </c>
      <c r="B2977" s="1">
        <v>43.66</v>
      </c>
      <c r="C2977" s="1">
        <v>44.43</v>
      </c>
      <c r="D2977" s="1">
        <v>43.42</v>
      </c>
      <c r="E2977" s="1">
        <v>44.02</v>
      </c>
      <c r="F2977" s="1">
        <v>4342400</v>
      </c>
      <c r="G2977" s="1">
        <v>44.02</v>
      </c>
      <c r="H2977" s="1">
        <f t="shared" si="414"/>
        <v>1.009999999999998</v>
      </c>
      <c r="I2977" s="9">
        <f t="shared" si="421"/>
        <v>2.3261169967756748E-2</v>
      </c>
      <c r="J2977" s="1">
        <f t="shared" si="422"/>
        <v>0.29000000000000625</v>
      </c>
      <c r="K2977" s="9">
        <f t="shared" si="415"/>
        <v>6.6316030185228966E-3</v>
      </c>
      <c r="L2977" s="1">
        <f t="shared" si="416"/>
        <v>1</v>
      </c>
      <c r="M2977" s="1">
        <f t="shared" si="417"/>
        <v>44.43</v>
      </c>
      <c r="N2977" s="1">
        <f t="shared" si="418"/>
        <v>43.42</v>
      </c>
      <c r="O2977" s="1">
        <f t="shared" si="419"/>
        <v>42.06</v>
      </c>
      <c r="P2977" s="1">
        <f t="shared" si="420"/>
        <v>21.45918367346939</v>
      </c>
    </row>
    <row r="2978" spans="1:16">
      <c r="A2978" s="2">
        <v>38740</v>
      </c>
      <c r="B2978" s="1">
        <v>44.18</v>
      </c>
      <c r="C2978" s="1">
        <v>44.75</v>
      </c>
      <c r="D2978" s="1">
        <v>43.5</v>
      </c>
      <c r="E2978" s="1">
        <v>43.73</v>
      </c>
      <c r="F2978" s="1">
        <v>5752800</v>
      </c>
      <c r="G2978" s="1">
        <v>43.73</v>
      </c>
      <c r="H2978" s="1">
        <f t="shared" si="414"/>
        <v>1.25</v>
      </c>
      <c r="I2978" s="9">
        <f t="shared" si="421"/>
        <v>2.8735632183908046E-2</v>
      </c>
      <c r="J2978" s="1">
        <f t="shared" si="422"/>
        <v>-0.19000000000000483</v>
      </c>
      <c r="K2978" s="9">
        <f t="shared" si="415"/>
        <v>-4.3260473588343541E-3</v>
      </c>
      <c r="L2978" s="1">
        <f t="shared" si="416"/>
        <v>1</v>
      </c>
      <c r="M2978" s="1">
        <f t="shared" si="417"/>
        <v>44.75</v>
      </c>
      <c r="N2978" s="1">
        <f t="shared" si="418"/>
        <v>43.5</v>
      </c>
      <c r="O2978" s="1">
        <f t="shared" si="419"/>
        <v>41.769999999999996</v>
      </c>
      <c r="P2978" s="1">
        <f t="shared" si="420"/>
        <v>21.311224489795915</v>
      </c>
    </row>
    <row r="2979" spans="1:16">
      <c r="A2979" s="2">
        <v>38737</v>
      </c>
      <c r="B2979" s="1">
        <v>44.23</v>
      </c>
      <c r="C2979" s="1">
        <v>44.36</v>
      </c>
      <c r="D2979" s="1">
        <v>43.2</v>
      </c>
      <c r="E2979" s="1">
        <v>43.92</v>
      </c>
      <c r="F2979" s="1">
        <v>8307400</v>
      </c>
      <c r="G2979" s="1">
        <v>43.92</v>
      </c>
      <c r="H2979" s="1">
        <f t="shared" si="414"/>
        <v>1.1599999999999966</v>
      </c>
      <c r="I2979" s="9">
        <f t="shared" si="421"/>
        <v>2.6851851851851773E-2</v>
      </c>
      <c r="J2979" s="1">
        <f t="shared" si="422"/>
        <v>-0.53000000000000114</v>
      </c>
      <c r="K2979" s="9">
        <f t="shared" si="415"/>
        <v>-1.1923509561304863E-2</v>
      </c>
      <c r="L2979" s="1">
        <f t="shared" si="416"/>
        <v>1</v>
      </c>
      <c r="M2979" s="1">
        <f t="shared" si="417"/>
        <v>44.36</v>
      </c>
      <c r="N2979" s="1">
        <f t="shared" si="418"/>
        <v>43.2</v>
      </c>
      <c r="O2979" s="1">
        <f t="shared" si="419"/>
        <v>41.96</v>
      </c>
      <c r="P2979" s="1">
        <f t="shared" si="420"/>
        <v>21.408163265306122</v>
      </c>
    </row>
    <row r="2980" spans="1:16">
      <c r="A2980" s="2">
        <v>38736</v>
      </c>
      <c r="B2980" s="1">
        <v>44.49</v>
      </c>
      <c r="C2980" s="1">
        <v>45.24</v>
      </c>
      <c r="D2980" s="1">
        <v>44.3</v>
      </c>
      <c r="E2980" s="1">
        <v>44.45</v>
      </c>
      <c r="F2980" s="1">
        <v>5156900</v>
      </c>
      <c r="G2980" s="1">
        <v>44.45</v>
      </c>
      <c r="H2980" s="1">
        <f t="shared" si="414"/>
        <v>0.94000000000000483</v>
      </c>
      <c r="I2980" s="9">
        <f t="shared" si="421"/>
        <v>2.1218961625282279E-2</v>
      </c>
      <c r="J2980" s="1">
        <f t="shared" si="422"/>
        <v>0.13000000000000256</v>
      </c>
      <c r="K2980" s="9">
        <f t="shared" si="415"/>
        <v>2.9332129963899494E-3</v>
      </c>
      <c r="L2980" s="1">
        <f t="shared" si="416"/>
        <v>1</v>
      </c>
      <c r="M2980" s="1">
        <f t="shared" si="417"/>
        <v>45.24</v>
      </c>
      <c r="N2980" s="1">
        <f t="shared" si="418"/>
        <v>44.3</v>
      </c>
      <c r="O2980" s="1">
        <f t="shared" si="419"/>
        <v>42.49</v>
      </c>
      <c r="P2980" s="1">
        <f t="shared" si="420"/>
        <v>21.678571428571431</v>
      </c>
    </row>
    <row r="2981" spans="1:16">
      <c r="A2981" s="2">
        <v>38735</v>
      </c>
      <c r="B2981" s="1">
        <v>43.19</v>
      </c>
      <c r="C2981" s="1">
        <v>44.59</v>
      </c>
      <c r="D2981" s="1">
        <v>43.1</v>
      </c>
      <c r="E2981" s="1">
        <v>44.32</v>
      </c>
      <c r="F2981" s="1">
        <v>8743300</v>
      </c>
      <c r="G2981" s="1">
        <v>44.32</v>
      </c>
      <c r="H2981" s="1">
        <f t="shared" si="414"/>
        <v>1.490000000000002</v>
      </c>
      <c r="I2981" s="9">
        <f t="shared" si="421"/>
        <v>3.4570765661252945E-2</v>
      </c>
      <c r="J2981" s="1">
        <f t="shared" si="422"/>
        <v>0.32000000000000028</v>
      </c>
      <c r="K2981" s="9">
        <f t="shared" si="415"/>
        <v>7.2727272727272788E-3</v>
      </c>
      <c r="L2981" s="1">
        <f t="shared" si="416"/>
        <v>1</v>
      </c>
      <c r="M2981" s="1">
        <f t="shared" si="417"/>
        <v>44.59</v>
      </c>
      <c r="N2981" s="1">
        <f t="shared" si="418"/>
        <v>43.1</v>
      </c>
      <c r="O2981" s="1">
        <f t="shared" si="419"/>
        <v>42.36</v>
      </c>
      <c r="P2981" s="1">
        <f t="shared" si="420"/>
        <v>21.612244897959183</v>
      </c>
    </row>
    <row r="2982" spans="1:16">
      <c r="A2982" s="2">
        <v>38734</v>
      </c>
      <c r="B2982" s="1">
        <v>43.95</v>
      </c>
      <c r="C2982" s="1">
        <v>44.32</v>
      </c>
      <c r="D2982" s="1">
        <v>43.66</v>
      </c>
      <c r="E2982" s="1">
        <v>44</v>
      </c>
      <c r="F2982" s="1">
        <v>5631000</v>
      </c>
      <c r="G2982" s="1">
        <v>44</v>
      </c>
      <c r="H2982" s="1">
        <f t="shared" si="414"/>
        <v>0.66000000000000369</v>
      </c>
      <c r="I2982" s="9">
        <f t="shared" si="421"/>
        <v>1.5116811726981304E-2</v>
      </c>
      <c r="J2982" s="1">
        <f t="shared" si="422"/>
        <v>-0.39999999999999858</v>
      </c>
      <c r="K2982" s="9">
        <f t="shared" si="415"/>
        <v>-9.0090090090089777E-3</v>
      </c>
      <c r="L2982" s="1">
        <f t="shared" si="416"/>
        <v>1</v>
      </c>
      <c r="M2982" s="1">
        <f t="shared" si="417"/>
        <v>44.32</v>
      </c>
      <c r="N2982" s="1">
        <f t="shared" si="418"/>
        <v>43.66</v>
      </c>
      <c r="O2982" s="1">
        <f t="shared" si="419"/>
        <v>42.04</v>
      </c>
      <c r="P2982" s="1">
        <f t="shared" si="420"/>
        <v>21.448979591836736</v>
      </c>
    </row>
    <row r="2983" spans="1:16">
      <c r="A2983" s="2">
        <v>38730</v>
      </c>
      <c r="B2983" s="1">
        <v>44.47</v>
      </c>
      <c r="C2983" s="1">
        <v>44.85</v>
      </c>
      <c r="D2983" s="1">
        <v>44</v>
      </c>
      <c r="E2983" s="1">
        <v>44.4</v>
      </c>
      <c r="F2983" s="1">
        <v>4432200</v>
      </c>
      <c r="G2983" s="1">
        <v>44.4</v>
      </c>
      <c r="H2983" s="1">
        <f t="shared" si="414"/>
        <v>0.85000000000000142</v>
      </c>
      <c r="I2983" s="9">
        <f t="shared" si="421"/>
        <v>1.9318181818181849E-2</v>
      </c>
      <c r="J2983" s="1">
        <f t="shared" si="422"/>
        <v>3.9999999999999147E-2</v>
      </c>
      <c r="K2983" s="9">
        <f t="shared" si="415"/>
        <v>9.0171325518483198E-4</v>
      </c>
      <c r="L2983" s="1">
        <f t="shared" si="416"/>
        <v>1</v>
      </c>
      <c r="M2983" s="1">
        <f t="shared" si="417"/>
        <v>44.85</v>
      </c>
      <c r="N2983" s="1">
        <f t="shared" si="418"/>
        <v>44</v>
      </c>
      <c r="O2983" s="1">
        <f t="shared" si="419"/>
        <v>42.44</v>
      </c>
      <c r="P2983" s="1">
        <f t="shared" si="420"/>
        <v>21.653061224489797</v>
      </c>
    </row>
    <row r="2984" spans="1:16">
      <c r="A2984" s="2">
        <v>38729</v>
      </c>
      <c r="B2984" s="1">
        <v>44.79</v>
      </c>
      <c r="C2984" s="1">
        <v>45.09</v>
      </c>
      <c r="D2984" s="1">
        <v>44.09</v>
      </c>
      <c r="E2984" s="1">
        <v>44.36</v>
      </c>
      <c r="F2984" s="1">
        <v>5818300</v>
      </c>
      <c r="G2984" s="1">
        <v>44.36</v>
      </c>
      <c r="H2984" s="1">
        <f t="shared" si="414"/>
        <v>1</v>
      </c>
      <c r="I2984" s="9">
        <f t="shared" si="421"/>
        <v>2.2680880018144702E-2</v>
      </c>
      <c r="J2984" s="1">
        <f t="shared" si="422"/>
        <v>-0.57000000000000028</v>
      </c>
      <c r="K2984" s="9">
        <f t="shared" si="415"/>
        <v>-1.2686401068328518E-2</v>
      </c>
      <c r="L2984" s="1">
        <f t="shared" si="416"/>
        <v>1</v>
      </c>
      <c r="M2984" s="1">
        <f t="shared" si="417"/>
        <v>45.09</v>
      </c>
      <c r="N2984" s="1">
        <f t="shared" si="418"/>
        <v>44.09</v>
      </c>
      <c r="O2984" s="1">
        <f t="shared" si="419"/>
        <v>42.4</v>
      </c>
      <c r="P2984" s="1">
        <f t="shared" si="420"/>
        <v>21.632653061224488</v>
      </c>
    </row>
    <row r="2985" spans="1:16">
      <c r="A2985" s="2">
        <v>38728</v>
      </c>
      <c r="B2985" s="1">
        <v>45.65</v>
      </c>
      <c r="C2985" s="1">
        <v>45.7</v>
      </c>
      <c r="D2985" s="1">
        <v>44.26</v>
      </c>
      <c r="E2985" s="1">
        <v>44.93</v>
      </c>
      <c r="F2985" s="1">
        <v>8497200</v>
      </c>
      <c r="G2985" s="1">
        <v>44.93</v>
      </c>
      <c r="H2985" s="1">
        <f t="shared" si="414"/>
        <v>1.4400000000000048</v>
      </c>
      <c r="I2985" s="9">
        <f t="shared" si="421"/>
        <v>3.2535020334387821E-2</v>
      </c>
      <c r="J2985" s="1">
        <f t="shared" si="422"/>
        <v>-0.71999999999999886</v>
      </c>
      <c r="K2985" s="9">
        <f t="shared" si="415"/>
        <v>-1.5772179627601291E-2</v>
      </c>
      <c r="L2985" s="1">
        <f t="shared" si="416"/>
        <v>1</v>
      </c>
      <c r="M2985" s="1">
        <f t="shared" si="417"/>
        <v>45.7</v>
      </c>
      <c r="N2985" s="1">
        <f t="shared" si="418"/>
        <v>44.26</v>
      </c>
      <c r="O2985" s="1">
        <f t="shared" si="419"/>
        <v>42.97</v>
      </c>
      <c r="P2985" s="1">
        <f t="shared" si="420"/>
        <v>21.923469387755102</v>
      </c>
    </row>
    <row r="2986" spans="1:16">
      <c r="A2986" s="2">
        <v>38727</v>
      </c>
      <c r="B2986" s="1">
        <v>46.41</v>
      </c>
      <c r="C2986" s="1">
        <v>46.75</v>
      </c>
      <c r="D2986" s="1">
        <v>45.36</v>
      </c>
      <c r="E2986" s="1">
        <v>45.65</v>
      </c>
      <c r="F2986" s="1">
        <v>9686100</v>
      </c>
      <c r="G2986" s="1">
        <v>45.65</v>
      </c>
      <c r="H2986" s="1">
        <f t="shared" si="414"/>
        <v>1.3900000000000006</v>
      </c>
      <c r="I2986" s="9">
        <f t="shared" si="421"/>
        <v>3.0643738977072323E-2</v>
      </c>
      <c r="J2986" s="1">
        <f t="shared" si="422"/>
        <v>-1.4299999999999997</v>
      </c>
      <c r="K2986" s="9">
        <f t="shared" si="415"/>
        <v>-3.0373831775700931E-2</v>
      </c>
      <c r="L2986" s="1">
        <f t="shared" si="416"/>
        <v>1</v>
      </c>
      <c r="M2986" s="1">
        <f t="shared" si="417"/>
        <v>46.75</v>
      </c>
      <c r="N2986" s="1">
        <f t="shared" si="418"/>
        <v>45.36</v>
      </c>
      <c r="O2986" s="1">
        <f t="shared" si="419"/>
        <v>43.69</v>
      </c>
      <c r="P2986" s="1">
        <f t="shared" si="420"/>
        <v>22.29081632653061</v>
      </c>
    </row>
    <row r="2987" spans="1:16">
      <c r="A2987" s="2">
        <v>38726</v>
      </c>
      <c r="B2987" s="1">
        <v>46.55</v>
      </c>
      <c r="C2987" s="1">
        <v>47.1</v>
      </c>
      <c r="D2987" s="1">
        <v>46.4</v>
      </c>
      <c r="E2987" s="1">
        <v>47.08</v>
      </c>
      <c r="F2987" s="1">
        <v>8943100</v>
      </c>
      <c r="G2987" s="1">
        <v>47.08</v>
      </c>
      <c r="H2987" s="1">
        <f t="shared" si="414"/>
        <v>0.70000000000000284</v>
      </c>
      <c r="I2987" s="9">
        <f t="shared" si="421"/>
        <v>1.5086206896551786E-2</v>
      </c>
      <c r="J2987" s="1">
        <f t="shared" si="422"/>
        <v>-0.78999999999999915</v>
      </c>
      <c r="K2987" s="9">
        <f t="shared" si="415"/>
        <v>-1.6503029036975123E-2</v>
      </c>
      <c r="L2987" s="1">
        <f t="shared" si="416"/>
        <v>1</v>
      </c>
      <c r="M2987" s="1">
        <f t="shared" si="417"/>
        <v>47.1</v>
      </c>
      <c r="N2987" s="1">
        <f t="shared" si="418"/>
        <v>46.4</v>
      </c>
      <c r="O2987" s="1">
        <f t="shared" si="419"/>
        <v>45.12</v>
      </c>
      <c r="P2987" s="1">
        <f t="shared" si="420"/>
        <v>23.020408163265305</v>
      </c>
    </row>
    <row r="2988" spans="1:16">
      <c r="A2988" s="2">
        <v>38723</v>
      </c>
      <c r="B2988" s="1">
        <v>47.97</v>
      </c>
      <c r="C2988" s="1">
        <v>48.58</v>
      </c>
      <c r="D2988" s="1">
        <v>47.32</v>
      </c>
      <c r="E2988" s="1">
        <v>47.87</v>
      </c>
      <c r="F2988" s="1">
        <v>6152900</v>
      </c>
      <c r="G2988" s="1">
        <v>47.87</v>
      </c>
      <c r="H2988" s="1">
        <f t="shared" si="414"/>
        <v>1.259999999999998</v>
      </c>
      <c r="I2988" s="9">
        <f t="shared" si="421"/>
        <v>2.6627218934911202E-2</v>
      </c>
      <c r="J2988" s="1">
        <f t="shared" si="422"/>
        <v>0.21999999999999886</v>
      </c>
      <c r="K2988" s="9">
        <f t="shared" si="415"/>
        <v>4.6169989506820329E-3</v>
      </c>
      <c r="L2988" s="1">
        <f t="shared" si="416"/>
        <v>1</v>
      </c>
      <c r="M2988" s="1">
        <f t="shared" si="417"/>
        <v>48.58</v>
      </c>
      <c r="N2988" s="1">
        <f t="shared" si="418"/>
        <v>47.32</v>
      </c>
      <c r="O2988" s="1">
        <f t="shared" si="419"/>
        <v>45.91</v>
      </c>
      <c r="P2988" s="1">
        <f t="shared" si="420"/>
        <v>23.423469387755102</v>
      </c>
    </row>
    <row r="2989" spans="1:16">
      <c r="A2989" s="2">
        <v>38722</v>
      </c>
      <c r="B2989" s="1">
        <v>47.16</v>
      </c>
      <c r="C2989" s="1">
        <v>48.2</v>
      </c>
      <c r="D2989" s="1">
        <v>47.11</v>
      </c>
      <c r="E2989" s="1">
        <v>47.65</v>
      </c>
      <c r="F2989" s="1">
        <v>5417200</v>
      </c>
      <c r="G2989" s="1">
        <v>47.65</v>
      </c>
      <c r="H2989" s="1">
        <f t="shared" si="414"/>
        <v>1.0900000000000034</v>
      </c>
      <c r="I2989" s="9">
        <f t="shared" si="421"/>
        <v>2.3137338144767639E-2</v>
      </c>
      <c r="J2989" s="1">
        <f t="shared" si="422"/>
        <v>0.39999999999999858</v>
      </c>
      <c r="K2989" s="9">
        <f t="shared" si="415"/>
        <v>8.465608465608435E-3</v>
      </c>
      <c r="L2989" s="1">
        <f t="shared" si="416"/>
        <v>1</v>
      </c>
      <c r="M2989" s="1">
        <f t="shared" si="417"/>
        <v>48.2</v>
      </c>
      <c r="N2989" s="1">
        <f t="shared" si="418"/>
        <v>47.11</v>
      </c>
      <c r="O2989" s="1">
        <f t="shared" si="419"/>
        <v>45.69</v>
      </c>
      <c r="P2989" s="1">
        <f t="shared" si="420"/>
        <v>23.311224489795919</v>
      </c>
    </row>
    <row r="2990" spans="1:16">
      <c r="A2990" s="2">
        <v>38721</v>
      </c>
      <c r="B2990" s="1">
        <v>47.49</v>
      </c>
      <c r="C2990" s="1">
        <v>47.73</v>
      </c>
      <c r="D2990" s="1">
        <v>46.69</v>
      </c>
      <c r="E2990" s="1">
        <v>47.25</v>
      </c>
      <c r="F2990" s="1">
        <v>7440900</v>
      </c>
      <c r="G2990" s="1">
        <v>47.25</v>
      </c>
      <c r="H2990" s="1">
        <f t="shared" si="414"/>
        <v>1.0399999999999991</v>
      </c>
      <c r="I2990" s="9">
        <f t="shared" si="421"/>
        <v>2.2274576997215662E-2</v>
      </c>
      <c r="J2990" s="1">
        <f t="shared" si="422"/>
        <v>-0.32999999999999829</v>
      </c>
      <c r="K2990" s="9">
        <f t="shared" si="415"/>
        <v>-6.93568726355608E-3</v>
      </c>
      <c r="L2990" s="1">
        <f t="shared" si="416"/>
        <v>1</v>
      </c>
      <c r="M2990" s="1">
        <f t="shared" si="417"/>
        <v>47.73</v>
      </c>
      <c r="N2990" s="1">
        <f t="shared" si="418"/>
        <v>46.69</v>
      </c>
      <c r="O2990" s="1">
        <f t="shared" si="419"/>
        <v>45.29</v>
      </c>
      <c r="P2990" s="1">
        <f t="shared" si="420"/>
        <v>23.107142857142858</v>
      </c>
    </row>
    <row r="2991" spans="1:16">
      <c r="A2991" s="2">
        <v>38720</v>
      </c>
      <c r="B2991" s="1">
        <v>47.47</v>
      </c>
      <c r="C2991" s="1">
        <v>47.85</v>
      </c>
      <c r="D2991" s="1">
        <v>46.25</v>
      </c>
      <c r="E2991" s="1">
        <v>47.58</v>
      </c>
      <c r="F2991" s="1">
        <v>7582200</v>
      </c>
      <c r="G2991" s="1">
        <v>47.58</v>
      </c>
      <c r="H2991" s="1">
        <f t="shared" si="414"/>
        <v>1.6000000000000014</v>
      </c>
      <c r="I2991" s="9">
        <f t="shared" si="421"/>
        <v>3.4594594594594623E-2</v>
      </c>
      <c r="J2991" s="1">
        <f t="shared" si="422"/>
        <v>0.42999999999999972</v>
      </c>
      <c r="K2991" s="9">
        <f t="shared" si="415"/>
        <v>9.1198303287380635E-3</v>
      </c>
      <c r="L2991" s="1">
        <f t="shared" si="416"/>
        <v>1</v>
      </c>
      <c r="M2991" s="1">
        <f t="shared" si="417"/>
        <v>47.85</v>
      </c>
      <c r="N2991" s="1">
        <f t="shared" si="418"/>
        <v>46.25</v>
      </c>
      <c r="O2991" s="1">
        <f t="shared" si="419"/>
        <v>45.62</v>
      </c>
      <c r="P2991" s="1">
        <f t="shared" si="420"/>
        <v>23.27551020408163</v>
      </c>
    </row>
    <row r="2992" spans="1:16">
      <c r="A2992" s="2">
        <v>38716</v>
      </c>
      <c r="B2992" s="1">
        <v>47.73</v>
      </c>
      <c r="C2992" s="1">
        <v>48.2</v>
      </c>
      <c r="D2992" s="1">
        <v>47.14</v>
      </c>
      <c r="E2992" s="1">
        <v>47.15</v>
      </c>
      <c r="F2992" s="1">
        <v>5401100</v>
      </c>
      <c r="G2992" s="1">
        <v>47.15</v>
      </c>
      <c r="H2992" s="1">
        <f t="shared" si="414"/>
        <v>1.0600000000000023</v>
      </c>
      <c r="I2992" s="9">
        <f t="shared" si="421"/>
        <v>2.2486211285532503E-2</v>
      </c>
      <c r="J2992" s="1">
        <f t="shared" si="422"/>
        <v>-0.84000000000000341</v>
      </c>
      <c r="K2992" s="9">
        <f t="shared" si="415"/>
        <v>-1.7503646593040288E-2</v>
      </c>
      <c r="L2992" s="1">
        <f t="shared" si="416"/>
        <v>1</v>
      </c>
      <c r="M2992" s="1">
        <f t="shared" si="417"/>
        <v>48.2</v>
      </c>
      <c r="N2992" s="1">
        <f t="shared" si="418"/>
        <v>47.14</v>
      </c>
      <c r="O2992" s="1">
        <f t="shared" si="419"/>
        <v>45.19</v>
      </c>
      <c r="P2992" s="1">
        <f t="shared" si="420"/>
        <v>23.05612244897959</v>
      </c>
    </row>
    <row r="2993" spans="1:16">
      <c r="A2993" s="2">
        <v>38715</v>
      </c>
      <c r="B2993" s="1">
        <v>48.13</v>
      </c>
      <c r="C2993" s="1">
        <v>48.46</v>
      </c>
      <c r="D2993" s="1">
        <v>47.97</v>
      </c>
      <c r="E2993" s="1">
        <v>47.99</v>
      </c>
      <c r="F2993" s="1">
        <v>3171100</v>
      </c>
      <c r="G2993" s="1">
        <v>47.99</v>
      </c>
      <c r="H2993" s="1">
        <f t="shared" si="414"/>
        <v>0.49000000000000199</v>
      </c>
      <c r="I2993" s="9">
        <f t="shared" si="421"/>
        <v>1.0214717531790745E-2</v>
      </c>
      <c r="J2993" s="1">
        <f t="shared" si="422"/>
        <v>-7.0000000000000284E-2</v>
      </c>
      <c r="K2993" s="9">
        <f t="shared" si="415"/>
        <v>-1.4565126924677544E-3</v>
      </c>
      <c r="L2993" s="1">
        <f t="shared" si="416"/>
        <v>1</v>
      </c>
      <c r="M2993" s="1">
        <f t="shared" si="417"/>
        <v>48.46</v>
      </c>
      <c r="N2993" s="1">
        <f t="shared" si="418"/>
        <v>47.97</v>
      </c>
      <c r="O2993" s="1">
        <f t="shared" si="419"/>
        <v>46.03</v>
      </c>
      <c r="P2993" s="1">
        <f t="shared" si="420"/>
        <v>23.48469387755102</v>
      </c>
    </row>
    <row r="2994" spans="1:16">
      <c r="A2994" s="2">
        <v>38714</v>
      </c>
      <c r="B2994" s="1">
        <v>48.49</v>
      </c>
      <c r="C2994" s="1">
        <v>48.55</v>
      </c>
      <c r="D2994" s="1">
        <v>47.9</v>
      </c>
      <c r="E2994" s="1">
        <v>48.06</v>
      </c>
      <c r="F2994" s="1">
        <v>4531800</v>
      </c>
      <c r="G2994" s="1">
        <v>48.06</v>
      </c>
      <c r="H2994" s="1">
        <f t="shared" si="414"/>
        <v>0.64999999999999858</v>
      </c>
      <c r="I2994" s="9">
        <f t="shared" si="421"/>
        <v>1.3569937369519804E-2</v>
      </c>
      <c r="J2994" s="1">
        <f t="shared" si="422"/>
        <v>-0.5</v>
      </c>
      <c r="K2994" s="9">
        <f t="shared" si="415"/>
        <v>-1.029654036243822E-2</v>
      </c>
      <c r="L2994" s="1">
        <f t="shared" si="416"/>
        <v>1</v>
      </c>
      <c r="M2994" s="1">
        <f t="shared" si="417"/>
        <v>48.55</v>
      </c>
      <c r="N2994" s="1">
        <f t="shared" si="418"/>
        <v>47.9</v>
      </c>
      <c r="O2994" s="1">
        <f t="shared" si="419"/>
        <v>46.1</v>
      </c>
      <c r="P2994" s="1">
        <f t="shared" si="420"/>
        <v>23.520408163265309</v>
      </c>
    </row>
    <row r="2995" spans="1:16">
      <c r="A2995" s="2">
        <v>38713</v>
      </c>
      <c r="B2995" s="1">
        <v>48.9</v>
      </c>
      <c r="C2995" s="1">
        <v>49.1</v>
      </c>
      <c r="D2995" s="1">
        <v>48.36</v>
      </c>
      <c r="E2995" s="1">
        <v>48.56</v>
      </c>
      <c r="F2995" s="1">
        <v>5818700</v>
      </c>
      <c r="G2995" s="1">
        <v>48.56</v>
      </c>
      <c r="H2995" s="1">
        <f t="shared" si="414"/>
        <v>0.74000000000000199</v>
      </c>
      <c r="I2995" s="9">
        <f t="shared" si="421"/>
        <v>1.5301902398676634E-2</v>
      </c>
      <c r="J2995" s="1">
        <f t="shared" si="422"/>
        <v>-0.65999999999999659</v>
      </c>
      <c r="K2995" s="9">
        <f t="shared" si="415"/>
        <v>-1.3409183258837802E-2</v>
      </c>
      <c r="L2995" s="1">
        <f t="shared" si="416"/>
        <v>1</v>
      </c>
      <c r="M2995" s="1">
        <f t="shared" si="417"/>
        <v>49.1</v>
      </c>
      <c r="N2995" s="1">
        <f t="shared" si="418"/>
        <v>48.36</v>
      </c>
      <c r="O2995" s="1">
        <f t="shared" si="419"/>
        <v>46.6</v>
      </c>
      <c r="P2995" s="1">
        <f t="shared" si="420"/>
        <v>23.775510204081634</v>
      </c>
    </row>
    <row r="2996" spans="1:16">
      <c r="A2996" s="2">
        <v>38709</v>
      </c>
      <c r="B2996" s="1">
        <v>49.09</v>
      </c>
      <c r="C2996" s="1">
        <v>49.39</v>
      </c>
      <c r="D2996" s="1">
        <v>48.72</v>
      </c>
      <c r="E2996" s="1">
        <v>49.22</v>
      </c>
      <c r="F2996" s="1">
        <v>3206500</v>
      </c>
      <c r="G2996" s="1">
        <v>49.22</v>
      </c>
      <c r="H2996" s="1">
        <f t="shared" si="414"/>
        <v>0.67000000000000171</v>
      </c>
      <c r="I2996" s="9">
        <f t="shared" si="421"/>
        <v>1.3752052545156029E-2</v>
      </c>
      <c r="J2996" s="1">
        <f t="shared" si="422"/>
        <v>0</v>
      </c>
      <c r="K2996" s="9">
        <f t="shared" si="415"/>
        <v>0</v>
      </c>
      <c r="L2996" s="1">
        <f t="shared" si="416"/>
        <v>1</v>
      </c>
      <c r="M2996" s="1">
        <f t="shared" si="417"/>
        <v>49.39</v>
      </c>
      <c r="N2996" s="1">
        <f t="shared" si="418"/>
        <v>48.72</v>
      </c>
      <c r="O2996" s="1">
        <f t="shared" si="419"/>
        <v>47.26</v>
      </c>
      <c r="P2996" s="1">
        <f t="shared" si="420"/>
        <v>24.112244897959183</v>
      </c>
    </row>
    <row r="2997" spans="1:16">
      <c r="A2997" s="2">
        <v>38708</v>
      </c>
      <c r="B2997" s="1">
        <v>48.9</v>
      </c>
      <c r="C2997" s="1">
        <v>49.28</v>
      </c>
      <c r="D2997" s="1">
        <v>48.36</v>
      </c>
      <c r="E2997" s="1">
        <v>49.22</v>
      </c>
      <c r="F2997" s="1">
        <v>4421800</v>
      </c>
      <c r="G2997" s="1">
        <v>49.22</v>
      </c>
      <c r="H2997" s="1">
        <f t="shared" si="414"/>
        <v>0.92000000000000171</v>
      </c>
      <c r="I2997" s="9">
        <f t="shared" si="421"/>
        <v>1.9023986765922284E-2</v>
      </c>
      <c r="J2997" s="1">
        <f t="shared" si="422"/>
        <v>0.25</v>
      </c>
      <c r="K2997" s="9">
        <f t="shared" si="415"/>
        <v>5.1051664284255671E-3</v>
      </c>
      <c r="L2997" s="1">
        <f t="shared" si="416"/>
        <v>1</v>
      </c>
      <c r="M2997" s="1">
        <f t="shared" si="417"/>
        <v>49.28</v>
      </c>
      <c r="N2997" s="1">
        <f t="shared" si="418"/>
        <v>48.36</v>
      </c>
      <c r="O2997" s="1">
        <f t="shared" si="419"/>
        <v>47.26</v>
      </c>
      <c r="P2997" s="1">
        <f t="shared" si="420"/>
        <v>24.112244897959183</v>
      </c>
    </row>
    <row r="2998" spans="1:16">
      <c r="A2998" s="2">
        <v>38707</v>
      </c>
      <c r="B2998" s="1">
        <v>48.29</v>
      </c>
      <c r="C2998" s="1">
        <v>49.06</v>
      </c>
      <c r="D2998" s="1">
        <v>47.78</v>
      </c>
      <c r="E2998" s="1">
        <v>48.97</v>
      </c>
      <c r="F2998" s="1">
        <v>7322500</v>
      </c>
      <c r="G2998" s="1">
        <v>48.97</v>
      </c>
      <c r="H2998" s="1">
        <f t="shared" si="414"/>
        <v>1.2800000000000011</v>
      </c>
      <c r="I2998" s="9">
        <f t="shared" si="421"/>
        <v>2.6789451653411494E-2</v>
      </c>
      <c r="J2998" s="1">
        <f t="shared" si="422"/>
        <v>0.82999999999999829</v>
      </c>
      <c r="K2998" s="9">
        <f t="shared" si="415"/>
        <v>1.7241379310344793E-2</v>
      </c>
      <c r="L2998" s="1">
        <f t="shared" si="416"/>
        <v>1</v>
      </c>
      <c r="M2998" s="1">
        <f t="shared" si="417"/>
        <v>49.06</v>
      </c>
      <c r="N2998" s="1">
        <f t="shared" si="418"/>
        <v>47.78</v>
      </c>
      <c r="O2998" s="1">
        <f t="shared" si="419"/>
        <v>47.01</v>
      </c>
      <c r="P2998" s="1">
        <f t="shared" si="420"/>
        <v>23.98469387755102</v>
      </c>
    </row>
    <row r="2999" spans="1:16">
      <c r="A2999" s="2">
        <v>38706</v>
      </c>
      <c r="B2999" s="1">
        <v>48.46</v>
      </c>
      <c r="C2999" s="1">
        <v>48.6</v>
      </c>
      <c r="D2999" s="1">
        <v>47.68</v>
      </c>
      <c r="E2999" s="1">
        <v>48.14</v>
      </c>
      <c r="F2999" s="1">
        <v>5535200</v>
      </c>
      <c r="G2999" s="1">
        <v>48.14</v>
      </c>
      <c r="H2999" s="1">
        <f t="shared" si="414"/>
        <v>0.92000000000000171</v>
      </c>
      <c r="I2999" s="9">
        <f t="shared" si="421"/>
        <v>1.9295302013422853E-2</v>
      </c>
      <c r="J2999" s="1">
        <f t="shared" si="422"/>
        <v>-0.22999999999999687</v>
      </c>
      <c r="K2999" s="9">
        <f t="shared" si="415"/>
        <v>-4.7550134380813912E-3</v>
      </c>
      <c r="L2999" s="1">
        <f t="shared" si="416"/>
        <v>1</v>
      </c>
      <c r="M2999" s="1">
        <f t="shared" si="417"/>
        <v>48.6</v>
      </c>
      <c r="N2999" s="1">
        <f t="shared" si="418"/>
        <v>47.68</v>
      </c>
      <c r="O2999" s="1">
        <f t="shared" si="419"/>
        <v>46.18</v>
      </c>
      <c r="P2999" s="1">
        <f t="shared" si="420"/>
        <v>23.561224489795919</v>
      </c>
    </row>
    <row r="3000" spans="1:16">
      <c r="A3000" s="2">
        <v>38705</v>
      </c>
      <c r="B3000" s="1">
        <v>48.99</v>
      </c>
      <c r="C3000" s="1">
        <v>50</v>
      </c>
      <c r="D3000" s="1">
        <v>48.32</v>
      </c>
      <c r="E3000" s="1">
        <v>48.37</v>
      </c>
      <c r="F3000" s="1">
        <v>8308700</v>
      </c>
      <c r="G3000" s="1">
        <v>48.37</v>
      </c>
      <c r="H3000" s="1">
        <f t="shared" si="414"/>
        <v>1.6799999999999997</v>
      </c>
      <c r="I3000" s="9">
        <f t="shared" si="421"/>
        <v>3.4768211920529798E-2</v>
      </c>
      <c r="J3000" s="1">
        <f t="shared" si="422"/>
        <v>-0.84000000000000341</v>
      </c>
      <c r="K3000" s="9">
        <f t="shared" si="415"/>
        <v>-1.7069701280227664E-2</v>
      </c>
      <c r="L3000" s="1">
        <f t="shared" si="416"/>
        <v>1</v>
      </c>
      <c r="M3000" s="1">
        <f t="shared" si="417"/>
        <v>50</v>
      </c>
      <c r="N3000" s="1">
        <f t="shared" si="418"/>
        <v>48.32</v>
      </c>
      <c r="O3000" s="1">
        <f t="shared" si="419"/>
        <v>46.41</v>
      </c>
      <c r="P3000" s="1">
        <f t="shared" si="420"/>
        <v>23.678571428571427</v>
      </c>
    </row>
    <row r="3001" spans="1:16">
      <c r="A3001" s="2">
        <v>38702</v>
      </c>
      <c r="B3001" s="1">
        <v>49.4</v>
      </c>
      <c r="C3001" s="1">
        <v>49.92</v>
      </c>
      <c r="D3001" s="1">
        <v>49.21</v>
      </c>
      <c r="E3001" s="1">
        <v>49.21</v>
      </c>
      <c r="F3001" s="1">
        <v>5626500</v>
      </c>
      <c r="G3001" s="1">
        <v>49.21</v>
      </c>
      <c r="H3001" s="1">
        <f t="shared" si="414"/>
        <v>0.71000000000000085</v>
      </c>
      <c r="I3001" s="9">
        <f t="shared" si="421"/>
        <v>1.4427961796382865E-2</v>
      </c>
      <c r="J3001" s="1">
        <f t="shared" si="422"/>
        <v>-0.26999999999999602</v>
      </c>
      <c r="K3001" s="9">
        <f t="shared" si="415"/>
        <v>-5.4567502021017796E-3</v>
      </c>
      <c r="L3001" s="1">
        <f t="shared" si="416"/>
        <v>1</v>
      </c>
      <c r="M3001" s="1">
        <f t="shared" si="417"/>
        <v>49.92</v>
      </c>
      <c r="N3001" s="1">
        <f t="shared" si="418"/>
        <v>49.21</v>
      </c>
      <c r="O3001" s="1">
        <f t="shared" si="419"/>
        <v>47.25</v>
      </c>
      <c r="P3001" s="1">
        <f t="shared" si="420"/>
        <v>24.107142857142858</v>
      </c>
    </row>
    <row r="3002" spans="1:16">
      <c r="A3002" s="2">
        <v>38701</v>
      </c>
      <c r="B3002" s="1">
        <v>49.5</v>
      </c>
      <c r="C3002" s="1">
        <v>49.95</v>
      </c>
      <c r="D3002" s="1">
        <v>49.05</v>
      </c>
      <c r="E3002" s="1">
        <v>49.48</v>
      </c>
      <c r="F3002" s="1">
        <v>5820500</v>
      </c>
      <c r="G3002" s="1">
        <v>49.48</v>
      </c>
      <c r="H3002" s="1">
        <f t="shared" si="414"/>
        <v>0.90000000000000568</v>
      </c>
      <c r="I3002" s="9">
        <f t="shared" si="421"/>
        <v>1.8348623853211125E-2</v>
      </c>
      <c r="J3002" s="1">
        <f t="shared" si="422"/>
        <v>7.0000000000000284E-2</v>
      </c>
      <c r="K3002" s="9">
        <f t="shared" si="415"/>
        <v>1.4167172637118051E-3</v>
      </c>
      <c r="L3002" s="1">
        <f t="shared" si="416"/>
        <v>1</v>
      </c>
      <c r="M3002" s="1">
        <f t="shared" si="417"/>
        <v>49.95</v>
      </c>
      <c r="N3002" s="1">
        <f t="shared" si="418"/>
        <v>49.05</v>
      </c>
      <c r="O3002" s="1">
        <f t="shared" si="419"/>
        <v>47.519999999999996</v>
      </c>
      <c r="P3002" s="1">
        <f t="shared" si="420"/>
        <v>24.244897959183671</v>
      </c>
    </row>
    <row r="3003" spans="1:16">
      <c r="A3003" s="2">
        <v>38700</v>
      </c>
      <c r="B3003" s="1">
        <v>49.2</v>
      </c>
      <c r="C3003" s="1">
        <v>49.6</v>
      </c>
      <c r="D3003" s="1">
        <v>48.79</v>
      </c>
      <c r="E3003" s="1">
        <v>49.41</v>
      </c>
      <c r="F3003" s="1">
        <v>4965900</v>
      </c>
      <c r="G3003" s="1">
        <v>49.41</v>
      </c>
      <c r="H3003" s="1">
        <f t="shared" si="414"/>
        <v>0.81000000000000227</v>
      </c>
      <c r="I3003" s="9">
        <f t="shared" si="421"/>
        <v>1.6601762656282073E-2</v>
      </c>
      <c r="J3003" s="1">
        <f t="shared" si="422"/>
        <v>-9.0000000000003411E-2</v>
      </c>
      <c r="K3003" s="9">
        <f t="shared" si="415"/>
        <v>-1.8181818181818871E-3</v>
      </c>
      <c r="L3003" s="1">
        <f t="shared" si="416"/>
        <v>1</v>
      </c>
      <c r="M3003" s="1">
        <f t="shared" si="417"/>
        <v>49.6</v>
      </c>
      <c r="N3003" s="1">
        <f t="shared" si="418"/>
        <v>48.79</v>
      </c>
      <c r="O3003" s="1">
        <f t="shared" si="419"/>
        <v>47.449999999999996</v>
      </c>
      <c r="P3003" s="1">
        <f t="shared" si="420"/>
        <v>24.209183673469386</v>
      </c>
    </row>
    <row r="3004" spans="1:16">
      <c r="A3004" s="2">
        <v>38699</v>
      </c>
      <c r="B3004" s="1">
        <v>48.54</v>
      </c>
      <c r="C3004" s="1">
        <v>49.67</v>
      </c>
      <c r="D3004" s="1">
        <v>48.48</v>
      </c>
      <c r="E3004" s="1">
        <v>49.5</v>
      </c>
      <c r="F3004" s="1">
        <v>5812800</v>
      </c>
      <c r="G3004" s="1">
        <v>49.5</v>
      </c>
      <c r="H3004" s="1">
        <f t="shared" si="414"/>
        <v>1.1900000000000048</v>
      </c>
      <c r="I3004" s="9">
        <f t="shared" si="421"/>
        <v>2.4546204620462149E-2</v>
      </c>
      <c r="J3004" s="1">
        <f t="shared" si="422"/>
        <v>0.42999999999999972</v>
      </c>
      <c r="K3004" s="9">
        <f t="shared" si="415"/>
        <v>8.7629916445893571E-3</v>
      </c>
      <c r="L3004" s="1">
        <f t="shared" si="416"/>
        <v>1</v>
      </c>
      <c r="M3004" s="1">
        <f t="shared" si="417"/>
        <v>49.67</v>
      </c>
      <c r="N3004" s="1">
        <f t="shared" si="418"/>
        <v>48.48</v>
      </c>
      <c r="O3004" s="1">
        <f t="shared" si="419"/>
        <v>47.54</v>
      </c>
      <c r="P3004" s="1">
        <f t="shared" si="420"/>
        <v>24.255102040816325</v>
      </c>
    </row>
    <row r="3005" spans="1:16">
      <c r="A3005" s="2">
        <v>38698</v>
      </c>
      <c r="B3005" s="1">
        <v>49.15</v>
      </c>
      <c r="C3005" s="1">
        <v>49.3</v>
      </c>
      <c r="D3005" s="1">
        <v>48.64</v>
      </c>
      <c r="E3005" s="1">
        <v>49.07</v>
      </c>
      <c r="F3005" s="1">
        <v>3424300</v>
      </c>
      <c r="G3005" s="1">
        <v>49.07</v>
      </c>
      <c r="H3005" s="1">
        <f t="shared" si="414"/>
        <v>0.65999999999999659</v>
      </c>
      <c r="I3005" s="9">
        <f t="shared" si="421"/>
        <v>1.356907894736835E-2</v>
      </c>
      <c r="J3005" s="1">
        <f t="shared" si="422"/>
        <v>0.32999999999999829</v>
      </c>
      <c r="K3005" s="9">
        <f t="shared" si="415"/>
        <v>6.7706196142798174E-3</v>
      </c>
      <c r="L3005" s="1">
        <f t="shared" si="416"/>
        <v>1</v>
      </c>
      <c r="M3005" s="1">
        <f t="shared" si="417"/>
        <v>49.3</v>
      </c>
      <c r="N3005" s="1">
        <f t="shared" si="418"/>
        <v>48.64</v>
      </c>
      <c r="O3005" s="1">
        <f t="shared" si="419"/>
        <v>47.11</v>
      </c>
      <c r="P3005" s="1">
        <f t="shared" si="420"/>
        <v>24.035714285714285</v>
      </c>
    </row>
    <row r="3006" spans="1:16">
      <c r="A3006" s="2">
        <v>38695</v>
      </c>
      <c r="B3006" s="1">
        <v>48.65</v>
      </c>
      <c r="C3006" s="1">
        <v>49.04</v>
      </c>
      <c r="D3006" s="1">
        <v>48.25</v>
      </c>
      <c r="E3006" s="1">
        <v>48.74</v>
      </c>
      <c r="F3006" s="1">
        <v>4709000</v>
      </c>
      <c r="G3006" s="1">
        <v>48.74</v>
      </c>
      <c r="H3006" s="1">
        <f t="shared" si="414"/>
        <v>0.78999999999999915</v>
      </c>
      <c r="I3006" s="9">
        <f t="shared" si="421"/>
        <v>1.6373056994818634E-2</v>
      </c>
      <c r="J3006" s="1">
        <f t="shared" si="422"/>
        <v>0.39000000000000057</v>
      </c>
      <c r="K3006" s="9">
        <f t="shared" si="415"/>
        <v>8.0661840744570956E-3</v>
      </c>
      <c r="L3006" s="1">
        <f t="shared" si="416"/>
        <v>1</v>
      </c>
      <c r="M3006" s="1">
        <f t="shared" si="417"/>
        <v>49.04</v>
      </c>
      <c r="N3006" s="1">
        <f t="shared" si="418"/>
        <v>48.25</v>
      </c>
      <c r="O3006" s="1">
        <f t="shared" si="419"/>
        <v>46.78</v>
      </c>
      <c r="P3006" s="1">
        <f t="shared" si="420"/>
        <v>23.867346938775512</v>
      </c>
    </row>
    <row r="3007" spans="1:16">
      <c r="A3007" s="2">
        <v>38694</v>
      </c>
      <c r="B3007" s="1">
        <v>48.83</v>
      </c>
      <c r="C3007" s="1">
        <v>49.1</v>
      </c>
      <c r="D3007" s="1">
        <v>47.86</v>
      </c>
      <c r="E3007" s="1">
        <v>48.35</v>
      </c>
      <c r="F3007" s="1">
        <v>7144000</v>
      </c>
      <c r="G3007" s="1">
        <v>48.35</v>
      </c>
      <c r="H3007" s="1">
        <f t="shared" si="414"/>
        <v>1.240000000000002</v>
      </c>
      <c r="I3007" s="9">
        <f t="shared" si="421"/>
        <v>2.590890096113669E-2</v>
      </c>
      <c r="J3007" s="1">
        <f t="shared" si="422"/>
        <v>-0.47999999999999687</v>
      </c>
      <c r="K3007" s="9">
        <f t="shared" si="415"/>
        <v>-9.8300225271348938E-3</v>
      </c>
      <c r="L3007" s="1">
        <f t="shared" si="416"/>
        <v>1</v>
      </c>
      <c r="M3007" s="1">
        <f t="shared" si="417"/>
        <v>49.1</v>
      </c>
      <c r="N3007" s="1">
        <f t="shared" si="418"/>
        <v>47.86</v>
      </c>
      <c r="O3007" s="1">
        <f t="shared" si="419"/>
        <v>46.39</v>
      </c>
      <c r="P3007" s="1">
        <f t="shared" si="420"/>
        <v>23.668367346938776</v>
      </c>
    </row>
    <row r="3008" spans="1:16">
      <c r="A3008" s="2">
        <v>38693</v>
      </c>
      <c r="B3008" s="1">
        <v>49.31</v>
      </c>
      <c r="C3008" s="1">
        <v>49.47</v>
      </c>
      <c r="D3008" s="1">
        <v>48.29</v>
      </c>
      <c r="E3008" s="1">
        <v>48.83</v>
      </c>
      <c r="F3008" s="1">
        <v>6796800</v>
      </c>
      <c r="G3008" s="1">
        <v>48.83</v>
      </c>
      <c r="H3008" s="1">
        <f t="shared" si="414"/>
        <v>1.1799999999999997</v>
      </c>
      <c r="I3008" s="9">
        <f t="shared" si="421"/>
        <v>2.443570097328639E-2</v>
      </c>
      <c r="J3008" s="1">
        <f t="shared" si="422"/>
        <v>-0.42999999999999972</v>
      </c>
      <c r="K3008" s="9">
        <f t="shared" si="415"/>
        <v>-8.7291920422249234E-3</v>
      </c>
      <c r="L3008" s="1">
        <f t="shared" si="416"/>
        <v>1</v>
      </c>
      <c r="M3008" s="1">
        <f t="shared" si="417"/>
        <v>49.47</v>
      </c>
      <c r="N3008" s="1">
        <f t="shared" si="418"/>
        <v>48.29</v>
      </c>
      <c r="O3008" s="1">
        <f t="shared" si="419"/>
        <v>46.87</v>
      </c>
      <c r="P3008" s="1">
        <f t="shared" si="420"/>
        <v>23.913265306122447</v>
      </c>
    </row>
    <row r="3009" spans="1:16">
      <c r="A3009" s="2">
        <v>38692</v>
      </c>
      <c r="B3009" s="1">
        <v>49.06</v>
      </c>
      <c r="C3009" s="1">
        <v>49.9</v>
      </c>
      <c r="D3009" s="1">
        <v>49.06</v>
      </c>
      <c r="E3009" s="1">
        <v>49.26</v>
      </c>
      <c r="F3009" s="1">
        <v>9581400</v>
      </c>
      <c r="G3009" s="1">
        <v>49.26</v>
      </c>
      <c r="H3009" s="1">
        <f t="shared" si="414"/>
        <v>0.83999999999999631</v>
      </c>
      <c r="I3009" s="9">
        <f t="shared" si="421"/>
        <v>1.712189156135337E-2</v>
      </c>
      <c r="J3009" s="1">
        <f t="shared" si="422"/>
        <v>0.42999999999999972</v>
      </c>
      <c r="K3009" s="9">
        <f t="shared" si="415"/>
        <v>8.8060618472250614E-3</v>
      </c>
      <c r="L3009" s="1">
        <f t="shared" si="416"/>
        <v>1</v>
      </c>
      <c r="M3009" s="1">
        <f t="shared" si="417"/>
        <v>49.9</v>
      </c>
      <c r="N3009" s="1">
        <f t="shared" si="418"/>
        <v>49.06</v>
      </c>
      <c r="O3009" s="1">
        <f t="shared" si="419"/>
        <v>47.3</v>
      </c>
      <c r="P3009" s="1">
        <f t="shared" si="420"/>
        <v>24.132653061224488</v>
      </c>
    </row>
    <row r="3010" spans="1:16">
      <c r="A3010" s="2">
        <v>38691</v>
      </c>
      <c r="B3010" s="1">
        <v>48.86</v>
      </c>
      <c r="C3010" s="1">
        <v>49.35</v>
      </c>
      <c r="D3010" s="1">
        <v>48.75</v>
      </c>
      <c r="E3010" s="1">
        <v>48.83</v>
      </c>
      <c r="F3010" s="1">
        <v>5250900</v>
      </c>
      <c r="G3010" s="1">
        <v>48.83</v>
      </c>
      <c r="H3010" s="1">
        <f t="shared" si="414"/>
        <v>0.60000000000000142</v>
      </c>
      <c r="I3010" s="9">
        <f t="shared" si="421"/>
        <v>1.2307692307692337E-2</v>
      </c>
      <c r="J3010" s="1">
        <f t="shared" si="422"/>
        <v>-0.23000000000000398</v>
      </c>
      <c r="K3010" s="9">
        <f t="shared" si="415"/>
        <v>-4.6881369751325718E-3</v>
      </c>
      <c r="L3010" s="1">
        <f t="shared" si="416"/>
        <v>1</v>
      </c>
      <c r="M3010" s="1">
        <f t="shared" si="417"/>
        <v>49.35</v>
      </c>
      <c r="N3010" s="1">
        <f t="shared" si="418"/>
        <v>48.75</v>
      </c>
      <c r="O3010" s="1">
        <f t="shared" si="419"/>
        <v>46.87</v>
      </c>
      <c r="P3010" s="1">
        <f t="shared" si="420"/>
        <v>23.913265306122447</v>
      </c>
    </row>
    <row r="3011" spans="1:16">
      <c r="A3011" s="2">
        <v>38688</v>
      </c>
      <c r="B3011" s="1">
        <v>48.92</v>
      </c>
      <c r="C3011" s="1">
        <v>49.53</v>
      </c>
      <c r="D3011" s="1">
        <v>48.4</v>
      </c>
      <c r="E3011" s="1">
        <v>49.06</v>
      </c>
      <c r="F3011" s="1">
        <v>6451600</v>
      </c>
      <c r="G3011" s="1">
        <v>49.06</v>
      </c>
      <c r="H3011" s="1">
        <f t="shared" ref="H3011:H3074" si="423">C3011-D3011</f>
        <v>1.1300000000000026</v>
      </c>
      <c r="I3011" s="9">
        <f t="shared" si="421"/>
        <v>2.3347107438016584E-2</v>
      </c>
      <c r="J3011" s="1">
        <f t="shared" si="422"/>
        <v>6.0000000000002274E-2</v>
      </c>
      <c r="K3011" s="9">
        <f t="shared" ref="K3011:K3074" si="424">(G3011-G3012)/G3012</f>
        <v>1.2244897959184137E-3</v>
      </c>
      <c r="L3011" s="1">
        <f t="shared" ref="L3011:L3074" si="425">G3011/E3011</f>
        <v>1</v>
      </c>
      <c r="M3011" s="1">
        <f t="shared" ref="M3011:M3074" si="426">L3011*C3011</f>
        <v>49.53</v>
      </c>
      <c r="N3011" s="1">
        <f t="shared" ref="N3011:N3074" si="427">L3011*D3011</f>
        <v>48.4</v>
      </c>
      <c r="O3011" s="1">
        <f t="shared" ref="O3011:O3074" si="428">G3011-$G$5163</f>
        <v>47.1</v>
      </c>
      <c r="P3011" s="1">
        <f t="shared" ref="P3011:P3074" si="429">(G3011-$G$5163)/$G$5163</f>
        <v>24.030612244897959</v>
      </c>
    </row>
    <row r="3012" spans="1:16">
      <c r="A3012" s="2">
        <v>38687</v>
      </c>
      <c r="B3012" s="1">
        <v>48.88</v>
      </c>
      <c r="C3012" s="1">
        <v>49.4</v>
      </c>
      <c r="D3012" s="1">
        <v>48.63</v>
      </c>
      <c r="E3012" s="1">
        <v>49</v>
      </c>
      <c r="F3012" s="1">
        <v>7866700</v>
      </c>
      <c r="G3012" s="1">
        <v>49</v>
      </c>
      <c r="H3012" s="1">
        <f t="shared" si="423"/>
        <v>0.76999999999999602</v>
      </c>
      <c r="I3012" s="9">
        <f t="shared" ref="I3012:I3075" si="430">(C3012-D3012)/D3012</f>
        <v>1.5833847419288422E-2</v>
      </c>
      <c r="J3012" s="1">
        <f t="shared" ref="J3012:J3075" si="431">G3012-G3013</f>
        <v>0.53999999999999915</v>
      </c>
      <c r="K3012" s="9">
        <f t="shared" si="424"/>
        <v>1.1143210895583969E-2</v>
      </c>
      <c r="L3012" s="1">
        <f t="shared" si="425"/>
        <v>1</v>
      </c>
      <c r="M3012" s="1">
        <f t="shared" si="426"/>
        <v>49.4</v>
      </c>
      <c r="N3012" s="1">
        <f t="shared" si="427"/>
        <v>48.63</v>
      </c>
      <c r="O3012" s="1">
        <f t="shared" si="428"/>
        <v>47.04</v>
      </c>
      <c r="P3012" s="1">
        <f t="shared" si="429"/>
        <v>24</v>
      </c>
    </row>
    <row r="3013" spans="1:16">
      <c r="A3013" s="2">
        <v>38686</v>
      </c>
      <c r="B3013" s="1">
        <v>48.48</v>
      </c>
      <c r="C3013" s="1">
        <v>48.68</v>
      </c>
      <c r="D3013" s="1">
        <v>47.55</v>
      </c>
      <c r="E3013" s="1">
        <v>48.46</v>
      </c>
      <c r="F3013" s="1">
        <v>7925600</v>
      </c>
      <c r="G3013" s="1">
        <v>48.46</v>
      </c>
      <c r="H3013" s="1">
        <f t="shared" si="423"/>
        <v>1.1300000000000026</v>
      </c>
      <c r="I3013" s="9">
        <f t="shared" si="430"/>
        <v>2.3764458464773978E-2</v>
      </c>
      <c r="J3013" s="1">
        <f t="shared" si="431"/>
        <v>-8.9999999999996305E-2</v>
      </c>
      <c r="K3013" s="9">
        <f t="shared" si="424"/>
        <v>-1.8537590113284514E-3</v>
      </c>
      <c r="L3013" s="1">
        <f t="shared" si="425"/>
        <v>1</v>
      </c>
      <c r="M3013" s="1">
        <f t="shared" si="426"/>
        <v>48.68</v>
      </c>
      <c r="N3013" s="1">
        <f t="shared" si="427"/>
        <v>47.55</v>
      </c>
      <c r="O3013" s="1">
        <f t="shared" si="428"/>
        <v>46.5</v>
      </c>
      <c r="P3013" s="1">
        <f t="shared" si="429"/>
        <v>23.724489795918366</v>
      </c>
    </row>
    <row r="3014" spans="1:16">
      <c r="A3014" s="2">
        <v>38685</v>
      </c>
      <c r="B3014" s="1">
        <v>48.31</v>
      </c>
      <c r="C3014" s="1">
        <v>49.43</v>
      </c>
      <c r="D3014" s="1">
        <v>48.12</v>
      </c>
      <c r="E3014" s="1">
        <v>48.55</v>
      </c>
      <c r="F3014" s="1">
        <v>10384400</v>
      </c>
      <c r="G3014" s="1">
        <v>48.55</v>
      </c>
      <c r="H3014" s="1">
        <f t="shared" si="423"/>
        <v>1.3100000000000023</v>
      </c>
      <c r="I3014" s="9">
        <f t="shared" si="430"/>
        <v>2.7223607647547846E-2</v>
      </c>
      <c r="J3014" s="1">
        <f t="shared" si="431"/>
        <v>0.19999999999999574</v>
      </c>
      <c r="K3014" s="9">
        <f t="shared" si="424"/>
        <v>4.1365046535676471E-3</v>
      </c>
      <c r="L3014" s="1">
        <f t="shared" si="425"/>
        <v>1</v>
      </c>
      <c r="M3014" s="1">
        <f t="shared" si="426"/>
        <v>49.43</v>
      </c>
      <c r="N3014" s="1">
        <f t="shared" si="427"/>
        <v>48.12</v>
      </c>
      <c r="O3014" s="1">
        <f t="shared" si="428"/>
        <v>46.589999999999996</v>
      </c>
      <c r="P3014" s="1">
        <f t="shared" si="429"/>
        <v>23.770408163265305</v>
      </c>
    </row>
    <row r="3015" spans="1:16">
      <c r="A3015" s="2">
        <v>38684</v>
      </c>
      <c r="B3015" s="1">
        <v>48.15</v>
      </c>
      <c r="C3015" s="1">
        <v>49.12</v>
      </c>
      <c r="D3015" s="1">
        <v>47.62</v>
      </c>
      <c r="E3015" s="1">
        <v>48.35</v>
      </c>
      <c r="F3015" s="1">
        <v>10670900</v>
      </c>
      <c r="G3015" s="1">
        <v>48.35</v>
      </c>
      <c r="H3015" s="1">
        <f t="shared" si="423"/>
        <v>1.5</v>
      </c>
      <c r="I3015" s="9">
        <f t="shared" si="430"/>
        <v>3.1499370012599746E-2</v>
      </c>
      <c r="J3015" s="1">
        <f t="shared" si="431"/>
        <v>0.28999999999999915</v>
      </c>
      <c r="K3015" s="9">
        <f t="shared" si="424"/>
        <v>6.0341240116520839E-3</v>
      </c>
      <c r="L3015" s="1">
        <f t="shared" si="425"/>
        <v>1</v>
      </c>
      <c r="M3015" s="1">
        <f t="shared" si="426"/>
        <v>49.12</v>
      </c>
      <c r="N3015" s="1">
        <f t="shared" si="427"/>
        <v>47.62</v>
      </c>
      <c r="O3015" s="1">
        <f t="shared" si="428"/>
        <v>46.39</v>
      </c>
      <c r="P3015" s="1">
        <f t="shared" si="429"/>
        <v>23.668367346938776</v>
      </c>
    </row>
    <row r="3016" spans="1:16">
      <c r="A3016" s="2">
        <v>38681</v>
      </c>
      <c r="B3016" s="1">
        <v>48.05</v>
      </c>
      <c r="C3016" s="1">
        <v>48.48</v>
      </c>
      <c r="D3016" s="1">
        <v>47.62</v>
      </c>
      <c r="E3016" s="1">
        <v>48.06</v>
      </c>
      <c r="F3016" s="1">
        <v>2695800</v>
      </c>
      <c r="G3016" s="1">
        <v>48.06</v>
      </c>
      <c r="H3016" s="1">
        <f t="shared" si="423"/>
        <v>0.85999999999999943</v>
      </c>
      <c r="I3016" s="9">
        <f t="shared" si="430"/>
        <v>1.8059638807223846E-2</v>
      </c>
      <c r="J3016" s="1">
        <f t="shared" si="431"/>
        <v>-0.17999999999999972</v>
      </c>
      <c r="K3016" s="9">
        <f t="shared" si="424"/>
        <v>-3.7313432835820834E-3</v>
      </c>
      <c r="L3016" s="1">
        <f t="shared" si="425"/>
        <v>1</v>
      </c>
      <c r="M3016" s="1">
        <f t="shared" si="426"/>
        <v>48.48</v>
      </c>
      <c r="N3016" s="1">
        <f t="shared" si="427"/>
        <v>47.62</v>
      </c>
      <c r="O3016" s="1">
        <f t="shared" si="428"/>
        <v>46.1</v>
      </c>
      <c r="P3016" s="1">
        <f t="shared" si="429"/>
        <v>23.520408163265309</v>
      </c>
    </row>
    <row r="3017" spans="1:16">
      <c r="A3017" s="2">
        <v>38679</v>
      </c>
      <c r="B3017" s="1">
        <v>48.77</v>
      </c>
      <c r="C3017" s="1">
        <v>48.96</v>
      </c>
      <c r="D3017" s="1">
        <v>48.09</v>
      </c>
      <c r="E3017" s="1">
        <v>48.24</v>
      </c>
      <c r="F3017" s="1">
        <v>7483200</v>
      </c>
      <c r="G3017" s="1">
        <v>48.24</v>
      </c>
      <c r="H3017" s="1">
        <f t="shared" si="423"/>
        <v>0.86999999999999744</v>
      </c>
      <c r="I3017" s="9">
        <f t="shared" si="430"/>
        <v>1.8091079226450351E-2</v>
      </c>
      <c r="J3017" s="1">
        <f t="shared" si="431"/>
        <v>-0.60999999999999943</v>
      </c>
      <c r="K3017" s="9">
        <f t="shared" si="424"/>
        <v>-1.2487205731832127E-2</v>
      </c>
      <c r="L3017" s="1">
        <f t="shared" si="425"/>
        <v>1</v>
      </c>
      <c r="M3017" s="1">
        <f t="shared" si="426"/>
        <v>48.96</v>
      </c>
      <c r="N3017" s="1">
        <f t="shared" si="427"/>
        <v>48.09</v>
      </c>
      <c r="O3017" s="1">
        <f t="shared" si="428"/>
        <v>46.28</v>
      </c>
      <c r="P3017" s="1">
        <f t="shared" si="429"/>
        <v>23.612244897959183</v>
      </c>
    </row>
    <row r="3018" spans="1:16">
      <c r="A3018" s="2">
        <v>38678</v>
      </c>
      <c r="B3018" s="1">
        <v>47.5</v>
      </c>
      <c r="C3018" s="1">
        <v>49.01</v>
      </c>
      <c r="D3018" s="1">
        <v>47.34</v>
      </c>
      <c r="E3018" s="1">
        <v>48.85</v>
      </c>
      <c r="F3018" s="1">
        <v>12990700</v>
      </c>
      <c r="G3018" s="1">
        <v>48.85</v>
      </c>
      <c r="H3018" s="1">
        <f t="shared" si="423"/>
        <v>1.6699999999999946</v>
      </c>
      <c r="I3018" s="9">
        <f t="shared" si="430"/>
        <v>3.5276721588508544E-2</v>
      </c>
      <c r="J3018" s="1">
        <f t="shared" si="431"/>
        <v>0.85999999999999943</v>
      </c>
      <c r="K3018" s="9">
        <f t="shared" si="424"/>
        <v>1.7920400083350687E-2</v>
      </c>
      <c r="L3018" s="1">
        <f t="shared" si="425"/>
        <v>1</v>
      </c>
      <c r="M3018" s="1">
        <f t="shared" si="426"/>
        <v>49.01</v>
      </c>
      <c r="N3018" s="1">
        <f t="shared" si="427"/>
        <v>47.34</v>
      </c>
      <c r="O3018" s="1">
        <f t="shared" si="428"/>
        <v>46.89</v>
      </c>
      <c r="P3018" s="1">
        <f t="shared" si="429"/>
        <v>23.923469387755102</v>
      </c>
    </row>
    <row r="3019" spans="1:16">
      <c r="A3019" s="2">
        <v>38677</v>
      </c>
      <c r="B3019" s="1">
        <v>47.57</v>
      </c>
      <c r="C3019" s="1">
        <v>48.31</v>
      </c>
      <c r="D3019" s="1">
        <v>47.28</v>
      </c>
      <c r="E3019" s="1">
        <v>47.99</v>
      </c>
      <c r="F3019" s="1">
        <v>17869900</v>
      </c>
      <c r="G3019" s="1">
        <v>47.99</v>
      </c>
      <c r="H3019" s="1">
        <f t="shared" si="423"/>
        <v>1.0300000000000011</v>
      </c>
      <c r="I3019" s="9">
        <f t="shared" si="430"/>
        <v>2.1785109983079549E-2</v>
      </c>
      <c r="J3019" s="1">
        <f t="shared" si="431"/>
        <v>1.0000000000005116E-2</v>
      </c>
      <c r="K3019" s="9">
        <f t="shared" si="424"/>
        <v>2.084201750730537E-4</v>
      </c>
      <c r="L3019" s="1">
        <f t="shared" si="425"/>
        <v>1</v>
      </c>
      <c r="M3019" s="1">
        <f t="shared" si="426"/>
        <v>48.31</v>
      </c>
      <c r="N3019" s="1">
        <f t="shared" si="427"/>
        <v>47.28</v>
      </c>
      <c r="O3019" s="1">
        <f t="shared" si="428"/>
        <v>46.03</v>
      </c>
      <c r="P3019" s="1">
        <f t="shared" si="429"/>
        <v>23.48469387755102</v>
      </c>
    </row>
    <row r="3020" spans="1:16">
      <c r="A3020" s="2">
        <v>38674</v>
      </c>
      <c r="B3020" s="1">
        <v>46.9</v>
      </c>
      <c r="C3020" s="1">
        <v>48</v>
      </c>
      <c r="D3020" s="1">
        <v>46.66</v>
      </c>
      <c r="E3020" s="1">
        <v>47.98</v>
      </c>
      <c r="F3020" s="1">
        <v>59332800</v>
      </c>
      <c r="G3020" s="1">
        <v>47.98</v>
      </c>
      <c r="H3020" s="1">
        <f t="shared" si="423"/>
        <v>1.3400000000000034</v>
      </c>
      <c r="I3020" s="9">
        <f t="shared" si="430"/>
        <v>2.8718388341191673E-2</v>
      </c>
      <c r="J3020" s="1">
        <f t="shared" si="431"/>
        <v>1.2399999999999949</v>
      </c>
      <c r="K3020" s="9">
        <f t="shared" si="424"/>
        <v>2.6529738981600232E-2</v>
      </c>
      <c r="L3020" s="1">
        <f t="shared" si="425"/>
        <v>1</v>
      </c>
      <c r="M3020" s="1">
        <f t="shared" si="426"/>
        <v>48</v>
      </c>
      <c r="N3020" s="1">
        <f t="shared" si="427"/>
        <v>46.66</v>
      </c>
      <c r="O3020" s="1">
        <f t="shared" si="428"/>
        <v>46.019999999999996</v>
      </c>
      <c r="P3020" s="1">
        <f t="shared" si="429"/>
        <v>23.479591836734691</v>
      </c>
    </row>
    <row r="3021" spans="1:16">
      <c r="A3021" s="2">
        <v>38673</v>
      </c>
      <c r="B3021" s="1">
        <v>45.43</v>
      </c>
      <c r="C3021" s="1">
        <v>46.76</v>
      </c>
      <c r="D3021" s="1">
        <v>45.36</v>
      </c>
      <c r="E3021" s="1">
        <v>46.74</v>
      </c>
      <c r="F3021" s="1">
        <v>11687600</v>
      </c>
      <c r="G3021" s="1">
        <v>46.74</v>
      </c>
      <c r="H3021" s="1">
        <f t="shared" si="423"/>
        <v>1.3999999999999986</v>
      </c>
      <c r="I3021" s="9">
        <f t="shared" si="430"/>
        <v>3.0864197530864168E-2</v>
      </c>
      <c r="J3021" s="1">
        <f t="shared" si="431"/>
        <v>1.4400000000000048</v>
      </c>
      <c r="K3021" s="9">
        <f t="shared" si="424"/>
        <v>3.1788079470198786E-2</v>
      </c>
      <c r="L3021" s="1">
        <f t="shared" si="425"/>
        <v>1</v>
      </c>
      <c r="M3021" s="1">
        <f t="shared" si="426"/>
        <v>46.76</v>
      </c>
      <c r="N3021" s="1">
        <f t="shared" si="427"/>
        <v>45.36</v>
      </c>
      <c r="O3021" s="1">
        <f t="shared" si="428"/>
        <v>44.78</v>
      </c>
      <c r="P3021" s="1">
        <f t="shared" si="429"/>
        <v>22.846938775510203</v>
      </c>
    </row>
    <row r="3022" spans="1:16">
      <c r="A3022" s="2">
        <v>38672</v>
      </c>
      <c r="B3022" s="1">
        <v>44.27</v>
      </c>
      <c r="C3022" s="1">
        <v>45.4</v>
      </c>
      <c r="D3022" s="1">
        <v>44.24</v>
      </c>
      <c r="E3022" s="1">
        <v>45.3</v>
      </c>
      <c r="F3022" s="1">
        <v>7967000</v>
      </c>
      <c r="G3022" s="1">
        <v>45.3</v>
      </c>
      <c r="H3022" s="1">
        <f t="shared" si="423"/>
        <v>1.1599999999999966</v>
      </c>
      <c r="I3022" s="9">
        <f t="shared" si="430"/>
        <v>2.6220614828209688E-2</v>
      </c>
      <c r="J3022" s="1">
        <f t="shared" si="431"/>
        <v>0.84999999999999432</v>
      </c>
      <c r="K3022" s="9">
        <f t="shared" si="424"/>
        <v>1.9122609673790647E-2</v>
      </c>
      <c r="L3022" s="1">
        <f t="shared" si="425"/>
        <v>1</v>
      </c>
      <c r="M3022" s="1">
        <f t="shared" si="426"/>
        <v>45.4</v>
      </c>
      <c r="N3022" s="1">
        <f t="shared" si="427"/>
        <v>44.24</v>
      </c>
      <c r="O3022" s="1">
        <f t="shared" si="428"/>
        <v>43.339999999999996</v>
      </c>
      <c r="P3022" s="1">
        <f t="shared" si="429"/>
        <v>22.112244897959183</v>
      </c>
    </row>
    <row r="3023" spans="1:16">
      <c r="A3023" s="2">
        <v>38671</v>
      </c>
      <c r="B3023" s="1">
        <v>45.46</v>
      </c>
      <c r="C3023" s="1">
        <v>45.65</v>
      </c>
      <c r="D3023" s="1">
        <v>44.43</v>
      </c>
      <c r="E3023" s="1">
        <v>44.45</v>
      </c>
      <c r="F3023" s="1">
        <v>21277900</v>
      </c>
      <c r="G3023" s="1">
        <v>44.45</v>
      </c>
      <c r="H3023" s="1">
        <f t="shared" si="423"/>
        <v>1.2199999999999989</v>
      </c>
      <c r="I3023" s="9">
        <f t="shared" si="430"/>
        <v>2.7458924150348837E-2</v>
      </c>
      <c r="J3023" s="1">
        <f t="shared" si="431"/>
        <v>1.9200000000000017</v>
      </c>
      <c r="K3023" s="9">
        <f t="shared" si="424"/>
        <v>4.5144603809075985E-2</v>
      </c>
      <c r="L3023" s="1">
        <f t="shared" si="425"/>
        <v>1</v>
      </c>
      <c r="M3023" s="1">
        <f t="shared" si="426"/>
        <v>45.65</v>
      </c>
      <c r="N3023" s="1">
        <f t="shared" si="427"/>
        <v>44.43</v>
      </c>
      <c r="O3023" s="1">
        <f t="shared" si="428"/>
        <v>42.49</v>
      </c>
      <c r="P3023" s="1">
        <f t="shared" si="429"/>
        <v>21.678571428571431</v>
      </c>
    </row>
    <row r="3024" spans="1:16">
      <c r="A3024" s="2">
        <v>38670</v>
      </c>
      <c r="B3024" s="1">
        <v>42.52</v>
      </c>
      <c r="C3024" s="1">
        <v>43</v>
      </c>
      <c r="D3024" s="1">
        <v>42.34</v>
      </c>
      <c r="E3024" s="1">
        <v>42.53</v>
      </c>
      <c r="F3024" s="1">
        <v>3103100</v>
      </c>
      <c r="G3024" s="1">
        <v>42.53</v>
      </c>
      <c r="H3024" s="1">
        <f t="shared" si="423"/>
        <v>0.65999999999999659</v>
      </c>
      <c r="I3024" s="9">
        <f t="shared" si="430"/>
        <v>1.5588096362777434E-2</v>
      </c>
      <c r="J3024" s="1">
        <f t="shared" si="431"/>
        <v>-0.14999999999999858</v>
      </c>
      <c r="K3024" s="9">
        <f t="shared" si="424"/>
        <v>-3.5145267104029656E-3</v>
      </c>
      <c r="L3024" s="1">
        <f t="shared" si="425"/>
        <v>1</v>
      </c>
      <c r="M3024" s="1">
        <f t="shared" si="426"/>
        <v>43</v>
      </c>
      <c r="N3024" s="1">
        <f t="shared" si="427"/>
        <v>42.34</v>
      </c>
      <c r="O3024" s="1">
        <f t="shared" si="428"/>
        <v>40.57</v>
      </c>
      <c r="P3024" s="1">
        <f t="shared" si="429"/>
        <v>20.698979591836736</v>
      </c>
    </row>
    <row r="3025" spans="1:16">
      <c r="A3025" s="2">
        <v>38667</v>
      </c>
      <c r="B3025" s="1">
        <v>42.37</v>
      </c>
      <c r="C3025" s="1">
        <v>43.04</v>
      </c>
      <c r="D3025" s="1">
        <v>42.25</v>
      </c>
      <c r="E3025" s="1">
        <v>42.68</v>
      </c>
      <c r="F3025" s="1">
        <v>3982200</v>
      </c>
      <c r="G3025" s="1">
        <v>42.68</v>
      </c>
      <c r="H3025" s="1">
        <f t="shared" si="423"/>
        <v>0.78999999999999915</v>
      </c>
      <c r="I3025" s="9">
        <f t="shared" si="430"/>
        <v>1.8698224852070986E-2</v>
      </c>
      <c r="J3025" s="1">
        <f t="shared" si="431"/>
        <v>0.5</v>
      </c>
      <c r="K3025" s="9">
        <f t="shared" si="424"/>
        <v>1.1853959222380275E-2</v>
      </c>
      <c r="L3025" s="1">
        <f t="shared" si="425"/>
        <v>1</v>
      </c>
      <c r="M3025" s="1">
        <f t="shared" si="426"/>
        <v>43.04</v>
      </c>
      <c r="N3025" s="1">
        <f t="shared" si="427"/>
        <v>42.25</v>
      </c>
      <c r="O3025" s="1">
        <f t="shared" si="428"/>
        <v>40.72</v>
      </c>
      <c r="P3025" s="1">
        <f t="shared" si="429"/>
        <v>20.775510204081634</v>
      </c>
    </row>
    <row r="3026" spans="1:16">
      <c r="A3026" s="2">
        <v>38666</v>
      </c>
      <c r="B3026" s="1">
        <v>41.47</v>
      </c>
      <c r="C3026" s="1">
        <v>42.45</v>
      </c>
      <c r="D3026" s="1">
        <v>40.86</v>
      </c>
      <c r="E3026" s="1">
        <v>42.18</v>
      </c>
      <c r="F3026" s="1">
        <v>5585500</v>
      </c>
      <c r="G3026" s="1">
        <v>42.18</v>
      </c>
      <c r="H3026" s="1">
        <f t="shared" si="423"/>
        <v>1.5900000000000034</v>
      </c>
      <c r="I3026" s="9">
        <f t="shared" si="430"/>
        <v>3.8913362701909045E-2</v>
      </c>
      <c r="J3026" s="1">
        <f t="shared" si="431"/>
        <v>0.78000000000000114</v>
      </c>
      <c r="K3026" s="9">
        <f t="shared" si="424"/>
        <v>1.8840579710144956E-2</v>
      </c>
      <c r="L3026" s="1">
        <f t="shared" si="425"/>
        <v>1</v>
      </c>
      <c r="M3026" s="1">
        <f t="shared" si="426"/>
        <v>42.45</v>
      </c>
      <c r="N3026" s="1">
        <f t="shared" si="427"/>
        <v>40.86</v>
      </c>
      <c r="O3026" s="1">
        <f t="shared" si="428"/>
        <v>40.22</v>
      </c>
      <c r="P3026" s="1">
        <f t="shared" si="429"/>
        <v>20.520408163265305</v>
      </c>
    </row>
    <row r="3027" spans="1:16">
      <c r="A3027" s="2">
        <v>38665</v>
      </c>
      <c r="B3027" s="1">
        <v>41.79</v>
      </c>
      <c r="C3027" s="1">
        <v>42</v>
      </c>
      <c r="D3027" s="1">
        <v>41.28</v>
      </c>
      <c r="E3027" s="1">
        <v>41.4</v>
      </c>
      <c r="F3027" s="1">
        <v>3471600</v>
      </c>
      <c r="G3027" s="1">
        <v>41.4</v>
      </c>
      <c r="H3027" s="1">
        <f t="shared" si="423"/>
        <v>0.71999999999999886</v>
      </c>
      <c r="I3027" s="9">
        <f t="shared" si="430"/>
        <v>1.7441860465116251E-2</v>
      </c>
      <c r="J3027" s="1">
        <f t="shared" si="431"/>
        <v>-0.55000000000000426</v>
      </c>
      <c r="K3027" s="9">
        <f t="shared" si="424"/>
        <v>-1.3110846245530494E-2</v>
      </c>
      <c r="L3027" s="1">
        <f t="shared" si="425"/>
        <v>1</v>
      </c>
      <c r="M3027" s="1">
        <f t="shared" si="426"/>
        <v>42</v>
      </c>
      <c r="N3027" s="1">
        <f t="shared" si="427"/>
        <v>41.28</v>
      </c>
      <c r="O3027" s="1">
        <f t="shared" si="428"/>
        <v>39.44</v>
      </c>
      <c r="P3027" s="1">
        <f t="shared" si="429"/>
        <v>20.122448979591837</v>
      </c>
    </row>
    <row r="3028" spans="1:16">
      <c r="A3028" s="2">
        <v>38664</v>
      </c>
      <c r="B3028" s="1">
        <v>41.33</v>
      </c>
      <c r="C3028" s="1">
        <v>42.11</v>
      </c>
      <c r="D3028" s="1">
        <v>41.03</v>
      </c>
      <c r="E3028" s="1">
        <v>41.95</v>
      </c>
      <c r="F3028" s="1">
        <v>4950800</v>
      </c>
      <c r="G3028" s="1">
        <v>41.95</v>
      </c>
      <c r="H3028" s="1">
        <f t="shared" si="423"/>
        <v>1.0799999999999983</v>
      </c>
      <c r="I3028" s="9">
        <f t="shared" si="430"/>
        <v>2.6322203265902955E-2</v>
      </c>
      <c r="J3028" s="1">
        <f t="shared" si="431"/>
        <v>0.56000000000000227</v>
      </c>
      <c r="K3028" s="9">
        <f t="shared" si="424"/>
        <v>1.3529838125151057E-2</v>
      </c>
      <c r="L3028" s="1">
        <f t="shared" si="425"/>
        <v>1</v>
      </c>
      <c r="M3028" s="1">
        <f t="shared" si="426"/>
        <v>42.11</v>
      </c>
      <c r="N3028" s="1">
        <f t="shared" si="427"/>
        <v>41.03</v>
      </c>
      <c r="O3028" s="1">
        <f t="shared" si="428"/>
        <v>39.99</v>
      </c>
      <c r="P3028" s="1">
        <f t="shared" si="429"/>
        <v>20.403061224489797</v>
      </c>
    </row>
    <row r="3029" spans="1:16">
      <c r="A3029" s="2">
        <v>38663</v>
      </c>
      <c r="B3029" s="1">
        <v>41.08</v>
      </c>
      <c r="C3029" s="1">
        <v>41.47</v>
      </c>
      <c r="D3029" s="1">
        <v>40.549999999999997</v>
      </c>
      <c r="E3029" s="1">
        <v>41.39</v>
      </c>
      <c r="F3029" s="1">
        <v>3386100</v>
      </c>
      <c r="G3029" s="1">
        <v>41.39</v>
      </c>
      <c r="H3029" s="1">
        <f t="shared" si="423"/>
        <v>0.92000000000000171</v>
      </c>
      <c r="I3029" s="9">
        <f t="shared" si="430"/>
        <v>2.2688039457459969E-2</v>
      </c>
      <c r="J3029" s="1">
        <f t="shared" si="431"/>
        <v>0.29999999999999716</v>
      </c>
      <c r="K3029" s="9">
        <f t="shared" si="424"/>
        <v>7.3010464833292077E-3</v>
      </c>
      <c r="L3029" s="1">
        <f t="shared" si="425"/>
        <v>1</v>
      </c>
      <c r="M3029" s="1">
        <f t="shared" si="426"/>
        <v>41.47</v>
      </c>
      <c r="N3029" s="1">
        <f t="shared" si="427"/>
        <v>40.549999999999997</v>
      </c>
      <c r="O3029" s="1">
        <f t="shared" si="428"/>
        <v>39.43</v>
      </c>
      <c r="P3029" s="1">
        <f t="shared" si="429"/>
        <v>20.117346938775512</v>
      </c>
    </row>
    <row r="3030" spans="1:16">
      <c r="A3030" s="2">
        <v>38660</v>
      </c>
      <c r="B3030" s="1">
        <v>41.49</v>
      </c>
      <c r="C3030" s="1">
        <v>41.8</v>
      </c>
      <c r="D3030" s="1">
        <v>40.909999999999997</v>
      </c>
      <c r="E3030" s="1">
        <v>41.09</v>
      </c>
      <c r="F3030" s="1">
        <v>4445400</v>
      </c>
      <c r="G3030" s="1">
        <v>41.09</v>
      </c>
      <c r="H3030" s="1">
        <f t="shared" si="423"/>
        <v>0.89000000000000057</v>
      </c>
      <c r="I3030" s="9">
        <f t="shared" si="430"/>
        <v>2.1755072109508694E-2</v>
      </c>
      <c r="J3030" s="1">
        <f t="shared" si="431"/>
        <v>-0.46999999999999886</v>
      </c>
      <c r="K3030" s="9">
        <f t="shared" si="424"/>
        <v>-1.1308950914340685E-2</v>
      </c>
      <c r="L3030" s="1">
        <f t="shared" si="425"/>
        <v>1</v>
      </c>
      <c r="M3030" s="1">
        <f t="shared" si="426"/>
        <v>41.8</v>
      </c>
      <c r="N3030" s="1">
        <f t="shared" si="427"/>
        <v>40.909999999999997</v>
      </c>
      <c r="O3030" s="1">
        <f t="shared" si="428"/>
        <v>39.130000000000003</v>
      </c>
      <c r="P3030" s="1">
        <f t="shared" si="429"/>
        <v>19.964285714285715</v>
      </c>
    </row>
    <row r="3031" spans="1:16">
      <c r="A3031" s="2">
        <v>38659</v>
      </c>
      <c r="B3031" s="1">
        <v>40.89</v>
      </c>
      <c r="C3031" s="1">
        <v>42</v>
      </c>
      <c r="D3031" s="1">
        <v>40.85</v>
      </c>
      <c r="E3031" s="1">
        <v>41.56</v>
      </c>
      <c r="F3031" s="1">
        <v>7000000</v>
      </c>
      <c r="G3031" s="1">
        <v>41.56</v>
      </c>
      <c r="H3031" s="1">
        <f t="shared" si="423"/>
        <v>1.1499999999999986</v>
      </c>
      <c r="I3031" s="9">
        <f t="shared" si="430"/>
        <v>2.8151774785801678E-2</v>
      </c>
      <c r="J3031" s="1">
        <f t="shared" si="431"/>
        <v>0.81000000000000227</v>
      </c>
      <c r="K3031" s="9">
        <f t="shared" si="424"/>
        <v>1.987730061349699E-2</v>
      </c>
      <c r="L3031" s="1">
        <f t="shared" si="425"/>
        <v>1</v>
      </c>
      <c r="M3031" s="1">
        <f t="shared" si="426"/>
        <v>42</v>
      </c>
      <c r="N3031" s="1">
        <f t="shared" si="427"/>
        <v>40.85</v>
      </c>
      <c r="O3031" s="1">
        <f t="shared" si="428"/>
        <v>39.6</v>
      </c>
      <c r="P3031" s="1">
        <f t="shared" si="429"/>
        <v>20.204081632653061</v>
      </c>
    </row>
    <row r="3032" spans="1:16">
      <c r="A3032" s="2">
        <v>38658</v>
      </c>
      <c r="B3032" s="1">
        <v>40.29</v>
      </c>
      <c r="C3032" s="1">
        <v>41.23</v>
      </c>
      <c r="D3032" s="1">
        <v>39.799999999999997</v>
      </c>
      <c r="E3032" s="1">
        <v>40.75</v>
      </c>
      <c r="F3032" s="1">
        <v>4861800</v>
      </c>
      <c r="G3032" s="1">
        <v>40.75</v>
      </c>
      <c r="H3032" s="1">
        <f t="shared" si="423"/>
        <v>1.4299999999999997</v>
      </c>
      <c r="I3032" s="9">
        <f t="shared" si="430"/>
        <v>3.5929648241206029E-2</v>
      </c>
      <c r="J3032" s="1">
        <f t="shared" si="431"/>
        <v>0.38000000000000256</v>
      </c>
      <c r="K3032" s="9">
        <f t="shared" si="424"/>
        <v>9.412930393856888E-3</v>
      </c>
      <c r="L3032" s="1">
        <f t="shared" si="425"/>
        <v>1</v>
      </c>
      <c r="M3032" s="1">
        <f t="shared" si="426"/>
        <v>41.23</v>
      </c>
      <c r="N3032" s="1">
        <f t="shared" si="427"/>
        <v>39.799999999999997</v>
      </c>
      <c r="O3032" s="1">
        <f t="shared" si="428"/>
        <v>38.79</v>
      </c>
      <c r="P3032" s="1">
        <f t="shared" si="429"/>
        <v>19.790816326530614</v>
      </c>
    </row>
    <row r="3033" spans="1:16">
      <c r="A3033" s="2">
        <v>38657</v>
      </c>
      <c r="B3033" s="1">
        <v>39.97</v>
      </c>
      <c r="C3033" s="1">
        <v>40.74</v>
      </c>
      <c r="D3033" s="1">
        <v>39.65</v>
      </c>
      <c r="E3033" s="1">
        <v>40.369999999999997</v>
      </c>
      <c r="F3033" s="1">
        <v>5383000</v>
      </c>
      <c r="G3033" s="1">
        <v>40.369999999999997</v>
      </c>
      <c r="H3033" s="1">
        <f t="shared" si="423"/>
        <v>1.0900000000000034</v>
      </c>
      <c r="I3033" s="9">
        <f t="shared" si="430"/>
        <v>2.7490542244640693E-2</v>
      </c>
      <c r="J3033" s="1">
        <f t="shared" si="431"/>
        <v>0.50999999999999801</v>
      </c>
      <c r="K3033" s="9">
        <f t="shared" si="424"/>
        <v>1.2794781736076217E-2</v>
      </c>
      <c r="L3033" s="1">
        <f t="shared" si="425"/>
        <v>1</v>
      </c>
      <c r="M3033" s="1">
        <f t="shared" si="426"/>
        <v>40.74</v>
      </c>
      <c r="N3033" s="1">
        <f t="shared" si="427"/>
        <v>39.65</v>
      </c>
      <c r="O3033" s="1">
        <f t="shared" si="428"/>
        <v>38.409999999999997</v>
      </c>
      <c r="P3033" s="1">
        <f t="shared" si="429"/>
        <v>19.596938775510203</v>
      </c>
    </row>
    <row r="3034" spans="1:16">
      <c r="A3034" s="2">
        <v>38656</v>
      </c>
      <c r="B3034" s="1">
        <v>39.35</v>
      </c>
      <c r="C3034" s="1">
        <v>40.39</v>
      </c>
      <c r="D3034" s="1">
        <v>39.119999999999997</v>
      </c>
      <c r="E3034" s="1">
        <v>39.86</v>
      </c>
      <c r="F3034" s="1">
        <v>6780600</v>
      </c>
      <c r="G3034" s="1">
        <v>39.86</v>
      </c>
      <c r="H3034" s="1">
        <f t="shared" si="423"/>
        <v>1.2700000000000031</v>
      </c>
      <c r="I3034" s="9">
        <f t="shared" si="430"/>
        <v>3.2464212678936691E-2</v>
      </c>
      <c r="J3034" s="1">
        <f t="shared" si="431"/>
        <v>0.90999999999999659</v>
      </c>
      <c r="K3034" s="9">
        <f t="shared" si="424"/>
        <v>2.3363286264441504E-2</v>
      </c>
      <c r="L3034" s="1">
        <f t="shared" si="425"/>
        <v>1</v>
      </c>
      <c r="M3034" s="1">
        <f t="shared" si="426"/>
        <v>40.39</v>
      </c>
      <c r="N3034" s="1">
        <f t="shared" si="427"/>
        <v>39.119999999999997</v>
      </c>
      <c r="O3034" s="1">
        <f t="shared" si="428"/>
        <v>37.9</v>
      </c>
      <c r="P3034" s="1">
        <f t="shared" si="429"/>
        <v>19.336734693877549</v>
      </c>
    </row>
    <row r="3035" spans="1:16">
      <c r="A3035" s="2">
        <v>38653</v>
      </c>
      <c r="B3035" s="1">
        <v>39.549999999999997</v>
      </c>
      <c r="C3035" s="1">
        <v>39.65</v>
      </c>
      <c r="D3035" s="1">
        <v>38.72</v>
      </c>
      <c r="E3035" s="1">
        <v>38.950000000000003</v>
      </c>
      <c r="F3035" s="1">
        <v>6159200</v>
      </c>
      <c r="G3035" s="1">
        <v>38.950000000000003</v>
      </c>
      <c r="H3035" s="1">
        <f t="shared" si="423"/>
        <v>0.92999999999999972</v>
      </c>
      <c r="I3035" s="9">
        <f t="shared" si="430"/>
        <v>2.4018595041322307E-2</v>
      </c>
      <c r="J3035" s="1">
        <f t="shared" si="431"/>
        <v>-0.10999999999999943</v>
      </c>
      <c r="K3035" s="9">
        <f t="shared" si="424"/>
        <v>-2.8161802355350595E-3</v>
      </c>
      <c r="L3035" s="1">
        <f t="shared" si="425"/>
        <v>1</v>
      </c>
      <c r="M3035" s="1">
        <f t="shared" si="426"/>
        <v>39.65</v>
      </c>
      <c r="N3035" s="1">
        <f t="shared" si="427"/>
        <v>38.72</v>
      </c>
      <c r="O3035" s="1">
        <f t="shared" si="428"/>
        <v>36.99</v>
      </c>
      <c r="P3035" s="1">
        <f t="shared" si="429"/>
        <v>18.872448979591837</v>
      </c>
    </row>
    <row r="3036" spans="1:16">
      <c r="A3036" s="2">
        <v>38652</v>
      </c>
      <c r="B3036" s="1">
        <v>39.64</v>
      </c>
      <c r="C3036" s="1">
        <v>39.9</v>
      </c>
      <c r="D3036" s="1">
        <v>38.86</v>
      </c>
      <c r="E3036" s="1">
        <v>39.06</v>
      </c>
      <c r="F3036" s="1">
        <v>8770300</v>
      </c>
      <c r="G3036" s="1">
        <v>39.06</v>
      </c>
      <c r="H3036" s="1">
        <f t="shared" si="423"/>
        <v>1.0399999999999991</v>
      </c>
      <c r="I3036" s="9">
        <f t="shared" si="430"/>
        <v>2.6762738033968069E-2</v>
      </c>
      <c r="J3036" s="1">
        <f t="shared" si="431"/>
        <v>-0.68999999999999773</v>
      </c>
      <c r="K3036" s="9">
        <f t="shared" si="424"/>
        <v>-1.7358490566037679E-2</v>
      </c>
      <c r="L3036" s="1">
        <f t="shared" si="425"/>
        <v>1</v>
      </c>
      <c r="M3036" s="1">
        <f t="shared" si="426"/>
        <v>39.9</v>
      </c>
      <c r="N3036" s="1">
        <f t="shared" si="427"/>
        <v>38.86</v>
      </c>
      <c r="O3036" s="1">
        <f t="shared" si="428"/>
        <v>37.1</v>
      </c>
      <c r="P3036" s="1">
        <f t="shared" si="429"/>
        <v>18.928571428571431</v>
      </c>
    </row>
    <row r="3037" spans="1:16">
      <c r="A3037" s="2">
        <v>38651</v>
      </c>
      <c r="B3037" s="1">
        <v>41</v>
      </c>
      <c r="C3037" s="1">
        <v>41.1</v>
      </c>
      <c r="D3037" s="1">
        <v>39.479999999999997</v>
      </c>
      <c r="E3037" s="1">
        <v>39.75</v>
      </c>
      <c r="F3037" s="1">
        <v>30104700</v>
      </c>
      <c r="G3037" s="1">
        <v>39.75</v>
      </c>
      <c r="H3037" s="1">
        <f t="shared" si="423"/>
        <v>1.6200000000000045</v>
      </c>
      <c r="I3037" s="9">
        <f t="shared" si="430"/>
        <v>4.1033434650456044E-2</v>
      </c>
      <c r="J3037" s="1">
        <f t="shared" si="431"/>
        <v>-6.4200000000000017</v>
      </c>
      <c r="K3037" s="9">
        <f t="shared" si="424"/>
        <v>-0.13905133203378819</v>
      </c>
      <c r="L3037" s="1">
        <f t="shared" si="425"/>
        <v>1</v>
      </c>
      <c r="M3037" s="1">
        <f t="shared" si="426"/>
        <v>41.1</v>
      </c>
      <c r="N3037" s="1">
        <f t="shared" si="427"/>
        <v>39.479999999999997</v>
      </c>
      <c r="O3037" s="1">
        <f t="shared" si="428"/>
        <v>37.79</v>
      </c>
      <c r="P3037" s="1">
        <f t="shared" si="429"/>
        <v>19.280612244897959</v>
      </c>
    </row>
    <row r="3038" spans="1:16">
      <c r="A3038" s="2">
        <v>38650</v>
      </c>
      <c r="B3038" s="1">
        <v>46.88</v>
      </c>
      <c r="C3038" s="1">
        <v>47</v>
      </c>
      <c r="D3038" s="1">
        <v>46.04</v>
      </c>
      <c r="E3038" s="1">
        <v>46.17</v>
      </c>
      <c r="F3038" s="1">
        <v>11438700</v>
      </c>
      <c r="G3038" s="1">
        <v>46.17</v>
      </c>
      <c r="H3038" s="1">
        <f t="shared" si="423"/>
        <v>0.96000000000000085</v>
      </c>
      <c r="I3038" s="9">
        <f t="shared" si="430"/>
        <v>2.0851433536055623E-2</v>
      </c>
      <c r="J3038" s="1">
        <f t="shared" si="431"/>
        <v>-0.75999999999999801</v>
      </c>
      <c r="K3038" s="9">
        <f t="shared" si="424"/>
        <v>-1.6194331983805627E-2</v>
      </c>
      <c r="L3038" s="1">
        <f t="shared" si="425"/>
        <v>1</v>
      </c>
      <c r="M3038" s="1">
        <f t="shared" si="426"/>
        <v>47</v>
      </c>
      <c r="N3038" s="1">
        <f t="shared" si="427"/>
        <v>46.04</v>
      </c>
      <c r="O3038" s="1">
        <f t="shared" si="428"/>
        <v>44.21</v>
      </c>
      <c r="P3038" s="1">
        <f t="shared" si="429"/>
        <v>22.556122448979593</v>
      </c>
    </row>
    <row r="3039" spans="1:16">
      <c r="A3039" s="2">
        <v>38649</v>
      </c>
      <c r="B3039" s="1">
        <v>46.12</v>
      </c>
      <c r="C3039" s="1">
        <v>46.96</v>
      </c>
      <c r="D3039" s="1">
        <v>45.86</v>
      </c>
      <c r="E3039" s="1">
        <v>46.93</v>
      </c>
      <c r="F3039" s="1">
        <v>5475900</v>
      </c>
      <c r="G3039" s="1">
        <v>46.93</v>
      </c>
      <c r="H3039" s="1">
        <f t="shared" si="423"/>
        <v>1.1000000000000014</v>
      </c>
      <c r="I3039" s="9">
        <f t="shared" si="430"/>
        <v>2.39860444832098E-2</v>
      </c>
      <c r="J3039" s="1">
        <f t="shared" si="431"/>
        <v>0.97999999999999687</v>
      </c>
      <c r="K3039" s="9">
        <f t="shared" si="424"/>
        <v>2.132752992383018E-2</v>
      </c>
      <c r="L3039" s="1">
        <f t="shared" si="425"/>
        <v>1</v>
      </c>
      <c r="M3039" s="1">
        <f t="shared" si="426"/>
        <v>46.96</v>
      </c>
      <c r="N3039" s="1">
        <f t="shared" si="427"/>
        <v>45.86</v>
      </c>
      <c r="O3039" s="1">
        <f t="shared" si="428"/>
        <v>44.97</v>
      </c>
      <c r="P3039" s="1">
        <f t="shared" si="429"/>
        <v>22.943877551020407</v>
      </c>
    </row>
    <row r="3040" spans="1:16">
      <c r="A3040" s="2">
        <v>38646</v>
      </c>
      <c r="B3040" s="1">
        <v>45.67</v>
      </c>
      <c r="C3040" s="1">
        <v>46.05</v>
      </c>
      <c r="D3040" s="1">
        <v>45.15</v>
      </c>
      <c r="E3040" s="1">
        <v>45.95</v>
      </c>
      <c r="F3040" s="1">
        <v>4624800</v>
      </c>
      <c r="G3040" s="1">
        <v>45.95</v>
      </c>
      <c r="H3040" s="1">
        <f t="shared" si="423"/>
        <v>0.89999999999999858</v>
      </c>
      <c r="I3040" s="9">
        <f t="shared" si="430"/>
        <v>1.9933554817275715E-2</v>
      </c>
      <c r="J3040" s="1">
        <f t="shared" si="431"/>
        <v>0.94000000000000483</v>
      </c>
      <c r="K3040" s="9">
        <f t="shared" si="424"/>
        <v>2.0884247944901242E-2</v>
      </c>
      <c r="L3040" s="1">
        <f t="shared" si="425"/>
        <v>1</v>
      </c>
      <c r="M3040" s="1">
        <f t="shared" si="426"/>
        <v>46.05</v>
      </c>
      <c r="N3040" s="1">
        <f t="shared" si="427"/>
        <v>45.15</v>
      </c>
      <c r="O3040" s="1">
        <f t="shared" si="428"/>
        <v>43.99</v>
      </c>
      <c r="P3040" s="1">
        <f t="shared" si="429"/>
        <v>22.44387755102041</v>
      </c>
    </row>
    <row r="3041" spans="1:16">
      <c r="A3041" s="2">
        <v>38645</v>
      </c>
      <c r="B3041" s="1">
        <v>45.9</v>
      </c>
      <c r="C3041" s="1">
        <v>46.07</v>
      </c>
      <c r="D3041" s="1">
        <v>44.68</v>
      </c>
      <c r="E3041" s="1">
        <v>45.01</v>
      </c>
      <c r="F3041" s="1">
        <v>5929200</v>
      </c>
      <c r="G3041" s="1">
        <v>45.01</v>
      </c>
      <c r="H3041" s="1">
        <f t="shared" si="423"/>
        <v>1.3900000000000006</v>
      </c>
      <c r="I3041" s="9">
        <f t="shared" si="430"/>
        <v>3.1110116383169215E-2</v>
      </c>
      <c r="J3041" s="1">
        <f t="shared" si="431"/>
        <v>-0.85000000000000142</v>
      </c>
      <c r="K3041" s="9">
        <f t="shared" si="424"/>
        <v>-1.8534670737025763E-2</v>
      </c>
      <c r="L3041" s="1">
        <f t="shared" si="425"/>
        <v>1</v>
      </c>
      <c r="M3041" s="1">
        <f t="shared" si="426"/>
        <v>46.07</v>
      </c>
      <c r="N3041" s="1">
        <f t="shared" si="427"/>
        <v>44.68</v>
      </c>
      <c r="O3041" s="1">
        <f t="shared" si="428"/>
        <v>43.05</v>
      </c>
      <c r="P3041" s="1">
        <f t="shared" si="429"/>
        <v>21.964285714285712</v>
      </c>
    </row>
    <row r="3042" spans="1:16">
      <c r="A3042" s="2">
        <v>38644</v>
      </c>
      <c r="B3042" s="1">
        <v>44.54</v>
      </c>
      <c r="C3042" s="1">
        <v>45.86</v>
      </c>
      <c r="D3042" s="1">
        <v>44.28</v>
      </c>
      <c r="E3042" s="1">
        <v>45.86</v>
      </c>
      <c r="F3042" s="1">
        <v>6528500</v>
      </c>
      <c r="G3042" s="1">
        <v>45.86</v>
      </c>
      <c r="H3042" s="1">
        <f t="shared" si="423"/>
        <v>1.5799999999999983</v>
      </c>
      <c r="I3042" s="9">
        <f t="shared" si="430"/>
        <v>3.5682023486901498E-2</v>
      </c>
      <c r="J3042" s="1">
        <f t="shared" si="431"/>
        <v>1.2100000000000009</v>
      </c>
      <c r="K3042" s="9">
        <f t="shared" si="424"/>
        <v>2.7099664053751419E-2</v>
      </c>
      <c r="L3042" s="1">
        <f t="shared" si="425"/>
        <v>1</v>
      </c>
      <c r="M3042" s="1">
        <f t="shared" si="426"/>
        <v>45.86</v>
      </c>
      <c r="N3042" s="1">
        <f t="shared" si="427"/>
        <v>44.28</v>
      </c>
      <c r="O3042" s="1">
        <f t="shared" si="428"/>
        <v>43.9</v>
      </c>
      <c r="P3042" s="1">
        <f t="shared" si="429"/>
        <v>22.397959183673468</v>
      </c>
    </row>
    <row r="3043" spans="1:16">
      <c r="A3043" s="2">
        <v>38643</v>
      </c>
      <c r="B3043" s="1">
        <v>44.92</v>
      </c>
      <c r="C3043" s="1">
        <v>45.05</v>
      </c>
      <c r="D3043" s="1">
        <v>44.3</v>
      </c>
      <c r="E3043" s="1">
        <v>44.65</v>
      </c>
      <c r="F3043" s="1">
        <v>4457700</v>
      </c>
      <c r="G3043" s="1">
        <v>44.65</v>
      </c>
      <c r="H3043" s="1">
        <f t="shared" si="423"/>
        <v>0.75</v>
      </c>
      <c r="I3043" s="9">
        <f t="shared" si="430"/>
        <v>1.6930022573363433E-2</v>
      </c>
      <c r="J3043" s="1">
        <f t="shared" si="431"/>
        <v>-0.37000000000000455</v>
      </c>
      <c r="K3043" s="9">
        <f t="shared" si="424"/>
        <v>-8.2185695246558086E-3</v>
      </c>
      <c r="L3043" s="1">
        <f t="shared" si="425"/>
        <v>1</v>
      </c>
      <c r="M3043" s="1">
        <f t="shared" si="426"/>
        <v>45.05</v>
      </c>
      <c r="N3043" s="1">
        <f t="shared" si="427"/>
        <v>44.3</v>
      </c>
      <c r="O3043" s="1">
        <f t="shared" si="428"/>
        <v>42.69</v>
      </c>
      <c r="P3043" s="1">
        <f t="shared" si="429"/>
        <v>21.780612244897959</v>
      </c>
    </row>
    <row r="3044" spans="1:16">
      <c r="A3044" s="2">
        <v>38642</v>
      </c>
      <c r="B3044" s="1">
        <v>43.63</v>
      </c>
      <c r="C3044" s="1">
        <v>45.02</v>
      </c>
      <c r="D3044" s="1">
        <v>43.62</v>
      </c>
      <c r="E3044" s="1">
        <v>45.02</v>
      </c>
      <c r="F3044" s="1">
        <v>5225000</v>
      </c>
      <c r="G3044" s="1">
        <v>45.02</v>
      </c>
      <c r="H3044" s="1">
        <f t="shared" si="423"/>
        <v>1.4000000000000057</v>
      </c>
      <c r="I3044" s="9">
        <f t="shared" si="430"/>
        <v>3.2095369096744743E-2</v>
      </c>
      <c r="J3044" s="1">
        <f t="shared" si="431"/>
        <v>1.230000000000004</v>
      </c>
      <c r="K3044" s="9">
        <f t="shared" si="424"/>
        <v>2.8088604704270471E-2</v>
      </c>
      <c r="L3044" s="1">
        <f t="shared" si="425"/>
        <v>1</v>
      </c>
      <c r="M3044" s="1">
        <f t="shared" si="426"/>
        <v>45.02</v>
      </c>
      <c r="N3044" s="1">
        <f t="shared" si="427"/>
        <v>43.62</v>
      </c>
      <c r="O3044" s="1">
        <f t="shared" si="428"/>
        <v>43.06</v>
      </c>
      <c r="P3044" s="1">
        <f t="shared" si="429"/>
        <v>21.969387755102041</v>
      </c>
    </row>
    <row r="3045" spans="1:16">
      <c r="A3045" s="2">
        <v>38639</v>
      </c>
      <c r="B3045" s="1">
        <v>43</v>
      </c>
      <c r="C3045" s="1">
        <v>43.87</v>
      </c>
      <c r="D3045" s="1">
        <v>42.34</v>
      </c>
      <c r="E3045" s="1">
        <v>43.79</v>
      </c>
      <c r="F3045" s="1">
        <v>4577600</v>
      </c>
      <c r="G3045" s="1">
        <v>43.79</v>
      </c>
      <c r="H3045" s="1">
        <f t="shared" si="423"/>
        <v>1.529999999999994</v>
      </c>
      <c r="I3045" s="9">
        <f t="shared" si="430"/>
        <v>3.6136041568256824E-2</v>
      </c>
      <c r="J3045" s="1">
        <f t="shared" si="431"/>
        <v>1.1700000000000017</v>
      </c>
      <c r="K3045" s="9">
        <f t="shared" si="424"/>
        <v>2.7451900516189624E-2</v>
      </c>
      <c r="L3045" s="1">
        <f t="shared" si="425"/>
        <v>1</v>
      </c>
      <c r="M3045" s="1">
        <f t="shared" si="426"/>
        <v>43.87</v>
      </c>
      <c r="N3045" s="1">
        <f t="shared" si="427"/>
        <v>42.34</v>
      </c>
      <c r="O3045" s="1">
        <f t="shared" si="428"/>
        <v>41.83</v>
      </c>
      <c r="P3045" s="1">
        <f t="shared" si="429"/>
        <v>21.341836734693878</v>
      </c>
    </row>
    <row r="3046" spans="1:16">
      <c r="A3046" s="2">
        <v>38638</v>
      </c>
      <c r="B3046" s="1">
        <v>42.43</v>
      </c>
      <c r="C3046" s="1">
        <v>42.98</v>
      </c>
      <c r="D3046" s="1">
        <v>41.9</v>
      </c>
      <c r="E3046" s="1">
        <v>42.62</v>
      </c>
      <c r="F3046" s="1">
        <v>3832800</v>
      </c>
      <c r="G3046" s="1">
        <v>42.62</v>
      </c>
      <c r="H3046" s="1">
        <f t="shared" si="423"/>
        <v>1.0799999999999983</v>
      </c>
      <c r="I3046" s="9">
        <f t="shared" si="430"/>
        <v>2.5775656324582299E-2</v>
      </c>
      <c r="J3046" s="1">
        <f t="shared" si="431"/>
        <v>7.0000000000000284E-2</v>
      </c>
      <c r="K3046" s="9">
        <f t="shared" si="424"/>
        <v>1.6451233842538259E-3</v>
      </c>
      <c r="L3046" s="1">
        <f t="shared" si="425"/>
        <v>1</v>
      </c>
      <c r="M3046" s="1">
        <f t="shared" si="426"/>
        <v>42.98</v>
      </c>
      <c r="N3046" s="1">
        <f t="shared" si="427"/>
        <v>41.9</v>
      </c>
      <c r="O3046" s="1">
        <f t="shared" si="428"/>
        <v>40.659999999999997</v>
      </c>
      <c r="P3046" s="1">
        <f t="shared" si="429"/>
        <v>20.744897959183671</v>
      </c>
    </row>
    <row r="3047" spans="1:16">
      <c r="A3047" s="2">
        <v>38637</v>
      </c>
      <c r="B3047" s="1">
        <v>42.91</v>
      </c>
      <c r="C3047" s="1">
        <v>43.68</v>
      </c>
      <c r="D3047" s="1">
        <v>42.44</v>
      </c>
      <c r="E3047" s="1">
        <v>42.55</v>
      </c>
      <c r="F3047" s="1">
        <v>5704200</v>
      </c>
      <c r="G3047" s="1">
        <v>42.55</v>
      </c>
      <c r="H3047" s="1">
        <f t="shared" si="423"/>
        <v>1.240000000000002</v>
      </c>
      <c r="I3047" s="9">
        <f t="shared" si="430"/>
        <v>2.9217719132893546E-2</v>
      </c>
      <c r="J3047" s="1">
        <f t="shared" si="431"/>
        <v>-0.85000000000000142</v>
      </c>
      <c r="K3047" s="9">
        <f t="shared" si="424"/>
        <v>-1.9585253456221231E-2</v>
      </c>
      <c r="L3047" s="1">
        <f t="shared" si="425"/>
        <v>1</v>
      </c>
      <c r="M3047" s="1">
        <f t="shared" si="426"/>
        <v>43.68</v>
      </c>
      <c r="N3047" s="1">
        <f t="shared" si="427"/>
        <v>42.44</v>
      </c>
      <c r="O3047" s="1">
        <f t="shared" si="428"/>
        <v>40.589999999999996</v>
      </c>
      <c r="P3047" s="1">
        <f t="shared" si="429"/>
        <v>20.709183673469386</v>
      </c>
    </row>
    <row r="3048" spans="1:16">
      <c r="A3048" s="2">
        <v>38636</v>
      </c>
      <c r="B3048" s="1">
        <v>43.92</v>
      </c>
      <c r="C3048" s="1">
        <v>44.32</v>
      </c>
      <c r="D3048" s="1">
        <v>43.23</v>
      </c>
      <c r="E3048" s="1">
        <v>43.4</v>
      </c>
      <c r="F3048" s="1">
        <v>5301800</v>
      </c>
      <c r="G3048" s="1">
        <v>43.4</v>
      </c>
      <c r="H3048" s="1">
        <f t="shared" si="423"/>
        <v>1.0900000000000034</v>
      </c>
      <c r="I3048" s="9">
        <f t="shared" si="430"/>
        <v>2.5213971778857355E-2</v>
      </c>
      <c r="J3048" s="1">
        <f t="shared" si="431"/>
        <v>-0.35999999999999943</v>
      </c>
      <c r="K3048" s="9">
        <f t="shared" si="424"/>
        <v>-8.2266910420475195E-3</v>
      </c>
      <c r="L3048" s="1">
        <f t="shared" si="425"/>
        <v>1</v>
      </c>
      <c r="M3048" s="1">
        <f t="shared" si="426"/>
        <v>44.32</v>
      </c>
      <c r="N3048" s="1">
        <f t="shared" si="427"/>
        <v>43.23</v>
      </c>
      <c r="O3048" s="1">
        <f t="shared" si="428"/>
        <v>41.44</v>
      </c>
      <c r="P3048" s="1">
        <f t="shared" si="429"/>
        <v>21.142857142857142</v>
      </c>
    </row>
    <row r="3049" spans="1:16">
      <c r="A3049" s="2">
        <v>38635</v>
      </c>
      <c r="B3049" s="1">
        <v>43.82</v>
      </c>
      <c r="C3049" s="1">
        <v>44.38</v>
      </c>
      <c r="D3049" s="1">
        <v>43.58</v>
      </c>
      <c r="E3049" s="1">
        <v>43.76</v>
      </c>
      <c r="F3049" s="1">
        <v>3680300</v>
      </c>
      <c r="G3049" s="1">
        <v>43.76</v>
      </c>
      <c r="H3049" s="1">
        <f t="shared" si="423"/>
        <v>0.80000000000000426</v>
      </c>
      <c r="I3049" s="9">
        <f t="shared" si="430"/>
        <v>1.8357044515833049E-2</v>
      </c>
      <c r="J3049" s="1">
        <f t="shared" si="431"/>
        <v>3.9999999999999147E-2</v>
      </c>
      <c r="K3049" s="9">
        <f t="shared" si="424"/>
        <v>9.1491308325707111E-4</v>
      </c>
      <c r="L3049" s="1">
        <f t="shared" si="425"/>
        <v>1</v>
      </c>
      <c r="M3049" s="1">
        <f t="shared" si="426"/>
        <v>44.38</v>
      </c>
      <c r="N3049" s="1">
        <f t="shared" si="427"/>
        <v>43.58</v>
      </c>
      <c r="O3049" s="1">
        <f t="shared" si="428"/>
        <v>41.8</v>
      </c>
      <c r="P3049" s="1">
        <f t="shared" si="429"/>
        <v>21.326530612244898</v>
      </c>
    </row>
    <row r="3050" spans="1:16">
      <c r="A3050" s="2">
        <v>38632</v>
      </c>
      <c r="B3050" s="1">
        <v>44.27</v>
      </c>
      <c r="C3050" s="1">
        <v>44.61</v>
      </c>
      <c r="D3050" s="1">
        <v>43.38</v>
      </c>
      <c r="E3050" s="1">
        <v>43.72</v>
      </c>
      <c r="F3050" s="1">
        <v>3392500</v>
      </c>
      <c r="G3050" s="1">
        <v>43.72</v>
      </c>
      <c r="H3050" s="1">
        <f t="shared" si="423"/>
        <v>1.2299999999999969</v>
      </c>
      <c r="I3050" s="9">
        <f t="shared" si="430"/>
        <v>2.8354080221300065E-2</v>
      </c>
      <c r="J3050" s="1">
        <f t="shared" si="431"/>
        <v>-0.28999999999999915</v>
      </c>
      <c r="K3050" s="9">
        <f t="shared" si="424"/>
        <v>-6.5894114973869388E-3</v>
      </c>
      <c r="L3050" s="1">
        <f t="shared" si="425"/>
        <v>1</v>
      </c>
      <c r="M3050" s="1">
        <f t="shared" si="426"/>
        <v>44.61</v>
      </c>
      <c r="N3050" s="1">
        <f t="shared" si="427"/>
        <v>43.38</v>
      </c>
      <c r="O3050" s="1">
        <f t="shared" si="428"/>
        <v>41.76</v>
      </c>
      <c r="P3050" s="1">
        <f t="shared" si="429"/>
        <v>21.30612244897959</v>
      </c>
    </row>
    <row r="3051" spans="1:16">
      <c r="A3051" s="2">
        <v>38631</v>
      </c>
      <c r="B3051" s="1">
        <v>44.56</v>
      </c>
      <c r="C3051" s="1">
        <v>44.81</v>
      </c>
      <c r="D3051" s="1">
        <v>43.33</v>
      </c>
      <c r="E3051" s="1">
        <v>44.01</v>
      </c>
      <c r="F3051" s="1">
        <v>6192900</v>
      </c>
      <c r="G3051" s="1">
        <v>44.01</v>
      </c>
      <c r="H3051" s="1">
        <f t="shared" si="423"/>
        <v>1.480000000000004</v>
      </c>
      <c r="I3051" s="9">
        <f t="shared" si="430"/>
        <v>3.4156473574890468E-2</v>
      </c>
      <c r="J3051" s="1">
        <f t="shared" si="431"/>
        <v>-0.48000000000000398</v>
      </c>
      <c r="K3051" s="9">
        <f t="shared" si="424"/>
        <v>-1.0788941335131579E-2</v>
      </c>
      <c r="L3051" s="1">
        <f t="shared" si="425"/>
        <v>1</v>
      </c>
      <c r="M3051" s="1">
        <f t="shared" si="426"/>
        <v>44.81</v>
      </c>
      <c r="N3051" s="1">
        <f t="shared" si="427"/>
        <v>43.33</v>
      </c>
      <c r="O3051" s="1">
        <f t="shared" si="428"/>
        <v>42.05</v>
      </c>
      <c r="P3051" s="1">
        <f t="shared" si="429"/>
        <v>21.454081632653061</v>
      </c>
    </row>
    <row r="3052" spans="1:16">
      <c r="A3052" s="2">
        <v>38630</v>
      </c>
      <c r="B3052" s="1">
        <v>44.91</v>
      </c>
      <c r="C3052" s="1">
        <v>45.29</v>
      </c>
      <c r="D3052" s="1">
        <v>43.89</v>
      </c>
      <c r="E3052" s="1">
        <v>44.49</v>
      </c>
      <c r="F3052" s="1">
        <v>6452700</v>
      </c>
      <c r="G3052" s="1">
        <v>44.49</v>
      </c>
      <c r="H3052" s="1">
        <f t="shared" si="423"/>
        <v>1.3999999999999986</v>
      </c>
      <c r="I3052" s="9">
        <f t="shared" si="430"/>
        <v>3.189792663476871E-2</v>
      </c>
      <c r="J3052" s="1">
        <f t="shared" si="431"/>
        <v>-0.43999999999999773</v>
      </c>
      <c r="K3052" s="9">
        <f t="shared" si="424"/>
        <v>-9.7930113509903782E-3</v>
      </c>
      <c r="L3052" s="1">
        <f t="shared" si="425"/>
        <v>1</v>
      </c>
      <c r="M3052" s="1">
        <f t="shared" si="426"/>
        <v>45.29</v>
      </c>
      <c r="N3052" s="1">
        <f t="shared" si="427"/>
        <v>43.89</v>
      </c>
      <c r="O3052" s="1">
        <f t="shared" si="428"/>
        <v>42.53</v>
      </c>
      <c r="P3052" s="1">
        <f t="shared" si="429"/>
        <v>21.698979591836736</v>
      </c>
    </row>
    <row r="3053" spans="1:16">
      <c r="A3053" s="2">
        <v>38629</v>
      </c>
      <c r="B3053" s="1">
        <v>46</v>
      </c>
      <c r="C3053" s="1">
        <v>46.12</v>
      </c>
      <c r="D3053" s="1">
        <v>44.5</v>
      </c>
      <c r="E3053" s="1">
        <v>44.93</v>
      </c>
      <c r="F3053" s="1">
        <v>6521500</v>
      </c>
      <c r="G3053" s="1">
        <v>44.93</v>
      </c>
      <c r="H3053" s="1">
        <f t="shared" si="423"/>
        <v>1.6199999999999974</v>
      </c>
      <c r="I3053" s="9">
        <f t="shared" si="430"/>
        <v>3.6404494382022416E-2</v>
      </c>
      <c r="J3053" s="1">
        <f t="shared" si="431"/>
        <v>-1.0799999999999983</v>
      </c>
      <c r="K3053" s="9">
        <f t="shared" si="424"/>
        <v>-2.3473158009128414E-2</v>
      </c>
      <c r="L3053" s="1">
        <f t="shared" si="425"/>
        <v>1</v>
      </c>
      <c r="M3053" s="1">
        <f t="shared" si="426"/>
        <v>46.12</v>
      </c>
      <c r="N3053" s="1">
        <f t="shared" si="427"/>
        <v>44.5</v>
      </c>
      <c r="O3053" s="1">
        <f t="shared" si="428"/>
        <v>42.97</v>
      </c>
      <c r="P3053" s="1">
        <f t="shared" si="429"/>
        <v>21.923469387755102</v>
      </c>
    </row>
    <row r="3054" spans="1:16">
      <c r="A3054" s="2">
        <v>38628</v>
      </c>
      <c r="B3054" s="1">
        <v>45.33</v>
      </c>
      <c r="C3054" s="1">
        <v>46.59</v>
      </c>
      <c r="D3054" s="1">
        <v>45.16</v>
      </c>
      <c r="E3054" s="1">
        <v>46.01</v>
      </c>
      <c r="F3054" s="1">
        <v>5829200</v>
      </c>
      <c r="G3054" s="1">
        <v>46.01</v>
      </c>
      <c r="H3054" s="1">
        <f t="shared" si="423"/>
        <v>1.4300000000000068</v>
      </c>
      <c r="I3054" s="9">
        <f t="shared" si="430"/>
        <v>3.1665190434012551E-2</v>
      </c>
      <c r="J3054" s="1">
        <f t="shared" si="431"/>
        <v>0.71000000000000085</v>
      </c>
      <c r="K3054" s="9">
        <f t="shared" si="424"/>
        <v>1.5673289183222978E-2</v>
      </c>
      <c r="L3054" s="1">
        <f t="shared" si="425"/>
        <v>1</v>
      </c>
      <c r="M3054" s="1">
        <f t="shared" si="426"/>
        <v>46.59</v>
      </c>
      <c r="N3054" s="1">
        <f t="shared" si="427"/>
        <v>45.16</v>
      </c>
      <c r="O3054" s="1">
        <f t="shared" si="428"/>
        <v>44.05</v>
      </c>
      <c r="P3054" s="1">
        <f t="shared" si="429"/>
        <v>22.474489795918366</v>
      </c>
    </row>
    <row r="3055" spans="1:16">
      <c r="A3055" s="2">
        <v>38625</v>
      </c>
      <c r="B3055" s="1">
        <v>44.65</v>
      </c>
      <c r="C3055" s="1">
        <v>45.84</v>
      </c>
      <c r="D3055" s="1">
        <v>44.6</v>
      </c>
      <c r="E3055" s="1">
        <v>45.3</v>
      </c>
      <c r="F3055" s="1">
        <v>6056000</v>
      </c>
      <c r="G3055" s="1">
        <v>45.3</v>
      </c>
      <c r="H3055" s="1">
        <f t="shared" si="423"/>
        <v>1.240000000000002</v>
      </c>
      <c r="I3055" s="9">
        <f t="shared" si="430"/>
        <v>2.7802690582959685E-2</v>
      </c>
      <c r="J3055" s="1">
        <f t="shared" si="431"/>
        <v>0.50999999999999801</v>
      </c>
      <c r="K3055" s="9">
        <f t="shared" si="424"/>
        <v>1.1386470194239742E-2</v>
      </c>
      <c r="L3055" s="1">
        <f t="shared" si="425"/>
        <v>1</v>
      </c>
      <c r="M3055" s="1">
        <f t="shared" si="426"/>
        <v>45.84</v>
      </c>
      <c r="N3055" s="1">
        <f t="shared" si="427"/>
        <v>44.6</v>
      </c>
      <c r="O3055" s="1">
        <f t="shared" si="428"/>
        <v>43.339999999999996</v>
      </c>
      <c r="P3055" s="1">
        <f t="shared" si="429"/>
        <v>22.112244897959183</v>
      </c>
    </row>
    <row r="3056" spans="1:16">
      <c r="A3056" s="2">
        <v>38624</v>
      </c>
      <c r="B3056" s="1">
        <v>43.38</v>
      </c>
      <c r="C3056" s="1">
        <v>44.8</v>
      </c>
      <c r="D3056" s="1">
        <v>43.13</v>
      </c>
      <c r="E3056" s="1">
        <v>44.79</v>
      </c>
      <c r="F3056" s="1">
        <v>6392800</v>
      </c>
      <c r="G3056" s="1">
        <v>44.79</v>
      </c>
      <c r="H3056" s="1">
        <f t="shared" si="423"/>
        <v>1.6699999999999946</v>
      </c>
      <c r="I3056" s="9">
        <f t="shared" si="430"/>
        <v>3.8720148388592501E-2</v>
      </c>
      <c r="J3056" s="1">
        <f t="shared" si="431"/>
        <v>1.4200000000000017</v>
      </c>
      <c r="K3056" s="9">
        <f t="shared" si="424"/>
        <v>3.274152640073788E-2</v>
      </c>
      <c r="L3056" s="1">
        <f t="shared" si="425"/>
        <v>1</v>
      </c>
      <c r="M3056" s="1">
        <f t="shared" si="426"/>
        <v>44.8</v>
      </c>
      <c r="N3056" s="1">
        <f t="shared" si="427"/>
        <v>43.13</v>
      </c>
      <c r="O3056" s="1">
        <f t="shared" si="428"/>
        <v>42.83</v>
      </c>
      <c r="P3056" s="1">
        <f t="shared" si="429"/>
        <v>21.852040816326529</v>
      </c>
    </row>
    <row r="3057" spans="1:16">
      <c r="A3057" s="2">
        <v>38623</v>
      </c>
      <c r="B3057" s="1">
        <v>43.25</v>
      </c>
      <c r="C3057" s="1">
        <v>43.74</v>
      </c>
      <c r="D3057" s="1">
        <v>42.99</v>
      </c>
      <c r="E3057" s="1">
        <v>43.37</v>
      </c>
      <c r="F3057" s="1">
        <v>3239700</v>
      </c>
      <c r="G3057" s="1">
        <v>43.37</v>
      </c>
      <c r="H3057" s="1">
        <f t="shared" si="423"/>
        <v>0.75</v>
      </c>
      <c r="I3057" s="9">
        <f t="shared" si="430"/>
        <v>1.7445917655268667E-2</v>
      </c>
      <c r="J3057" s="1">
        <f t="shared" si="431"/>
        <v>0.21000000000000085</v>
      </c>
      <c r="K3057" s="9">
        <f t="shared" si="424"/>
        <v>4.8656163113994641E-3</v>
      </c>
      <c r="L3057" s="1">
        <f t="shared" si="425"/>
        <v>1</v>
      </c>
      <c r="M3057" s="1">
        <f t="shared" si="426"/>
        <v>43.74</v>
      </c>
      <c r="N3057" s="1">
        <f t="shared" si="427"/>
        <v>42.99</v>
      </c>
      <c r="O3057" s="1">
        <f t="shared" si="428"/>
        <v>41.41</v>
      </c>
      <c r="P3057" s="1">
        <f t="shared" si="429"/>
        <v>21.127551020408163</v>
      </c>
    </row>
    <row r="3058" spans="1:16">
      <c r="A3058" s="2">
        <v>38622</v>
      </c>
      <c r="B3058" s="1">
        <v>43.26</v>
      </c>
      <c r="C3058" s="1">
        <v>43.73</v>
      </c>
      <c r="D3058" s="1">
        <v>42.82</v>
      </c>
      <c r="E3058" s="1">
        <v>43.16</v>
      </c>
      <c r="F3058" s="1">
        <v>4173500</v>
      </c>
      <c r="G3058" s="1">
        <v>43.16</v>
      </c>
      <c r="H3058" s="1">
        <f t="shared" si="423"/>
        <v>0.90999999999999659</v>
      </c>
      <c r="I3058" s="9">
        <f t="shared" si="430"/>
        <v>2.125175151798217E-2</v>
      </c>
      <c r="J3058" s="1">
        <f t="shared" si="431"/>
        <v>-0.18000000000000682</v>
      </c>
      <c r="K3058" s="9">
        <f t="shared" si="424"/>
        <v>-4.1532071988926349E-3</v>
      </c>
      <c r="L3058" s="1">
        <f t="shared" si="425"/>
        <v>1</v>
      </c>
      <c r="M3058" s="1">
        <f t="shared" si="426"/>
        <v>43.73</v>
      </c>
      <c r="N3058" s="1">
        <f t="shared" si="427"/>
        <v>42.82</v>
      </c>
      <c r="O3058" s="1">
        <f t="shared" si="428"/>
        <v>41.199999999999996</v>
      </c>
      <c r="P3058" s="1">
        <f t="shared" si="429"/>
        <v>21.020408163265305</v>
      </c>
    </row>
    <row r="3059" spans="1:16">
      <c r="A3059" s="2">
        <v>38621</v>
      </c>
      <c r="B3059" s="1">
        <v>42.45</v>
      </c>
      <c r="C3059" s="1">
        <v>43.42</v>
      </c>
      <c r="D3059" s="1">
        <v>42.4</v>
      </c>
      <c r="E3059" s="1">
        <v>43.34</v>
      </c>
      <c r="F3059" s="1">
        <v>5616400</v>
      </c>
      <c r="G3059" s="1">
        <v>43.34</v>
      </c>
      <c r="H3059" s="1">
        <f t="shared" si="423"/>
        <v>1.0200000000000031</v>
      </c>
      <c r="I3059" s="9">
        <f t="shared" si="430"/>
        <v>2.405660377358498E-2</v>
      </c>
      <c r="J3059" s="1">
        <f t="shared" si="431"/>
        <v>1.1500000000000057</v>
      </c>
      <c r="K3059" s="9">
        <f t="shared" si="424"/>
        <v>2.7257643991467309E-2</v>
      </c>
      <c r="L3059" s="1">
        <f t="shared" si="425"/>
        <v>1</v>
      </c>
      <c r="M3059" s="1">
        <f t="shared" si="426"/>
        <v>43.42</v>
      </c>
      <c r="N3059" s="1">
        <f t="shared" si="427"/>
        <v>42.4</v>
      </c>
      <c r="O3059" s="1">
        <f t="shared" si="428"/>
        <v>41.38</v>
      </c>
      <c r="P3059" s="1">
        <f t="shared" si="429"/>
        <v>21.112244897959187</v>
      </c>
    </row>
    <row r="3060" spans="1:16">
      <c r="A3060" s="2">
        <v>38618</v>
      </c>
      <c r="B3060" s="1">
        <v>41.97</v>
      </c>
      <c r="C3060" s="1">
        <v>42.62</v>
      </c>
      <c r="D3060" s="1">
        <v>41.55</v>
      </c>
      <c r="E3060" s="1">
        <v>42.19</v>
      </c>
      <c r="F3060" s="1">
        <v>3145400</v>
      </c>
      <c r="G3060" s="1">
        <v>42.19</v>
      </c>
      <c r="H3060" s="1">
        <f t="shared" si="423"/>
        <v>1.0700000000000003</v>
      </c>
      <c r="I3060" s="9">
        <f t="shared" si="430"/>
        <v>2.5752105896510238E-2</v>
      </c>
      <c r="J3060" s="1">
        <f t="shared" si="431"/>
        <v>0.10999999999999943</v>
      </c>
      <c r="K3060" s="9">
        <f t="shared" si="424"/>
        <v>2.6140684410646256E-3</v>
      </c>
      <c r="L3060" s="1">
        <f t="shared" si="425"/>
        <v>1</v>
      </c>
      <c r="M3060" s="1">
        <f t="shared" si="426"/>
        <v>42.62</v>
      </c>
      <c r="N3060" s="1">
        <f t="shared" si="427"/>
        <v>41.55</v>
      </c>
      <c r="O3060" s="1">
        <f t="shared" si="428"/>
        <v>40.229999999999997</v>
      </c>
      <c r="P3060" s="1">
        <f t="shared" si="429"/>
        <v>20.52551020408163</v>
      </c>
    </row>
    <row r="3061" spans="1:16">
      <c r="A3061" s="2">
        <v>38617</v>
      </c>
      <c r="B3061" s="1">
        <v>41.2</v>
      </c>
      <c r="C3061" s="1">
        <v>42.27</v>
      </c>
      <c r="D3061" s="1">
        <v>40.5</v>
      </c>
      <c r="E3061" s="1">
        <v>42.08</v>
      </c>
      <c r="F3061" s="1">
        <v>5838000</v>
      </c>
      <c r="G3061" s="1">
        <v>42.08</v>
      </c>
      <c r="H3061" s="1">
        <f t="shared" si="423"/>
        <v>1.7700000000000031</v>
      </c>
      <c r="I3061" s="9">
        <f t="shared" si="430"/>
        <v>4.3703703703703779E-2</v>
      </c>
      <c r="J3061" s="1">
        <f t="shared" si="431"/>
        <v>0.82999999999999829</v>
      </c>
      <c r="K3061" s="9">
        <f t="shared" si="424"/>
        <v>2.0121212121212081E-2</v>
      </c>
      <c r="L3061" s="1">
        <f t="shared" si="425"/>
        <v>1</v>
      </c>
      <c r="M3061" s="1">
        <f t="shared" si="426"/>
        <v>42.27</v>
      </c>
      <c r="N3061" s="1">
        <f t="shared" si="427"/>
        <v>40.5</v>
      </c>
      <c r="O3061" s="1">
        <f t="shared" si="428"/>
        <v>40.119999999999997</v>
      </c>
      <c r="P3061" s="1">
        <f t="shared" si="429"/>
        <v>20.469387755102041</v>
      </c>
    </row>
    <row r="3062" spans="1:16">
      <c r="A3062" s="2">
        <v>38616</v>
      </c>
      <c r="B3062" s="1">
        <v>41.85</v>
      </c>
      <c r="C3062" s="1">
        <v>42.64</v>
      </c>
      <c r="D3062" s="1">
        <v>41.25</v>
      </c>
      <c r="E3062" s="1">
        <v>41.25</v>
      </c>
      <c r="F3062" s="1">
        <v>5313800</v>
      </c>
      <c r="G3062" s="1">
        <v>41.25</v>
      </c>
      <c r="H3062" s="1">
        <f t="shared" si="423"/>
        <v>1.3900000000000006</v>
      </c>
      <c r="I3062" s="9">
        <f t="shared" si="430"/>
        <v>3.3696969696969711E-2</v>
      </c>
      <c r="J3062" s="1">
        <f t="shared" si="431"/>
        <v>-0.61999999999999744</v>
      </c>
      <c r="K3062" s="9">
        <f t="shared" si="424"/>
        <v>-1.4807738237401421E-2</v>
      </c>
      <c r="L3062" s="1">
        <f t="shared" si="425"/>
        <v>1</v>
      </c>
      <c r="M3062" s="1">
        <f t="shared" si="426"/>
        <v>42.64</v>
      </c>
      <c r="N3062" s="1">
        <f t="shared" si="427"/>
        <v>41.25</v>
      </c>
      <c r="O3062" s="1">
        <f t="shared" si="428"/>
        <v>39.29</v>
      </c>
      <c r="P3062" s="1">
        <f t="shared" si="429"/>
        <v>20.045918367346939</v>
      </c>
    </row>
    <row r="3063" spans="1:16">
      <c r="A3063" s="2">
        <v>38615</v>
      </c>
      <c r="B3063" s="1">
        <v>42.65</v>
      </c>
      <c r="C3063" s="1">
        <v>43.01</v>
      </c>
      <c r="D3063" s="1">
        <v>41.77</v>
      </c>
      <c r="E3063" s="1">
        <v>41.87</v>
      </c>
      <c r="F3063" s="1">
        <v>3472000</v>
      </c>
      <c r="G3063" s="1">
        <v>41.87</v>
      </c>
      <c r="H3063" s="1">
        <f t="shared" si="423"/>
        <v>1.2399999999999949</v>
      </c>
      <c r="I3063" s="9">
        <f t="shared" si="430"/>
        <v>2.9686377783097791E-2</v>
      </c>
      <c r="J3063" s="1">
        <f t="shared" si="431"/>
        <v>-0.88000000000000256</v>
      </c>
      <c r="K3063" s="9">
        <f t="shared" si="424"/>
        <v>-2.0584795321637487E-2</v>
      </c>
      <c r="L3063" s="1">
        <f t="shared" si="425"/>
        <v>1</v>
      </c>
      <c r="M3063" s="1">
        <f t="shared" si="426"/>
        <v>43.01</v>
      </c>
      <c r="N3063" s="1">
        <f t="shared" si="427"/>
        <v>41.77</v>
      </c>
      <c r="O3063" s="1">
        <f t="shared" si="428"/>
        <v>39.909999999999997</v>
      </c>
      <c r="P3063" s="1">
        <f t="shared" si="429"/>
        <v>20.362244897959183</v>
      </c>
    </row>
    <row r="3064" spans="1:16">
      <c r="A3064" s="2">
        <v>38614</v>
      </c>
      <c r="B3064" s="1">
        <v>42.63</v>
      </c>
      <c r="C3064" s="1">
        <v>43.43</v>
      </c>
      <c r="D3064" s="1">
        <v>42.17</v>
      </c>
      <c r="E3064" s="1">
        <v>42.75</v>
      </c>
      <c r="F3064" s="1">
        <v>3440300</v>
      </c>
      <c r="G3064" s="1">
        <v>42.75</v>
      </c>
      <c r="H3064" s="1">
        <f t="shared" si="423"/>
        <v>1.259999999999998</v>
      </c>
      <c r="I3064" s="9">
        <f t="shared" si="430"/>
        <v>2.9879060943798861E-2</v>
      </c>
      <c r="J3064" s="1">
        <f t="shared" si="431"/>
        <v>-4.9999999999997158E-2</v>
      </c>
      <c r="K3064" s="9">
        <f t="shared" si="424"/>
        <v>-1.1682242990653543E-3</v>
      </c>
      <c r="L3064" s="1">
        <f t="shared" si="425"/>
        <v>1</v>
      </c>
      <c r="M3064" s="1">
        <f t="shared" si="426"/>
        <v>43.43</v>
      </c>
      <c r="N3064" s="1">
        <f t="shared" si="427"/>
        <v>42.17</v>
      </c>
      <c r="O3064" s="1">
        <f t="shared" si="428"/>
        <v>40.79</v>
      </c>
      <c r="P3064" s="1">
        <f t="shared" si="429"/>
        <v>20.811224489795919</v>
      </c>
    </row>
    <row r="3065" spans="1:16">
      <c r="A3065" s="2">
        <v>38611</v>
      </c>
      <c r="B3065" s="1">
        <v>42.8</v>
      </c>
      <c r="C3065" s="1">
        <v>42.92</v>
      </c>
      <c r="D3065" s="1">
        <v>42.12</v>
      </c>
      <c r="E3065" s="1">
        <v>42.8</v>
      </c>
      <c r="F3065" s="1">
        <v>4111700</v>
      </c>
      <c r="G3065" s="1">
        <v>42.8</v>
      </c>
      <c r="H3065" s="1">
        <f t="shared" si="423"/>
        <v>0.80000000000000426</v>
      </c>
      <c r="I3065" s="9">
        <f t="shared" si="430"/>
        <v>1.8993352326685763E-2</v>
      </c>
      <c r="J3065" s="1">
        <f t="shared" si="431"/>
        <v>8.9999999999996305E-2</v>
      </c>
      <c r="K3065" s="9">
        <f t="shared" si="424"/>
        <v>2.1072348396159284E-3</v>
      </c>
      <c r="L3065" s="1">
        <f t="shared" si="425"/>
        <v>1</v>
      </c>
      <c r="M3065" s="1">
        <f t="shared" si="426"/>
        <v>42.92</v>
      </c>
      <c r="N3065" s="1">
        <f t="shared" si="427"/>
        <v>42.12</v>
      </c>
      <c r="O3065" s="1">
        <f t="shared" si="428"/>
        <v>40.839999999999996</v>
      </c>
      <c r="P3065" s="1">
        <f t="shared" si="429"/>
        <v>20.836734693877549</v>
      </c>
    </row>
    <row r="3066" spans="1:16">
      <c r="A3066" s="2">
        <v>38610</v>
      </c>
      <c r="B3066" s="1">
        <v>43.2</v>
      </c>
      <c r="C3066" s="1">
        <v>43.59</v>
      </c>
      <c r="D3066" s="1">
        <v>42.65</v>
      </c>
      <c r="E3066" s="1">
        <v>42.71</v>
      </c>
      <c r="F3066" s="1">
        <v>4587900</v>
      </c>
      <c r="G3066" s="1">
        <v>42.71</v>
      </c>
      <c r="H3066" s="1">
        <f t="shared" si="423"/>
        <v>0.94000000000000483</v>
      </c>
      <c r="I3066" s="9">
        <f t="shared" si="430"/>
        <v>2.2039859320047008E-2</v>
      </c>
      <c r="J3066" s="1">
        <f t="shared" si="431"/>
        <v>-0.39000000000000057</v>
      </c>
      <c r="K3066" s="9">
        <f t="shared" si="424"/>
        <v>-9.0487238979118454E-3</v>
      </c>
      <c r="L3066" s="1">
        <f t="shared" si="425"/>
        <v>1</v>
      </c>
      <c r="M3066" s="1">
        <f t="shared" si="426"/>
        <v>43.59</v>
      </c>
      <c r="N3066" s="1">
        <f t="shared" si="427"/>
        <v>42.65</v>
      </c>
      <c r="O3066" s="1">
        <f t="shared" si="428"/>
        <v>40.75</v>
      </c>
      <c r="P3066" s="1">
        <f t="shared" si="429"/>
        <v>20.790816326530614</v>
      </c>
    </row>
    <row r="3067" spans="1:16">
      <c r="A3067" s="2">
        <v>38609</v>
      </c>
      <c r="B3067" s="1">
        <v>43.88</v>
      </c>
      <c r="C3067" s="1">
        <v>44.73</v>
      </c>
      <c r="D3067" s="1">
        <v>42.82</v>
      </c>
      <c r="E3067" s="1">
        <v>43.1</v>
      </c>
      <c r="F3067" s="1">
        <v>6318000</v>
      </c>
      <c r="G3067" s="1">
        <v>43.1</v>
      </c>
      <c r="H3067" s="1">
        <f t="shared" si="423"/>
        <v>1.9099999999999966</v>
      </c>
      <c r="I3067" s="9">
        <f t="shared" si="430"/>
        <v>4.4605324614665966E-2</v>
      </c>
      <c r="J3067" s="1">
        <f t="shared" si="431"/>
        <v>-0.82999999999999829</v>
      </c>
      <c r="K3067" s="9">
        <f t="shared" si="424"/>
        <v>-1.8893694513999505E-2</v>
      </c>
      <c r="L3067" s="1">
        <f t="shared" si="425"/>
        <v>1</v>
      </c>
      <c r="M3067" s="1">
        <f t="shared" si="426"/>
        <v>44.73</v>
      </c>
      <c r="N3067" s="1">
        <f t="shared" si="427"/>
        <v>42.82</v>
      </c>
      <c r="O3067" s="1">
        <f t="shared" si="428"/>
        <v>41.14</v>
      </c>
      <c r="P3067" s="1">
        <f t="shared" si="429"/>
        <v>20.989795918367349</v>
      </c>
    </row>
    <row r="3068" spans="1:16">
      <c r="A3068" s="2">
        <v>38608</v>
      </c>
      <c r="B3068" s="1">
        <v>44.17</v>
      </c>
      <c r="C3068" s="1">
        <v>44.38</v>
      </c>
      <c r="D3068" s="1">
        <v>43.44</v>
      </c>
      <c r="E3068" s="1">
        <v>43.93</v>
      </c>
      <c r="F3068" s="1">
        <v>4505200</v>
      </c>
      <c r="G3068" s="1">
        <v>43.93</v>
      </c>
      <c r="H3068" s="1">
        <f t="shared" si="423"/>
        <v>0.94000000000000483</v>
      </c>
      <c r="I3068" s="9">
        <f t="shared" si="430"/>
        <v>2.1639042357274513E-2</v>
      </c>
      <c r="J3068" s="1">
        <f t="shared" si="431"/>
        <v>-0.57000000000000028</v>
      </c>
      <c r="K3068" s="9">
        <f t="shared" si="424"/>
        <v>-1.2808988764044951E-2</v>
      </c>
      <c r="L3068" s="1">
        <f t="shared" si="425"/>
        <v>1</v>
      </c>
      <c r="M3068" s="1">
        <f t="shared" si="426"/>
        <v>44.38</v>
      </c>
      <c r="N3068" s="1">
        <f t="shared" si="427"/>
        <v>43.44</v>
      </c>
      <c r="O3068" s="1">
        <f t="shared" si="428"/>
        <v>41.97</v>
      </c>
      <c r="P3068" s="1">
        <f t="shared" si="429"/>
        <v>21.413265306122447</v>
      </c>
    </row>
    <row r="3069" spans="1:16">
      <c r="A3069" s="2">
        <v>38607</v>
      </c>
      <c r="B3069" s="1">
        <v>42.72</v>
      </c>
      <c r="C3069" s="1">
        <v>44.96</v>
      </c>
      <c r="D3069" s="1">
        <v>42.69</v>
      </c>
      <c r="E3069" s="1">
        <v>44.5</v>
      </c>
      <c r="F3069" s="1">
        <v>8779400</v>
      </c>
      <c r="G3069" s="1">
        <v>44.5</v>
      </c>
      <c r="H3069" s="1">
        <f t="shared" si="423"/>
        <v>2.2700000000000031</v>
      </c>
      <c r="I3069" s="9">
        <f t="shared" si="430"/>
        <v>5.3174045443897942E-2</v>
      </c>
      <c r="J3069" s="1">
        <f t="shared" si="431"/>
        <v>1.5499999999999972</v>
      </c>
      <c r="K3069" s="9">
        <f t="shared" si="424"/>
        <v>3.6088474970896324E-2</v>
      </c>
      <c r="L3069" s="1">
        <f t="shared" si="425"/>
        <v>1</v>
      </c>
      <c r="M3069" s="1">
        <f t="shared" si="426"/>
        <v>44.96</v>
      </c>
      <c r="N3069" s="1">
        <f t="shared" si="427"/>
        <v>42.69</v>
      </c>
      <c r="O3069" s="1">
        <f t="shared" si="428"/>
        <v>42.54</v>
      </c>
      <c r="P3069" s="1">
        <f t="shared" si="429"/>
        <v>21.704081632653061</v>
      </c>
    </row>
    <row r="3070" spans="1:16">
      <c r="A3070" s="2">
        <v>38604</v>
      </c>
      <c r="B3070" s="1">
        <v>42.99</v>
      </c>
      <c r="C3070" s="1">
        <v>43.2</v>
      </c>
      <c r="D3070" s="1">
        <v>42.81</v>
      </c>
      <c r="E3070" s="1">
        <v>42.95</v>
      </c>
      <c r="F3070" s="1">
        <v>3288700</v>
      </c>
      <c r="G3070" s="1">
        <v>42.95</v>
      </c>
      <c r="H3070" s="1">
        <f t="shared" si="423"/>
        <v>0.39000000000000057</v>
      </c>
      <c r="I3070" s="9">
        <f t="shared" si="430"/>
        <v>9.1100210231254506E-3</v>
      </c>
      <c r="J3070" s="1">
        <f t="shared" si="431"/>
        <v>-9.9999999999980105E-3</v>
      </c>
      <c r="K3070" s="9">
        <f t="shared" si="424"/>
        <v>-2.3277467411540991E-4</v>
      </c>
      <c r="L3070" s="1">
        <f t="shared" si="425"/>
        <v>1</v>
      </c>
      <c r="M3070" s="1">
        <f t="shared" si="426"/>
        <v>43.2</v>
      </c>
      <c r="N3070" s="1">
        <f t="shared" si="427"/>
        <v>42.81</v>
      </c>
      <c r="O3070" s="1">
        <f t="shared" si="428"/>
        <v>40.99</v>
      </c>
      <c r="P3070" s="1">
        <f t="shared" si="429"/>
        <v>20.913265306122451</v>
      </c>
    </row>
    <row r="3071" spans="1:16">
      <c r="A3071" s="2">
        <v>38603</v>
      </c>
      <c r="B3071" s="1">
        <v>43.45</v>
      </c>
      <c r="C3071" s="1">
        <v>43.49</v>
      </c>
      <c r="D3071" s="1">
        <v>42.83</v>
      </c>
      <c r="E3071" s="1">
        <v>42.96</v>
      </c>
      <c r="F3071" s="1">
        <v>3884200</v>
      </c>
      <c r="G3071" s="1">
        <v>42.96</v>
      </c>
      <c r="H3071" s="1">
        <f t="shared" si="423"/>
        <v>0.66000000000000369</v>
      </c>
      <c r="I3071" s="9">
        <f t="shared" si="430"/>
        <v>1.5409759514359181E-2</v>
      </c>
      <c r="J3071" s="1">
        <f t="shared" si="431"/>
        <v>-0.76999999999999602</v>
      </c>
      <c r="K3071" s="9">
        <f t="shared" si="424"/>
        <v>-1.7608049394008601E-2</v>
      </c>
      <c r="L3071" s="1">
        <f t="shared" si="425"/>
        <v>1</v>
      </c>
      <c r="M3071" s="1">
        <f t="shared" si="426"/>
        <v>43.49</v>
      </c>
      <c r="N3071" s="1">
        <f t="shared" si="427"/>
        <v>42.83</v>
      </c>
      <c r="O3071" s="1">
        <f t="shared" si="428"/>
        <v>41</v>
      </c>
      <c r="P3071" s="1">
        <f t="shared" si="429"/>
        <v>20.918367346938776</v>
      </c>
    </row>
    <row r="3072" spans="1:16">
      <c r="A3072" s="2">
        <v>38602</v>
      </c>
      <c r="B3072" s="1">
        <v>43.5</v>
      </c>
      <c r="C3072" s="1">
        <v>44.3</v>
      </c>
      <c r="D3072" s="1">
        <v>43.45</v>
      </c>
      <c r="E3072" s="1">
        <v>43.73</v>
      </c>
      <c r="F3072" s="1">
        <v>6141500</v>
      </c>
      <c r="G3072" s="1">
        <v>43.73</v>
      </c>
      <c r="H3072" s="1">
        <f t="shared" si="423"/>
        <v>0.84999999999999432</v>
      </c>
      <c r="I3072" s="9">
        <f t="shared" si="430"/>
        <v>1.956271576524728E-2</v>
      </c>
      <c r="J3072" s="1">
        <f t="shared" si="431"/>
        <v>0.10999999999999943</v>
      </c>
      <c r="K3072" s="9">
        <f t="shared" si="424"/>
        <v>2.5217790004584922E-3</v>
      </c>
      <c r="L3072" s="1">
        <f t="shared" si="425"/>
        <v>1</v>
      </c>
      <c r="M3072" s="1">
        <f t="shared" si="426"/>
        <v>44.3</v>
      </c>
      <c r="N3072" s="1">
        <f t="shared" si="427"/>
        <v>43.45</v>
      </c>
      <c r="O3072" s="1">
        <f t="shared" si="428"/>
        <v>41.769999999999996</v>
      </c>
      <c r="P3072" s="1">
        <f t="shared" si="429"/>
        <v>21.311224489795915</v>
      </c>
    </row>
    <row r="3073" spans="1:16">
      <c r="A3073" s="2">
        <v>38601</v>
      </c>
      <c r="B3073" s="1">
        <v>41.55</v>
      </c>
      <c r="C3073" s="1">
        <v>43.65</v>
      </c>
      <c r="D3073" s="1">
        <v>41.51</v>
      </c>
      <c r="E3073" s="1">
        <v>43.62</v>
      </c>
      <c r="F3073" s="1">
        <v>7939800</v>
      </c>
      <c r="G3073" s="1">
        <v>43.62</v>
      </c>
      <c r="H3073" s="1">
        <f t="shared" si="423"/>
        <v>2.1400000000000006</v>
      </c>
      <c r="I3073" s="9">
        <f t="shared" si="430"/>
        <v>5.1553842447603006E-2</v>
      </c>
      <c r="J3073" s="1">
        <f t="shared" si="431"/>
        <v>2.1099999999999994</v>
      </c>
      <c r="K3073" s="9">
        <f t="shared" si="424"/>
        <v>5.0831125030113215E-2</v>
      </c>
      <c r="L3073" s="1">
        <f t="shared" si="425"/>
        <v>1</v>
      </c>
      <c r="M3073" s="1">
        <f t="shared" si="426"/>
        <v>43.65</v>
      </c>
      <c r="N3073" s="1">
        <f t="shared" si="427"/>
        <v>41.51</v>
      </c>
      <c r="O3073" s="1">
        <f t="shared" si="428"/>
        <v>41.66</v>
      </c>
      <c r="P3073" s="1">
        <f t="shared" si="429"/>
        <v>21.255102040816325</v>
      </c>
    </row>
    <row r="3074" spans="1:16">
      <c r="A3074" s="2">
        <v>38597</v>
      </c>
      <c r="B3074" s="1">
        <v>42</v>
      </c>
      <c r="C3074" s="1">
        <v>42.05</v>
      </c>
      <c r="D3074" s="1">
        <v>41.04</v>
      </c>
      <c r="E3074" s="1">
        <v>41.51</v>
      </c>
      <c r="F3074" s="1">
        <v>4027100</v>
      </c>
      <c r="G3074" s="1">
        <v>41.51</v>
      </c>
      <c r="H3074" s="1">
        <f t="shared" si="423"/>
        <v>1.009999999999998</v>
      </c>
      <c r="I3074" s="9">
        <f t="shared" si="430"/>
        <v>2.4610136452241669E-2</v>
      </c>
      <c r="J3074" s="1">
        <f t="shared" si="431"/>
        <v>-0.3300000000000054</v>
      </c>
      <c r="K3074" s="9">
        <f t="shared" si="424"/>
        <v>-7.8871892925431487E-3</v>
      </c>
      <c r="L3074" s="1">
        <f t="shared" si="425"/>
        <v>1</v>
      </c>
      <c r="M3074" s="1">
        <f t="shared" si="426"/>
        <v>42.05</v>
      </c>
      <c r="N3074" s="1">
        <f t="shared" si="427"/>
        <v>41.04</v>
      </c>
      <c r="O3074" s="1">
        <f t="shared" si="428"/>
        <v>39.549999999999997</v>
      </c>
      <c r="P3074" s="1">
        <f t="shared" si="429"/>
        <v>20.178571428571427</v>
      </c>
    </row>
    <row r="3075" spans="1:16">
      <c r="A3075" s="2">
        <v>38596</v>
      </c>
      <c r="B3075" s="1">
        <v>42.52</v>
      </c>
      <c r="C3075" s="1">
        <v>42.97</v>
      </c>
      <c r="D3075" s="1">
        <v>41.75</v>
      </c>
      <c r="E3075" s="1">
        <v>41.84</v>
      </c>
      <c r="F3075" s="1">
        <v>4429000</v>
      </c>
      <c r="G3075" s="1">
        <v>41.84</v>
      </c>
      <c r="H3075" s="1">
        <f t="shared" ref="H3075:H3138" si="432">C3075-D3075</f>
        <v>1.2199999999999989</v>
      </c>
      <c r="I3075" s="9">
        <f t="shared" si="430"/>
        <v>2.9221556886227518E-2</v>
      </c>
      <c r="J3075" s="1">
        <f t="shared" si="431"/>
        <v>-0.85999999999999943</v>
      </c>
      <c r="K3075" s="9">
        <f t="shared" ref="K3075:K3138" si="433">(G3075-G3076)/G3076</f>
        <v>-2.0140515222482423E-2</v>
      </c>
      <c r="L3075" s="1">
        <f t="shared" ref="L3075:L3138" si="434">G3075/E3075</f>
        <v>1</v>
      </c>
      <c r="M3075" s="1">
        <f t="shared" ref="M3075:M3138" si="435">L3075*C3075</f>
        <v>42.97</v>
      </c>
      <c r="N3075" s="1">
        <f t="shared" ref="N3075:N3138" si="436">L3075*D3075</f>
        <v>41.75</v>
      </c>
      <c r="O3075" s="1">
        <f t="shared" ref="O3075:O3138" si="437">G3075-$G$5163</f>
        <v>39.880000000000003</v>
      </c>
      <c r="P3075" s="1">
        <f t="shared" ref="P3075:P3138" si="438">(G3075-$G$5163)/$G$5163</f>
        <v>20.346938775510207</v>
      </c>
    </row>
    <row r="3076" spans="1:16">
      <c r="A3076" s="2">
        <v>38595</v>
      </c>
      <c r="B3076" s="1">
        <v>42.44</v>
      </c>
      <c r="C3076" s="1">
        <v>42.81</v>
      </c>
      <c r="D3076" s="1">
        <v>42.04</v>
      </c>
      <c r="E3076" s="1">
        <v>42.7</v>
      </c>
      <c r="F3076" s="1">
        <v>3369200</v>
      </c>
      <c r="G3076" s="1">
        <v>42.7</v>
      </c>
      <c r="H3076" s="1">
        <f t="shared" si="432"/>
        <v>0.77000000000000313</v>
      </c>
      <c r="I3076" s="9">
        <f t="shared" ref="I3076:I3139" si="439">(C3076-D3076)/D3076</f>
        <v>1.8315889628924907E-2</v>
      </c>
      <c r="J3076" s="1">
        <f t="shared" ref="J3076:J3139" si="440">G3076-G3077</f>
        <v>0.21000000000000085</v>
      </c>
      <c r="K3076" s="9">
        <f t="shared" si="433"/>
        <v>4.9423393739703655E-3</v>
      </c>
      <c r="L3076" s="1">
        <f t="shared" si="434"/>
        <v>1</v>
      </c>
      <c r="M3076" s="1">
        <f t="shared" si="435"/>
        <v>42.81</v>
      </c>
      <c r="N3076" s="1">
        <f t="shared" si="436"/>
        <v>42.04</v>
      </c>
      <c r="O3076" s="1">
        <f t="shared" si="437"/>
        <v>40.74</v>
      </c>
      <c r="P3076" s="1">
        <f t="shared" si="438"/>
        <v>20.785714285714288</v>
      </c>
    </row>
    <row r="3077" spans="1:16">
      <c r="A3077" s="2">
        <v>38594</v>
      </c>
      <c r="B3077" s="1">
        <v>42.39</v>
      </c>
      <c r="C3077" s="1">
        <v>42.71</v>
      </c>
      <c r="D3077" s="1">
        <v>41.96</v>
      </c>
      <c r="E3077" s="1">
        <v>42.49</v>
      </c>
      <c r="F3077" s="1">
        <v>3874200</v>
      </c>
      <c r="G3077" s="1">
        <v>42.49</v>
      </c>
      <c r="H3077" s="1">
        <f t="shared" si="432"/>
        <v>0.75</v>
      </c>
      <c r="I3077" s="9">
        <f t="shared" si="439"/>
        <v>1.7874165872259293E-2</v>
      </c>
      <c r="J3077" s="1">
        <f t="shared" si="440"/>
        <v>-0.29999999999999716</v>
      </c>
      <c r="K3077" s="9">
        <f t="shared" si="433"/>
        <v>-7.0109838747370217E-3</v>
      </c>
      <c r="L3077" s="1">
        <f t="shared" si="434"/>
        <v>1</v>
      </c>
      <c r="M3077" s="1">
        <f t="shared" si="435"/>
        <v>42.71</v>
      </c>
      <c r="N3077" s="1">
        <f t="shared" si="436"/>
        <v>41.96</v>
      </c>
      <c r="O3077" s="1">
        <f t="shared" si="437"/>
        <v>40.53</v>
      </c>
      <c r="P3077" s="1">
        <f t="shared" si="438"/>
        <v>20.678571428571431</v>
      </c>
    </row>
    <row r="3078" spans="1:16">
      <c r="A3078" s="2">
        <v>38593</v>
      </c>
      <c r="B3078" s="1">
        <v>41.91</v>
      </c>
      <c r="C3078" s="1">
        <v>43</v>
      </c>
      <c r="D3078" s="1">
        <v>41.91</v>
      </c>
      <c r="E3078" s="1">
        <v>42.79</v>
      </c>
      <c r="F3078" s="1">
        <v>3653900</v>
      </c>
      <c r="G3078" s="1">
        <v>42.79</v>
      </c>
      <c r="H3078" s="1">
        <f t="shared" si="432"/>
        <v>1.0900000000000034</v>
      </c>
      <c r="I3078" s="9">
        <f t="shared" si="439"/>
        <v>2.6008112622285934E-2</v>
      </c>
      <c r="J3078" s="1">
        <f t="shared" si="440"/>
        <v>0.42000000000000171</v>
      </c>
      <c r="K3078" s="9">
        <f t="shared" si="433"/>
        <v>9.912674061836246E-3</v>
      </c>
      <c r="L3078" s="1">
        <f t="shared" si="434"/>
        <v>1</v>
      </c>
      <c r="M3078" s="1">
        <f t="shared" si="435"/>
        <v>43</v>
      </c>
      <c r="N3078" s="1">
        <f t="shared" si="436"/>
        <v>41.91</v>
      </c>
      <c r="O3078" s="1">
        <f t="shared" si="437"/>
        <v>40.83</v>
      </c>
      <c r="P3078" s="1">
        <f t="shared" si="438"/>
        <v>20.831632653061224</v>
      </c>
    </row>
    <row r="3079" spans="1:16">
      <c r="A3079" s="2">
        <v>38590</v>
      </c>
      <c r="B3079" s="1">
        <v>42.3</v>
      </c>
      <c r="C3079" s="1">
        <v>42.63</v>
      </c>
      <c r="D3079" s="1">
        <v>42.26</v>
      </c>
      <c r="E3079" s="1">
        <v>42.37</v>
      </c>
      <c r="F3079" s="1">
        <v>2860700</v>
      </c>
      <c r="G3079" s="1">
        <v>42.37</v>
      </c>
      <c r="H3079" s="1">
        <f t="shared" si="432"/>
        <v>0.37000000000000455</v>
      </c>
      <c r="I3079" s="9">
        <f t="shared" si="439"/>
        <v>8.7553241836252852E-3</v>
      </c>
      <c r="J3079" s="1">
        <f t="shared" si="440"/>
        <v>5.9999999999995168E-2</v>
      </c>
      <c r="K3079" s="9">
        <f t="shared" si="433"/>
        <v>1.4181044670289568E-3</v>
      </c>
      <c r="L3079" s="1">
        <f t="shared" si="434"/>
        <v>1</v>
      </c>
      <c r="M3079" s="1">
        <f t="shared" si="435"/>
        <v>42.63</v>
      </c>
      <c r="N3079" s="1">
        <f t="shared" si="436"/>
        <v>42.26</v>
      </c>
      <c r="O3079" s="1">
        <f t="shared" si="437"/>
        <v>40.409999999999997</v>
      </c>
      <c r="P3079" s="1">
        <f t="shared" si="438"/>
        <v>20.617346938775508</v>
      </c>
    </row>
    <row r="3080" spans="1:16">
      <c r="A3080" s="2">
        <v>38589</v>
      </c>
      <c r="B3080" s="1">
        <v>42.54</v>
      </c>
      <c r="C3080" s="1">
        <v>42.8</v>
      </c>
      <c r="D3080" s="1">
        <v>42.08</v>
      </c>
      <c r="E3080" s="1">
        <v>42.31</v>
      </c>
      <c r="F3080" s="1">
        <v>3092200</v>
      </c>
      <c r="G3080" s="1">
        <v>42.31</v>
      </c>
      <c r="H3080" s="1">
        <f t="shared" si="432"/>
        <v>0.71999999999999886</v>
      </c>
      <c r="I3080" s="9">
        <f t="shared" si="439"/>
        <v>1.711026615969579E-2</v>
      </c>
      <c r="J3080" s="1">
        <f t="shared" si="440"/>
        <v>-5.9999999999995168E-2</v>
      </c>
      <c r="K3080" s="9">
        <f t="shared" si="433"/>
        <v>-1.4160962945479153E-3</v>
      </c>
      <c r="L3080" s="1">
        <f t="shared" si="434"/>
        <v>1</v>
      </c>
      <c r="M3080" s="1">
        <f t="shared" si="435"/>
        <v>42.8</v>
      </c>
      <c r="N3080" s="1">
        <f t="shared" si="436"/>
        <v>42.08</v>
      </c>
      <c r="O3080" s="1">
        <f t="shared" si="437"/>
        <v>40.35</v>
      </c>
      <c r="P3080" s="1">
        <f t="shared" si="438"/>
        <v>20.586734693877553</v>
      </c>
    </row>
    <row r="3081" spans="1:16">
      <c r="A3081" s="2">
        <v>38588</v>
      </c>
      <c r="B3081" s="1">
        <v>43.32</v>
      </c>
      <c r="C3081" s="1">
        <v>43.32</v>
      </c>
      <c r="D3081" s="1">
        <v>42.27</v>
      </c>
      <c r="E3081" s="1">
        <v>42.37</v>
      </c>
      <c r="F3081" s="1">
        <v>5871900</v>
      </c>
      <c r="G3081" s="1">
        <v>42.37</v>
      </c>
      <c r="H3081" s="1">
        <f t="shared" si="432"/>
        <v>1.0499999999999972</v>
      </c>
      <c r="I3081" s="9">
        <f t="shared" si="439"/>
        <v>2.4840312278211429E-2</v>
      </c>
      <c r="J3081" s="1">
        <f t="shared" si="440"/>
        <v>-1.0500000000000043</v>
      </c>
      <c r="K3081" s="9">
        <f t="shared" si="433"/>
        <v>-2.4182404421925478E-2</v>
      </c>
      <c r="L3081" s="1">
        <f t="shared" si="434"/>
        <v>1</v>
      </c>
      <c r="M3081" s="1">
        <f t="shared" si="435"/>
        <v>43.32</v>
      </c>
      <c r="N3081" s="1">
        <f t="shared" si="436"/>
        <v>42.27</v>
      </c>
      <c r="O3081" s="1">
        <f t="shared" si="437"/>
        <v>40.409999999999997</v>
      </c>
      <c r="P3081" s="1">
        <f t="shared" si="438"/>
        <v>20.617346938775508</v>
      </c>
    </row>
    <row r="3082" spans="1:16">
      <c r="A3082" s="2">
        <v>38587</v>
      </c>
      <c r="B3082" s="1">
        <v>43.74</v>
      </c>
      <c r="C3082" s="1">
        <v>43.97</v>
      </c>
      <c r="D3082" s="1">
        <v>43.22</v>
      </c>
      <c r="E3082" s="1">
        <v>43.42</v>
      </c>
      <c r="F3082" s="1">
        <v>3517700</v>
      </c>
      <c r="G3082" s="1">
        <v>43.42</v>
      </c>
      <c r="H3082" s="1">
        <f t="shared" si="432"/>
        <v>0.75</v>
      </c>
      <c r="I3082" s="9">
        <f t="shared" si="439"/>
        <v>1.7353077279037482E-2</v>
      </c>
      <c r="J3082" s="1">
        <f t="shared" si="440"/>
        <v>-0.35000000000000142</v>
      </c>
      <c r="K3082" s="9">
        <f t="shared" si="433"/>
        <v>-7.9963445282157045E-3</v>
      </c>
      <c r="L3082" s="1">
        <f t="shared" si="434"/>
        <v>1</v>
      </c>
      <c r="M3082" s="1">
        <f t="shared" si="435"/>
        <v>43.97</v>
      </c>
      <c r="N3082" s="1">
        <f t="shared" si="436"/>
        <v>43.22</v>
      </c>
      <c r="O3082" s="1">
        <f t="shared" si="437"/>
        <v>41.46</v>
      </c>
      <c r="P3082" s="1">
        <f t="shared" si="438"/>
        <v>21.153061224489797</v>
      </c>
    </row>
    <row r="3083" spans="1:16">
      <c r="A3083" s="2">
        <v>38586</v>
      </c>
      <c r="B3083" s="1">
        <v>43.61</v>
      </c>
      <c r="C3083" s="1">
        <v>44.27</v>
      </c>
      <c r="D3083" s="1">
        <v>42.94</v>
      </c>
      <c r="E3083" s="1">
        <v>43.77</v>
      </c>
      <c r="F3083" s="1">
        <v>5374100</v>
      </c>
      <c r="G3083" s="1">
        <v>43.77</v>
      </c>
      <c r="H3083" s="1">
        <f t="shared" si="432"/>
        <v>1.3300000000000054</v>
      </c>
      <c r="I3083" s="9">
        <f t="shared" si="439"/>
        <v>3.0973451327433756E-2</v>
      </c>
      <c r="J3083" s="1">
        <f t="shared" si="440"/>
        <v>5.0000000000004263E-2</v>
      </c>
      <c r="K3083" s="9">
        <f t="shared" si="433"/>
        <v>1.1436413540714607E-3</v>
      </c>
      <c r="L3083" s="1">
        <f t="shared" si="434"/>
        <v>1</v>
      </c>
      <c r="M3083" s="1">
        <f t="shared" si="435"/>
        <v>44.27</v>
      </c>
      <c r="N3083" s="1">
        <f t="shared" si="436"/>
        <v>42.94</v>
      </c>
      <c r="O3083" s="1">
        <f t="shared" si="437"/>
        <v>41.81</v>
      </c>
      <c r="P3083" s="1">
        <f t="shared" si="438"/>
        <v>21.331632653061227</v>
      </c>
    </row>
    <row r="3084" spans="1:16">
      <c r="A3084" s="2">
        <v>38583</v>
      </c>
      <c r="B3084" s="1">
        <v>43.6</v>
      </c>
      <c r="C3084" s="1">
        <v>43.77</v>
      </c>
      <c r="D3084" s="1">
        <v>43.33</v>
      </c>
      <c r="E3084" s="1">
        <v>43.72</v>
      </c>
      <c r="F3084" s="1">
        <v>3323900</v>
      </c>
      <c r="G3084" s="1">
        <v>43.72</v>
      </c>
      <c r="H3084" s="1">
        <f t="shared" si="432"/>
        <v>0.44000000000000483</v>
      </c>
      <c r="I3084" s="9">
        <f t="shared" si="439"/>
        <v>1.0154627279021574E-2</v>
      </c>
      <c r="J3084" s="1">
        <f t="shared" si="440"/>
        <v>-9.9999999999980105E-3</v>
      </c>
      <c r="K3084" s="9">
        <f t="shared" si="433"/>
        <v>-2.2867596615591153E-4</v>
      </c>
      <c r="L3084" s="1">
        <f t="shared" si="434"/>
        <v>1</v>
      </c>
      <c r="M3084" s="1">
        <f t="shared" si="435"/>
        <v>43.77</v>
      </c>
      <c r="N3084" s="1">
        <f t="shared" si="436"/>
        <v>43.33</v>
      </c>
      <c r="O3084" s="1">
        <f t="shared" si="437"/>
        <v>41.76</v>
      </c>
      <c r="P3084" s="1">
        <f t="shared" si="438"/>
        <v>21.30612244897959</v>
      </c>
    </row>
    <row r="3085" spans="1:16">
      <c r="A3085" s="2">
        <v>38582</v>
      </c>
      <c r="B3085" s="1">
        <v>43.88</v>
      </c>
      <c r="C3085" s="1">
        <v>43.9</v>
      </c>
      <c r="D3085" s="1">
        <v>43.51</v>
      </c>
      <c r="E3085" s="1">
        <v>43.73</v>
      </c>
      <c r="F3085" s="1">
        <v>3604300</v>
      </c>
      <c r="G3085" s="1">
        <v>43.73</v>
      </c>
      <c r="H3085" s="1">
        <f t="shared" si="432"/>
        <v>0.39000000000000057</v>
      </c>
      <c r="I3085" s="9">
        <f t="shared" si="439"/>
        <v>8.9634566766260762E-3</v>
      </c>
      <c r="J3085" s="1">
        <f t="shared" si="440"/>
        <v>-0.39000000000000057</v>
      </c>
      <c r="K3085" s="9">
        <f t="shared" si="433"/>
        <v>-8.8395285584768942E-3</v>
      </c>
      <c r="L3085" s="1">
        <f t="shared" si="434"/>
        <v>1</v>
      </c>
      <c r="M3085" s="1">
        <f t="shared" si="435"/>
        <v>43.9</v>
      </c>
      <c r="N3085" s="1">
        <f t="shared" si="436"/>
        <v>43.51</v>
      </c>
      <c r="O3085" s="1">
        <f t="shared" si="437"/>
        <v>41.769999999999996</v>
      </c>
      <c r="P3085" s="1">
        <f t="shared" si="438"/>
        <v>21.311224489795915</v>
      </c>
    </row>
    <row r="3086" spans="1:16">
      <c r="A3086" s="2">
        <v>38581</v>
      </c>
      <c r="B3086" s="1">
        <v>44.19</v>
      </c>
      <c r="C3086" s="1">
        <v>44.43</v>
      </c>
      <c r="D3086" s="1">
        <v>44.12</v>
      </c>
      <c r="E3086" s="1">
        <v>44.12</v>
      </c>
      <c r="F3086" s="1">
        <v>3050400</v>
      </c>
      <c r="G3086" s="1">
        <v>44.12</v>
      </c>
      <c r="H3086" s="1">
        <f t="shared" si="432"/>
        <v>0.31000000000000227</v>
      </c>
      <c r="I3086" s="9">
        <f t="shared" si="439"/>
        <v>7.0262919310970602E-3</v>
      </c>
      <c r="J3086" s="1">
        <f t="shared" si="440"/>
        <v>-0.15000000000000568</v>
      </c>
      <c r="K3086" s="9">
        <f t="shared" si="433"/>
        <v>-3.3882990738650478E-3</v>
      </c>
      <c r="L3086" s="1">
        <f t="shared" si="434"/>
        <v>1</v>
      </c>
      <c r="M3086" s="1">
        <f t="shared" si="435"/>
        <v>44.43</v>
      </c>
      <c r="N3086" s="1">
        <f t="shared" si="436"/>
        <v>44.12</v>
      </c>
      <c r="O3086" s="1">
        <f t="shared" si="437"/>
        <v>42.16</v>
      </c>
      <c r="P3086" s="1">
        <f t="shared" si="438"/>
        <v>21.510204081632651</v>
      </c>
    </row>
    <row r="3087" spans="1:16">
      <c r="A3087" s="2">
        <v>38580</v>
      </c>
      <c r="B3087" s="1">
        <v>44.9</v>
      </c>
      <c r="C3087" s="1">
        <v>44.94</v>
      </c>
      <c r="D3087" s="1">
        <v>44.2</v>
      </c>
      <c r="E3087" s="1">
        <v>44.27</v>
      </c>
      <c r="F3087" s="1">
        <v>3625100</v>
      </c>
      <c r="G3087" s="1">
        <v>44.27</v>
      </c>
      <c r="H3087" s="1">
        <f t="shared" si="432"/>
        <v>0.73999999999999488</v>
      </c>
      <c r="I3087" s="9">
        <f t="shared" si="439"/>
        <v>1.6742081447963682E-2</v>
      </c>
      <c r="J3087" s="1">
        <f t="shared" si="440"/>
        <v>-0.76999999999999602</v>
      </c>
      <c r="K3087" s="9">
        <f t="shared" si="433"/>
        <v>-1.7095914742451066E-2</v>
      </c>
      <c r="L3087" s="1">
        <f t="shared" si="434"/>
        <v>1</v>
      </c>
      <c r="M3087" s="1">
        <f t="shared" si="435"/>
        <v>44.94</v>
      </c>
      <c r="N3087" s="1">
        <f t="shared" si="436"/>
        <v>44.2</v>
      </c>
      <c r="O3087" s="1">
        <f t="shared" si="437"/>
        <v>42.31</v>
      </c>
      <c r="P3087" s="1">
        <f t="shared" si="438"/>
        <v>21.586734693877553</v>
      </c>
    </row>
    <row r="3088" spans="1:16">
      <c r="A3088" s="2">
        <v>38579</v>
      </c>
      <c r="B3088" s="1">
        <v>43.93</v>
      </c>
      <c r="C3088" s="1">
        <v>45.35</v>
      </c>
      <c r="D3088" s="1">
        <v>43.88</v>
      </c>
      <c r="E3088" s="1">
        <v>45.04</v>
      </c>
      <c r="F3088" s="1">
        <v>5525100</v>
      </c>
      <c r="G3088" s="1">
        <v>45.04</v>
      </c>
      <c r="H3088" s="1">
        <f t="shared" si="432"/>
        <v>1.4699999999999989</v>
      </c>
      <c r="I3088" s="9">
        <f t="shared" si="439"/>
        <v>3.35004557885141E-2</v>
      </c>
      <c r="J3088" s="1">
        <f t="shared" si="440"/>
        <v>0.83999999999999631</v>
      </c>
      <c r="K3088" s="9">
        <f t="shared" si="433"/>
        <v>1.9004524886877743E-2</v>
      </c>
      <c r="L3088" s="1">
        <f t="shared" si="434"/>
        <v>1</v>
      </c>
      <c r="M3088" s="1">
        <f t="shared" si="435"/>
        <v>45.35</v>
      </c>
      <c r="N3088" s="1">
        <f t="shared" si="436"/>
        <v>43.88</v>
      </c>
      <c r="O3088" s="1">
        <f t="shared" si="437"/>
        <v>43.08</v>
      </c>
      <c r="P3088" s="1">
        <f t="shared" si="438"/>
        <v>21.979591836734695</v>
      </c>
    </row>
    <row r="3089" spans="1:16">
      <c r="A3089" s="2">
        <v>38576</v>
      </c>
      <c r="B3089" s="1">
        <v>44.63</v>
      </c>
      <c r="C3089" s="1">
        <v>45.72</v>
      </c>
      <c r="D3089" s="1">
        <v>44.05</v>
      </c>
      <c r="E3089" s="1">
        <v>44.2</v>
      </c>
      <c r="F3089" s="1">
        <v>6474100</v>
      </c>
      <c r="G3089" s="1">
        <v>44.2</v>
      </c>
      <c r="H3089" s="1">
        <f t="shared" si="432"/>
        <v>1.6700000000000017</v>
      </c>
      <c r="I3089" s="9">
        <f t="shared" si="439"/>
        <v>3.7911464245175976E-2</v>
      </c>
      <c r="J3089" s="1">
        <f t="shared" si="440"/>
        <v>-1.009999999999998</v>
      </c>
      <c r="K3089" s="9">
        <f t="shared" si="433"/>
        <v>-2.2340190223401859E-2</v>
      </c>
      <c r="L3089" s="1">
        <f t="shared" si="434"/>
        <v>1</v>
      </c>
      <c r="M3089" s="1">
        <f t="shared" si="435"/>
        <v>45.72</v>
      </c>
      <c r="N3089" s="1">
        <f t="shared" si="436"/>
        <v>44.05</v>
      </c>
      <c r="O3089" s="1">
        <f t="shared" si="437"/>
        <v>42.24</v>
      </c>
      <c r="P3089" s="1">
        <f t="shared" si="438"/>
        <v>21.551020408163268</v>
      </c>
    </row>
    <row r="3090" spans="1:16">
      <c r="A3090" s="2">
        <v>38575</v>
      </c>
      <c r="B3090" s="1">
        <v>44.62</v>
      </c>
      <c r="C3090" s="1">
        <v>45.21</v>
      </c>
      <c r="D3090" s="1">
        <v>44.5</v>
      </c>
      <c r="E3090" s="1">
        <v>45.21</v>
      </c>
      <c r="F3090" s="1">
        <v>5842200</v>
      </c>
      <c r="G3090" s="1">
        <v>45.21</v>
      </c>
      <c r="H3090" s="1">
        <f t="shared" si="432"/>
        <v>0.71000000000000085</v>
      </c>
      <c r="I3090" s="9">
        <f t="shared" si="439"/>
        <v>1.5955056179775301E-2</v>
      </c>
      <c r="J3090" s="1">
        <f t="shared" si="440"/>
        <v>0.45000000000000284</v>
      </c>
      <c r="K3090" s="9">
        <f t="shared" si="433"/>
        <v>1.0053619302949126E-2</v>
      </c>
      <c r="L3090" s="1">
        <f t="shared" si="434"/>
        <v>1</v>
      </c>
      <c r="M3090" s="1">
        <f t="shared" si="435"/>
        <v>45.21</v>
      </c>
      <c r="N3090" s="1">
        <f t="shared" si="436"/>
        <v>44.5</v>
      </c>
      <c r="O3090" s="1">
        <f t="shared" si="437"/>
        <v>43.25</v>
      </c>
      <c r="P3090" s="1">
        <f t="shared" si="438"/>
        <v>22.066326530612244</v>
      </c>
    </row>
    <row r="3091" spans="1:16">
      <c r="A3091" s="2">
        <v>38574</v>
      </c>
      <c r="B3091" s="1">
        <v>45.39</v>
      </c>
      <c r="C3091" s="1">
        <v>45.57</v>
      </c>
      <c r="D3091" s="1">
        <v>44.59</v>
      </c>
      <c r="E3091" s="1">
        <v>44.76</v>
      </c>
      <c r="F3091" s="1">
        <v>9921200</v>
      </c>
      <c r="G3091" s="1">
        <v>44.76</v>
      </c>
      <c r="H3091" s="1">
        <f t="shared" si="432"/>
        <v>0.97999999999999687</v>
      </c>
      <c r="I3091" s="9">
        <f t="shared" si="439"/>
        <v>2.1978021978021907E-2</v>
      </c>
      <c r="J3091" s="1">
        <f t="shared" si="440"/>
        <v>-1.1700000000000017</v>
      </c>
      <c r="K3091" s="9">
        <f t="shared" si="433"/>
        <v>-2.5473546701502325E-2</v>
      </c>
      <c r="L3091" s="1">
        <f t="shared" si="434"/>
        <v>1</v>
      </c>
      <c r="M3091" s="1">
        <f t="shared" si="435"/>
        <v>45.57</v>
      </c>
      <c r="N3091" s="1">
        <f t="shared" si="436"/>
        <v>44.59</v>
      </c>
      <c r="O3091" s="1">
        <f t="shared" si="437"/>
        <v>42.8</v>
      </c>
      <c r="P3091" s="1">
        <f t="shared" si="438"/>
        <v>21.836734693877549</v>
      </c>
    </row>
    <row r="3092" spans="1:16">
      <c r="A3092" s="2">
        <v>38573</v>
      </c>
      <c r="B3092" s="1">
        <v>45.76</v>
      </c>
      <c r="C3092" s="1">
        <v>46.44</v>
      </c>
      <c r="D3092" s="1">
        <v>45.75</v>
      </c>
      <c r="E3092" s="1">
        <v>45.93</v>
      </c>
      <c r="F3092" s="1">
        <v>4591200</v>
      </c>
      <c r="G3092" s="1">
        <v>45.93</v>
      </c>
      <c r="H3092" s="1">
        <f t="shared" si="432"/>
        <v>0.68999999999999773</v>
      </c>
      <c r="I3092" s="9">
        <f t="shared" si="439"/>
        <v>1.5081967213114705E-2</v>
      </c>
      <c r="J3092" s="1">
        <f t="shared" si="440"/>
        <v>0.27000000000000313</v>
      </c>
      <c r="K3092" s="9">
        <f t="shared" si="433"/>
        <v>5.9132720105125524E-3</v>
      </c>
      <c r="L3092" s="1">
        <f t="shared" si="434"/>
        <v>1</v>
      </c>
      <c r="M3092" s="1">
        <f t="shared" si="435"/>
        <v>46.44</v>
      </c>
      <c r="N3092" s="1">
        <f t="shared" si="436"/>
        <v>45.75</v>
      </c>
      <c r="O3092" s="1">
        <f t="shared" si="437"/>
        <v>43.97</v>
      </c>
      <c r="P3092" s="1">
        <f t="shared" si="438"/>
        <v>22.433673469387756</v>
      </c>
    </row>
    <row r="3093" spans="1:16">
      <c r="A3093" s="2">
        <v>38572</v>
      </c>
      <c r="B3093" s="1">
        <v>45.32</v>
      </c>
      <c r="C3093" s="1">
        <v>45.9</v>
      </c>
      <c r="D3093" s="1">
        <v>45.26</v>
      </c>
      <c r="E3093" s="1">
        <v>45.66</v>
      </c>
      <c r="F3093" s="1">
        <v>4454900</v>
      </c>
      <c r="G3093" s="1">
        <v>45.66</v>
      </c>
      <c r="H3093" s="1">
        <f t="shared" si="432"/>
        <v>0.64000000000000057</v>
      </c>
      <c r="I3093" s="9">
        <f t="shared" si="439"/>
        <v>1.4140521431727808E-2</v>
      </c>
      <c r="J3093" s="1">
        <f t="shared" si="440"/>
        <v>0.38999999999999346</v>
      </c>
      <c r="K3093" s="9">
        <f t="shared" si="433"/>
        <v>8.6149768058315316E-3</v>
      </c>
      <c r="L3093" s="1">
        <f t="shared" si="434"/>
        <v>1</v>
      </c>
      <c r="M3093" s="1">
        <f t="shared" si="435"/>
        <v>45.9</v>
      </c>
      <c r="N3093" s="1">
        <f t="shared" si="436"/>
        <v>45.26</v>
      </c>
      <c r="O3093" s="1">
        <f t="shared" si="437"/>
        <v>43.699999999999996</v>
      </c>
      <c r="P3093" s="1">
        <f t="shared" si="438"/>
        <v>22.295918367346935</v>
      </c>
    </row>
    <row r="3094" spans="1:16">
      <c r="A3094" s="2">
        <v>38569</v>
      </c>
      <c r="B3094" s="1">
        <v>45.25</v>
      </c>
      <c r="C3094" s="1">
        <v>45.71</v>
      </c>
      <c r="D3094" s="1">
        <v>45.17</v>
      </c>
      <c r="E3094" s="1">
        <v>45.27</v>
      </c>
      <c r="F3094" s="1">
        <v>4951500</v>
      </c>
      <c r="G3094" s="1">
        <v>45.27</v>
      </c>
      <c r="H3094" s="1">
        <f t="shared" si="432"/>
        <v>0.53999999999999915</v>
      </c>
      <c r="I3094" s="9">
        <f t="shared" si="439"/>
        <v>1.1954837281381428E-2</v>
      </c>
      <c r="J3094" s="1">
        <f t="shared" si="440"/>
        <v>-0.18999999999999773</v>
      </c>
      <c r="K3094" s="9">
        <f t="shared" si="433"/>
        <v>-4.1794984601847274E-3</v>
      </c>
      <c r="L3094" s="1">
        <f t="shared" si="434"/>
        <v>1</v>
      </c>
      <c r="M3094" s="1">
        <f t="shared" si="435"/>
        <v>45.71</v>
      </c>
      <c r="N3094" s="1">
        <f t="shared" si="436"/>
        <v>45.17</v>
      </c>
      <c r="O3094" s="1">
        <f t="shared" si="437"/>
        <v>43.31</v>
      </c>
      <c r="P3094" s="1">
        <f t="shared" si="438"/>
        <v>22.096938775510207</v>
      </c>
    </row>
    <row r="3095" spans="1:16">
      <c r="A3095" s="2">
        <v>38568</v>
      </c>
      <c r="B3095" s="1">
        <v>45.55</v>
      </c>
      <c r="C3095" s="1">
        <v>45.77</v>
      </c>
      <c r="D3095" s="1">
        <v>45.42</v>
      </c>
      <c r="E3095" s="1">
        <v>45.46</v>
      </c>
      <c r="F3095" s="1">
        <v>4977200</v>
      </c>
      <c r="G3095" s="1">
        <v>45.46</v>
      </c>
      <c r="H3095" s="1">
        <f t="shared" si="432"/>
        <v>0.35000000000000142</v>
      </c>
      <c r="I3095" s="9">
        <f t="shared" si="439"/>
        <v>7.7058564509027167E-3</v>
      </c>
      <c r="J3095" s="1">
        <f t="shared" si="440"/>
        <v>-0.64999999999999858</v>
      </c>
      <c r="K3095" s="9">
        <f t="shared" si="433"/>
        <v>-1.4096725222294482E-2</v>
      </c>
      <c r="L3095" s="1">
        <f t="shared" si="434"/>
        <v>1</v>
      </c>
      <c r="M3095" s="1">
        <f t="shared" si="435"/>
        <v>45.77</v>
      </c>
      <c r="N3095" s="1">
        <f t="shared" si="436"/>
        <v>45.42</v>
      </c>
      <c r="O3095" s="1">
        <f t="shared" si="437"/>
        <v>43.5</v>
      </c>
      <c r="P3095" s="1">
        <f t="shared" si="438"/>
        <v>22.19387755102041</v>
      </c>
    </row>
    <row r="3096" spans="1:16">
      <c r="A3096" s="2">
        <v>38567</v>
      </c>
      <c r="B3096" s="1">
        <v>46.01</v>
      </c>
      <c r="C3096" s="1">
        <v>46.18</v>
      </c>
      <c r="D3096" s="1">
        <v>45.84</v>
      </c>
      <c r="E3096" s="1">
        <v>46.11</v>
      </c>
      <c r="F3096" s="1">
        <v>4832500</v>
      </c>
      <c r="G3096" s="1">
        <v>46.11</v>
      </c>
      <c r="H3096" s="1">
        <f t="shared" si="432"/>
        <v>0.33999999999999631</v>
      </c>
      <c r="I3096" s="9">
        <f t="shared" si="439"/>
        <v>7.4171029668411055E-3</v>
      </c>
      <c r="J3096" s="1">
        <f t="shared" si="440"/>
        <v>-0.39999999999999858</v>
      </c>
      <c r="K3096" s="9">
        <f t="shared" si="433"/>
        <v>-8.6003010105353394E-3</v>
      </c>
      <c r="L3096" s="1">
        <f t="shared" si="434"/>
        <v>1</v>
      </c>
      <c r="M3096" s="1">
        <f t="shared" si="435"/>
        <v>46.18</v>
      </c>
      <c r="N3096" s="1">
        <f t="shared" si="436"/>
        <v>45.84</v>
      </c>
      <c r="O3096" s="1">
        <f t="shared" si="437"/>
        <v>44.15</v>
      </c>
      <c r="P3096" s="1">
        <f t="shared" si="438"/>
        <v>22.525510204081634</v>
      </c>
    </row>
    <row r="3097" spans="1:16">
      <c r="A3097" s="2">
        <v>38566</v>
      </c>
      <c r="B3097" s="1">
        <v>44.9</v>
      </c>
      <c r="C3097" s="1">
        <v>46.97</v>
      </c>
      <c r="D3097" s="1">
        <v>44.88</v>
      </c>
      <c r="E3097" s="1">
        <v>46.51</v>
      </c>
      <c r="F3097" s="1">
        <v>10836400</v>
      </c>
      <c r="G3097" s="1">
        <v>46.51</v>
      </c>
      <c r="H3097" s="1">
        <f t="shared" si="432"/>
        <v>2.0899999999999963</v>
      </c>
      <c r="I3097" s="9">
        <f t="shared" si="439"/>
        <v>4.656862745098031E-2</v>
      </c>
      <c r="J3097" s="1">
        <f t="shared" si="440"/>
        <v>1.5799999999999983</v>
      </c>
      <c r="K3097" s="9">
        <f t="shared" si="433"/>
        <v>3.5165813487647413E-2</v>
      </c>
      <c r="L3097" s="1">
        <f t="shared" si="434"/>
        <v>1</v>
      </c>
      <c r="M3097" s="1">
        <f t="shared" si="435"/>
        <v>46.97</v>
      </c>
      <c r="N3097" s="1">
        <f t="shared" si="436"/>
        <v>44.88</v>
      </c>
      <c r="O3097" s="1">
        <f t="shared" si="437"/>
        <v>44.55</v>
      </c>
      <c r="P3097" s="1">
        <f t="shared" si="438"/>
        <v>22.729591836734691</v>
      </c>
    </row>
    <row r="3098" spans="1:16">
      <c r="A3098" s="2">
        <v>38565</v>
      </c>
      <c r="B3098" s="1">
        <v>44.88</v>
      </c>
      <c r="C3098" s="1">
        <v>45.19</v>
      </c>
      <c r="D3098" s="1">
        <v>44.35</v>
      </c>
      <c r="E3098" s="1">
        <v>44.93</v>
      </c>
      <c r="F3098" s="1">
        <v>7127200</v>
      </c>
      <c r="G3098" s="1">
        <v>44.93</v>
      </c>
      <c r="H3098" s="1">
        <f t="shared" si="432"/>
        <v>0.83999999999999631</v>
      </c>
      <c r="I3098" s="9">
        <f t="shared" si="439"/>
        <v>1.8940248027057412E-2</v>
      </c>
      <c r="J3098" s="1">
        <f t="shared" si="440"/>
        <v>-0.21999999999999886</v>
      </c>
      <c r="K3098" s="9">
        <f t="shared" si="433"/>
        <v>-4.8726467331118243E-3</v>
      </c>
      <c r="L3098" s="1">
        <f t="shared" si="434"/>
        <v>1</v>
      </c>
      <c r="M3098" s="1">
        <f t="shared" si="435"/>
        <v>45.19</v>
      </c>
      <c r="N3098" s="1">
        <f t="shared" si="436"/>
        <v>44.35</v>
      </c>
      <c r="O3098" s="1">
        <f t="shared" si="437"/>
        <v>42.97</v>
      </c>
      <c r="P3098" s="1">
        <f t="shared" si="438"/>
        <v>21.923469387755102</v>
      </c>
    </row>
    <row r="3099" spans="1:16">
      <c r="A3099" s="2">
        <v>38562</v>
      </c>
      <c r="B3099" s="1">
        <v>45.31</v>
      </c>
      <c r="C3099" s="1">
        <v>45.75</v>
      </c>
      <c r="D3099" s="1">
        <v>44.61</v>
      </c>
      <c r="E3099" s="1">
        <v>45.15</v>
      </c>
      <c r="F3099" s="1">
        <v>10491800</v>
      </c>
      <c r="G3099" s="1">
        <v>45.15</v>
      </c>
      <c r="H3099" s="1">
        <f t="shared" si="432"/>
        <v>1.1400000000000006</v>
      </c>
      <c r="I3099" s="9">
        <f t="shared" si="439"/>
        <v>2.555480833893747E-2</v>
      </c>
      <c r="J3099" s="1">
        <f t="shared" si="440"/>
        <v>-0.53000000000000114</v>
      </c>
      <c r="K3099" s="9">
        <f t="shared" si="433"/>
        <v>-1.1602451838879185E-2</v>
      </c>
      <c r="L3099" s="1">
        <f t="shared" si="434"/>
        <v>1</v>
      </c>
      <c r="M3099" s="1">
        <f t="shared" si="435"/>
        <v>45.75</v>
      </c>
      <c r="N3099" s="1">
        <f t="shared" si="436"/>
        <v>44.61</v>
      </c>
      <c r="O3099" s="1">
        <f t="shared" si="437"/>
        <v>43.19</v>
      </c>
      <c r="P3099" s="1">
        <f t="shared" si="438"/>
        <v>22.035714285714285</v>
      </c>
    </row>
    <row r="3100" spans="1:16">
      <c r="A3100" s="2">
        <v>38561</v>
      </c>
      <c r="B3100" s="1">
        <v>43.54</v>
      </c>
      <c r="C3100" s="1">
        <v>45.81</v>
      </c>
      <c r="D3100" s="1">
        <v>43.37</v>
      </c>
      <c r="E3100" s="1">
        <v>45.68</v>
      </c>
      <c r="F3100" s="1">
        <v>25141500</v>
      </c>
      <c r="G3100" s="1">
        <v>45.68</v>
      </c>
      <c r="H3100" s="1">
        <f t="shared" si="432"/>
        <v>2.4400000000000048</v>
      </c>
      <c r="I3100" s="9">
        <f t="shared" si="439"/>
        <v>5.6260087618169356E-2</v>
      </c>
      <c r="J3100" s="1">
        <f t="shared" si="440"/>
        <v>2.0300000000000011</v>
      </c>
      <c r="K3100" s="9">
        <f t="shared" si="433"/>
        <v>4.6506300114547566E-2</v>
      </c>
      <c r="L3100" s="1">
        <f t="shared" si="434"/>
        <v>1</v>
      </c>
      <c r="M3100" s="1">
        <f t="shared" si="435"/>
        <v>45.81</v>
      </c>
      <c r="N3100" s="1">
        <f t="shared" si="436"/>
        <v>43.37</v>
      </c>
      <c r="O3100" s="1">
        <f t="shared" si="437"/>
        <v>43.72</v>
      </c>
      <c r="P3100" s="1">
        <f t="shared" si="438"/>
        <v>22.306122448979593</v>
      </c>
    </row>
    <row r="3101" spans="1:16">
      <c r="A3101" s="2">
        <v>38560</v>
      </c>
      <c r="B3101" s="1">
        <v>42.01</v>
      </c>
      <c r="C3101" s="1">
        <v>43.74</v>
      </c>
      <c r="D3101" s="1">
        <v>41.84</v>
      </c>
      <c r="E3101" s="1">
        <v>43.65</v>
      </c>
      <c r="F3101" s="1">
        <v>46075600</v>
      </c>
      <c r="G3101" s="1">
        <v>43.65</v>
      </c>
      <c r="H3101" s="1">
        <f t="shared" si="432"/>
        <v>1.8999999999999986</v>
      </c>
      <c r="I3101" s="9">
        <f t="shared" si="439"/>
        <v>4.5411089866156752E-2</v>
      </c>
      <c r="J3101" s="1">
        <f t="shared" si="440"/>
        <v>5.9099999999999966</v>
      </c>
      <c r="K3101" s="9">
        <f t="shared" si="433"/>
        <v>0.15659777424483298</v>
      </c>
      <c r="L3101" s="1">
        <f t="shared" si="434"/>
        <v>1</v>
      </c>
      <c r="M3101" s="1">
        <f t="shared" si="435"/>
        <v>43.74</v>
      </c>
      <c r="N3101" s="1">
        <f t="shared" si="436"/>
        <v>41.84</v>
      </c>
      <c r="O3101" s="1">
        <f t="shared" si="437"/>
        <v>41.69</v>
      </c>
      <c r="P3101" s="1">
        <f t="shared" si="438"/>
        <v>21.270408163265305</v>
      </c>
    </row>
    <row r="3102" spans="1:16">
      <c r="A3102" s="2">
        <v>38559</v>
      </c>
      <c r="B3102" s="1">
        <v>38.22</v>
      </c>
      <c r="C3102" s="1">
        <v>38.75</v>
      </c>
      <c r="D3102" s="1">
        <v>37.72</v>
      </c>
      <c r="E3102" s="1">
        <v>37.74</v>
      </c>
      <c r="F3102" s="1">
        <v>14782300</v>
      </c>
      <c r="G3102" s="1">
        <v>37.74</v>
      </c>
      <c r="H3102" s="1">
        <f t="shared" si="432"/>
        <v>1.0300000000000011</v>
      </c>
      <c r="I3102" s="9">
        <f t="shared" si="439"/>
        <v>2.7306468716861113E-2</v>
      </c>
      <c r="J3102" s="1">
        <f t="shared" si="440"/>
        <v>-0.21000000000000085</v>
      </c>
      <c r="K3102" s="9">
        <f t="shared" si="433"/>
        <v>-5.5335968379446859E-3</v>
      </c>
      <c r="L3102" s="1">
        <f t="shared" si="434"/>
        <v>1</v>
      </c>
      <c r="M3102" s="1">
        <f t="shared" si="435"/>
        <v>38.75</v>
      </c>
      <c r="N3102" s="1">
        <f t="shared" si="436"/>
        <v>37.72</v>
      </c>
      <c r="O3102" s="1">
        <f t="shared" si="437"/>
        <v>35.78</v>
      </c>
      <c r="P3102" s="1">
        <f t="shared" si="438"/>
        <v>18.255102040816329</v>
      </c>
    </row>
    <row r="3103" spans="1:16">
      <c r="A3103" s="2">
        <v>38558</v>
      </c>
      <c r="B3103" s="1">
        <v>38</v>
      </c>
      <c r="C3103" s="1">
        <v>39.04</v>
      </c>
      <c r="D3103" s="1">
        <v>37.85</v>
      </c>
      <c r="E3103" s="1">
        <v>37.950000000000003</v>
      </c>
      <c r="F3103" s="1">
        <v>5470000</v>
      </c>
      <c r="G3103" s="1">
        <v>37.950000000000003</v>
      </c>
      <c r="H3103" s="1">
        <f t="shared" si="432"/>
        <v>1.1899999999999977</v>
      </c>
      <c r="I3103" s="9">
        <f t="shared" si="439"/>
        <v>3.1439894319682901E-2</v>
      </c>
      <c r="J3103" s="1">
        <f t="shared" si="440"/>
        <v>0</v>
      </c>
      <c r="K3103" s="9">
        <f t="shared" si="433"/>
        <v>0</v>
      </c>
      <c r="L3103" s="1">
        <f t="shared" si="434"/>
        <v>1</v>
      </c>
      <c r="M3103" s="1">
        <f t="shared" si="435"/>
        <v>39.04</v>
      </c>
      <c r="N3103" s="1">
        <f t="shared" si="436"/>
        <v>37.85</v>
      </c>
      <c r="O3103" s="1">
        <f t="shared" si="437"/>
        <v>35.99</v>
      </c>
      <c r="P3103" s="1">
        <f t="shared" si="438"/>
        <v>18.362244897959187</v>
      </c>
    </row>
    <row r="3104" spans="1:16">
      <c r="A3104" s="2">
        <v>38555</v>
      </c>
      <c r="B3104" s="1">
        <v>37.89</v>
      </c>
      <c r="C3104" s="1">
        <v>38.229999999999997</v>
      </c>
      <c r="D3104" s="1">
        <v>37.24</v>
      </c>
      <c r="E3104" s="1">
        <v>37.950000000000003</v>
      </c>
      <c r="F3104" s="1">
        <v>5871100</v>
      </c>
      <c r="G3104" s="1">
        <v>37.950000000000003</v>
      </c>
      <c r="H3104" s="1">
        <f t="shared" si="432"/>
        <v>0.98999999999999488</v>
      </c>
      <c r="I3104" s="9">
        <f t="shared" si="439"/>
        <v>2.6584317937701257E-2</v>
      </c>
      <c r="J3104" s="1">
        <f t="shared" si="440"/>
        <v>0</v>
      </c>
      <c r="K3104" s="9">
        <f t="shared" si="433"/>
        <v>0</v>
      </c>
      <c r="L3104" s="1">
        <f t="shared" si="434"/>
        <v>1</v>
      </c>
      <c r="M3104" s="1">
        <f t="shared" si="435"/>
        <v>38.229999999999997</v>
      </c>
      <c r="N3104" s="1">
        <f t="shared" si="436"/>
        <v>37.24</v>
      </c>
      <c r="O3104" s="1">
        <f t="shared" si="437"/>
        <v>35.99</v>
      </c>
      <c r="P3104" s="1">
        <f t="shared" si="438"/>
        <v>18.362244897959187</v>
      </c>
    </row>
    <row r="3105" spans="1:16">
      <c r="A3105" s="2">
        <v>38554</v>
      </c>
      <c r="B3105" s="1">
        <v>38.96</v>
      </c>
      <c r="C3105" s="1">
        <v>39.75</v>
      </c>
      <c r="D3105" s="1">
        <v>37.76</v>
      </c>
      <c r="E3105" s="1">
        <v>37.950000000000003</v>
      </c>
      <c r="F3105" s="1">
        <v>11055600</v>
      </c>
      <c r="G3105" s="1">
        <v>37.950000000000003</v>
      </c>
      <c r="H3105" s="1">
        <f t="shared" si="432"/>
        <v>1.990000000000002</v>
      </c>
      <c r="I3105" s="9">
        <f t="shared" si="439"/>
        <v>5.2701271186440732E-2</v>
      </c>
      <c r="J3105" s="1">
        <f t="shared" si="440"/>
        <v>-0.21999999999999886</v>
      </c>
      <c r="K3105" s="9">
        <f t="shared" si="433"/>
        <v>-5.7636887608068866E-3</v>
      </c>
      <c r="L3105" s="1">
        <f t="shared" si="434"/>
        <v>1</v>
      </c>
      <c r="M3105" s="1">
        <f t="shared" si="435"/>
        <v>39.75</v>
      </c>
      <c r="N3105" s="1">
        <f t="shared" si="436"/>
        <v>37.76</v>
      </c>
      <c r="O3105" s="1">
        <f t="shared" si="437"/>
        <v>35.99</v>
      </c>
      <c r="P3105" s="1">
        <f t="shared" si="438"/>
        <v>18.362244897959187</v>
      </c>
    </row>
    <row r="3106" spans="1:16">
      <c r="A3106" s="2">
        <v>38553</v>
      </c>
      <c r="B3106" s="1">
        <v>37.49</v>
      </c>
      <c r="C3106" s="1">
        <v>38.25</v>
      </c>
      <c r="D3106" s="1">
        <v>37.299999999999997</v>
      </c>
      <c r="E3106" s="1">
        <v>38.17</v>
      </c>
      <c r="F3106" s="1">
        <v>6368400</v>
      </c>
      <c r="G3106" s="1">
        <v>38.17</v>
      </c>
      <c r="H3106" s="1">
        <f t="shared" si="432"/>
        <v>0.95000000000000284</v>
      </c>
      <c r="I3106" s="9">
        <f t="shared" si="439"/>
        <v>2.5469168900804369E-2</v>
      </c>
      <c r="J3106" s="1">
        <f t="shared" si="440"/>
        <v>0</v>
      </c>
      <c r="K3106" s="9">
        <f t="shared" si="433"/>
        <v>0</v>
      </c>
      <c r="L3106" s="1">
        <f t="shared" si="434"/>
        <v>1</v>
      </c>
      <c r="M3106" s="1">
        <f t="shared" si="435"/>
        <v>38.25</v>
      </c>
      <c r="N3106" s="1">
        <f t="shared" si="436"/>
        <v>37.299999999999997</v>
      </c>
      <c r="O3106" s="1">
        <f t="shared" si="437"/>
        <v>36.21</v>
      </c>
      <c r="P3106" s="1">
        <f t="shared" si="438"/>
        <v>18.47448979591837</v>
      </c>
    </row>
    <row r="3107" spans="1:16">
      <c r="A3107" s="2">
        <v>38552</v>
      </c>
      <c r="B3107" s="1">
        <v>37.380000000000003</v>
      </c>
      <c r="C3107" s="1">
        <v>38.17</v>
      </c>
      <c r="D3107" s="1">
        <v>36.69</v>
      </c>
      <c r="E3107" s="1">
        <v>38.17</v>
      </c>
      <c r="F3107" s="1">
        <v>5840600</v>
      </c>
      <c r="G3107" s="1">
        <v>38.17</v>
      </c>
      <c r="H3107" s="1">
        <f t="shared" si="432"/>
        <v>1.480000000000004</v>
      </c>
      <c r="I3107" s="9">
        <f t="shared" si="439"/>
        <v>4.033796674843293E-2</v>
      </c>
      <c r="J3107" s="1">
        <f t="shared" si="440"/>
        <v>0.98000000000000398</v>
      </c>
      <c r="K3107" s="9">
        <f t="shared" si="433"/>
        <v>2.6351169669266039E-2</v>
      </c>
      <c r="L3107" s="1">
        <f t="shared" si="434"/>
        <v>1</v>
      </c>
      <c r="M3107" s="1">
        <f t="shared" si="435"/>
        <v>38.17</v>
      </c>
      <c r="N3107" s="1">
        <f t="shared" si="436"/>
        <v>36.69</v>
      </c>
      <c r="O3107" s="1">
        <f t="shared" si="437"/>
        <v>36.21</v>
      </c>
      <c r="P3107" s="1">
        <f t="shared" si="438"/>
        <v>18.47448979591837</v>
      </c>
    </row>
    <row r="3108" spans="1:16">
      <c r="A3108" s="2">
        <v>38551</v>
      </c>
      <c r="B3108" s="1">
        <v>36.950000000000003</v>
      </c>
      <c r="C3108" s="1">
        <v>37.19</v>
      </c>
      <c r="D3108" s="1">
        <v>36.76</v>
      </c>
      <c r="E3108" s="1">
        <v>37.19</v>
      </c>
      <c r="F3108" s="1">
        <v>2973300</v>
      </c>
      <c r="G3108" s="1">
        <v>37.19</v>
      </c>
      <c r="H3108" s="1">
        <f t="shared" si="432"/>
        <v>0.42999999999999972</v>
      </c>
      <c r="I3108" s="9">
        <f t="shared" si="439"/>
        <v>1.1697497279651789E-2</v>
      </c>
      <c r="J3108" s="1">
        <f t="shared" si="440"/>
        <v>3.9999999999999147E-2</v>
      </c>
      <c r="K3108" s="9">
        <f t="shared" si="433"/>
        <v>1.0767160161507174E-3</v>
      </c>
      <c r="L3108" s="1">
        <f t="shared" si="434"/>
        <v>1</v>
      </c>
      <c r="M3108" s="1">
        <f t="shared" si="435"/>
        <v>37.19</v>
      </c>
      <c r="N3108" s="1">
        <f t="shared" si="436"/>
        <v>36.76</v>
      </c>
      <c r="O3108" s="1">
        <f t="shared" si="437"/>
        <v>35.229999999999997</v>
      </c>
      <c r="P3108" s="1">
        <f t="shared" si="438"/>
        <v>17.974489795918366</v>
      </c>
    </row>
    <row r="3109" spans="1:16">
      <c r="A3109" s="2">
        <v>38548</v>
      </c>
      <c r="B3109" s="1">
        <v>37.35</v>
      </c>
      <c r="C3109" s="1">
        <v>37.5</v>
      </c>
      <c r="D3109" s="1">
        <v>36.75</v>
      </c>
      <c r="E3109" s="1">
        <v>37.15</v>
      </c>
      <c r="F3109" s="1">
        <v>5209000</v>
      </c>
      <c r="G3109" s="1">
        <v>37.15</v>
      </c>
      <c r="H3109" s="1">
        <f t="shared" si="432"/>
        <v>0.75</v>
      </c>
      <c r="I3109" s="9">
        <f t="shared" si="439"/>
        <v>2.0408163265306121E-2</v>
      </c>
      <c r="J3109" s="1">
        <f t="shared" si="440"/>
        <v>-3.9999999999999147E-2</v>
      </c>
      <c r="K3109" s="9">
        <f t="shared" si="433"/>
        <v>-1.0755579456843008E-3</v>
      </c>
      <c r="L3109" s="1">
        <f t="shared" si="434"/>
        <v>1</v>
      </c>
      <c r="M3109" s="1">
        <f t="shared" si="435"/>
        <v>37.5</v>
      </c>
      <c r="N3109" s="1">
        <f t="shared" si="436"/>
        <v>36.75</v>
      </c>
      <c r="O3109" s="1">
        <f t="shared" si="437"/>
        <v>35.19</v>
      </c>
      <c r="P3109" s="1">
        <f t="shared" si="438"/>
        <v>17.954081632653061</v>
      </c>
    </row>
    <row r="3110" spans="1:16">
      <c r="A3110" s="2">
        <v>38547</v>
      </c>
      <c r="B3110" s="1">
        <v>37.19</v>
      </c>
      <c r="C3110" s="1">
        <v>37.42</v>
      </c>
      <c r="D3110" s="1">
        <v>36.880000000000003</v>
      </c>
      <c r="E3110" s="1">
        <v>37.19</v>
      </c>
      <c r="F3110" s="1">
        <v>5863300</v>
      </c>
      <c r="G3110" s="1">
        <v>37.19</v>
      </c>
      <c r="H3110" s="1">
        <f t="shared" si="432"/>
        <v>0.53999999999999915</v>
      </c>
      <c r="I3110" s="9">
        <f t="shared" si="439"/>
        <v>1.464208242950106E-2</v>
      </c>
      <c r="J3110" s="1">
        <f t="shared" si="440"/>
        <v>0.67999999999999972</v>
      </c>
      <c r="K3110" s="9">
        <f t="shared" si="433"/>
        <v>1.8625034237195283E-2</v>
      </c>
      <c r="L3110" s="1">
        <f t="shared" si="434"/>
        <v>1</v>
      </c>
      <c r="M3110" s="1">
        <f t="shared" si="435"/>
        <v>37.42</v>
      </c>
      <c r="N3110" s="1">
        <f t="shared" si="436"/>
        <v>36.880000000000003</v>
      </c>
      <c r="O3110" s="1">
        <f t="shared" si="437"/>
        <v>35.229999999999997</v>
      </c>
      <c r="P3110" s="1">
        <f t="shared" si="438"/>
        <v>17.974489795918366</v>
      </c>
    </row>
    <row r="3111" spans="1:16">
      <c r="A3111" s="2">
        <v>38546</v>
      </c>
      <c r="B3111" s="1">
        <v>36.270000000000003</v>
      </c>
      <c r="C3111" s="1">
        <v>36.549999999999997</v>
      </c>
      <c r="D3111" s="1">
        <v>36.19</v>
      </c>
      <c r="E3111" s="1">
        <v>36.51</v>
      </c>
      <c r="F3111" s="1">
        <v>3201800</v>
      </c>
      <c r="G3111" s="1">
        <v>36.51</v>
      </c>
      <c r="H3111" s="1">
        <f t="shared" si="432"/>
        <v>0.35999999999999943</v>
      </c>
      <c r="I3111" s="9">
        <f t="shared" si="439"/>
        <v>9.9474993092014217E-3</v>
      </c>
      <c r="J3111" s="1">
        <f t="shared" si="440"/>
        <v>0.19999999999999574</v>
      </c>
      <c r="K3111" s="9">
        <f t="shared" si="433"/>
        <v>5.5081244836132116E-3</v>
      </c>
      <c r="L3111" s="1">
        <f t="shared" si="434"/>
        <v>1</v>
      </c>
      <c r="M3111" s="1">
        <f t="shared" si="435"/>
        <v>36.549999999999997</v>
      </c>
      <c r="N3111" s="1">
        <f t="shared" si="436"/>
        <v>36.19</v>
      </c>
      <c r="O3111" s="1">
        <f t="shared" si="437"/>
        <v>34.549999999999997</v>
      </c>
      <c r="P3111" s="1">
        <f t="shared" si="438"/>
        <v>17.627551020408163</v>
      </c>
    </row>
    <row r="3112" spans="1:16">
      <c r="A3112" s="2">
        <v>38545</v>
      </c>
      <c r="B3112" s="1">
        <v>35.49</v>
      </c>
      <c r="C3112" s="1">
        <v>36.54</v>
      </c>
      <c r="D3112" s="1">
        <v>35.46</v>
      </c>
      <c r="E3112" s="1">
        <v>36.31</v>
      </c>
      <c r="F3112" s="1">
        <v>5877200</v>
      </c>
      <c r="G3112" s="1">
        <v>36.31</v>
      </c>
      <c r="H3112" s="1">
        <f t="shared" si="432"/>
        <v>1.0799999999999983</v>
      </c>
      <c r="I3112" s="9">
        <f t="shared" si="439"/>
        <v>3.0456852791878125E-2</v>
      </c>
      <c r="J3112" s="1">
        <f t="shared" si="440"/>
        <v>0.71999999999999886</v>
      </c>
      <c r="K3112" s="9">
        <f t="shared" si="433"/>
        <v>2.0230401798257903E-2</v>
      </c>
      <c r="L3112" s="1">
        <f t="shared" si="434"/>
        <v>1</v>
      </c>
      <c r="M3112" s="1">
        <f t="shared" si="435"/>
        <v>36.54</v>
      </c>
      <c r="N3112" s="1">
        <f t="shared" si="436"/>
        <v>35.46</v>
      </c>
      <c r="O3112" s="1">
        <f t="shared" si="437"/>
        <v>34.35</v>
      </c>
      <c r="P3112" s="1">
        <f t="shared" si="438"/>
        <v>17.525510204081634</v>
      </c>
    </row>
    <row r="3113" spans="1:16">
      <c r="A3113" s="2">
        <v>38544</v>
      </c>
      <c r="B3113" s="1">
        <v>34.72</v>
      </c>
      <c r="C3113" s="1">
        <v>35.68</v>
      </c>
      <c r="D3113" s="1">
        <v>34.6</v>
      </c>
      <c r="E3113" s="1">
        <v>35.590000000000003</v>
      </c>
      <c r="F3113" s="1">
        <v>5166000</v>
      </c>
      <c r="G3113" s="1">
        <v>35.590000000000003</v>
      </c>
      <c r="H3113" s="1">
        <f t="shared" si="432"/>
        <v>1.0799999999999983</v>
      </c>
      <c r="I3113" s="9">
        <f t="shared" si="439"/>
        <v>3.1213872832369892E-2</v>
      </c>
      <c r="J3113" s="1">
        <f t="shared" si="440"/>
        <v>0.85000000000000142</v>
      </c>
      <c r="K3113" s="9">
        <f t="shared" si="433"/>
        <v>2.4467472654001191E-2</v>
      </c>
      <c r="L3113" s="1">
        <f t="shared" si="434"/>
        <v>1</v>
      </c>
      <c r="M3113" s="1">
        <f t="shared" si="435"/>
        <v>35.68</v>
      </c>
      <c r="N3113" s="1">
        <f t="shared" si="436"/>
        <v>34.6</v>
      </c>
      <c r="O3113" s="1">
        <f t="shared" si="437"/>
        <v>33.630000000000003</v>
      </c>
      <c r="P3113" s="1">
        <f t="shared" si="438"/>
        <v>17.158163265306126</v>
      </c>
    </row>
    <row r="3114" spans="1:16">
      <c r="A3114" s="2">
        <v>38541</v>
      </c>
      <c r="B3114" s="1">
        <v>34.11</v>
      </c>
      <c r="C3114" s="1">
        <v>34.75</v>
      </c>
      <c r="D3114" s="1">
        <v>33.85</v>
      </c>
      <c r="E3114" s="1">
        <v>34.74</v>
      </c>
      <c r="F3114" s="1">
        <v>4257000</v>
      </c>
      <c r="G3114" s="1">
        <v>34.74</v>
      </c>
      <c r="H3114" s="1">
        <f t="shared" si="432"/>
        <v>0.89999999999999858</v>
      </c>
      <c r="I3114" s="9">
        <f t="shared" si="439"/>
        <v>2.6587887740029501E-2</v>
      </c>
      <c r="J3114" s="1">
        <f t="shared" si="440"/>
        <v>0.78000000000000114</v>
      </c>
      <c r="K3114" s="9">
        <f t="shared" si="433"/>
        <v>2.2968197879858689E-2</v>
      </c>
      <c r="L3114" s="1">
        <f t="shared" si="434"/>
        <v>1</v>
      </c>
      <c r="M3114" s="1">
        <f t="shared" si="435"/>
        <v>34.75</v>
      </c>
      <c r="N3114" s="1">
        <f t="shared" si="436"/>
        <v>33.85</v>
      </c>
      <c r="O3114" s="1">
        <f t="shared" si="437"/>
        <v>32.78</v>
      </c>
      <c r="P3114" s="1">
        <f t="shared" si="438"/>
        <v>16.72448979591837</v>
      </c>
    </row>
    <row r="3115" spans="1:16">
      <c r="A3115" s="2">
        <v>38540</v>
      </c>
      <c r="B3115" s="1">
        <v>33.799999999999997</v>
      </c>
      <c r="C3115" s="1">
        <v>34.51</v>
      </c>
      <c r="D3115" s="1">
        <v>33.799999999999997</v>
      </c>
      <c r="E3115" s="1">
        <v>33.96</v>
      </c>
      <c r="F3115" s="1">
        <v>4242900</v>
      </c>
      <c r="G3115" s="1">
        <v>33.96</v>
      </c>
      <c r="H3115" s="1">
        <f t="shared" si="432"/>
        <v>0.71000000000000085</v>
      </c>
      <c r="I3115" s="9">
        <f t="shared" si="439"/>
        <v>2.100591715976334E-2</v>
      </c>
      <c r="J3115" s="1">
        <f t="shared" si="440"/>
        <v>-0.10000000000000142</v>
      </c>
      <c r="K3115" s="9">
        <f t="shared" si="433"/>
        <v>-2.9359953024075576E-3</v>
      </c>
      <c r="L3115" s="1">
        <f t="shared" si="434"/>
        <v>1</v>
      </c>
      <c r="M3115" s="1">
        <f t="shared" si="435"/>
        <v>34.51</v>
      </c>
      <c r="N3115" s="1">
        <f t="shared" si="436"/>
        <v>33.799999999999997</v>
      </c>
      <c r="O3115" s="1">
        <f t="shared" si="437"/>
        <v>32</v>
      </c>
      <c r="P3115" s="1">
        <f t="shared" si="438"/>
        <v>16.326530612244898</v>
      </c>
    </row>
    <row r="3116" spans="1:16">
      <c r="A3116" s="2">
        <v>38539</v>
      </c>
      <c r="B3116" s="1">
        <v>34.01</v>
      </c>
      <c r="C3116" s="1">
        <v>34.4</v>
      </c>
      <c r="D3116" s="1">
        <v>33.86</v>
      </c>
      <c r="E3116" s="1">
        <v>34.06</v>
      </c>
      <c r="F3116" s="1">
        <v>4397200</v>
      </c>
      <c r="G3116" s="1">
        <v>34.06</v>
      </c>
      <c r="H3116" s="1">
        <f t="shared" si="432"/>
        <v>0.53999999999999915</v>
      </c>
      <c r="I3116" s="9">
        <f t="shared" si="439"/>
        <v>1.5948021264028327E-2</v>
      </c>
      <c r="J3116" s="1">
        <f t="shared" si="440"/>
        <v>-1.9999999999996021E-2</v>
      </c>
      <c r="K3116" s="9">
        <f t="shared" si="433"/>
        <v>-5.8685446009377996E-4</v>
      </c>
      <c r="L3116" s="1">
        <f t="shared" si="434"/>
        <v>1</v>
      </c>
      <c r="M3116" s="1">
        <f t="shared" si="435"/>
        <v>34.4</v>
      </c>
      <c r="N3116" s="1">
        <f t="shared" si="436"/>
        <v>33.86</v>
      </c>
      <c r="O3116" s="1">
        <f t="shared" si="437"/>
        <v>32.1</v>
      </c>
      <c r="P3116" s="1">
        <f t="shared" si="438"/>
        <v>16.377551020408163</v>
      </c>
    </row>
    <row r="3117" spans="1:16">
      <c r="A3117" s="2">
        <v>38538</v>
      </c>
      <c r="B3117" s="1">
        <v>33.5</v>
      </c>
      <c r="C3117" s="1">
        <v>34.479999999999997</v>
      </c>
      <c r="D3117" s="1">
        <v>33.450000000000003</v>
      </c>
      <c r="E3117" s="1">
        <v>34.08</v>
      </c>
      <c r="F3117" s="1">
        <v>7383800</v>
      </c>
      <c r="G3117" s="1">
        <v>34.08</v>
      </c>
      <c r="H3117" s="1">
        <f t="shared" si="432"/>
        <v>1.029999999999994</v>
      </c>
      <c r="I3117" s="9">
        <f t="shared" si="439"/>
        <v>3.0792227204783078E-2</v>
      </c>
      <c r="J3117" s="1">
        <f t="shared" si="440"/>
        <v>1.1700000000000017</v>
      </c>
      <c r="K3117" s="9">
        <f t="shared" si="433"/>
        <v>3.5551504102096683E-2</v>
      </c>
      <c r="L3117" s="1">
        <f t="shared" si="434"/>
        <v>1</v>
      </c>
      <c r="M3117" s="1">
        <f t="shared" si="435"/>
        <v>34.479999999999997</v>
      </c>
      <c r="N3117" s="1">
        <f t="shared" si="436"/>
        <v>33.450000000000003</v>
      </c>
      <c r="O3117" s="1">
        <f t="shared" si="437"/>
        <v>32.119999999999997</v>
      </c>
      <c r="P3117" s="1">
        <f t="shared" si="438"/>
        <v>16.387755102040817</v>
      </c>
    </row>
    <row r="3118" spans="1:16">
      <c r="A3118" s="2">
        <v>38534</v>
      </c>
      <c r="B3118" s="1">
        <v>33.24</v>
      </c>
      <c r="C3118" s="1">
        <v>33.270000000000003</v>
      </c>
      <c r="D3118" s="1">
        <v>32.79</v>
      </c>
      <c r="E3118" s="1">
        <v>32.909999999999997</v>
      </c>
      <c r="F3118" s="1">
        <v>2932700</v>
      </c>
      <c r="G3118" s="1">
        <v>32.909999999999997</v>
      </c>
      <c r="H3118" s="1">
        <f t="shared" si="432"/>
        <v>0.48000000000000398</v>
      </c>
      <c r="I3118" s="9">
        <f t="shared" si="439"/>
        <v>1.4638609332113571E-2</v>
      </c>
      <c r="J3118" s="1">
        <f t="shared" si="440"/>
        <v>-0.18000000000000682</v>
      </c>
      <c r="K3118" s="9">
        <f t="shared" si="433"/>
        <v>-5.4397098821398248E-3</v>
      </c>
      <c r="L3118" s="1">
        <f t="shared" si="434"/>
        <v>1</v>
      </c>
      <c r="M3118" s="1">
        <f t="shared" si="435"/>
        <v>33.270000000000003</v>
      </c>
      <c r="N3118" s="1">
        <f t="shared" si="436"/>
        <v>32.79</v>
      </c>
      <c r="O3118" s="1">
        <f t="shared" si="437"/>
        <v>30.949999999999996</v>
      </c>
      <c r="P3118" s="1">
        <f t="shared" si="438"/>
        <v>15.79081632653061</v>
      </c>
    </row>
    <row r="3119" spans="1:16">
      <c r="A3119" s="2">
        <v>38533</v>
      </c>
      <c r="B3119" s="1">
        <v>33.47</v>
      </c>
      <c r="C3119" s="1">
        <v>33.56</v>
      </c>
      <c r="D3119" s="1">
        <v>32.93</v>
      </c>
      <c r="E3119" s="1">
        <v>33.090000000000003</v>
      </c>
      <c r="F3119" s="1">
        <v>5715700</v>
      </c>
      <c r="G3119" s="1">
        <v>33.090000000000003</v>
      </c>
      <c r="H3119" s="1">
        <f t="shared" si="432"/>
        <v>0.63000000000000256</v>
      </c>
      <c r="I3119" s="9">
        <f t="shared" si="439"/>
        <v>1.9131491041603478E-2</v>
      </c>
      <c r="J3119" s="1">
        <f t="shared" si="440"/>
        <v>-0.25999999999999801</v>
      </c>
      <c r="K3119" s="9">
        <f t="shared" si="433"/>
        <v>-7.7961019490254274E-3</v>
      </c>
      <c r="L3119" s="1">
        <f t="shared" si="434"/>
        <v>1</v>
      </c>
      <c r="M3119" s="1">
        <f t="shared" si="435"/>
        <v>33.56</v>
      </c>
      <c r="N3119" s="1">
        <f t="shared" si="436"/>
        <v>32.93</v>
      </c>
      <c r="O3119" s="1">
        <f t="shared" si="437"/>
        <v>31.130000000000003</v>
      </c>
      <c r="P3119" s="1">
        <f t="shared" si="438"/>
        <v>15.882653061224492</v>
      </c>
    </row>
    <row r="3120" spans="1:16">
      <c r="A3120" s="2">
        <v>38532</v>
      </c>
      <c r="B3120" s="1">
        <v>33.700000000000003</v>
      </c>
      <c r="C3120" s="1">
        <v>34.07</v>
      </c>
      <c r="D3120" s="1">
        <v>33.270000000000003</v>
      </c>
      <c r="E3120" s="1">
        <v>33.35</v>
      </c>
      <c r="F3120" s="1">
        <v>4813300</v>
      </c>
      <c r="G3120" s="1">
        <v>33.35</v>
      </c>
      <c r="H3120" s="1">
        <f t="shared" si="432"/>
        <v>0.79999999999999716</v>
      </c>
      <c r="I3120" s="9">
        <f t="shared" si="439"/>
        <v>2.404568680492928E-2</v>
      </c>
      <c r="J3120" s="1">
        <f t="shared" si="440"/>
        <v>-0.35999999999999943</v>
      </c>
      <c r="K3120" s="9">
        <f t="shared" si="433"/>
        <v>-1.0679323642835937E-2</v>
      </c>
      <c r="L3120" s="1">
        <f t="shared" si="434"/>
        <v>1</v>
      </c>
      <c r="M3120" s="1">
        <f t="shared" si="435"/>
        <v>34.07</v>
      </c>
      <c r="N3120" s="1">
        <f t="shared" si="436"/>
        <v>33.270000000000003</v>
      </c>
      <c r="O3120" s="1">
        <f t="shared" si="437"/>
        <v>31.39</v>
      </c>
      <c r="P3120" s="1">
        <f t="shared" si="438"/>
        <v>16.01530612244898</v>
      </c>
    </row>
    <row r="3121" spans="1:16">
      <c r="A3121" s="2">
        <v>38531</v>
      </c>
      <c r="B3121" s="1">
        <v>34.6</v>
      </c>
      <c r="C3121" s="1">
        <v>34.630000000000003</v>
      </c>
      <c r="D3121" s="1">
        <v>33.590000000000003</v>
      </c>
      <c r="E3121" s="1">
        <v>33.71</v>
      </c>
      <c r="F3121" s="1">
        <v>7034300</v>
      </c>
      <c r="G3121" s="1">
        <v>33.71</v>
      </c>
      <c r="H3121" s="1">
        <f t="shared" si="432"/>
        <v>1.0399999999999991</v>
      </c>
      <c r="I3121" s="9">
        <f t="shared" si="439"/>
        <v>3.0961595713009795E-2</v>
      </c>
      <c r="J3121" s="1">
        <f t="shared" si="440"/>
        <v>-0.78999999999999915</v>
      </c>
      <c r="K3121" s="9">
        <f t="shared" si="433"/>
        <v>-2.2898550724637656E-2</v>
      </c>
      <c r="L3121" s="1">
        <f t="shared" si="434"/>
        <v>1</v>
      </c>
      <c r="M3121" s="1">
        <f t="shared" si="435"/>
        <v>34.630000000000003</v>
      </c>
      <c r="N3121" s="1">
        <f t="shared" si="436"/>
        <v>33.590000000000003</v>
      </c>
      <c r="O3121" s="1">
        <f t="shared" si="437"/>
        <v>31.75</v>
      </c>
      <c r="P3121" s="1">
        <f t="shared" si="438"/>
        <v>16.198979591836736</v>
      </c>
    </row>
    <row r="3122" spans="1:16">
      <c r="A3122" s="2">
        <v>38530</v>
      </c>
      <c r="B3122" s="1">
        <v>34.909999999999997</v>
      </c>
      <c r="C3122" s="1">
        <v>35.049999999999997</v>
      </c>
      <c r="D3122" s="1">
        <v>34.17</v>
      </c>
      <c r="E3122" s="1">
        <v>34.5</v>
      </c>
      <c r="F3122" s="1">
        <v>4556300</v>
      </c>
      <c r="G3122" s="1">
        <v>34.5</v>
      </c>
      <c r="H3122" s="1">
        <f t="shared" si="432"/>
        <v>0.87999999999999545</v>
      </c>
      <c r="I3122" s="9">
        <f t="shared" si="439"/>
        <v>2.5753585016095856E-2</v>
      </c>
      <c r="J3122" s="1">
        <f t="shared" si="440"/>
        <v>-0.52000000000000313</v>
      </c>
      <c r="K3122" s="9">
        <f t="shared" si="433"/>
        <v>-1.4848657909765936E-2</v>
      </c>
      <c r="L3122" s="1">
        <f t="shared" si="434"/>
        <v>1</v>
      </c>
      <c r="M3122" s="1">
        <f t="shared" si="435"/>
        <v>35.049999999999997</v>
      </c>
      <c r="N3122" s="1">
        <f t="shared" si="436"/>
        <v>34.17</v>
      </c>
      <c r="O3122" s="1">
        <f t="shared" si="437"/>
        <v>32.54</v>
      </c>
      <c r="P3122" s="1">
        <f t="shared" si="438"/>
        <v>16.602040816326529</v>
      </c>
    </row>
    <row r="3123" spans="1:16">
      <c r="A3123" s="2">
        <v>38527</v>
      </c>
      <c r="B3123" s="1">
        <v>35.299999999999997</v>
      </c>
      <c r="C3123" s="1">
        <v>35.44</v>
      </c>
      <c r="D3123" s="1">
        <v>34.880000000000003</v>
      </c>
      <c r="E3123" s="1">
        <v>35.020000000000003</v>
      </c>
      <c r="F3123" s="1">
        <v>3675500</v>
      </c>
      <c r="G3123" s="1">
        <v>35.020000000000003</v>
      </c>
      <c r="H3123" s="1">
        <f t="shared" si="432"/>
        <v>0.55999999999999517</v>
      </c>
      <c r="I3123" s="9">
        <f t="shared" si="439"/>
        <v>1.6055045871559492E-2</v>
      </c>
      <c r="J3123" s="1">
        <f t="shared" si="440"/>
        <v>-0.40999999999999659</v>
      </c>
      <c r="K3123" s="9">
        <f t="shared" si="433"/>
        <v>-1.1572114027660079E-2</v>
      </c>
      <c r="L3123" s="1">
        <f t="shared" si="434"/>
        <v>1</v>
      </c>
      <c r="M3123" s="1">
        <f t="shared" si="435"/>
        <v>35.44</v>
      </c>
      <c r="N3123" s="1">
        <f t="shared" si="436"/>
        <v>34.880000000000003</v>
      </c>
      <c r="O3123" s="1">
        <f t="shared" si="437"/>
        <v>33.06</v>
      </c>
      <c r="P3123" s="1">
        <f t="shared" si="438"/>
        <v>16.867346938775512</v>
      </c>
    </row>
    <row r="3124" spans="1:16">
      <c r="A3124" s="2">
        <v>38526</v>
      </c>
      <c r="B3124" s="1">
        <v>35.14</v>
      </c>
      <c r="C3124" s="1">
        <v>35.56</v>
      </c>
      <c r="D3124" s="1">
        <v>35.1</v>
      </c>
      <c r="E3124" s="1">
        <v>35.43</v>
      </c>
      <c r="F3124" s="1">
        <v>5302200</v>
      </c>
      <c r="G3124" s="1">
        <v>35.43</v>
      </c>
      <c r="H3124" s="1">
        <f t="shared" si="432"/>
        <v>0.46000000000000085</v>
      </c>
      <c r="I3124" s="9">
        <f t="shared" si="439"/>
        <v>1.3105413105413129E-2</v>
      </c>
      <c r="J3124" s="1">
        <f t="shared" si="440"/>
        <v>0.21000000000000085</v>
      </c>
      <c r="K3124" s="9">
        <f t="shared" si="433"/>
        <v>5.9625212947189343E-3</v>
      </c>
      <c r="L3124" s="1">
        <f t="shared" si="434"/>
        <v>1</v>
      </c>
      <c r="M3124" s="1">
        <f t="shared" si="435"/>
        <v>35.56</v>
      </c>
      <c r="N3124" s="1">
        <f t="shared" si="436"/>
        <v>35.1</v>
      </c>
      <c r="O3124" s="1">
        <f t="shared" si="437"/>
        <v>33.47</v>
      </c>
      <c r="P3124" s="1">
        <f t="shared" si="438"/>
        <v>17.076530612244898</v>
      </c>
    </row>
    <row r="3125" spans="1:16">
      <c r="A3125" s="2">
        <v>38525</v>
      </c>
      <c r="B3125" s="1">
        <v>35.5</v>
      </c>
      <c r="C3125" s="1">
        <v>35.85</v>
      </c>
      <c r="D3125" s="1">
        <v>35.14</v>
      </c>
      <c r="E3125" s="1">
        <v>35.22</v>
      </c>
      <c r="F3125" s="1">
        <v>2507300</v>
      </c>
      <c r="G3125" s="1">
        <v>35.22</v>
      </c>
      <c r="H3125" s="1">
        <f t="shared" si="432"/>
        <v>0.71000000000000085</v>
      </c>
      <c r="I3125" s="9">
        <f t="shared" si="439"/>
        <v>2.0204894706886762E-2</v>
      </c>
      <c r="J3125" s="1">
        <f t="shared" si="440"/>
        <v>-0.16000000000000369</v>
      </c>
      <c r="K3125" s="9">
        <f t="shared" si="433"/>
        <v>-4.5223289994348126E-3</v>
      </c>
      <c r="L3125" s="1">
        <f t="shared" si="434"/>
        <v>1</v>
      </c>
      <c r="M3125" s="1">
        <f t="shared" si="435"/>
        <v>35.85</v>
      </c>
      <c r="N3125" s="1">
        <f t="shared" si="436"/>
        <v>35.14</v>
      </c>
      <c r="O3125" s="1">
        <f t="shared" si="437"/>
        <v>33.26</v>
      </c>
      <c r="P3125" s="1">
        <f t="shared" si="438"/>
        <v>16.969387755102041</v>
      </c>
    </row>
    <row r="3126" spans="1:16">
      <c r="A3126" s="2">
        <v>38524</v>
      </c>
      <c r="B3126" s="1">
        <v>35.6</v>
      </c>
      <c r="C3126" s="1">
        <v>35.81</v>
      </c>
      <c r="D3126" s="1">
        <v>35.28</v>
      </c>
      <c r="E3126" s="1">
        <v>35.380000000000003</v>
      </c>
      <c r="F3126" s="1">
        <v>4457100</v>
      </c>
      <c r="G3126" s="1">
        <v>35.380000000000003</v>
      </c>
      <c r="H3126" s="1">
        <f t="shared" si="432"/>
        <v>0.53000000000000114</v>
      </c>
      <c r="I3126" s="9">
        <f t="shared" si="439"/>
        <v>1.5022675736961482E-2</v>
      </c>
      <c r="J3126" s="1">
        <f t="shared" si="440"/>
        <v>-0.30999999999999517</v>
      </c>
      <c r="K3126" s="9">
        <f t="shared" si="433"/>
        <v>-8.6859064163629929E-3</v>
      </c>
      <c r="L3126" s="1">
        <f t="shared" si="434"/>
        <v>1</v>
      </c>
      <c r="M3126" s="1">
        <f t="shared" si="435"/>
        <v>35.81</v>
      </c>
      <c r="N3126" s="1">
        <f t="shared" si="436"/>
        <v>35.28</v>
      </c>
      <c r="O3126" s="1">
        <f t="shared" si="437"/>
        <v>33.42</v>
      </c>
      <c r="P3126" s="1">
        <f t="shared" si="438"/>
        <v>17.051020408163268</v>
      </c>
    </row>
    <row r="3127" spans="1:16">
      <c r="A3127" s="2">
        <v>38523</v>
      </c>
      <c r="B3127" s="1">
        <v>35.049999999999997</v>
      </c>
      <c r="C3127" s="1">
        <v>35.97</v>
      </c>
      <c r="D3127" s="1">
        <v>35.04</v>
      </c>
      <c r="E3127" s="1">
        <v>35.69</v>
      </c>
      <c r="F3127" s="1">
        <v>5097300</v>
      </c>
      <c r="G3127" s="1">
        <v>35.69</v>
      </c>
      <c r="H3127" s="1">
        <f t="shared" si="432"/>
        <v>0.92999999999999972</v>
      </c>
      <c r="I3127" s="9">
        <f t="shared" si="439"/>
        <v>2.654109589041095E-2</v>
      </c>
      <c r="J3127" s="1">
        <f t="shared" si="440"/>
        <v>0.37999999999999545</v>
      </c>
      <c r="K3127" s="9">
        <f t="shared" si="433"/>
        <v>1.0761823845935867E-2</v>
      </c>
      <c r="L3127" s="1">
        <f t="shared" si="434"/>
        <v>1</v>
      </c>
      <c r="M3127" s="1">
        <f t="shared" si="435"/>
        <v>35.97</v>
      </c>
      <c r="N3127" s="1">
        <f t="shared" si="436"/>
        <v>35.04</v>
      </c>
      <c r="O3127" s="1">
        <f t="shared" si="437"/>
        <v>33.729999999999997</v>
      </c>
      <c r="P3127" s="1">
        <f t="shared" si="438"/>
        <v>17.209183673469386</v>
      </c>
    </row>
    <row r="3128" spans="1:16">
      <c r="A3128" s="2">
        <v>38520</v>
      </c>
      <c r="B3128" s="1">
        <v>35.89</v>
      </c>
      <c r="C3128" s="1">
        <v>36.07</v>
      </c>
      <c r="D3128" s="1">
        <v>35.159999999999997</v>
      </c>
      <c r="E3128" s="1">
        <v>35.31</v>
      </c>
      <c r="F3128" s="1">
        <v>4826100</v>
      </c>
      <c r="G3128" s="1">
        <v>35.31</v>
      </c>
      <c r="H3128" s="1">
        <f t="shared" si="432"/>
        <v>0.91000000000000369</v>
      </c>
      <c r="I3128" s="9">
        <f t="shared" si="439"/>
        <v>2.5881683731513189E-2</v>
      </c>
      <c r="J3128" s="1">
        <f t="shared" si="440"/>
        <v>-0.26999999999999602</v>
      </c>
      <c r="K3128" s="9">
        <f t="shared" si="433"/>
        <v>-7.5885328836423844E-3</v>
      </c>
      <c r="L3128" s="1">
        <f t="shared" si="434"/>
        <v>1</v>
      </c>
      <c r="M3128" s="1">
        <f t="shared" si="435"/>
        <v>36.07</v>
      </c>
      <c r="N3128" s="1">
        <f t="shared" si="436"/>
        <v>35.159999999999997</v>
      </c>
      <c r="O3128" s="1">
        <f t="shared" si="437"/>
        <v>33.35</v>
      </c>
      <c r="P3128" s="1">
        <f t="shared" si="438"/>
        <v>17.01530612244898</v>
      </c>
    </row>
    <row r="3129" spans="1:16">
      <c r="A3129" s="2">
        <v>38519</v>
      </c>
      <c r="B3129" s="1">
        <v>35.200000000000003</v>
      </c>
      <c r="C3129" s="1">
        <v>35.81</v>
      </c>
      <c r="D3129" s="1">
        <v>35.159999999999997</v>
      </c>
      <c r="E3129" s="1">
        <v>35.58</v>
      </c>
      <c r="F3129" s="1">
        <v>4205500</v>
      </c>
      <c r="G3129" s="1">
        <v>35.58</v>
      </c>
      <c r="H3129" s="1">
        <f t="shared" si="432"/>
        <v>0.65000000000000568</v>
      </c>
      <c r="I3129" s="9">
        <f t="shared" si="439"/>
        <v>1.8486916951080939E-2</v>
      </c>
      <c r="J3129" s="1">
        <f t="shared" si="440"/>
        <v>0.33999999999999631</v>
      </c>
      <c r="K3129" s="9">
        <f t="shared" si="433"/>
        <v>9.648127128263231E-3</v>
      </c>
      <c r="L3129" s="1">
        <f t="shared" si="434"/>
        <v>1</v>
      </c>
      <c r="M3129" s="1">
        <f t="shared" si="435"/>
        <v>35.81</v>
      </c>
      <c r="N3129" s="1">
        <f t="shared" si="436"/>
        <v>35.159999999999997</v>
      </c>
      <c r="O3129" s="1">
        <f t="shared" si="437"/>
        <v>33.619999999999997</v>
      </c>
      <c r="P3129" s="1">
        <f t="shared" si="438"/>
        <v>17.153061224489797</v>
      </c>
    </row>
    <row r="3130" spans="1:16">
      <c r="A3130" s="2">
        <v>38518</v>
      </c>
      <c r="B3130" s="1">
        <v>35.340000000000003</v>
      </c>
      <c r="C3130" s="1">
        <v>35.409999999999997</v>
      </c>
      <c r="D3130" s="1">
        <v>34.520000000000003</v>
      </c>
      <c r="E3130" s="1">
        <v>35.24</v>
      </c>
      <c r="F3130" s="1">
        <v>5151800</v>
      </c>
      <c r="G3130" s="1">
        <v>35.24</v>
      </c>
      <c r="H3130" s="1">
        <f t="shared" si="432"/>
        <v>0.88999999999999346</v>
      </c>
      <c r="I3130" s="9">
        <f t="shared" si="439"/>
        <v>2.5782155272305717E-2</v>
      </c>
      <c r="J3130" s="1">
        <f t="shared" si="440"/>
        <v>0.20000000000000284</v>
      </c>
      <c r="K3130" s="9">
        <f t="shared" si="433"/>
        <v>5.7077625570777068E-3</v>
      </c>
      <c r="L3130" s="1">
        <f t="shared" si="434"/>
        <v>1</v>
      </c>
      <c r="M3130" s="1">
        <f t="shared" si="435"/>
        <v>35.409999999999997</v>
      </c>
      <c r="N3130" s="1">
        <f t="shared" si="436"/>
        <v>34.520000000000003</v>
      </c>
      <c r="O3130" s="1">
        <f t="shared" si="437"/>
        <v>33.28</v>
      </c>
      <c r="P3130" s="1">
        <f t="shared" si="438"/>
        <v>16.979591836734695</v>
      </c>
    </row>
    <row r="3131" spans="1:16">
      <c r="A3131" s="2">
        <v>38517</v>
      </c>
      <c r="B3131" s="1">
        <v>34.82</v>
      </c>
      <c r="C3131" s="1">
        <v>35.17</v>
      </c>
      <c r="D3131" s="1">
        <v>34.79</v>
      </c>
      <c r="E3131" s="1">
        <v>35.04</v>
      </c>
      <c r="F3131" s="1">
        <v>3634400</v>
      </c>
      <c r="G3131" s="1">
        <v>35.04</v>
      </c>
      <c r="H3131" s="1">
        <f t="shared" si="432"/>
        <v>0.38000000000000256</v>
      </c>
      <c r="I3131" s="9">
        <f t="shared" si="439"/>
        <v>1.0922678930727294E-2</v>
      </c>
      <c r="J3131" s="1">
        <f t="shared" si="440"/>
        <v>0.17000000000000171</v>
      </c>
      <c r="K3131" s="9">
        <f t="shared" si="433"/>
        <v>4.8752509320333154E-3</v>
      </c>
      <c r="L3131" s="1">
        <f t="shared" si="434"/>
        <v>1</v>
      </c>
      <c r="M3131" s="1">
        <f t="shared" si="435"/>
        <v>35.17</v>
      </c>
      <c r="N3131" s="1">
        <f t="shared" si="436"/>
        <v>34.79</v>
      </c>
      <c r="O3131" s="1">
        <f t="shared" si="437"/>
        <v>33.08</v>
      </c>
      <c r="P3131" s="1">
        <f t="shared" si="438"/>
        <v>16.877551020408163</v>
      </c>
    </row>
    <row r="3132" spans="1:16">
      <c r="A3132" s="2">
        <v>38516</v>
      </c>
      <c r="B3132" s="1">
        <v>34.67</v>
      </c>
      <c r="C3132" s="1">
        <v>35.409999999999997</v>
      </c>
      <c r="D3132" s="1">
        <v>34.65</v>
      </c>
      <c r="E3132" s="1">
        <v>34.869999999999997</v>
      </c>
      <c r="F3132" s="1">
        <v>3912000</v>
      </c>
      <c r="G3132" s="1">
        <v>34.869999999999997</v>
      </c>
      <c r="H3132" s="1">
        <f t="shared" si="432"/>
        <v>0.75999999999999801</v>
      </c>
      <c r="I3132" s="9">
        <f t="shared" si="439"/>
        <v>2.1933621933621878E-2</v>
      </c>
      <c r="J3132" s="1">
        <f t="shared" si="440"/>
        <v>-8.00000000000054E-2</v>
      </c>
      <c r="K3132" s="9">
        <f t="shared" si="433"/>
        <v>-2.2889842632333444E-3</v>
      </c>
      <c r="L3132" s="1">
        <f t="shared" si="434"/>
        <v>1</v>
      </c>
      <c r="M3132" s="1">
        <f t="shared" si="435"/>
        <v>35.409999999999997</v>
      </c>
      <c r="N3132" s="1">
        <f t="shared" si="436"/>
        <v>34.65</v>
      </c>
      <c r="O3132" s="1">
        <f t="shared" si="437"/>
        <v>32.909999999999997</v>
      </c>
      <c r="P3132" s="1">
        <f t="shared" si="438"/>
        <v>16.79081632653061</v>
      </c>
    </row>
    <row r="3133" spans="1:16">
      <c r="A3133" s="2">
        <v>38513</v>
      </c>
      <c r="B3133" s="1">
        <v>35.25</v>
      </c>
      <c r="C3133" s="1">
        <v>35.29</v>
      </c>
      <c r="D3133" s="1">
        <v>34.47</v>
      </c>
      <c r="E3133" s="1">
        <v>34.950000000000003</v>
      </c>
      <c r="F3133" s="1">
        <v>3467500</v>
      </c>
      <c r="G3133" s="1">
        <v>34.950000000000003</v>
      </c>
      <c r="H3133" s="1">
        <f t="shared" si="432"/>
        <v>0.82000000000000028</v>
      </c>
      <c r="I3133" s="9">
        <f t="shared" si="439"/>
        <v>2.3788801856686984E-2</v>
      </c>
      <c r="J3133" s="1">
        <f t="shared" si="440"/>
        <v>-0.25</v>
      </c>
      <c r="K3133" s="9">
        <f t="shared" si="433"/>
        <v>-7.102272727272727E-3</v>
      </c>
      <c r="L3133" s="1">
        <f t="shared" si="434"/>
        <v>1</v>
      </c>
      <c r="M3133" s="1">
        <f t="shared" si="435"/>
        <v>35.29</v>
      </c>
      <c r="N3133" s="1">
        <f t="shared" si="436"/>
        <v>34.47</v>
      </c>
      <c r="O3133" s="1">
        <f t="shared" si="437"/>
        <v>32.99</v>
      </c>
      <c r="P3133" s="1">
        <f t="shared" si="438"/>
        <v>16.831632653061227</v>
      </c>
    </row>
    <row r="3134" spans="1:16">
      <c r="A3134" s="2">
        <v>38512</v>
      </c>
      <c r="B3134" s="1">
        <v>34.93</v>
      </c>
      <c r="C3134" s="1">
        <v>35.28</v>
      </c>
      <c r="D3134" s="1">
        <v>34.4</v>
      </c>
      <c r="E3134" s="1">
        <v>35.200000000000003</v>
      </c>
      <c r="F3134" s="1">
        <v>3872500</v>
      </c>
      <c r="G3134" s="1">
        <v>35.200000000000003</v>
      </c>
      <c r="H3134" s="1">
        <f t="shared" si="432"/>
        <v>0.88000000000000256</v>
      </c>
      <c r="I3134" s="9">
        <f t="shared" si="439"/>
        <v>2.5581395348837285E-2</v>
      </c>
      <c r="J3134" s="1">
        <f t="shared" si="440"/>
        <v>0.37000000000000455</v>
      </c>
      <c r="K3134" s="9">
        <f t="shared" si="433"/>
        <v>1.0623026126902227E-2</v>
      </c>
      <c r="L3134" s="1">
        <f t="shared" si="434"/>
        <v>1</v>
      </c>
      <c r="M3134" s="1">
        <f t="shared" si="435"/>
        <v>35.28</v>
      </c>
      <c r="N3134" s="1">
        <f t="shared" si="436"/>
        <v>34.4</v>
      </c>
      <c r="O3134" s="1">
        <f t="shared" si="437"/>
        <v>33.24</v>
      </c>
      <c r="P3134" s="1">
        <f t="shared" si="438"/>
        <v>16.95918367346939</v>
      </c>
    </row>
    <row r="3135" spans="1:16">
      <c r="A3135" s="2">
        <v>38511</v>
      </c>
      <c r="B3135" s="1">
        <v>35.4</v>
      </c>
      <c r="C3135" s="1">
        <v>35.479999999999997</v>
      </c>
      <c r="D3135" s="1">
        <v>34.799999999999997</v>
      </c>
      <c r="E3135" s="1">
        <v>34.83</v>
      </c>
      <c r="F3135" s="1">
        <v>5314100</v>
      </c>
      <c r="G3135" s="1">
        <v>34.83</v>
      </c>
      <c r="H3135" s="1">
        <f t="shared" si="432"/>
        <v>0.67999999999999972</v>
      </c>
      <c r="I3135" s="9">
        <f t="shared" si="439"/>
        <v>1.9540229885057464E-2</v>
      </c>
      <c r="J3135" s="1">
        <f t="shared" si="440"/>
        <v>-0.52000000000000313</v>
      </c>
      <c r="K3135" s="9">
        <f t="shared" si="433"/>
        <v>-1.4710042432814797E-2</v>
      </c>
      <c r="L3135" s="1">
        <f t="shared" si="434"/>
        <v>1</v>
      </c>
      <c r="M3135" s="1">
        <f t="shared" si="435"/>
        <v>35.479999999999997</v>
      </c>
      <c r="N3135" s="1">
        <f t="shared" si="436"/>
        <v>34.799999999999997</v>
      </c>
      <c r="O3135" s="1">
        <f t="shared" si="437"/>
        <v>32.869999999999997</v>
      </c>
      <c r="P3135" s="1">
        <f t="shared" si="438"/>
        <v>16.770408163265305</v>
      </c>
    </row>
    <row r="3136" spans="1:16">
      <c r="A3136" s="2">
        <v>38510</v>
      </c>
      <c r="B3136" s="1">
        <v>35.909999999999997</v>
      </c>
      <c r="C3136" s="1">
        <v>36.200000000000003</v>
      </c>
      <c r="D3136" s="1">
        <v>35.29</v>
      </c>
      <c r="E3136" s="1">
        <v>35.35</v>
      </c>
      <c r="F3136" s="1">
        <v>4884800</v>
      </c>
      <c r="G3136" s="1">
        <v>35.35</v>
      </c>
      <c r="H3136" s="1">
        <f t="shared" si="432"/>
        <v>0.91000000000000369</v>
      </c>
      <c r="I3136" s="9">
        <f t="shared" si="439"/>
        <v>2.5786341739869757E-2</v>
      </c>
      <c r="J3136" s="1">
        <f t="shared" si="440"/>
        <v>-0.42000000000000171</v>
      </c>
      <c r="K3136" s="9">
        <f t="shared" si="433"/>
        <v>-1.1741682974559733E-2</v>
      </c>
      <c r="L3136" s="1">
        <f t="shared" si="434"/>
        <v>1</v>
      </c>
      <c r="M3136" s="1">
        <f t="shared" si="435"/>
        <v>36.200000000000003</v>
      </c>
      <c r="N3136" s="1">
        <f t="shared" si="436"/>
        <v>35.29</v>
      </c>
      <c r="O3136" s="1">
        <f t="shared" si="437"/>
        <v>33.39</v>
      </c>
      <c r="P3136" s="1">
        <f t="shared" si="438"/>
        <v>17.035714285714285</v>
      </c>
    </row>
    <row r="3137" spans="1:16">
      <c r="A3137" s="2">
        <v>38509</v>
      </c>
      <c r="B3137" s="1">
        <v>35.54</v>
      </c>
      <c r="C3137" s="1">
        <v>36.020000000000003</v>
      </c>
      <c r="D3137" s="1">
        <v>35.479999999999997</v>
      </c>
      <c r="E3137" s="1">
        <v>35.770000000000003</v>
      </c>
      <c r="F3137" s="1">
        <v>3881500</v>
      </c>
      <c r="G3137" s="1">
        <v>35.770000000000003</v>
      </c>
      <c r="H3137" s="1">
        <f t="shared" si="432"/>
        <v>0.54000000000000625</v>
      </c>
      <c r="I3137" s="9">
        <f t="shared" si="439"/>
        <v>1.5219842164599953E-2</v>
      </c>
      <c r="J3137" s="1">
        <f t="shared" si="440"/>
        <v>0.17999999999999972</v>
      </c>
      <c r="K3137" s="9">
        <f t="shared" si="433"/>
        <v>5.0576004495644757E-3</v>
      </c>
      <c r="L3137" s="1">
        <f t="shared" si="434"/>
        <v>1</v>
      </c>
      <c r="M3137" s="1">
        <f t="shared" si="435"/>
        <v>36.020000000000003</v>
      </c>
      <c r="N3137" s="1">
        <f t="shared" si="436"/>
        <v>35.479999999999997</v>
      </c>
      <c r="O3137" s="1">
        <f t="shared" si="437"/>
        <v>33.81</v>
      </c>
      <c r="P3137" s="1">
        <f t="shared" si="438"/>
        <v>17.25</v>
      </c>
    </row>
    <row r="3138" spans="1:16">
      <c r="A3138" s="2">
        <v>38506</v>
      </c>
      <c r="B3138" s="1">
        <v>36.46</v>
      </c>
      <c r="C3138" s="1">
        <v>36.5</v>
      </c>
      <c r="D3138" s="1">
        <v>35.32</v>
      </c>
      <c r="E3138" s="1">
        <v>35.590000000000003</v>
      </c>
      <c r="F3138" s="1">
        <v>4835900</v>
      </c>
      <c r="G3138" s="1">
        <v>35.590000000000003</v>
      </c>
      <c r="H3138" s="1">
        <f t="shared" si="432"/>
        <v>1.1799999999999997</v>
      </c>
      <c r="I3138" s="9">
        <f t="shared" si="439"/>
        <v>3.3408833522083799E-2</v>
      </c>
      <c r="J3138" s="1">
        <f t="shared" si="440"/>
        <v>-0.81999999999999318</v>
      </c>
      <c r="K3138" s="9">
        <f t="shared" si="433"/>
        <v>-2.252128536116433E-2</v>
      </c>
      <c r="L3138" s="1">
        <f t="shared" si="434"/>
        <v>1</v>
      </c>
      <c r="M3138" s="1">
        <f t="shared" si="435"/>
        <v>36.5</v>
      </c>
      <c r="N3138" s="1">
        <f t="shared" si="436"/>
        <v>35.32</v>
      </c>
      <c r="O3138" s="1">
        <f t="shared" si="437"/>
        <v>33.630000000000003</v>
      </c>
      <c r="P3138" s="1">
        <f t="shared" si="438"/>
        <v>17.158163265306126</v>
      </c>
    </row>
    <row r="3139" spans="1:16">
      <c r="A3139" s="2">
        <v>38505</v>
      </c>
      <c r="B3139" s="1">
        <v>36.33</v>
      </c>
      <c r="C3139" s="1">
        <v>36.909999999999997</v>
      </c>
      <c r="D3139" s="1">
        <v>36.21</v>
      </c>
      <c r="E3139" s="1">
        <v>36.409999999999997</v>
      </c>
      <c r="F3139" s="1">
        <v>4768300</v>
      </c>
      <c r="G3139" s="1">
        <v>36.409999999999997</v>
      </c>
      <c r="H3139" s="1">
        <f t="shared" ref="H3139:H3202" si="441">C3139-D3139</f>
        <v>0.69999999999999574</v>
      </c>
      <c r="I3139" s="9">
        <f t="shared" si="439"/>
        <v>1.9331676332504714E-2</v>
      </c>
      <c r="J3139" s="1">
        <f t="shared" si="440"/>
        <v>-9.0000000000003411E-2</v>
      </c>
      <c r="K3139" s="9">
        <f t="shared" ref="K3139:K3202" si="442">(G3139-G3140)/G3140</f>
        <v>-2.4657534246576279E-3</v>
      </c>
      <c r="L3139" s="1">
        <f t="shared" ref="L3139:L3202" si="443">G3139/E3139</f>
        <v>1</v>
      </c>
      <c r="M3139" s="1">
        <f t="shared" ref="M3139:M3202" si="444">L3139*C3139</f>
        <v>36.909999999999997</v>
      </c>
      <c r="N3139" s="1">
        <f t="shared" ref="N3139:N3202" si="445">L3139*D3139</f>
        <v>36.21</v>
      </c>
      <c r="O3139" s="1">
        <f t="shared" ref="O3139:O3202" si="446">G3139-$G$5163</f>
        <v>34.449999999999996</v>
      </c>
      <c r="P3139" s="1">
        <f t="shared" ref="P3139:P3202" si="447">(G3139-$G$5163)/$G$5163</f>
        <v>17.576530612244895</v>
      </c>
    </row>
    <row r="3140" spans="1:16">
      <c r="A3140" s="2">
        <v>38504</v>
      </c>
      <c r="B3140" s="1">
        <v>35.57</v>
      </c>
      <c r="C3140" s="1">
        <v>36.99</v>
      </c>
      <c r="D3140" s="1">
        <v>35.44</v>
      </c>
      <c r="E3140" s="1">
        <v>36.5</v>
      </c>
      <c r="F3140" s="1">
        <v>10320200</v>
      </c>
      <c r="G3140" s="1">
        <v>36.5</v>
      </c>
      <c r="H3140" s="1">
        <f t="shared" si="441"/>
        <v>1.5500000000000043</v>
      </c>
      <c r="I3140" s="9">
        <f t="shared" ref="I3140:I3203" si="448">(C3140-D3140)/D3140</f>
        <v>4.3735891647855657E-2</v>
      </c>
      <c r="J3140" s="1">
        <f t="shared" ref="J3140:J3203" si="449">G3140-G3141</f>
        <v>0.99000000000000199</v>
      </c>
      <c r="K3140" s="9">
        <f t="shared" si="442"/>
        <v>2.787947057167001E-2</v>
      </c>
      <c r="L3140" s="1">
        <f t="shared" si="443"/>
        <v>1</v>
      </c>
      <c r="M3140" s="1">
        <f t="shared" si="444"/>
        <v>36.99</v>
      </c>
      <c r="N3140" s="1">
        <f t="shared" si="445"/>
        <v>35.44</v>
      </c>
      <c r="O3140" s="1">
        <f t="shared" si="446"/>
        <v>34.54</v>
      </c>
      <c r="P3140" s="1">
        <f t="shared" si="447"/>
        <v>17.622448979591837</v>
      </c>
    </row>
    <row r="3141" spans="1:16">
      <c r="A3141" s="2">
        <v>38503</v>
      </c>
      <c r="B3141" s="1">
        <v>35.36</v>
      </c>
      <c r="C3141" s="1">
        <v>36.04</v>
      </c>
      <c r="D3141" s="1">
        <v>35.29</v>
      </c>
      <c r="E3141" s="1">
        <v>35.51</v>
      </c>
      <c r="F3141" s="1">
        <v>4930200</v>
      </c>
      <c r="G3141" s="1">
        <v>35.51</v>
      </c>
      <c r="H3141" s="1">
        <f t="shared" si="441"/>
        <v>0.75</v>
      </c>
      <c r="I3141" s="9">
        <f t="shared" si="448"/>
        <v>2.1252479455936526E-2</v>
      </c>
      <c r="J3141" s="1">
        <f t="shared" si="449"/>
        <v>9.9999999999980105E-3</v>
      </c>
      <c r="K3141" s="9">
        <f t="shared" si="442"/>
        <v>2.8169014084501438E-4</v>
      </c>
      <c r="L3141" s="1">
        <f t="shared" si="443"/>
        <v>1</v>
      </c>
      <c r="M3141" s="1">
        <f t="shared" si="444"/>
        <v>36.04</v>
      </c>
      <c r="N3141" s="1">
        <f t="shared" si="445"/>
        <v>35.29</v>
      </c>
      <c r="O3141" s="1">
        <f t="shared" si="446"/>
        <v>33.549999999999997</v>
      </c>
      <c r="P3141" s="1">
        <f t="shared" si="447"/>
        <v>17.117346938775508</v>
      </c>
    </row>
    <row r="3142" spans="1:16">
      <c r="A3142" s="2">
        <v>38499</v>
      </c>
      <c r="B3142" s="1">
        <v>35.22</v>
      </c>
      <c r="C3142" s="1">
        <v>35.549999999999997</v>
      </c>
      <c r="D3142" s="1">
        <v>35.15</v>
      </c>
      <c r="E3142" s="1">
        <v>35.5</v>
      </c>
      <c r="F3142" s="1">
        <v>3287100</v>
      </c>
      <c r="G3142" s="1">
        <v>35.5</v>
      </c>
      <c r="H3142" s="1">
        <f t="shared" si="441"/>
        <v>0.39999999999999858</v>
      </c>
      <c r="I3142" s="9">
        <f t="shared" si="448"/>
        <v>1.1379800853485025E-2</v>
      </c>
      <c r="J3142" s="1">
        <f t="shared" si="449"/>
        <v>4.9999999999997158E-2</v>
      </c>
      <c r="K3142" s="9">
        <f t="shared" si="442"/>
        <v>1.4104372355429381E-3</v>
      </c>
      <c r="L3142" s="1">
        <f t="shared" si="443"/>
        <v>1</v>
      </c>
      <c r="M3142" s="1">
        <f t="shared" si="444"/>
        <v>35.549999999999997</v>
      </c>
      <c r="N3142" s="1">
        <f t="shared" si="445"/>
        <v>35.15</v>
      </c>
      <c r="O3142" s="1">
        <f t="shared" si="446"/>
        <v>33.54</v>
      </c>
      <c r="P3142" s="1">
        <f t="shared" si="447"/>
        <v>17.112244897959183</v>
      </c>
    </row>
    <row r="3143" spans="1:16">
      <c r="A3143" s="2">
        <v>38498</v>
      </c>
      <c r="B3143" s="1">
        <v>35.28</v>
      </c>
      <c r="C3143" s="1">
        <v>35.68</v>
      </c>
      <c r="D3143" s="1">
        <v>35.17</v>
      </c>
      <c r="E3143" s="1">
        <v>35.450000000000003</v>
      </c>
      <c r="F3143" s="1">
        <v>4787100</v>
      </c>
      <c r="G3143" s="1">
        <v>35.450000000000003</v>
      </c>
      <c r="H3143" s="1">
        <f t="shared" si="441"/>
        <v>0.50999999999999801</v>
      </c>
      <c r="I3143" s="9">
        <f t="shared" si="448"/>
        <v>1.4500995166334888E-2</v>
      </c>
      <c r="J3143" s="1">
        <f t="shared" si="449"/>
        <v>0.20000000000000284</v>
      </c>
      <c r="K3143" s="9">
        <f t="shared" si="442"/>
        <v>5.673758865248308E-3</v>
      </c>
      <c r="L3143" s="1">
        <f t="shared" si="443"/>
        <v>1</v>
      </c>
      <c r="M3143" s="1">
        <f t="shared" si="444"/>
        <v>35.68</v>
      </c>
      <c r="N3143" s="1">
        <f t="shared" si="445"/>
        <v>35.17</v>
      </c>
      <c r="O3143" s="1">
        <f t="shared" si="446"/>
        <v>33.49</v>
      </c>
      <c r="P3143" s="1">
        <f t="shared" si="447"/>
        <v>17.086734693877553</v>
      </c>
    </row>
    <row r="3144" spans="1:16">
      <c r="A3144" s="2">
        <v>38497</v>
      </c>
      <c r="B3144" s="1">
        <v>35.270000000000003</v>
      </c>
      <c r="C3144" s="1">
        <v>35.450000000000003</v>
      </c>
      <c r="D3144" s="1">
        <v>35.19</v>
      </c>
      <c r="E3144" s="1">
        <v>35.25</v>
      </c>
      <c r="F3144" s="1">
        <v>3872900</v>
      </c>
      <c r="G3144" s="1">
        <v>35.25</v>
      </c>
      <c r="H3144" s="1">
        <f t="shared" si="441"/>
        <v>0.26000000000000512</v>
      </c>
      <c r="I3144" s="9">
        <f t="shared" si="448"/>
        <v>7.3884626314295295E-3</v>
      </c>
      <c r="J3144" s="1">
        <f t="shared" si="449"/>
        <v>-0.28999999999999915</v>
      </c>
      <c r="K3144" s="9">
        <f t="shared" si="442"/>
        <v>-8.1598199212155088E-3</v>
      </c>
      <c r="L3144" s="1">
        <f t="shared" si="443"/>
        <v>1</v>
      </c>
      <c r="M3144" s="1">
        <f t="shared" si="444"/>
        <v>35.450000000000003</v>
      </c>
      <c r="N3144" s="1">
        <f t="shared" si="445"/>
        <v>35.19</v>
      </c>
      <c r="O3144" s="1">
        <f t="shared" si="446"/>
        <v>33.29</v>
      </c>
      <c r="P3144" s="1">
        <f t="shared" si="447"/>
        <v>16.98469387755102</v>
      </c>
    </row>
    <row r="3145" spans="1:16">
      <c r="A3145" s="2">
        <v>38496</v>
      </c>
      <c r="B3145" s="1">
        <v>35.479999999999997</v>
      </c>
      <c r="C3145" s="1">
        <v>35.57</v>
      </c>
      <c r="D3145" s="1">
        <v>35.130000000000003</v>
      </c>
      <c r="E3145" s="1">
        <v>35.54</v>
      </c>
      <c r="F3145" s="1">
        <v>5914600</v>
      </c>
      <c r="G3145" s="1">
        <v>35.54</v>
      </c>
      <c r="H3145" s="1">
        <f t="shared" si="441"/>
        <v>0.43999999999999773</v>
      </c>
      <c r="I3145" s="9">
        <f t="shared" si="448"/>
        <v>1.2524907486478727E-2</v>
      </c>
      <c r="J3145" s="1">
        <f t="shared" si="449"/>
        <v>-0.14000000000000057</v>
      </c>
      <c r="K3145" s="9">
        <f t="shared" si="442"/>
        <v>-3.9237668161435134E-3</v>
      </c>
      <c r="L3145" s="1">
        <f t="shared" si="443"/>
        <v>1</v>
      </c>
      <c r="M3145" s="1">
        <f t="shared" si="444"/>
        <v>35.57</v>
      </c>
      <c r="N3145" s="1">
        <f t="shared" si="445"/>
        <v>35.130000000000003</v>
      </c>
      <c r="O3145" s="1">
        <f t="shared" si="446"/>
        <v>33.58</v>
      </c>
      <c r="P3145" s="1">
        <f t="shared" si="447"/>
        <v>17.132653061224488</v>
      </c>
    </row>
    <row r="3146" spans="1:16">
      <c r="A3146" s="2">
        <v>38495</v>
      </c>
      <c r="B3146" s="1">
        <v>35.57</v>
      </c>
      <c r="C3146" s="1">
        <v>36.020000000000003</v>
      </c>
      <c r="D3146" s="1">
        <v>35.39</v>
      </c>
      <c r="E3146" s="1">
        <v>35.68</v>
      </c>
      <c r="F3146" s="1">
        <v>5701400</v>
      </c>
      <c r="G3146" s="1">
        <v>35.68</v>
      </c>
      <c r="H3146" s="1">
        <f t="shared" si="441"/>
        <v>0.63000000000000256</v>
      </c>
      <c r="I3146" s="9">
        <f t="shared" si="448"/>
        <v>1.7801638881039913E-2</v>
      </c>
      <c r="J3146" s="1">
        <f t="shared" si="449"/>
        <v>0.17999999999999972</v>
      </c>
      <c r="K3146" s="9">
        <f t="shared" si="442"/>
        <v>5.0704225352112596E-3</v>
      </c>
      <c r="L3146" s="1">
        <f t="shared" si="443"/>
        <v>1</v>
      </c>
      <c r="M3146" s="1">
        <f t="shared" si="444"/>
        <v>36.020000000000003</v>
      </c>
      <c r="N3146" s="1">
        <f t="shared" si="445"/>
        <v>35.39</v>
      </c>
      <c r="O3146" s="1">
        <f t="shared" si="446"/>
        <v>33.72</v>
      </c>
      <c r="P3146" s="1">
        <f t="shared" si="447"/>
        <v>17.204081632653061</v>
      </c>
    </row>
    <row r="3147" spans="1:16">
      <c r="A3147" s="2">
        <v>38492</v>
      </c>
      <c r="B3147" s="1">
        <v>35.450000000000003</v>
      </c>
      <c r="C3147" s="1">
        <v>35.6</v>
      </c>
      <c r="D3147" s="1">
        <v>34.96</v>
      </c>
      <c r="E3147" s="1">
        <v>35.5</v>
      </c>
      <c r="F3147" s="1">
        <v>5042800</v>
      </c>
      <c r="G3147" s="1">
        <v>35.5</v>
      </c>
      <c r="H3147" s="1">
        <f t="shared" si="441"/>
        <v>0.64000000000000057</v>
      </c>
      <c r="I3147" s="9">
        <f t="shared" si="448"/>
        <v>1.8306636155606425E-2</v>
      </c>
      <c r="J3147" s="1">
        <f t="shared" si="449"/>
        <v>-9.0000000000003411E-2</v>
      </c>
      <c r="K3147" s="9">
        <f t="shared" si="442"/>
        <v>-2.5288002247823376E-3</v>
      </c>
      <c r="L3147" s="1">
        <f t="shared" si="443"/>
        <v>1</v>
      </c>
      <c r="M3147" s="1">
        <f t="shared" si="444"/>
        <v>35.6</v>
      </c>
      <c r="N3147" s="1">
        <f t="shared" si="445"/>
        <v>34.96</v>
      </c>
      <c r="O3147" s="1">
        <f t="shared" si="446"/>
        <v>33.54</v>
      </c>
      <c r="P3147" s="1">
        <f t="shared" si="447"/>
        <v>17.112244897959183</v>
      </c>
    </row>
    <row r="3148" spans="1:16">
      <c r="A3148" s="2">
        <v>38491</v>
      </c>
      <c r="B3148" s="1">
        <v>35.369999999999997</v>
      </c>
      <c r="C3148" s="1">
        <v>35.909999999999997</v>
      </c>
      <c r="D3148" s="1">
        <v>35.33</v>
      </c>
      <c r="E3148" s="1">
        <v>35.590000000000003</v>
      </c>
      <c r="F3148" s="1">
        <v>5343500</v>
      </c>
      <c r="G3148" s="1">
        <v>35.590000000000003</v>
      </c>
      <c r="H3148" s="1">
        <f t="shared" si="441"/>
        <v>0.57999999999999829</v>
      </c>
      <c r="I3148" s="9">
        <f t="shared" si="448"/>
        <v>1.6416643079535758E-2</v>
      </c>
      <c r="J3148" s="1">
        <f t="shared" si="449"/>
        <v>0.26000000000000512</v>
      </c>
      <c r="K3148" s="9">
        <f t="shared" si="442"/>
        <v>7.3591848287575751E-3</v>
      </c>
      <c r="L3148" s="1">
        <f t="shared" si="443"/>
        <v>1</v>
      </c>
      <c r="M3148" s="1">
        <f t="shared" si="444"/>
        <v>35.909999999999997</v>
      </c>
      <c r="N3148" s="1">
        <f t="shared" si="445"/>
        <v>35.33</v>
      </c>
      <c r="O3148" s="1">
        <f t="shared" si="446"/>
        <v>33.630000000000003</v>
      </c>
      <c r="P3148" s="1">
        <f t="shared" si="447"/>
        <v>17.158163265306126</v>
      </c>
    </row>
    <row r="3149" spans="1:16">
      <c r="A3149" s="2">
        <v>38490</v>
      </c>
      <c r="B3149" s="1">
        <v>34.81</v>
      </c>
      <c r="C3149" s="1">
        <v>35.97</v>
      </c>
      <c r="D3149" s="1">
        <v>34.729999999999997</v>
      </c>
      <c r="E3149" s="1">
        <v>35.33</v>
      </c>
      <c r="F3149" s="1">
        <v>9557500</v>
      </c>
      <c r="G3149" s="1">
        <v>35.33</v>
      </c>
      <c r="H3149" s="1">
        <f t="shared" si="441"/>
        <v>1.240000000000002</v>
      </c>
      <c r="I3149" s="9">
        <f t="shared" si="448"/>
        <v>3.5704002303484077E-2</v>
      </c>
      <c r="J3149" s="1">
        <f t="shared" si="449"/>
        <v>0.60000000000000142</v>
      </c>
      <c r="K3149" s="9">
        <f t="shared" si="442"/>
        <v>1.727613014684715E-2</v>
      </c>
      <c r="L3149" s="1">
        <f t="shared" si="443"/>
        <v>1</v>
      </c>
      <c r="M3149" s="1">
        <f t="shared" si="444"/>
        <v>35.97</v>
      </c>
      <c r="N3149" s="1">
        <f t="shared" si="445"/>
        <v>34.729999999999997</v>
      </c>
      <c r="O3149" s="1">
        <f t="shared" si="446"/>
        <v>33.369999999999997</v>
      </c>
      <c r="P3149" s="1">
        <f t="shared" si="447"/>
        <v>17.02551020408163</v>
      </c>
    </row>
    <row r="3150" spans="1:16">
      <c r="A3150" s="2">
        <v>38489</v>
      </c>
      <c r="B3150" s="1">
        <v>34.450000000000003</v>
      </c>
      <c r="C3150" s="1">
        <v>34.82</v>
      </c>
      <c r="D3150" s="1">
        <v>34.090000000000003</v>
      </c>
      <c r="E3150" s="1">
        <v>34.729999999999997</v>
      </c>
      <c r="F3150" s="1">
        <v>3315700</v>
      </c>
      <c r="G3150" s="1">
        <v>34.729999999999997</v>
      </c>
      <c r="H3150" s="1">
        <f t="shared" si="441"/>
        <v>0.72999999999999687</v>
      </c>
      <c r="I3150" s="9">
        <f t="shared" si="448"/>
        <v>2.1413904370783127E-2</v>
      </c>
      <c r="J3150" s="1">
        <f t="shared" si="449"/>
        <v>0.18999999999999773</v>
      </c>
      <c r="K3150" s="9">
        <f t="shared" si="442"/>
        <v>5.5008685581933335E-3</v>
      </c>
      <c r="L3150" s="1">
        <f t="shared" si="443"/>
        <v>1</v>
      </c>
      <c r="M3150" s="1">
        <f t="shared" si="444"/>
        <v>34.82</v>
      </c>
      <c r="N3150" s="1">
        <f t="shared" si="445"/>
        <v>34.090000000000003</v>
      </c>
      <c r="O3150" s="1">
        <f t="shared" si="446"/>
        <v>32.769999999999996</v>
      </c>
      <c r="P3150" s="1">
        <f t="shared" si="447"/>
        <v>16.719387755102041</v>
      </c>
    </row>
    <row r="3151" spans="1:16">
      <c r="A3151" s="2">
        <v>38488</v>
      </c>
      <c r="B3151" s="1">
        <v>34.03</v>
      </c>
      <c r="C3151" s="1">
        <v>34.770000000000003</v>
      </c>
      <c r="D3151" s="1">
        <v>33.92</v>
      </c>
      <c r="E3151" s="1">
        <v>34.54</v>
      </c>
      <c r="F3151" s="1">
        <v>4280700</v>
      </c>
      <c r="G3151" s="1">
        <v>34.54</v>
      </c>
      <c r="H3151" s="1">
        <f t="shared" si="441"/>
        <v>0.85000000000000142</v>
      </c>
      <c r="I3151" s="9">
        <f t="shared" si="448"/>
        <v>2.5058962264150983E-2</v>
      </c>
      <c r="J3151" s="1">
        <f t="shared" si="449"/>
        <v>0.64000000000000057</v>
      </c>
      <c r="K3151" s="9">
        <f t="shared" si="442"/>
        <v>1.8879056047197657E-2</v>
      </c>
      <c r="L3151" s="1">
        <f t="shared" si="443"/>
        <v>1</v>
      </c>
      <c r="M3151" s="1">
        <f t="shared" si="444"/>
        <v>34.770000000000003</v>
      </c>
      <c r="N3151" s="1">
        <f t="shared" si="445"/>
        <v>33.92</v>
      </c>
      <c r="O3151" s="1">
        <f t="shared" si="446"/>
        <v>32.58</v>
      </c>
      <c r="P3151" s="1">
        <f t="shared" si="447"/>
        <v>16.622448979591837</v>
      </c>
    </row>
    <row r="3152" spans="1:16">
      <c r="A3152" s="2">
        <v>38485</v>
      </c>
      <c r="B3152" s="1">
        <v>33.99</v>
      </c>
      <c r="C3152" s="1">
        <v>34.35</v>
      </c>
      <c r="D3152" s="1">
        <v>33.799999999999997</v>
      </c>
      <c r="E3152" s="1">
        <v>33.9</v>
      </c>
      <c r="F3152" s="1">
        <v>3991800</v>
      </c>
      <c r="G3152" s="1">
        <v>33.9</v>
      </c>
      <c r="H3152" s="1">
        <f t="shared" si="441"/>
        <v>0.55000000000000426</v>
      </c>
      <c r="I3152" s="9">
        <f t="shared" si="448"/>
        <v>1.6272189349112554E-2</v>
      </c>
      <c r="J3152" s="1">
        <f t="shared" si="449"/>
        <v>4.9999999999997158E-2</v>
      </c>
      <c r="K3152" s="9">
        <f t="shared" si="442"/>
        <v>1.4771048744460016E-3</v>
      </c>
      <c r="L3152" s="1">
        <f t="shared" si="443"/>
        <v>1</v>
      </c>
      <c r="M3152" s="1">
        <f t="shared" si="444"/>
        <v>34.35</v>
      </c>
      <c r="N3152" s="1">
        <f t="shared" si="445"/>
        <v>33.799999999999997</v>
      </c>
      <c r="O3152" s="1">
        <f t="shared" si="446"/>
        <v>31.939999999999998</v>
      </c>
      <c r="P3152" s="1">
        <f t="shared" si="447"/>
        <v>16.295918367346939</v>
      </c>
    </row>
    <row r="3153" spans="1:16">
      <c r="A3153" s="2">
        <v>38484</v>
      </c>
      <c r="B3153" s="1">
        <v>33.700000000000003</v>
      </c>
      <c r="C3153" s="1">
        <v>34.119999999999997</v>
      </c>
      <c r="D3153" s="1">
        <v>33.549999999999997</v>
      </c>
      <c r="E3153" s="1">
        <v>33.85</v>
      </c>
      <c r="F3153" s="1">
        <v>6005000</v>
      </c>
      <c r="G3153" s="1">
        <v>33.85</v>
      </c>
      <c r="H3153" s="1">
        <f t="shared" si="441"/>
        <v>0.57000000000000028</v>
      </c>
      <c r="I3153" s="9">
        <f t="shared" si="448"/>
        <v>1.698956780923995E-2</v>
      </c>
      <c r="J3153" s="1">
        <f t="shared" si="449"/>
        <v>3.0000000000001137E-2</v>
      </c>
      <c r="K3153" s="9">
        <f t="shared" si="442"/>
        <v>8.8704908338264746E-4</v>
      </c>
      <c r="L3153" s="1">
        <f t="shared" si="443"/>
        <v>1</v>
      </c>
      <c r="M3153" s="1">
        <f t="shared" si="444"/>
        <v>34.119999999999997</v>
      </c>
      <c r="N3153" s="1">
        <f t="shared" si="445"/>
        <v>33.549999999999997</v>
      </c>
      <c r="O3153" s="1">
        <f t="shared" si="446"/>
        <v>31.89</v>
      </c>
      <c r="P3153" s="1">
        <f t="shared" si="447"/>
        <v>16.270408163265305</v>
      </c>
    </row>
    <row r="3154" spans="1:16">
      <c r="A3154" s="2">
        <v>38483</v>
      </c>
      <c r="B3154" s="1">
        <v>34.299999999999997</v>
      </c>
      <c r="C3154" s="1">
        <v>34.51</v>
      </c>
      <c r="D3154" s="1">
        <v>33.65</v>
      </c>
      <c r="E3154" s="1">
        <v>33.82</v>
      </c>
      <c r="F3154" s="1">
        <v>6048000</v>
      </c>
      <c r="G3154" s="1">
        <v>33.82</v>
      </c>
      <c r="H3154" s="1">
        <f t="shared" si="441"/>
        <v>0.85999999999999943</v>
      </c>
      <c r="I3154" s="9">
        <f t="shared" si="448"/>
        <v>2.555720653789003E-2</v>
      </c>
      <c r="J3154" s="1">
        <f t="shared" si="449"/>
        <v>-0.40999999999999659</v>
      </c>
      <c r="K3154" s="9">
        <f t="shared" si="442"/>
        <v>-1.1977797253870775E-2</v>
      </c>
      <c r="L3154" s="1">
        <f t="shared" si="443"/>
        <v>1</v>
      </c>
      <c r="M3154" s="1">
        <f t="shared" si="444"/>
        <v>34.51</v>
      </c>
      <c r="N3154" s="1">
        <f t="shared" si="445"/>
        <v>33.65</v>
      </c>
      <c r="O3154" s="1">
        <f t="shared" si="446"/>
        <v>31.86</v>
      </c>
      <c r="P3154" s="1">
        <f t="shared" si="447"/>
        <v>16.255102040816325</v>
      </c>
    </row>
    <row r="3155" spans="1:16">
      <c r="A3155" s="2">
        <v>38482</v>
      </c>
      <c r="B3155" s="1">
        <v>34.4</v>
      </c>
      <c r="C3155" s="1">
        <v>34.47</v>
      </c>
      <c r="D3155" s="1">
        <v>34.020000000000003</v>
      </c>
      <c r="E3155" s="1">
        <v>34.229999999999997</v>
      </c>
      <c r="F3155" s="1">
        <v>5475000</v>
      </c>
      <c r="G3155" s="1">
        <v>34.229999999999997</v>
      </c>
      <c r="H3155" s="1">
        <f t="shared" si="441"/>
        <v>0.44999999999999574</v>
      </c>
      <c r="I3155" s="9">
        <f t="shared" si="448"/>
        <v>1.32275132275131E-2</v>
      </c>
      <c r="J3155" s="1">
        <f t="shared" si="449"/>
        <v>-0.41000000000000369</v>
      </c>
      <c r="K3155" s="9">
        <f t="shared" si="442"/>
        <v>-1.1836027713625973E-2</v>
      </c>
      <c r="L3155" s="1">
        <f t="shared" si="443"/>
        <v>1</v>
      </c>
      <c r="M3155" s="1">
        <f t="shared" si="444"/>
        <v>34.47</v>
      </c>
      <c r="N3155" s="1">
        <f t="shared" si="445"/>
        <v>34.020000000000003</v>
      </c>
      <c r="O3155" s="1">
        <f t="shared" si="446"/>
        <v>32.269999999999996</v>
      </c>
      <c r="P3155" s="1">
        <f t="shared" si="447"/>
        <v>16.464285714285712</v>
      </c>
    </row>
    <row r="3156" spans="1:16">
      <c r="A3156" s="2">
        <v>38481</v>
      </c>
      <c r="B3156" s="1">
        <v>34.4</v>
      </c>
      <c r="C3156" s="1">
        <v>34.799999999999997</v>
      </c>
      <c r="D3156" s="1">
        <v>34.25</v>
      </c>
      <c r="E3156" s="1">
        <v>34.64</v>
      </c>
      <c r="F3156" s="1">
        <v>4431600</v>
      </c>
      <c r="G3156" s="1">
        <v>34.64</v>
      </c>
      <c r="H3156" s="1">
        <f t="shared" si="441"/>
        <v>0.54999999999999716</v>
      </c>
      <c r="I3156" s="9">
        <f t="shared" si="448"/>
        <v>1.6058394160583859E-2</v>
      </c>
      <c r="J3156" s="1">
        <f t="shared" si="449"/>
        <v>0.11999999999999744</v>
      </c>
      <c r="K3156" s="9">
        <f t="shared" si="442"/>
        <v>3.4762456546928574E-3</v>
      </c>
      <c r="L3156" s="1">
        <f t="shared" si="443"/>
        <v>1</v>
      </c>
      <c r="M3156" s="1">
        <f t="shared" si="444"/>
        <v>34.799999999999997</v>
      </c>
      <c r="N3156" s="1">
        <f t="shared" si="445"/>
        <v>34.25</v>
      </c>
      <c r="O3156" s="1">
        <f t="shared" si="446"/>
        <v>32.68</v>
      </c>
      <c r="P3156" s="1">
        <f t="shared" si="447"/>
        <v>16.673469387755102</v>
      </c>
    </row>
    <row r="3157" spans="1:16">
      <c r="A3157" s="2">
        <v>38478</v>
      </c>
      <c r="B3157" s="1">
        <v>34.24</v>
      </c>
      <c r="C3157" s="1">
        <v>34.69</v>
      </c>
      <c r="D3157" s="1">
        <v>34.14</v>
      </c>
      <c r="E3157" s="1">
        <v>34.520000000000003</v>
      </c>
      <c r="F3157" s="1">
        <v>6713500</v>
      </c>
      <c r="G3157" s="1">
        <v>34.520000000000003</v>
      </c>
      <c r="H3157" s="1">
        <f t="shared" si="441"/>
        <v>0.54999999999999716</v>
      </c>
      <c r="I3157" s="9">
        <f t="shared" si="448"/>
        <v>1.6110134739308644E-2</v>
      </c>
      <c r="J3157" s="1">
        <f t="shared" si="449"/>
        <v>0.56000000000000227</v>
      </c>
      <c r="K3157" s="9">
        <f t="shared" si="442"/>
        <v>1.648998822143705E-2</v>
      </c>
      <c r="L3157" s="1">
        <f t="shared" si="443"/>
        <v>1</v>
      </c>
      <c r="M3157" s="1">
        <f t="shared" si="444"/>
        <v>34.69</v>
      </c>
      <c r="N3157" s="1">
        <f t="shared" si="445"/>
        <v>34.14</v>
      </c>
      <c r="O3157" s="1">
        <f t="shared" si="446"/>
        <v>32.56</v>
      </c>
      <c r="P3157" s="1">
        <f t="shared" si="447"/>
        <v>16.612244897959187</v>
      </c>
    </row>
    <row r="3158" spans="1:16">
      <c r="A3158" s="2">
        <v>38477</v>
      </c>
      <c r="B3158" s="1">
        <v>33.96</v>
      </c>
      <c r="C3158" s="1">
        <v>34.18</v>
      </c>
      <c r="D3158" s="1">
        <v>33.590000000000003</v>
      </c>
      <c r="E3158" s="1">
        <v>33.96</v>
      </c>
      <c r="F3158" s="1">
        <v>4616900</v>
      </c>
      <c r="G3158" s="1">
        <v>33.96</v>
      </c>
      <c r="H3158" s="1">
        <f t="shared" si="441"/>
        <v>0.58999999999999631</v>
      </c>
      <c r="I3158" s="9">
        <f t="shared" si="448"/>
        <v>1.7564751414111231E-2</v>
      </c>
      <c r="J3158" s="1">
        <f t="shared" si="449"/>
        <v>0</v>
      </c>
      <c r="K3158" s="9">
        <f t="shared" si="442"/>
        <v>0</v>
      </c>
      <c r="L3158" s="1">
        <f t="shared" si="443"/>
        <v>1</v>
      </c>
      <c r="M3158" s="1">
        <f t="shared" si="444"/>
        <v>34.18</v>
      </c>
      <c r="N3158" s="1">
        <f t="shared" si="445"/>
        <v>33.590000000000003</v>
      </c>
      <c r="O3158" s="1">
        <f t="shared" si="446"/>
        <v>32</v>
      </c>
      <c r="P3158" s="1">
        <f t="shared" si="447"/>
        <v>16.326530612244898</v>
      </c>
    </row>
    <row r="3159" spans="1:16">
      <c r="A3159" s="2">
        <v>38476</v>
      </c>
      <c r="B3159" s="1">
        <v>33.35</v>
      </c>
      <c r="C3159" s="1">
        <v>34.119999999999997</v>
      </c>
      <c r="D3159" s="1">
        <v>33.270000000000003</v>
      </c>
      <c r="E3159" s="1">
        <v>33.96</v>
      </c>
      <c r="F3159" s="1">
        <v>7756600</v>
      </c>
      <c r="G3159" s="1">
        <v>33.96</v>
      </c>
      <c r="H3159" s="1">
        <f t="shared" si="441"/>
        <v>0.84999999999999432</v>
      </c>
      <c r="I3159" s="9">
        <f t="shared" si="448"/>
        <v>2.5548542230237278E-2</v>
      </c>
      <c r="J3159" s="1">
        <f t="shared" si="449"/>
        <v>0.75</v>
      </c>
      <c r="K3159" s="9">
        <f t="shared" si="442"/>
        <v>2.2583559168925023E-2</v>
      </c>
      <c r="L3159" s="1">
        <f t="shared" si="443"/>
        <v>1</v>
      </c>
      <c r="M3159" s="1">
        <f t="shared" si="444"/>
        <v>34.119999999999997</v>
      </c>
      <c r="N3159" s="1">
        <f t="shared" si="445"/>
        <v>33.270000000000003</v>
      </c>
      <c r="O3159" s="1">
        <f t="shared" si="446"/>
        <v>32</v>
      </c>
      <c r="P3159" s="1">
        <f t="shared" si="447"/>
        <v>16.326530612244898</v>
      </c>
    </row>
    <row r="3160" spans="1:16">
      <c r="A3160" s="2">
        <v>38475</v>
      </c>
      <c r="B3160" s="1">
        <v>32.94</v>
      </c>
      <c r="C3160" s="1">
        <v>33.56</v>
      </c>
      <c r="D3160" s="1">
        <v>32.89</v>
      </c>
      <c r="E3160" s="1">
        <v>33.21</v>
      </c>
      <c r="F3160" s="1">
        <v>6777900</v>
      </c>
      <c r="G3160" s="1">
        <v>33.21</v>
      </c>
      <c r="H3160" s="1">
        <f t="shared" si="441"/>
        <v>0.67000000000000171</v>
      </c>
      <c r="I3160" s="9">
        <f t="shared" si="448"/>
        <v>2.0370933414411728E-2</v>
      </c>
      <c r="J3160" s="1">
        <f t="shared" si="449"/>
        <v>0.10999999999999943</v>
      </c>
      <c r="K3160" s="9">
        <f t="shared" si="442"/>
        <v>3.3232628398791367E-3</v>
      </c>
      <c r="L3160" s="1">
        <f t="shared" si="443"/>
        <v>1</v>
      </c>
      <c r="M3160" s="1">
        <f t="shared" si="444"/>
        <v>33.56</v>
      </c>
      <c r="N3160" s="1">
        <f t="shared" si="445"/>
        <v>32.89</v>
      </c>
      <c r="O3160" s="1">
        <f t="shared" si="446"/>
        <v>31.25</v>
      </c>
      <c r="P3160" s="1">
        <f t="shared" si="447"/>
        <v>15.943877551020408</v>
      </c>
    </row>
    <row r="3161" spans="1:16">
      <c r="A3161" s="2">
        <v>38474</v>
      </c>
      <c r="B3161" s="1">
        <v>32.299999999999997</v>
      </c>
      <c r="C3161" s="1">
        <v>33.28</v>
      </c>
      <c r="D3161" s="1">
        <v>32.1</v>
      </c>
      <c r="E3161" s="1">
        <v>33.1</v>
      </c>
      <c r="F3161" s="1">
        <v>9098000</v>
      </c>
      <c r="G3161" s="1">
        <v>33.1</v>
      </c>
      <c r="H3161" s="1">
        <f t="shared" si="441"/>
        <v>1.1799999999999997</v>
      </c>
      <c r="I3161" s="9">
        <f t="shared" si="448"/>
        <v>3.6760124610591888E-2</v>
      </c>
      <c r="J3161" s="1">
        <f t="shared" si="449"/>
        <v>0.74000000000000199</v>
      </c>
      <c r="K3161" s="9">
        <f t="shared" si="442"/>
        <v>2.2867737948084117E-2</v>
      </c>
      <c r="L3161" s="1">
        <f t="shared" si="443"/>
        <v>1</v>
      </c>
      <c r="M3161" s="1">
        <f t="shared" si="444"/>
        <v>33.28</v>
      </c>
      <c r="N3161" s="1">
        <f t="shared" si="445"/>
        <v>32.1</v>
      </c>
      <c r="O3161" s="1">
        <f t="shared" si="446"/>
        <v>31.14</v>
      </c>
      <c r="P3161" s="1">
        <f t="shared" si="447"/>
        <v>15.887755102040817</v>
      </c>
    </row>
    <row r="3162" spans="1:16">
      <c r="A3162" s="2">
        <v>38471</v>
      </c>
      <c r="B3162" s="1">
        <v>32.86</v>
      </c>
      <c r="C3162" s="1">
        <v>32.89</v>
      </c>
      <c r="D3162" s="1">
        <v>31.52</v>
      </c>
      <c r="E3162" s="1">
        <v>32.36</v>
      </c>
      <c r="F3162" s="1">
        <v>10523500</v>
      </c>
      <c r="G3162" s="1">
        <v>32.36</v>
      </c>
      <c r="H3162" s="1">
        <f t="shared" si="441"/>
        <v>1.370000000000001</v>
      </c>
      <c r="I3162" s="9">
        <f t="shared" si="448"/>
        <v>4.3464467005076175E-2</v>
      </c>
      <c r="J3162" s="1">
        <f t="shared" si="449"/>
        <v>-0.16000000000000369</v>
      </c>
      <c r="K3162" s="9">
        <f t="shared" si="442"/>
        <v>-4.9200492004921178E-3</v>
      </c>
      <c r="L3162" s="1">
        <f t="shared" si="443"/>
        <v>1</v>
      </c>
      <c r="M3162" s="1">
        <f t="shared" si="444"/>
        <v>32.89</v>
      </c>
      <c r="N3162" s="1">
        <f t="shared" si="445"/>
        <v>31.52</v>
      </c>
      <c r="O3162" s="1">
        <f t="shared" si="446"/>
        <v>30.4</v>
      </c>
      <c r="P3162" s="1">
        <f t="shared" si="447"/>
        <v>15.510204081632653</v>
      </c>
    </row>
    <row r="3163" spans="1:16">
      <c r="A3163" s="2">
        <v>38470</v>
      </c>
      <c r="B3163" s="1">
        <v>31.66</v>
      </c>
      <c r="C3163" s="1">
        <v>32.92</v>
      </c>
      <c r="D3163" s="1">
        <v>31.63</v>
      </c>
      <c r="E3163" s="1">
        <v>32.520000000000003</v>
      </c>
      <c r="F3163" s="1">
        <v>14472800</v>
      </c>
      <c r="G3163" s="1">
        <v>32.520000000000003</v>
      </c>
      <c r="H3163" s="1">
        <f t="shared" si="441"/>
        <v>1.2900000000000027</v>
      </c>
      <c r="I3163" s="9">
        <f t="shared" si="448"/>
        <v>4.0784065760354184E-2</v>
      </c>
      <c r="J3163" s="1">
        <f t="shared" si="449"/>
        <v>0.80000000000000426</v>
      </c>
      <c r="K3163" s="9">
        <f t="shared" si="442"/>
        <v>2.5220680958386012E-2</v>
      </c>
      <c r="L3163" s="1">
        <f t="shared" si="443"/>
        <v>1</v>
      </c>
      <c r="M3163" s="1">
        <f t="shared" si="444"/>
        <v>32.92</v>
      </c>
      <c r="N3163" s="1">
        <f t="shared" si="445"/>
        <v>31.63</v>
      </c>
      <c r="O3163" s="1">
        <f t="shared" si="446"/>
        <v>30.560000000000002</v>
      </c>
      <c r="P3163" s="1">
        <f t="shared" si="447"/>
        <v>15.59183673469388</v>
      </c>
    </row>
    <row r="3164" spans="1:16">
      <c r="A3164" s="2">
        <v>38469</v>
      </c>
      <c r="B3164" s="1">
        <v>30.84</v>
      </c>
      <c r="C3164" s="1">
        <v>31.74</v>
      </c>
      <c r="D3164" s="1">
        <v>30.6</v>
      </c>
      <c r="E3164" s="1">
        <v>31.72</v>
      </c>
      <c r="F3164" s="1">
        <v>29312900</v>
      </c>
      <c r="G3164" s="1">
        <v>31.72</v>
      </c>
      <c r="H3164" s="1">
        <f t="shared" si="441"/>
        <v>1.139999999999997</v>
      </c>
      <c r="I3164" s="9">
        <f t="shared" si="448"/>
        <v>3.7254901960784216E-2</v>
      </c>
      <c r="J3164" s="1">
        <f t="shared" si="449"/>
        <v>-0.99000000000000199</v>
      </c>
      <c r="K3164" s="9">
        <f t="shared" si="442"/>
        <v>-3.026597370834613E-2</v>
      </c>
      <c r="L3164" s="1">
        <f t="shared" si="443"/>
        <v>1</v>
      </c>
      <c r="M3164" s="1">
        <f t="shared" si="444"/>
        <v>31.74</v>
      </c>
      <c r="N3164" s="1">
        <f t="shared" si="445"/>
        <v>30.6</v>
      </c>
      <c r="O3164" s="1">
        <f t="shared" si="446"/>
        <v>29.759999999999998</v>
      </c>
      <c r="P3164" s="1">
        <f t="shared" si="447"/>
        <v>15.183673469387754</v>
      </c>
    </row>
    <row r="3165" spans="1:16">
      <c r="A3165" s="2">
        <v>38468</v>
      </c>
      <c r="B3165" s="1">
        <v>33.43</v>
      </c>
      <c r="C3165" s="1">
        <v>33.979999999999997</v>
      </c>
      <c r="D3165" s="1">
        <v>32.58</v>
      </c>
      <c r="E3165" s="1">
        <v>32.71</v>
      </c>
      <c r="F3165" s="1">
        <v>13969300</v>
      </c>
      <c r="G3165" s="1">
        <v>32.71</v>
      </c>
      <c r="H3165" s="1">
        <f t="shared" si="441"/>
        <v>1.3999999999999986</v>
      </c>
      <c r="I3165" s="9">
        <f t="shared" si="448"/>
        <v>4.2971147943523594E-2</v>
      </c>
      <c r="J3165" s="1">
        <f t="shared" si="449"/>
        <v>-0.82000000000000028</v>
      </c>
      <c r="K3165" s="9">
        <f t="shared" si="442"/>
        <v>-2.4455711303310475E-2</v>
      </c>
      <c r="L3165" s="1">
        <f t="shared" si="443"/>
        <v>1</v>
      </c>
      <c r="M3165" s="1">
        <f t="shared" si="444"/>
        <v>33.979999999999997</v>
      </c>
      <c r="N3165" s="1">
        <f t="shared" si="445"/>
        <v>32.58</v>
      </c>
      <c r="O3165" s="1">
        <f t="shared" si="446"/>
        <v>30.75</v>
      </c>
      <c r="P3165" s="1">
        <f t="shared" si="447"/>
        <v>15.688775510204081</v>
      </c>
    </row>
    <row r="3166" spans="1:16">
      <c r="A3166" s="2">
        <v>38467</v>
      </c>
      <c r="B3166" s="1">
        <v>33.130000000000003</v>
      </c>
      <c r="C3166" s="1">
        <v>33.590000000000003</v>
      </c>
      <c r="D3166" s="1">
        <v>33.049999999999997</v>
      </c>
      <c r="E3166" s="1">
        <v>33.53</v>
      </c>
      <c r="F3166" s="1">
        <v>4245400</v>
      </c>
      <c r="G3166" s="1">
        <v>33.53</v>
      </c>
      <c r="H3166" s="1">
        <f t="shared" si="441"/>
        <v>0.54000000000000625</v>
      </c>
      <c r="I3166" s="9">
        <f t="shared" si="448"/>
        <v>1.6338880484115168E-2</v>
      </c>
      <c r="J3166" s="1">
        <f t="shared" si="449"/>
        <v>0.49000000000000199</v>
      </c>
      <c r="K3166" s="9">
        <f t="shared" si="442"/>
        <v>1.4830508474576332E-2</v>
      </c>
      <c r="L3166" s="1">
        <f t="shared" si="443"/>
        <v>1</v>
      </c>
      <c r="M3166" s="1">
        <f t="shared" si="444"/>
        <v>33.590000000000003</v>
      </c>
      <c r="N3166" s="1">
        <f t="shared" si="445"/>
        <v>33.049999999999997</v>
      </c>
      <c r="O3166" s="1">
        <f t="shared" si="446"/>
        <v>31.57</v>
      </c>
      <c r="P3166" s="1">
        <f t="shared" si="447"/>
        <v>16.107142857142858</v>
      </c>
    </row>
    <row r="3167" spans="1:16">
      <c r="A3167" s="2">
        <v>38464</v>
      </c>
      <c r="B3167" s="1">
        <v>33.49</v>
      </c>
      <c r="C3167" s="1">
        <v>33.630000000000003</v>
      </c>
      <c r="D3167" s="1">
        <v>32.909999999999997</v>
      </c>
      <c r="E3167" s="1">
        <v>33.04</v>
      </c>
      <c r="F3167" s="1">
        <v>6392000</v>
      </c>
      <c r="G3167" s="1">
        <v>33.04</v>
      </c>
      <c r="H3167" s="1">
        <f t="shared" si="441"/>
        <v>0.72000000000000597</v>
      </c>
      <c r="I3167" s="9">
        <f t="shared" si="448"/>
        <v>2.1877848678213494E-2</v>
      </c>
      <c r="J3167" s="1">
        <f t="shared" si="449"/>
        <v>-0.68999999999999773</v>
      </c>
      <c r="K3167" s="9">
        <f t="shared" si="442"/>
        <v>-2.0456566854432191E-2</v>
      </c>
      <c r="L3167" s="1">
        <f t="shared" si="443"/>
        <v>1</v>
      </c>
      <c r="M3167" s="1">
        <f t="shared" si="444"/>
        <v>33.630000000000003</v>
      </c>
      <c r="N3167" s="1">
        <f t="shared" si="445"/>
        <v>32.909999999999997</v>
      </c>
      <c r="O3167" s="1">
        <f t="shared" si="446"/>
        <v>31.08</v>
      </c>
      <c r="P3167" s="1">
        <f t="shared" si="447"/>
        <v>15.857142857142856</v>
      </c>
    </row>
    <row r="3168" spans="1:16">
      <c r="A3168" s="2">
        <v>38463</v>
      </c>
      <c r="B3168" s="1">
        <v>33.5</v>
      </c>
      <c r="C3168" s="1">
        <v>33.89</v>
      </c>
      <c r="D3168" s="1">
        <v>32.89</v>
      </c>
      <c r="E3168" s="1">
        <v>33.729999999999997</v>
      </c>
      <c r="F3168" s="1">
        <v>7694700</v>
      </c>
      <c r="G3168" s="1">
        <v>33.729999999999997</v>
      </c>
      <c r="H3168" s="1">
        <f t="shared" si="441"/>
        <v>1</v>
      </c>
      <c r="I3168" s="9">
        <f t="shared" si="448"/>
        <v>3.0404378230465188E-2</v>
      </c>
      <c r="J3168" s="1">
        <f t="shared" si="449"/>
        <v>0.47999999999999687</v>
      </c>
      <c r="K3168" s="9">
        <f t="shared" si="442"/>
        <v>1.4436090225563816E-2</v>
      </c>
      <c r="L3168" s="1">
        <f t="shared" si="443"/>
        <v>1</v>
      </c>
      <c r="M3168" s="1">
        <f t="shared" si="444"/>
        <v>33.89</v>
      </c>
      <c r="N3168" s="1">
        <f t="shared" si="445"/>
        <v>32.89</v>
      </c>
      <c r="O3168" s="1">
        <f t="shared" si="446"/>
        <v>31.769999999999996</v>
      </c>
      <c r="P3168" s="1">
        <f t="shared" si="447"/>
        <v>16.209183673469386</v>
      </c>
    </row>
    <row r="3169" spans="1:16">
      <c r="A3169" s="2">
        <v>38462</v>
      </c>
      <c r="B3169" s="1">
        <v>33.1</v>
      </c>
      <c r="C3169" s="1">
        <v>33.76</v>
      </c>
      <c r="D3169" s="1">
        <v>32.9</v>
      </c>
      <c r="E3169" s="1">
        <v>33.25</v>
      </c>
      <c r="F3169" s="1">
        <v>9215500</v>
      </c>
      <c r="G3169" s="1">
        <v>33.25</v>
      </c>
      <c r="H3169" s="1">
        <f t="shared" si="441"/>
        <v>0.85999999999999943</v>
      </c>
      <c r="I3169" s="9">
        <f t="shared" si="448"/>
        <v>2.6139817629179316E-2</v>
      </c>
      <c r="J3169" s="1">
        <f t="shared" si="449"/>
        <v>0.46999999999999886</v>
      </c>
      <c r="K3169" s="9">
        <f t="shared" si="442"/>
        <v>1.4338010982306248E-2</v>
      </c>
      <c r="L3169" s="1">
        <f t="shared" si="443"/>
        <v>1</v>
      </c>
      <c r="M3169" s="1">
        <f t="shared" si="444"/>
        <v>33.76</v>
      </c>
      <c r="N3169" s="1">
        <f t="shared" si="445"/>
        <v>32.9</v>
      </c>
      <c r="O3169" s="1">
        <f t="shared" si="446"/>
        <v>31.29</v>
      </c>
      <c r="P3169" s="1">
        <f t="shared" si="447"/>
        <v>15.964285714285714</v>
      </c>
    </row>
    <row r="3170" spans="1:16">
      <c r="A3170" s="2">
        <v>38461</v>
      </c>
      <c r="B3170" s="1">
        <v>33.18</v>
      </c>
      <c r="C3170" s="1">
        <v>33.369999999999997</v>
      </c>
      <c r="D3170" s="1">
        <v>32.01</v>
      </c>
      <c r="E3170" s="1">
        <v>32.78</v>
      </c>
      <c r="F3170" s="1">
        <v>6619400</v>
      </c>
      <c r="G3170" s="1">
        <v>32.78</v>
      </c>
      <c r="H3170" s="1">
        <f t="shared" si="441"/>
        <v>1.3599999999999994</v>
      </c>
      <c r="I3170" s="9">
        <f t="shared" si="448"/>
        <v>4.2486722899094019E-2</v>
      </c>
      <c r="J3170" s="1">
        <f t="shared" si="449"/>
        <v>-0.21999999999999886</v>
      </c>
      <c r="K3170" s="9">
        <f t="shared" si="442"/>
        <v>-6.6666666666666324E-3</v>
      </c>
      <c r="L3170" s="1">
        <f t="shared" si="443"/>
        <v>1</v>
      </c>
      <c r="M3170" s="1">
        <f t="shared" si="444"/>
        <v>33.369999999999997</v>
      </c>
      <c r="N3170" s="1">
        <f t="shared" si="445"/>
        <v>32.01</v>
      </c>
      <c r="O3170" s="1">
        <f t="shared" si="446"/>
        <v>30.82</v>
      </c>
      <c r="P3170" s="1">
        <f t="shared" si="447"/>
        <v>15.724489795918368</v>
      </c>
    </row>
    <row r="3171" spans="1:16">
      <c r="A3171" s="2">
        <v>38460</v>
      </c>
      <c r="B3171" s="1">
        <v>32.9</v>
      </c>
      <c r="C3171" s="1">
        <v>33.58</v>
      </c>
      <c r="D3171" s="1">
        <v>32.840000000000003</v>
      </c>
      <c r="E3171" s="1">
        <v>33</v>
      </c>
      <c r="F3171" s="1">
        <v>6917000</v>
      </c>
      <c r="G3171" s="1">
        <v>33</v>
      </c>
      <c r="H3171" s="1">
        <f t="shared" si="441"/>
        <v>0.73999999999999488</v>
      </c>
      <c r="I3171" s="9">
        <f t="shared" si="448"/>
        <v>2.2533495736906054E-2</v>
      </c>
      <c r="J3171" s="1">
        <f t="shared" si="449"/>
        <v>-2.0000000000003126E-2</v>
      </c>
      <c r="K3171" s="9">
        <f t="shared" si="442"/>
        <v>-6.0569351907944049E-4</v>
      </c>
      <c r="L3171" s="1">
        <f t="shared" si="443"/>
        <v>1</v>
      </c>
      <c r="M3171" s="1">
        <f t="shared" si="444"/>
        <v>33.58</v>
      </c>
      <c r="N3171" s="1">
        <f t="shared" si="445"/>
        <v>32.840000000000003</v>
      </c>
      <c r="O3171" s="1">
        <f t="shared" si="446"/>
        <v>31.04</v>
      </c>
      <c r="P3171" s="1">
        <f t="shared" si="447"/>
        <v>15.836734693877551</v>
      </c>
    </row>
    <row r="3172" spans="1:16">
      <c r="A3172" s="2">
        <v>38457</v>
      </c>
      <c r="B3172" s="1">
        <v>33.96</v>
      </c>
      <c r="C3172" s="1">
        <v>34</v>
      </c>
      <c r="D3172" s="1">
        <v>33.020000000000003</v>
      </c>
      <c r="E3172" s="1">
        <v>33.020000000000003</v>
      </c>
      <c r="F3172" s="1">
        <v>5985000</v>
      </c>
      <c r="G3172" s="1">
        <v>33.020000000000003</v>
      </c>
      <c r="H3172" s="1">
        <f t="shared" si="441"/>
        <v>0.97999999999999687</v>
      </c>
      <c r="I3172" s="9">
        <f t="shared" si="448"/>
        <v>2.9678982434887848E-2</v>
      </c>
      <c r="J3172" s="1">
        <f t="shared" si="449"/>
        <v>-0.94999999999999574</v>
      </c>
      <c r="K3172" s="9">
        <f t="shared" si="442"/>
        <v>-2.7965852222549183E-2</v>
      </c>
      <c r="L3172" s="1">
        <f t="shared" si="443"/>
        <v>1</v>
      </c>
      <c r="M3172" s="1">
        <f t="shared" si="444"/>
        <v>34</v>
      </c>
      <c r="N3172" s="1">
        <f t="shared" si="445"/>
        <v>33.020000000000003</v>
      </c>
      <c r="O3172" s="1">
        <f t="shared" si="446"/>
        <v>31.060000000000002</v>
      </c>
      <c r="P3172" s="1">
        <f t="shared" si="447"/>
        <v>15.846938775510205</v>
      </c>
    </row>
    <row r="3173" spans="1:16">
      <c r="A3173" s="2">
        <v>38456</v>
      </c>
      <c r="B3173" s="1">
        <v>34.26</v>
      </c>
      <c r="C3173" s="1">
        <v>34.5</v>
      </c>
      <c r="D3173" s="1">
        <v>33.880000000000003</v>
      </c>
      <c r="E3173" s="1">
        <v>33.97</v>
      </c>
      <c r="F3173" s="1">
        <v>4178400</v>
      </c>
      <c r="G3173" s="1">
        <v>33.97</v>
      </c>
      <c r="H3173" s="1">
        <f t="shared" si="441"/>
        <v>0.61999999999999744</v>
      </c>
      <c r="I3173" s="9">
        <f t="shared" si="448"/>
        <v>1.8299881936245495E-2</v>
      </c>
      <c r="J3173" s="1">
        <f t="shared" si="449"/>
        <v>-0.32999999999999829</v>
      </c>
      <c r="K3173" s="9">
        <f t="shared" si="442"/>
        <v>-9.6209912536442659E-3</v>
      </c>
      <c r="L3173" s="1">
        <f t="shared" si="443"/>
        <v>1</v>
      </c>
      <c r="M3173" s="1">
        <f t="shared" si="444"/>
        <v>34.5</v>
      </c>
      <c r="N3173" s="1">
        <f t="shared" si="445"/>
        <v>33.880000000000003</v>
      </c>
      <c r="O3173" s="1">
        <f t="shared" si="446"/>
        <v>32.01</v>
      </c>
      <c r="P3173" s="1">
        <f t="shared" si="447"/>
        <v>16.331632653061224</v>
      </c>
    </row>
    <row r="3174" spans="1:16">
      <c r="A3174" s="2">
        <v>38455</v>
      </c>
      <c r="B3174" s="1">
        <v>34.35</v>
      </c>
      <c r="C3174" s="1">
        <v>34.71</v>
      </c>
      <c r="D3174" s="1">
        <v>34.15</v>
      </c>
      <c r="E3174" s="1">
        <v>34.299999999999997</v>
      </c>
      <c r="F3174" s="1">
        <v>4125100</v>
      </c>
      <c r="G3174" s="1">
        <v>34.299999999999997</v>
      </c>
      <c r="H3174" s="1">
        <f t="shared" si="441"/>
        <v>0.56000000000000227</v>
      </c>
      <c r="I3174" s="9">
        <f t="shared" si="448"/>
        <v>1.6398243045388061E-2</v>
      </c>
      <c r="J3174" s="1">
        <f t="shared" si="449"/>
        <v>-0.3300000000000054</v>
      </c>
      <c r="K3174" s="9">
        <f t="shared" si="442"/>
        <v>-9.5293098469536631E-3</v>
      </c>
      <c r="L3174" s="1">
        <f t="shared" si="443"/>
        <v>1</v>
      </c>
      <c r="M3174" s="1">
        <f t="shared" si="444"/>
        <v>34.71</v>
      </c>
      <c r="N3174" s="1">
        <f t="shared" si="445"/>
        <v>34.15</v>
      </c>
      <c r="O3174" s="1">
        <f t="shared" si="446"/>
        <v>32.339999999999996</v>
      </c>
      <c r="P3174" s="1">
        <f t="shared" si="447"/>
        <v>16.5</v>
      </c>
    </row>
    <row r="3175" spans="1:16">
      <c r="A3175" s="2">
        <v>38454</v>
      </c>
      <c r="B3175" s="1">
        <v>34.4</v>
      </c>
      <c r="C3175" s="1">
        <v>34.64</v>
      </c>
      <c r="D3175" s="1">
        <v>33.659999999999997</v>
      </c>
      <c r="E3175" s="1">
        <v>34.630000000000003</v>
      </c>
      <c r="F3175" s="1">
        <v>6197200</v>
      </c>
      <c r="G3175" s="1">
        <v>34.630000000000003</v>
      </c>
      <c r="H3175" s="1">
        <f t="shared" si="441"/>
        <v>0.98000000000000398</v>
      </c>
      <c r="I3175" s="9">
        <f t="shared" si="448"/>
        <v>2.9114676173499825E-2</v>
      </c>
      <c r="J3175" s="1">
        <f t="shared" si="449"/>
        <v>3.0000000000001137E-2</v>
      </c>
      <c r="K3175" s="9">
        <f t="shared" si="442"/>
        <v>8.6705202312142014E-4</v>
      </c>
      <c r="L3175" s="1">
        <f t="shared" si="443"/>
        <v>1</v>
      </c>
      <c r="M3175" s="1">
        <f t="shared" si="444"/>
        <v>34.64</v>
      </c>
      <c r="N3175" s="1">
        <f t="shared" si="445"/>
        <v>33.659999999999997</v>
      </c>
      <c r="O3175" s="1">
        <f t="shared" si="446"/>
        <v>32.67</v>
      </c>
      <c r="P3175" s="1">
        <f t="shared" si="447"/>
        <v>16.668367346938776</v>
      </c>
    </row>
    <row r="3176" spans="1:16">
      <c r="A3176" s="2">
        <v>38453</v>
      </c>
      <c r="B3176" s="1">
        <v>34.6</v>
      </c>
      <c r="C3176" s="1">
        <v>35</v>
      </c>
      <c r="D3176" s="1">
        <v>34.36</v>
      </c>
      <c r="E3176" s="1">
        <v>34.6</v>
      </c>
      <c r="F3176" s="1">
        <v>3253100</v>
      </c>
      <c r="G3176" s="1">
        <v>34.6</v>
      </c>
      <c r="H3176" s="1">
        <f t="shared" si="441"/>
        <v>0.64000000000000057</v>
      </c>
      <c r="I3176" s="9">
        <f t="shared" si="448"/>
        <v>1.8626309662398154E-2</v>
      </c>
      <c r="J3176" s="1">
        <f t="shared" si="449"/>
        <v>0</v>
      </c>
      <c r="K3176" s="9">
        <f t="shared" si="442"/>
        <v>0</v>
      </c>
      <c r="L3176" s="1">
        <f t="shared" si="443"/>
        <v>1</v>
      </c>
      <c r="M3176" s="1">
        <f t="shared" si="444"/>
        <v>35</v>
      </c>
      <c r="N3176" s="1">
        <f t="shared" si="445"/>
        <v>34.36</v>
      </c>
      <c r="O3176" s="1">
        <f t="shared" si="446"/>
        <v>32.64</v>
      </c>
      <c r="P3176" s="1">
        <f t="shared" si="447"/>
        <v>16.653061224489797</v>
      </c>
    </row>
    <row r="3177" spans="1:16">
      <c r="A3177" s="2">
        <v>38450</v>
      </c>
      <c r="B3177" s="1">
        <v>34.75</v>
      </c>
      <c r="C3177" s="1">
        <v>34.93</v>
      </c>
      <c r="D3177" s="1">
        <v>34.57</v>
      </c>
      <c r="E3177" s="1">
        <v>34.6</v>
      </c>
      <c r="F3177" s="1">
        <v>3013000</v>
      </c>
      <c r="G3177" s="1">
        <v>34.6</v>
      </c>
      <c r="H3177" s="1">
        <f t="shared" si="441"/>
        <v>0.35999999999999943</v>
      </c>
      <c r="I3177" s="9">
        <f t="shared" si="448"/>
        <v>1.0413653456754395E-2</v>
      </c>
      <c r="J3177" s="1">
        <f t="shared" si="449"/>
        <v>-0.29999999999999716</v>
      </c>
      <c r="K3177" s="9">
        <f t="shared" si="442"/>
        <v>-8.5959885386818671E-3</v>
      </c>
      <c r="L3177" s="1">
        <f t="shared" si="443"/>
        <v>1</v>
      </c>
      <c r="M3177" s="1">
        <f t="shared" si="444"/>
        <v>34.93</v>
      </c>
      <c r="N3177" s="1">
        <f t="shared" si="445"/>
        <v>34.57</v>
      </c>
      <c r="O3177" s="1">
        <f t="shared" si="446"/>
        <v>32.64</v>
      </c>
      <c r="P3177" s="1">
        <f t="shared" si="447"/>
        <v>16.653061224489797</v>
      </c>
    </row>
    <row r="3178" spans="1:16">
      <c r="A3178" s="2">
        <v>38449</v>
      </c>
      <c r="B3178" s="1">
        <v>34.68</v>
      </c>
      <c r="C3178" s="1">
        <v>34.92</v>
      </c>
      <c r="D3178" s="1">
        <v>34.5</v>
      </c>
      <c r="E3178" s="1">
        <v>34.9</v>
      </c>
      <c r="F3178" s="1">
        <v>3807300</v>
      </c>
      <c r="G3178" s="1">
        <v>34.9</v>
      </c>
      <c r="H3178" s="1">
        <f t="shared" si="441"/>
        <v>0.42000000000000171</v>
      </c>
      <c r="I3178" s="9">
        <f t="shared" si="448"/>
        <v>1.2173913043478311E-2</v>
      </c>
      <c r="J3178" s="1">
        <f t="shared" si="449"/>
        <v>7.9999999999998295E-2</v>
      </c>
      <c r="K3178" s="9">
        <f t="shared" si="442"/>
        <v>2.2975301550832365E-3</v>
      </c>
      <c r="L3178" s="1">
        <f t="shared" si="443"/>
        <v>1</v>
      </c>
      <c r="M3178" s="1">
        <f t="shared" si="444"/>
        <v>34.92</v>
      </c>
      <c r="N3178" s="1">
        <f t="shared" si="445"/>
        <v>34.5</v>
      </c>
      <c r="O3178" s="1">
        <f t="shared" si="446"/>
        <v>32.94</v>
      </c>
      <c r="P3178" s="1">
        <f t="shared" si="447"/>
        <v>16.80612244897959</v>
      </c>
    </row>
    <row r="3179" spans="1:16">
      <c r="A3179" s="2">
        <v>38448</v>
      </c>
      <c r="B3179" s="1">
        <v>35.1</v>
      </c>
      <c r="C3179" s="1">
        <v>35.200000000000003</v>
      </c>
      <c r="D3179" s="1">
        <v>34.619999999999997</v>
      </c>
      <c r="E3179" s="1">
        <v>34.82</v>
      </c>
      <c r="F3179" s="1">
        <v>5276100</v>
      </c>
      <c r="G3179" s="1">
        <v>34.82</v>
      </c>
      <c r="H3179" s="1">
        <f t="shared" si="441"/>
        <v>0.5800000000000054</v>
      </c>
      <c r="I3179" s="9">
        <f t="shared" si="448"/>
        <v>1.6753321779318469E-2</v>
      </c>
      <c r="J3179" s="1">
        <f t="shared" si="449"/>
        <v>-0.46000000000000085</v>
      </c>
      <c r="K3179" s="9">
        <f t="shared" si="442"/>
        <v>-1.3038548752834491E-2</v>
      </c>
      <c r="L3179" s="1">
        <f t="shared" si="443"/>
        <v>1</v>
      </c>
      <c r="M3179" s="1">
        <f t="shared" si="444"/>
        <v>35.200000000000003</v>
      </c>
      <c r="N3179" s="1">
        <f t="shared" si="445"/>
        <v>34.619999999999997</v>
      </c>
      <c r="O3179" s="1">
        <f t="shared" si="446"/>
        <v>32.86</v>
      </c>
      <c r="P3179" s="1">
        <f t="shared" si="447"/>
        <v>16.76530612244898</v>
      </c>
    </row>
    <row r="3180" spans="1:16">
      <c r="A3180" s="2">
        <v>38447</v>
      </c>
      <c r="B3180" s="1">
        <v>35.229999999999997</v>
      </c>
      <c r="C3180" s="1">
        <v>35.340000000000003</v>
      </c>
      <c r="D3180" s="1">
        <v>34.99</v>
      </c>
      <c r="E3180" s="1">
        <v>35.28</v>
      </c>
      <c r="F3180" s="1">
        <v>4933000</v>
      </c>
      <c r="G3180" s="1">
        <v>35.28</v>
      </c>
      <c r="H3180" s="1">
        <f t="shared" si="441"/>
        <v>0.35000000000000142</v>
      </c>
      <c r="I3180" s="9">
        <f t="shared" si="448"/>
        <v>1.0002857959417017E-2</v>
      </c>
      <c r="J3180" s="1">
        <f t="shared" si="449"/>
        <v>0.28000000000000114</v>
      </c>
      <c r="K3180" s="9">
        <f t="shared" si="442"/>
        <v>8.0000000000000331E-3</v>
      </c>
      <c r="L3180" s="1">
        <f t="shared" si="443"/>
        <v>1</v>
      </c>
      <c r="M3180" s="1">
        <f t="shared" si="444"/>
        <v>35.340000000000003</v>
      </c>
      <c r="N3180" s="1">
        <f t="shared" si="445"/>
        <v>34.99</v>
      </c>
      <c r="O3180" s="1">
        <f t="shared" si="446"/>
        <v>33.32</v>
      </c>
      <c r="P3180" s="1">
        <f t="shared" si="447"/>
        <v>17</v>
      </c>
    </row>
    <row r="3181" spans="1:16">
      <c r="A3181" s="2">
        <v>38446</v>
      </c>
      <c r="B3181" s="1">
        <v>34</v>
      </c>
      <c r="C3181" s="1">
        <v>35.18</v>
      </c>
      <c r="D3181" s="1">
        <v>33.81</v>
      </c>
      <c r="E3181" s="1">
        <v>35</v>
      </c>
      <c r="F3181" s="1">
        <v>7342200</v>
      </c>
      <c r="G3181" s="1">
        <v>35</v>
      </c>
      <c r="H3181" s="1">
        <f t="shared" si="441"/>
        <v>1.3699999999999974</v>
      </c>
      <c r="I3181" s="9">
        <f t="shared" si="448"/>
        <v>4.0520556048506282E-2</v>
      </c>
      <c r="J3181" s="1">
        <f t="shared" si="449"/>
        <v>0.99000000000000199</v>
      </c>
      <c r="K3181" s="9">
        <f t="shared" si="442"/>
        <v>2.9109085563069747E-2</v>
      </c>
      <c r="L3181" s="1">
        <f t="shared" si="443"/>
        <v>1</v>
      </c>
      <c r="M3181" s="1">
        <f t="shared" si="444"/>
        <v>35.18</v>
      </c>
      <c r="N3181" s="1">
        <f t="shared" si="445"/>
        <v>33.81</v>
      </c>
      <c r="O3181" s="1">
        <f t="shared" si="446"/>
        <v>33.04</v>
      </c>
      <c r="P3181" s="1">
        <f t="shared" si="447"/>
        <v>16.857142857142858</v>
      </c>
    </row>
    <row r="3182" spans="1:16">
      <c r="A3182" s="2">
        <v>38443</v>
      </c>
      <c r="B3182" s="1">
        <v>34.630000000000003</v>
      </c>
      <c r="C3182" s="1">
        <v>34.71</v>
      </c>
      <c r="D3182" s="1">
        <v>33.78</v>
      </c>
      <c r="E3182" s="1">
        <v>34.01</v>
      </c>
      <c r="F3182" s="1">
        <v>5018400</v>
      </c>
      <c r="G3182" s="1">
        <v>34.01</v>
      </c>
      <c r="H3182" s="1">
        <f t="shared" si="441"/>
        <v>0.92999999999999972</v>
      </c>
      <c r="I3182" s="9">
        <f t="shared" si="448"/>
        <v>2.7531083481349902E-2</v>
      </c>
      <c r="J3182" s="1">
        <f t="shared" si="449"/>
        <v>-0.26000000000000512</v>
      </c>
      <c r="K3182" s="9">
        <f t="shared" si="442"/>
        <v>-7.586810621535019E-3</v>
      </c>
      <c r="L3182" s="1">
        <f t="shared" si="443"/>
        <v>1</v>
      </c>
      <c r="M3182" s="1">
        <f t="shared" si="444"/>
        <v>34.71</v>
      </c>
      <c r="N3182" s="1">
        <f t="shared" si="445"/>
        <v>33.78</v>
      </c>
      <c r="O3182" s="1">
        <f t="shared" si="446"/>
        <v>32.049999999999997</v>
      </c>
      <c r="P3182" s="1">
        <f t="shared" si="447"/>
        <v>16.352040816326529</v>
      </c>
    </row>
    <row r="3183" spans="1:16">
      <c r="A3183" s="2">
        <v>38442</v>
      </c>
      <c r="B3183" s="1">
        <v>34.49</v>
      </c>
      <c r="C3183" s="1">
        <v>34.549999999999997</v>
      </c>
      <c r="D3183" s="1">
        <v>34</v>
      </c>
      <c r="E3183" s="1">
        <v>34.270000000000003</v>
      </c>
      <c r="F3183" s="1">
        <v>3554300</v>
      </c>
      <c r="G3183" s="1">
        <v>34.270000000000003</v>
      </c>
      <c r="H3183" s="1">
        <f t="shared" si="441"/>
        <v>0.54999999999999716</v>
      </c>
      <c r="I3183" s="9">
        <f t="shared" si="448"/>
        <v>1.6176470588235209E-2</v>
      </c>
      <c r="J3183" s="1">
        <f t="shared" si="449"/>
        <v>-4.9999999999997158E-2</v>
      </c>
      <c r="K3183" s="9">
        <f t="shared" si="442"/>
        <v>-1.4568764568763742E-3</v>
      </c>
      <c r="L3183" s="1">
        <f t="shared" si="443"/>
        <v>1</v>
      </c>
      <c r="M3183" s="1">
        <f t="shared" si="444"/>
        <v>34.549999999999997</v>
      </c>
      <c r="N3183" s="1">
        <f t="shared" si="445"/>
        <v>34</v>
      </c>
      <c r="O3183" s="1">
        <f t="shared" si="446"/>
        <v>32.31</v>
      </c>
      <c r="P3183" s="1">
        <f t="shared" si="447"/>
        <v>16.48469387755102</v>
      </c>
    </row>
    <row r="3184" spans="1:16">
      <c r="A3184" s="2">
        <v>38441</v>
      </c>
      <c r="B3184" s="1">
        <v>33.590000000000003</v>
      </c>
      <c r="C3184" s="1">
        <v>34.520000000000003</v>
      </c>
      <c r="D3184" s="1">
        <v>33.51</v>
      </c>
      <c r="E3184" s="1">
        <v>34.32</v>
      </c>
      <c r="F3184" s="1">
        <v>5349800</v>
      </c>
      <c r="G3184" s="1">
        <v>34.32</v>
      </c>
      <c r="H3184" s="1">
        <f t="shared" si="441"/>
        <v>1.0100000000000051</v>
      </c>
      <c r="I3184" s="9">
        <f t="shared" si="448"/>
        <v>3.0140256639809168E-2</v>
      </c>
      <c r="J3184" s="1">
        <f t="shared" si="449"/>
        <v>0.89000000000000057</v>
      </c>
      <c r="K3184" s="9">
        <f t="shared" si="442"/>
        <v>2.6622793897696697E-2</v>
      </c>
      <c r="L3184" s="1">
        <f t="shared" si="443"/>
        <v>1</v>
      </c>
      <c r="M3184" s="1">
        <f t="shared" si="444"/>
        <v>34.520000000000003</v>
      </c>
      <c r="N3184" s="1">
        <f t="shared" si="445"/>
        <v>33.51</v>
      </c>
      <c r="O3184" s="1">
        <f t="shared" si="446"/>
        <v>32.36</v>
      </c>
      <c r="P3184" s="1">
        <f t="shared" si="447"/>
        <v>16.510204081632654</v>
      </c>
    </row>
    <row r="3185" spans="1:16">
      <c r="A3185" s="2">
        <v>38440</v>
      </c>
      <c r="B3185" s="1">
        <v>33.28</v>
      </c>
      <c r="C3185" s="1">
        <v>34.15</v>
      </c>
      <c r="D3185" s="1">
        <v>33.229999999999997</v>
      </c>
      <c r="E3185" s="1">
        <v>33.43</v>
      </c>
      <c r="F3185" s="1">
        <v>6137300</v>
      </c>
      <c r="G3185" s="1">
        <v>33.43</v>
      </c>
      <c r="H3185" s="1">
        <f t="shared" si="441"/>
        <v>0.92000000000000171</v>
      </c>
      <c r="I3185" s="9">
        <f t="shared" si="448"/>
        <v>2.7685826060788499E-2</v>
      </c>
      <c r="J3185" s="1">
        <f t="shared" si="449"/>
        <v>3.9999999999999147E-2</v>
      </c>
      <c r="K3185" s="9">
        <f t="shared" si="442"/>
        <v>1.19796346211438E-3</v>
      </c>
      <c r="L3185" s="1">
        <f t="shared" si="443"/>
        <v>1</v>
      </c>
      <c r="M3185" s="1">
        <f t="shared" si="444"/>
        <v>34.15</v>
      </c>
      <c r="N3185" s="1">
        <f t="shared" si="445"/>
        <v>33.229999999999997</v>
      </c>
      <c r="O3185" s="1">
        <f t="shared" si="446"/>
        <v>31.47</v>
      </c>
      <c r="P3185" s="1">
        <f t="shared" si="447"/>
        <v>16.056122448979593</v>
      </c>
    </row>
    <row r="3186" spans="1:16">
      <c r="A3186" s="2">
        <v>38439</v>
      </c>
      <c r="B3186" s="1">
        <v>33.1</v>
      </c>
      <c r="C3186" s="1">
        <v>33.65</v>
      </c>
      <c r="D3186" s="1">
        <v>33.020000000000003</v>
      </c>
      <c r="E3186" s="1">
        <v>33.39</v>
      </c>
      <c r="F3186" s="1">
        <v>4326600</v>
      </c>
      <c r="G3186" s="1">
        <v>33.39</v>
      </c>
      <c r="H3186" s="1">
        <f t="shared" si="441"/>
        <v>0.62999999999999545</v>
      </c>
      <c r="I3186" s="9">
        <f t="shared" si="448"/>
        <v>1.9079345850999255E-2</v>
      </c>
      <c r="J3186" s="1">
        <f t="shared" si="449"/>
        <v>0.50999999999999801</v>
      </c>
      <c r="K3186" s="9">
        <f t="shared" si="442"/>
        <v>1.5510948905109427E-2</v>
      </c>
      <c r="L3186" s="1">
        <f t="shared" si="443"/>
        <v>1</v>
      </c>
      <c r="M3186" s="1">
        <f t="shared" si="444"/>
        <v>33.65</v>
      </c>
      <c r="N3186" s="1">
        <f t="shared" si="445"/>
        <v>33.020000000000003</v>
      </c>
      <c r="O3186" s="1">
        <f t="shared" si="446"/>
        <v>31.43</v>
      </c>
      <c r="P3186" s="1">
        <f t="shared" si="447"/>
        <v>16.035714285714285</v>
      </c>
    </row>
    <row r="3187" spans="1:16">
      <c r="A3187" s="2">
        <v>38435</v>
      </c>
      <c r="B3187" s="1">
        <v>33.4</v>
      </c>
      <c r="C3187" s="1">
        <v>33.880000000000003</v>
      </c>
      <c r="D3187" s="1">
        <v>32.869999999999997</v>
      </c>
      <c r="E3187" s="1">
        <v>32.880000000000003</v>
      </c>
      <c r="F3187" s="1">
        <v>5337300</v>
      </c>
      <c r="G3187" s="1">
        <v>32.880000000000003</v>
      </c>
      <c r="H3187" s="1">
        <f t="shared" si="441"/>
        <v>1.0100000000000051</v>
      </c>
      <c r="I3187" s="9">
        <f t="shared" si="448"/>
        <v>3.0727106784301954E-2</v>
      </c>
      <c r="J3187" s="1">
        <f t="shared" si="449"/>
        <v>-0.29999999999999716</v>
      </c>
      <c r="K3187" s="9">
        <f t="shared" si="442"/>
        <v>-9.0415913200722463E-3</v>
      </c>
      <c r="L3187" s="1">
        <f t="shared" si="443"/>
        <v>1</v>
      </c>
      <c r="M3187" s="1">
        <f t="shared" si="444"/>
        <v>33.880000000000003</v>
      </c>
      <c r="N3187" s="1">
        <f t="shared" si="445"/>
        <v>32.869999999999997</v>
      </c>
      <c r="O3187" s="1">
        <f t="shared" si="446"/>
        <v>30.92</v>
      </c>
      <c r="P3187" s="1">
        <f t="shared" si="447"/>
        <v>15.775510204081634</v>
      </c>
    </row>
    <row r="3188" spans="1:16">
      <c r="A3188" s="2">
        <v>38434</v>
      </c>
      <c r="B3188" s="1">
        <v>33.090000000000003</v>
      </c>
      <c r="C3188" s="1">
        <v>33.840000000000003</v>
      </c>
      <c r="D3188" s="1">
        <v>32.82</v>
      </c>
      <c r="E3188" s="1">
        <v>33.18</v>
      </c>
      <c r="F3188" s="1">
        <v>6323700</v>
      </c>
      <c r="G3188" s="1">
        <v>33.18</v>
      </c>
      <c r="H3188" s="1">
        <f t="shared" si="441"/>
        <v>1.0200000000000031</v>
      </c>
      <c r="I3188" s="9">
        <f t="shared" si="448"/>
        <v>3.1078610603290771E-2</v>
      </c>
      <c r="J3188" s="1">
        <f t="shared" si="449"/>
        <v>3.0000000000001137E-2</v>
      </c>
      <c r="K3188" s="9">
        <f t="shared" si="442"/>
        <v>9.0497737556564516E-4</v>
      </c>
      <c r="L3188" s="1">
        <f t="shared" si="443"/>
        <v>1</v>
      </c>
      <c r="M3188" s="1">
        <f t="shared" si="444"/>
        <v>33.840000000000003</v>
      </c>
      <c r="N3188" s="1">
        <f t="shared" si="445"/>
        <v>32.82</v>
      </c>
      <c r="O3188" s="1">
        <f t="shared" si="446"/>
        <v>31.22</v>
      </c>
      <c r="P3188" s="1">
        <f t="shared" si="447"/>
        <v>15.928571428571429</v>
      </c>
    </row>
    <row r="3189" spans="1:16">
      <c r="A3189" s="2">
        <v>38433</v>
      </c>
      <c r="B3189" s="1">
        <v>33.700000000000003</v>
      </c>
      <c r="C3189" s="1">
        <v>33.94</v>
      </c>
      <c r="D3189" s="1">
        <v>33.07</v>
      </c>
      <c r="E3189" s="1">
        <v>33.15</v>
      </c>
      <c r="F3189" s="1">
        <v>5490700</v>
      </c>
      <c r="G3189" s="1">
        <v>33.15</v>
      </c>
      <c r="H3189" s="1">
        <f t="shared" si="441"/>
        <v>0.86999999999999744</v>
      </c>
      <c r="I3189" s="9">
        <f t="shared" si="448"/>
        <v>2.6307831871787042E-2</v>
      </c>
      <c r="J3189" s="1">
        <f t="shared" si="449"/>
        <v>-0.52000000000000313</v>
      </c>
      <c r="K3189" s="9">
        <f t="shared" si="442"/>
        <v>-1.5444015444015536E-2</v>
      </c>
      <c r="L3189" s="1">
        <f t="shared" si="443"/>
        <v>1</v>
      </c>
      <c r="M3189" s="1">
        <f t="shared" si="444"/>
        <v>33.94</v>
      </c>
      <c r="N3189" s="1">
        <f t="shared" si="445"/>
        <v>33.07</v>
      </c>
      <c r="O3189" s="1">
        <f t="shared" si="446"/>
        <v>31.189999999999998</v>
      </c>
      <c r="P3189" s="1">
        <f t="shared" si="447"/>
        <v>15.913265306122447</v>
      </c>
    </row>
    <row r="3190" spans="1:16">
      <c r="A3190" s="2">
        <v>38432</v>
      </c>
      <c r="B3190" s="1">
        <v>34.21</v>
      </c>
      <c r="C3190" s="1">
        <v>34.630000000000003</v>
      </c>
      <c r="D3190" s="1">
        <v>33.54</v>
      </c>
      <c r="E3190" s="1">
        <v>33.67</v>
      </c>
      <c r="F3190" s="1">
        <v>6084400</v>
      </c>
      <c r="G3190" s="1">
        <v>33.67</v>
      </c>
      <c r="H3190" s="1">
        <f t="shared" si="441"/>
        <v>1.0900000000000034</v>
      </c>
      <c r="I3190" s="9">
        <f t="shared" si="448"/>
        <v>3.2498509242695393E-2</v>
      </c>
      <c r="J3190" s="1">
        <f t="shared" si="449"/>
        <v>-0.48999999999999488</v>
      </c>
      <c r="K3190" s="9">
        <f t="shared" si="442"/>
        <v>-1.4344262295081818E-2</v>
      </c>
      <c r="L3190" s="1">
        <f t="shared" si="443"/>
        <v>1</v>
      </c>
      <c r="M3190" s="1">
        <f t="shared" si="444"/>
        <v>34.630000000000003</v>
      </c>
      <c r="N3190" s="1">
        <f t="shared" si="445"/>
        <v>33.54</v>
      </c>
      <c r="O3190" s="1">
        <f t="shared" si="446"/>
        <v>31.71</v>
      </c>
      <c r="P3190" s="1">
        <f t="shared" si="447"/>
        <v>16.178571428571431</v>
      </c>
    </row>
    <row r="3191" spans="1:16">
      <c r="A3191" s="2">
        <v>38429</v>
      </c>
      <c r="B3191" s="1">
        <v>34.15</v>
      </c>
      <c r="C3191" s="1">
        <v>34.28</v>
      </c>
      <c r="D3191" s="1">
        <v>33.65</v>
      </c>
      <c r="E3191" s="1">
        <v>34.159999999999997</v>
      </c>
      <c r="F3191" s="1">
        <v>5294700</v>
      </c>
      <c r="G3191" s="1">
        <v>34.159999999999997</v>
      </c>
      <c r="H3191" s="1">
        <f t="shared" si="441"/>
        <v>0.63000000000000256</v>
      </c>
      <c r="I3191" s="9">
        <f t="shared" si="448"/>
        <v>1.8722139673105574E-2</v>
      </c>
      <c r="J3191" s="1">
        <f t="shared" si="449"/>
        <v>0.18999999999999773</v>
      </c>
      <c r="K3191" s="9">
        <f t="shared" si="442"/>
        <v>5.593170444509795E-3</v>
      </c>
      <c r="L3191" s="1">
        <f t="shared" si="443"/>
        <v>1</v>
      </c>
      <c r="M3191" s="1">
        <f t="shared" si="444"/>
        <v>34.28</v>
      </c>
      <c r="N3191" s="1">
        <f t="shared" si="445"/>
        <v>33.65</v>
      </c>
      <c r="O3191" s="1">
        <f t="shared" si="446"/>
        <v>32.199999999999996</v>
      </c>
      <c r="P3191" s="1">
        <f t="shared" si="447"/>
        <v>16.428571428571427</v>
      </c>
    </row>
    <row r="3192" spans="1:16">
      <c r="A3192" s="2">
        <v>38428</v>
      </c>
      <c r="B3192" s="1">
        <v>33.58</v>
      </c>
      <c r="C3192" s="1">
        <v>34.44</v>
      </c>
      <c r="D3192" s="1">
        <v>33.58</v>
      </c>
      <c r="E3192" s="1">
        <v>33.97</v>
      </c>
      <c r="F3192" s="1">
        <v>4858000</v>
      </c>
      <c r="G3192" s="1">
        <v>33.97</v>
      </c>
      <c r="H3192" s="1">
        <f t="shared" si="441"/>
        <v>0.85999999999999943</v>
      </c>
      <c r="I3192" s="9">
        <f t="shared" si="448"/>
        <v>2.5610482430017852E-2</v>
      </c>
      <c r="J3192" s="1">
        <f t="shared" si="449"/>
        <v>0.10000000000000142</v>
      </c>
      <c r="K3192" s="9">
        <f t="shared" si="442"/>
        <v>2.9524653085326669E-3</v>
      </c>
      <c r="L3192" s="1">
        <f t="shared" si="443"/>
        <v>1</v>
      </c>
      <c r="M3192" s="1">
        <f t="shared" si="444"/>
        <v>34.44</v>
      </c>
      <c r="N3192" s="1">
        <f t="shared" si="445"/>
        <v>33.58</v>
      </c>
      <c r="O3192" s="1">
        <f t="shared" si="446"/>
        <v>32.01</v>
      </c>
      <c r="P3192" s="1">
        <f t="shared" si="447"/>
        <v>16.331632653061224</v>
      </c>
    </row>
    <row r="3193" spans="1:16">
      <c r="A3193" s="2">
        <v>38427</v>
      </c>
      <c r="B3193" s="1">
        <v>33.880000000000003</v>
      </c>
      <c r="C3193" s="1">
        <v>34.44</v>
      </c>
      <c r="D3193" s="1">
        <v>33.6</v>
      </c>
      <c r="E3193" s="1">
        <v>33.869999999999997</v>
      </c>
      <c r="F3193" s="1">
        <v>5370000</v>
      </c>
      <c r="G3193" s="1">
        <v>33.869999999999997</v>
      </c>
      <c r="H3193" s="1">
        <f t="shared" si="441"/>
        <v>0.83999999999999631</v>
      </c>
      <c r="I3193" s="9">
        <f t="shared" si="448"/>
        <v>2.499999999999989E-2</v>
      </c>
      <c r="J3193" s="1">
        <f t="shared" si="449"/>
        <v>-0.31000000000000227</v>
      </c>
      <c r="K3193" s="9">
        <f t="shared" si="442"/>
        <v>-9.0696313633704586E-3</v>
      </c>
      <c r="L3193" s="1">
        <f t="shared" si="443"/>
        <v>1</v>
      </c>
      <c r="M3193" s="1">
        <f t="shared" si="444"/>
        <v>34.44</v>
      </c>
      <c r="N3193" s="1">
        <f t="shared" si="445"/>
        <v>33.6</v>
      </c>
      <c r="O3193" s="1">
        <f t="shared" si="446"/>
        <v>31.909999999999997</v>
      </c>
      <c r="P3193" s="1">
        <f t="shared" si="447"/>
        <v>16.280612244897959</v>
      </c>
    </row>
    <row r="3194" spans="1:16">
      <c r="A3194" s="2">
        <v>38426</v>
      </c>
      <c r="B3194" s="1">
        <v>34.58</v>
      </c>
      <c r="C3194" s="1">
        <v>34.85</v>
      </c>
      <c r="D3194" s="1">
        <v>33.9</v>
      </c>
      <c r="E3194" s="1">
        <v>34.18</v>
      </c>
      <c r="F3194" s="1">
        <v>5070600</v>
      </c>
      <c r="G3194" s="1">
        <v>34.18</v>
      </c>
      <c r="H3194" s="1">
        <f t="shared" si="441"/>
        <v>0.95000000000000284</v>
      </c>
      <c r="I3194" s="9">
        <f t="shared" si="448"/>
        <v>2.8023598820059083E-2</v>
      </c>
      <c r="J3194" s="1">
        <f t="shared" si="449"/>
        <v>-0.42000000000000171</v>
      </c>
      <c r="K3194" s="9">
        <f t="shared" si="442"/>
        <v>-1.2138728323699471E-2</v>
      </c>
      <c r="L3194" s="1">
        <f t="shared" si="443"/>
        <v>1</v>
      </c>
      <c r="M3194" s="1">
        <f t="shared" si="444"/>
        <v>34.85</v>
      </c>
      <c r="N3194" s="1">
        <f t="shared" si="445"/>
        <v>33.9</v>
      </c>
      <c r="O3194" s="1">
        <f t="shared" si="446"/>
        <v>32.22</v>
      </c>
      <c r="P3194" s="1">
        <f t="shared" si="447"/>
        <v>16.438775510204081</v>
      </c>
    </row>
    <row r="3195" spans="1:16">
      <c r="A3195" s="2">
        <v>38425</v>
      </c>
      <c r="B3195" s="1">
        <v>34.67</v>
      </c>
      <c r="C3195" s="1">
        <v>34.75</v>
      </c>
      <c r="D3195" s="1">
        <v>34</v>
      </c>
      <c r="E3195" s="1">
        <v>34.6</v>
      </c>
      <c r="F3195" s="1">
        <v>5433500</v>
      </c>
      <c r="G3195" s="1">
        <v>34.6</v>
      </c>
      <c r="H3195" s="1">
        <f t="shared" si="441"/>
        <v>0.75</v>
      </c>
      <c r="I3195" s="9">
        <f t="shared" si="448"/>
        <v>2.2058823529411766E-2</v>
      </c>
      <c r="J3195" s="1">
        <f t="shared" si="449"/>
        <v>-0.14999999999999858</v>
      </c>
      <c r="K3195" s="9">
        <f t="shared" si="442"/>
        <v>-4.3165467625898872E-3</v>
      </c>
      <c r="L3195" s="1">
        <f t="shared" si="443"/>
        <v>1</v>
      </c>
      <c r="M3195" s="1">
        <f t="shared" si="444"/>
        <v>34.75</v>
      </c>
      <c r="N3195" s="1">
        <f t="shared" si="445"/>
        <v>34</v>
      </c>
      <c r="O3195" s="1">
        <f t="shared" si="446"/>
        <v>32.64</v>
      </c>
      <c r="P3195" s="1">
        <f t="shared" si="447"/>
        <v>16.653061224489797</v>
      </c>
    </row>
    <row r="3196" spans="1:16">
      <c r="A3196" s="2">
        <v>38422</v>
      </c>
      <c r="B3196" s="1">
        <v>34.81</v>
      </c>
      <c r="C3196" s="1">
        <v>34.869999999999997</v>
      </c>
      <c r="D3196" s="1">
        <v>34.049999999999997</v>
      </c>
      <c r="E3196" s="1">
        <v>34.75</v>
      </c>
      <c r="F3196" s="1">
        <v>8010300</v>
      </c>
      <c r="G3196" s="1">
        <v>34.75</v>
      </c>
      <c r="H3196" s="1">
        <f t="shared" si="441"/>
        <v>0.82000000000000028</v>
      </c>
      <c r="I3196" s="9">
        <f t="shared" si="448"/>
        <v>2.4082232011747442E-2</v>
      </c>
      <c r="J3196" s="1">
        <f t="shared" si="449"/>
        <v>-0.15999999999999659</v>
      </c>
      <c r="K3196" s="9">
        <f t="shared" si="442"/>
        <v>-4.5832139788025382E-3</v>
      </c>
      <c r="L3196" s="1">
        <f t="shared" si="443"/>
        <v>1</v>
      </c>
      <c r="M3196" s="1">
        <f t="shared" si="444"/>
        <v>34.869999999999997</v>
      </c>
      <c r="N3196" s="1">
        <f t="shared" si="445"/>
        <v>34.049999999999997</v>
      </c>
      <c r="O3196" s="1">
        <f t="shared" si="446"/>
        <v>32.79</v>
      </c>
      <c r="P3196" s="1">
        <f t="shared" si="447"/>
        <v>16.729591836734695</v>
      </c>
    </row>
    <row r="3197" spans="1:16">
      <c r="A3197" s="2">
        <v>38421</v>
      </c>
      <c r="B3197" s="1">
        <v>35.31</v>
      </c>
      <c r="C3197" s="1">
        <v>35.71</v>
      </c>
      <c r="D3197" s="1">
        <v>34.57</v>
      </c>
      <c r="E3197" s="1">
        <v>34.909999999999997</v>
      </c>
      <c r="F3197" s="1">
        <v>5872300</v>
      </c>
      <c r="G3197" s="1">
        <v>34.909999999999997</v>
      </c>
      <c r="H3197" s="1">
        <f t="shared" si="441"/>
        <v>1.1400000000000006</v>
      </c>
      <c r="I3197" s="9">
        <f t="shared" si="448"/>
        <v>3.2976569279722319E-2</v>
      </c>
      <c r="J3197" s="1">
        <f t="shared" si="449"/>
        <v>-0.49000000000000199</v>
      </c>
      <c r="K3197" s="9">
        <f t="shared" si="442"/>
        <v>-1.3841807909604577E-2</v>
      </c>
      <c r="L3197" s="1">
        <f t="shared" si="443"/>
        <v>1</v>
      </c>
      <c r="M3197" s="1">
        <f t="shared" si="444"/>
        <v>35.71</v>
      </c>
      <c r="N3197" s="1">
        <f t="shared" si="445"/>
        <v>34.57</v>
      </c>
      <c r="O3197" s="1">
        <f t="shared" si="446"/>
        <v>32.949999999999996</v>
      </c>
      <c r="P3197" s="1">
        <f t="shared" si="447"/>
        <v>16.811224489795915</v>
      </c>
    </row>
    <row r="3198" spans="1:16">
      <c r="A3198" s="2">
        <v>38420</v>
      </c>
      <c r="B3198" s="1">
        <v>35.74</v>
      </c>
      <c r="C3198" s="1">
        <v>35.93</v>
      </c>
      <c r="D3198" s="1">
        <v>34.9</v>
      </c>
      <c r="E3198" s="1">
        <v>35.4</v>
      </c>
      <c r="F3198" s="1">
        <v>7412300</v>
      </c>
      <c r="G3198" s="1">
        <v>35.4</v>
      </c>
      <c r="H3198" s="1">
        <f t="shared" si="441"/>
        <v>1.0300000000000011</v>
      </c>
      <c r="I3198" s="9">
        <f t="shared" si="448"/>
        <v>2.9512893982808056E-2</v>
      </c>
      <c r="J3198" s="1">
        <f t="shared" si="449"/>
        <v>-0.42999999999999972</v>
      </c>
      <c r="K3198" s="9">
        <f t="shared" si="442"/>
        <v>-1.2001116382919334E-2</v>
      </c>
      <c r="L3198" s="1">
        <f t="shared" si="443"/>
        <v>1</v>
      </c>
      <c r="M3198" s="1">
        <f t="shared" si="444"/>
        <v>35.93</v>
      </c>
      <c r="N3198" s="1">
        <f t="shared" si="445"/>
        <v>34.9</v>
      </c>
      <c r="O3198" s="1">
        <f t="shared" si="446"/>
        <v>33.44</v>
      </c>
      <c r="P3198" s="1">
        <f t="shared" si="447"/>
        <v>17.061224489795919</v>
      </c>
    </row>
    <row r="3199" spans="1:16">
      <c r="A3199" s="2">
        <v>38419</v>
      </c>
      <c r="B3199" s="1">
        <v>36.31</v>
      </c>
      <c r="C3199" s="1">
        <v>36.43</v>
      </c>
      <c r="D3199" s="1">
        <v>35.75</v>
      </c>
      <c r="E3199" s="1">
        <v>35.83</v>
      </c>
      <c r="F3199" s="1">
        <v>4792900</v>
      </c>
      <c r="G3199" s="1">
        <v>35.83</v>
      </c>
      <c r="H3199" s="1">
        <f t="shared" si="441"/>
        <v>0.67999999999999972</v>
      </c>
      <c r="I3199" s="9">
        <f t="shared" si="448"/>
        <v>1.9020979020979014E-2</v>
      </c>
      <c r="J3199" s="1">
        <f t="shared" si="449"/>
        <v>-0.49000000000000199</v>
      </c>
      <c r="K3199" s="9">
        <f t="shared" si="442"/>
        <v>-1.349118942731283E-2</v>
      </c>
      <c r="L3199" s="1">
        <f t="shared" si="443"/>
        <v>1</v>
      </c>
      <c r="M3199" s="1">
        <f t="shared" si="444"/>
        <v>36.43</v>
      </c>
      <c r="N3199" s="1">
        <f t="shared" si="445"/>
        <v>35.75</v>
      </c>
      <c r="O3199" s="1">
        <f t="shared" si="446"/>
        <v>33.869999999999997</v>
      </c>
      <c r="P3199" s="1">
        <f t="shared" si="447"/>
        <v>17.280612244897959</v>
      </c>
    </row>
    <row r="3200" spans="1:16">
      <c r="A3200" s="2">
        <v>38418</v>
      </c>
      <c r="B3200" s="1">
        <v>35.94</v>
      </c>
      <c r="C3200" s="1">
        <v>36.4</v>
      </c>
      <c r="D3200" s="1">
        <v>35.81</v>
      </c>
      <c r="E3200" s="1">
        <v>36.32</v>
      </c>
      <c r="F3200" s="1">
        <v>3585900</v>
      </c>
      <c r="G3200" s="1">
        <v>36.32</v>
      </c>
      <c r="H3200" s="1">
        <f t="shared" si="441"/>
        <v>0.58999999999999631</v>
      </c>
      <c r="I3200" s="9">
        <f t="shared" si="448"/>
        <v>1.647584473610713E-2</v>
      </c>
      <c r="J3200" s="1">
        <f t="shared" si="449"/>
        <v>0.46999999999999886</v>
      </c>
      <c r="K3200" s="9">
        <f t="shared" si="442"/>
        <v>1.3110181311018099E-2</v>
      </c>
      <c r="L3200" s="1">
        <f t="shared" si="443"/>
        <v>1</v>
      </c>
      <c r="M3200" s="1">
        <f t="shared" si="444"/>
        <v>36.4</v>
      </c>
      <c r="N3200" s="1">
        <f t="shared" si="445"/>
        <v>35.81</v>
      </c>
      <c r="O3200" s="1">
        <f t="shared" si="446"/>
        <v>34.36</v>
      </c>
      <c r="P3200" s="1">
        <f t="shared" si="447"/>
        <v>17.530612244897959</v>
      </c>
    </row>
    <row r="3201" spans="1:16">
      <c r="A3201" s="2">
        <v>38415</v>
      </c>
      <c r="B3201" s="1">
        <v>35.840000000000003</v>
      </c>
      <c r="C3201" s="1">
        <v>36.31</v>
      </c>
      <c r="D3201" s="1">
        <v>35.700000000000003</v>
      </c>
      <c r="E3201" s="1">
        <v>35.85</v>
      </c>
      <c r="F3201" s="1">
        <v>5545700</v>
      </c>
      <c r="G3201" s="1">
        <v>35.85</v>
      </c>
      <c r="H3201" s="1">
        <f t="shared" si="441"/>
        <v>0.60999999999999943</v>
      </c>
      <c r="I3201" s="9">
        <f t="shared" si="448"/>
        <v>1.7086834733893542E-2</v>
      </c>
      <c r="J3201" s="1">
        <f t="shared" si="449"/>
        <v>0.20000000000000284</v>
      </c>
      <c r="K3201" s="9">
        <f t="shared" si="442"/>
        <v>5.6100981767181722E-3</v>
      </c>
      <c r="L3201" s="1">
        <f t="shared" si="443"/>
        <v>1</v>
      </c>
      <c r="M3201" s="1">
        <f t="shared" si="444"/>
        <v>36.31</v>
      </c>
      <c r="N3201" s="1">
        <f t="shared" si="445"/>
        <v>35.700000000000003</v>
      </c>
      <c r="O3201" s="1">
        <f t="shared" si="446"/>
        <v>33.89</v>
      </c>
      <c r="P3201" s="1">
        <f t="shared" si="447"/>
        <v>17.290816326530614</v>
      </c>
    </row>
    <row r="3202" spans="1:16">
      <c r="A3202" s="2">
        <v>38414</v>
      </c>
      <c r="B3202" s="1">
        <v>35.5</v>
      </c>
      <c r="C3202" s="1">
        <v>35.96</v>
      </c>
      <c r="D3202" s="1">
        <v>35.4</v>
      </c>
      <c r="E3202" s="1">
        <v>35.65</v>
      </c>
      <c r="F3202" s="1">
        <v>5025600</v>
      </c>
      <c r="G3202" s="1">
        <v>35.65</v>
      </c>
      <c r="H3202" s="1">
        <f t="shared" si="441"/>
        <v>0.56000000000000227</v>
      </c>
      <c r="I3202" s="9">
        <f t="shared" si="448"/>
        <v>1.5819209039548088E-2</v>
      </c>
      <c r="J3202" s="1">
        <f t="shared" si="449"/>
        <v>0.14999999999999858</v>
      </c>
      <c r="K3202" s="9">
        <f t="shared" si="442"/>
        <v>4.225352112676016E-3</v>
      </c>
      <c r="L3202" s="1">
        <f t="shared" si="443"/>
        <v>1</v>
      </c>
      <c r="M3202" s="1">
        <f t="shared" si="444"/>
        <v>35.96</v>
      </c>
      <c r="N3202" s="1">
        <f t="shared" si="445"/>
        <v>35.4</v>
      </c>
      <c r="O3202" s="1">
        <f t="shared" si="446"/>
        <v>33.69</v>
      </c>
      <c r="P3202" s="1">
        <f t="shared" si="447"/>
        <v>17.188775510204081</v>
      </c>
    </row>
    <row r="3203" spans="1:16">
      <c r="A3203" s="2">
        <v>38413</v>
      </c>
      <c r="B3203" s="1">
        <v>35.39</v>
      </c>
      <c r="C3203" s="1">
        <v>35.93</v>
      </c>
      <c r="D3203" s="1">
        <v>35.07</v>
      </c>
      <c r="E3203" s="1">
        <v>35.5</v>
      </c>
      <c r="F3203" s="1">
        <v>4871700</v>
      </c>
      <c r="G3203" s="1">
        <v>35.5</v>
      </c>
      <c r="H3203" s="1">
        <f t="shared" ref="H3203:H3266" si="450">C3203-D3203</f>
        <v>0.85999999999999943</v>
      </c>
      <c r="I3203" s="9">
        <f t="shared" si="448"/>
        <v>2.4522383803820914E-2</v>
      </c>
      <c r="J3203" s="1">
        <f t="shared" si="449"/>
        <v>0.10999999999999943</v>
      </c>
      <c r="K3203" s="9">
        <f t="shared" ref="K3203:K3266" si="451">(G3203-G3204)/G3204</f>
        <v>3.1082226617688453E-3</v>
      </c>
      <c r="L3203" s="1">
        <f t="shared" ref="L3203:L3266" si="452">G3203/E3203</f>
        <v>1</v>
      </c>
      <c r="M3203" s="1">
        <f t="shared" ref="M3203:M3266" si="453">L3203*C3203</f>
        <v>35.93</v>
      </c>
      <c r="N3203" s="1">
        <f t="shared" ref="N3203:N3266" si="454">L3203*D3203</f>
        <v>35.07</v>
      </c>
      <c r="O3203" s="1">
        <f t="shared" ref="O3203:O3266" si="455">G3203-$G$5163</f>
        <v>33.54</v>
      </c>
      <c r="P3203" s="1">
        <f t="shared" ref="P3203:P3266" si="456">(G3203-$G$5163)/$G$5163</f>
        <v>17.112244897959183</v>
      </c>
    </row>
    <row r="3204" spans="1:16">
      <c r="A3204" s="2">
        <v>38412</v>
      </c>
      <c r="B3204" s="1">
        <v>35.06</v>
      </c>
      <c r="C3204" s="1">
        <v>35.409999999999997</v>
      </c>
      <c r="D3204" s="1">
        <v>34.82</v>
      </c>
      <c r="E3204" s="1">
        <v>35.39</v>
      </c>
      <c r="F3204" s="1">
        <v>5819000</v>
      </c>
      <c r="G3204" s="1">
        <v>35.39</v>
      </c>
      <c r="H3204" s="1">
        <f t="shared" si="450"/>
        <v>0.58999999999999631</v>
      </c>
      <c r="I3204" s="9">
        <f t="shared" ref="I3204:I3267" si="457">(C3204-D3204)/D3204</f>
        <v>1.6944284893739125E-2</v>
      </c>
      <c r="J3204" s="1">
        <f t="shared" ref="J3204:J3267" si="458">G3204-G3205</f>
        <v>0.21000000000000085</v>
      </c>
      <c r="K3204" s="9">
        <f t="shared" si="451"/>
        <v>5.969300739056306E-3</v>
      </c>
      <c r="L3204" s="1">
        <f t="shared" si="452"/>
        <v>1</v>
      </c>
      <c r="M3204" s="1">
        <f t="shared" si="453"/>
        <v>35.409999999999997</v>
      </c>
      <c r="N3204" s="1">
        <f t="shared" si="454"/>
        <v>34.82</v>
      </c>
      <c r="O3204" s="1">
        <f t="shared" si="455"/>
        <v>33.43</v>
      </c>
      <c r="P3204" s="1">
        <f t="shared" si="456"/>
        <v>17.056122448979593</v>
      </c>
    </row>
    <row r="3205" spans="1:16">
      <c r="A3205" s="2">
        <v>38411</v>
      </c>
      <c r="B3205" s="1">
        <v>34.72</v>
      </c>
      <c r="C3205" s="1">
        <v>35.659999999999997</v>
      </c>
      <c r="D3205" s="1">
        <v>34.67</v>
      </c>
      <c r="E3205" s="1">
        <v>35.18</v>
      </c>
      <c r="F3205" s="1">
        <v>8422900</v>
      </c>
      <c r="G3205" s="1">
        <v>35.18</v>
      </c>
      <c r="H3205" s="1">
        <f t="shared" si="450"/>
        <v>0.98999999999999488</v>
      </c>
      <c r="I3205" s="9">
        <f t="shared" si="457"/>
        <v>2.8554946639746028E-2</v>
      </c>
      <c r="J3205" s="1">
        <f t="shared" si="458"/>
        <v>0.18999999999999773</v>
      </c>
      <c r="K3205" s="9">
        <f t="shared" si="451"/>
        <v>5.4301228922548645E-3</v>
      </c>
      <c r="L3205" s="1">
        <f t="shared" si="452"/>
        <v>1</v>
      </c>
      <c r="M3205" s="1">
        <f t="shared" si="453"/>
        <v>35.659999999999997</v>
      </c>
      <c r="N3205" s="1">
        <f t="shared" si="454"/>
        <v>34.67</v>
      </c>
      <c r="O3205" s="1">
        <f t="shared" si="455"/>
        <v>33.22</v>
      </c>
      <c r="P3205" s="1">
        <f t="shared" si="456"/>
        <v>16.948979591836736</v>
      </c>
    </row>
    <row r="3206" spans="1:16">
      <c r="A3206" s="2">
        <v>38408</v>
      </c>
      <c r="B3206" s="1">
        <v>34.72</v>
      </c>
      <c r="C3206" s="1">
        <v>35.229999999999997</v>
      </c>
      <c r="D3206" s="1">
        <v>34.479999999999997</v>
      </c>
      <c r="E3206" s="1">
        <v>34.99</v>
      </c>
      <c r="F3206" s="1">
        <v>5882300</v>
      </c>
      <c r="G3206" s="1">
        <v>34.99</v>
      </c>
      <c r="H3206" s="1">
        <f t="shared" si="450"/>
        <v>0.75</v>
      </c>
      <c r="I3206" s="9">
        <f t="shared" si="457"/>
        <v>2.1751740139211138E-2</v>
      </c>
      <c r="J3206" s="1">
        <f t="shared" si="458"/>
        <v>0.30000000000000426</v>
      </c>
      <c r="K3206" s="9">
        <f t="shared" si="451"/>
        <v>8.6480253675412008E-3</v>
      </c>
      <c r="L3206" s="1">
        <f t="shared" si="452"/>
        <v>1</v>
      </c>
      <c r="M3206" s="1">
        <f t="shared" si="453"/>
        <v>35.229999999999997</v>
      </c>
      <c r="N3206" s="1">
        <f t="shared" si="454"/>
        <v>34.479999999999997</v>
      </c>
      <c r="O3206" s="1">
        <f t="shared" si="455"/>
        <v>33.03</v>
      </c>
      <c r="P3206" s="1">
        <f t="shared" si="456"/>
        <v>16.852040816326532</v>
      </c>
    </row>
    <row r="3207" spans="1:16">
      <c r="A3207" s="2">
        <v>38407</v>
      </c>
      <c r="B3207" s="1">
        <v>33.659999999999997</v>
      </c>
      <c r="C3207" s="1">
        <v>34.85</v>
      </c>
      <c r="D3207" s="1">
        <v>33.659999999999997</v>
      </c>
      <c r="E3207" s="1">
        <v>34.69</v>
      </c>
      <c r="F3207" s="1">
        <v>8389200</v>
      </c>
      <c r="G3207" s="1">
        <v>34.69</v>
      </c>
      <c r="H3207" s="1">
        <f t="shared" si="450"/>
        <v>1.1900000000000048</v>
      </c>
      <c r="I3207" s="9">
        <f t="shared" si="457"/>
        <v>3.5353535353535498E-2</v>
      </c>
      <c r="J3207" s="1">
        <f t="shared" si="458"/>
        <v>0.54999999999999716</v>
      </c>
      <c r="K3207" s="9">
        <f t="shared" si="451"/>
        <v>1.6110134739308644E-2</v>
      </c>
      <c r="L3207" s="1">
        <f t="shared" si="452"/>
        <v>1</v>
      </c>
      <c r="M3207" s="1">
        <f t="shared" si="453"/>
        <v>34.85</v>
      </c>
      <c r="N3207" s="1">
        <f t="shared" si="454"/>
        <v>33.659999999999997</v>
      </c>
      <c r="O3207" s="1">
        <f t="shared" si="455"/>
        <v>32.729999999999997</v>
      </c>
      <c r="P3207" s="1">
        <f t="shared" si="456"/>
        <v>16.698979591836732</v>
      </c>
    </row>
    <row r="3208" spans="1:16">
      <c r="A3208" s="2">
        <v>38406</v>
      </c>
      <c r="B3208" s="1">
        <v>34.950000000000003</v>
      </c>
      <c r="C3208" s="1">
        <v>34.97</v>
      </c>
      <c r="D3208" s="1">
        <v>33.200000000000003</v>
      </c>
      <c r="E3208" s="1">
        <v>34.14</v>
      </c>
      <c r="F3208" s="1">
        <v>10500400</v>
      </c>
      <c r="G3208" s="1">
        <v>34.14</v>
      </c>
      <c r="H3208" s="1">
        <f t="shared" si="450"/>
        <v>1.769999999999996</v>
      </c>
      <c r="I3208" s="9">
        <f t="shared" si="457"/>
        <v>5.3313253012048069E-2</v>
      </c>
      <c r="J3208" s="1">
        <f t="shared" si="458"/>
        <v>-0.57999999999999829</v>
      </c>
      <c r="K3208" s="9">
        <f t="shared" si="451"/>
        <v>-1.6705069124423915E-2</v>
      </c>
      <c r="L3208" s="1">
        <f t="shared" si="452"/>
        <v>1</v>
      </c>
      <c r="M3208" s="1">
        <f t="shared" si="453"/>
        <v>34.97</v>
      </c>
      <c r="N3208" s="1">
        <f t="shared" si="454"/>
        <v>33.200000000000003</v>
      </c>
      <c r="O3208" s="1">
        <f t="shared" si="455"/>
        <v>32.18</v>
      </c>
      <c r="P3208" s="1">
        <f t="shared" si="456"/>
        <v>16.418367346938776</v>
      </c>
    </row>
    <row r="3209" spans="1:16">
      <c r="A3209" s="2">
        <v>38405</v>
      </c>
      <c r="B3209" s="1">
        <v>35.020000000000003</v>
      </c>
      <c r="C3209" s="1">
        <v>35.39</v>
      </c>
      <c r="D3209" s="1">
        <v>34.51</v>
      </c>
      <c r="E3209" s="1">
        <v>34.72</v>
      </c>
      <c r="F3209" s="1">
        <v>6855700</v>
      </c>
      <c r="G3209" s="1">
        <v>34.72</v>
      </c>
      <c r="H3209" s="1">
        <f t="shared" si="450"/>
        <v>0.88000000000000256</v>
      </c>
      <c r="I3209" s="9">
        <f t="shared" si="457"/>
        <v>2.5499855114459652E-2</v>
      </c>
      <c r="J3209" s="1">
        <f t="shared" si="458"/>
        <v>-0.59000000000000341</v>
      </c>
      <c r="K3209" s="9">
        <f t="shared" si="451"/>
        <v>-1.670914755026914E-2</v>
      </c>
      <c r="L3209" s="1">
        <f t="shared" si="452"/>
        <v>1</v>
      </c>
      <c r="M3209" s="1">
        <f t="shared" si="453"/>
        <v>35.39</v>
      </c>
      <c r="N3209" s="1">
        <f t="shared" si="454"/>
        <v>34.51</v>
      </c>
      <c r="O3209" s="1">
        <f t="shared" si="455"/>
        <v>32.76</v>
      </c>
      <c r="P3209" s="1">
        <f t="shared" si="456"/>
        <v>16.714285714285715</v>
      </c>
    </row>
    <row r="3210" spans="1:16">
      <c r="A3210" s="2">
        <v>38401</v>
      </c>
      <c r="B3210" s="1">
        <v>35.61</v>
      </c>
      <c r="C3210" s="1">
        <v>35.75</v>
      </c>
      <c r="D3210" s="1">
        <v>35.1</v>
      </c>
      <c r="E3210" s="1">
        <v>35.31</v>
      </c>
      <c r="F3210" s="1">
        <v>4529700</v>
      </c>
      <c r="G3210" s="1">
        <v>35.31</v>
      </c>
      <c r="H3210" s="1">
        <f t="shared" si="450"/>
        <v>0.64999999999999858</v>
      </c>
      <c r="I3210" s="9">
        <f t="shared" si="457"/>
        <v>1.8518518518518476E-2</v>
      </c>
      <c r="J3210" s="1">
        <f t="shared" si="458"/>
        <v>-0.37999999999999545</v>
      </c>
      <c r="K3210" s="9">
        <f t="shared" si="451"/>
        <v>-1.0647240123283707E-2</v>
      </c>
      <c r="L3210" s="1">
        <f t="shared" si="452"/>
        <v>1</v>
      </c>
      <c r="M3210" s="1">
        <f t="shared" si="453"/>
        <v>35.75</v>
      </c>
      <c r="N3210" s="1">
        <f t="shared" si="454"/>
        <v>35.1</v>
      </c>
      <c r="O3210" s="1">
        <f t="shared" si="455"/>
        <v>33.35</v>
      </c>
      <c r="P3210" s="1">
        <f t="shared" si="456"/>
        <v>17.01530612244898</v>
      </c>
    </row>
    <row r="3211" spans="1:16">
      <c r="A3211" s="2">
        <v>38400</v>
      </c>
      <c r="B3211" s="1">
        <v>35.74</v>
      </c>
      <c r="C3211" s="1">
        <v>35.85</v>
      </c>
      <c r="D3211" s="1">
        <v>35.25</v>
      </c>
      <c r="E3211" s="1">
        <v>35.69</v>
      </c>
      <c r="F3211" s="1">
        <v>5298100</v>
      </c>
      <c r="G3211" s="1">
        <v>35.69</v>
      </c>
      <c r="H3211" s="1">
        <f t="shared" si="450"/>
        <v>0.60000000000000142</v>
      </c>
      <c r="I3211" s="9">
        <f t="shared" si="457"/>
        <v>1.7021276595744723E-2</v>
      </c>
      <c r="J3211" s="1">
        <f t="shared" si="458"/>
        <v>3.0000000000001137E-2</v>
      </c>
      <c r="K3211" s="9">
        <f t="shared" si="451"/>
        <v>8.4127874369044136E-4</v>
      </c>
      <c r="L3211" s="1">
        <f t="shared" si="452"/>
        <v>1</v>
      </c>
      <c r="M3211" s="1">
        <f t="shared" si="453"/>
        <v>35.85</v>
      </c>
      <c r="N3211" s="1">
        <f t="shared" si="454"/>
        <v>35.25</v>
      </c>
      <c r="O3211" s="1">
        <f t="shared" si="455"/>
        <v>33.729999999999997</v>
      </c>
      <c r="P3211" s="1">
        <f t="shared" si="456"/>
        <v>17.209183673469386</v>
      </c>
    </row>
    <row r="3212" spans="1:16">
      <c r="A3212" s="2">
        <v>38399</v>
      </c>
      <c r="B3212" s="1">
        <v>35.93</v>
      </c>
      <c r="C3212" s="1">
        <v>36.35</v>
      </c>
      <c r="D3212" s="1">
        <v>35.58</v>
      </c>
      <c r="E3212" s="1">
        <v>35.659999999999997</v>
      </c>
      <c r="F3212" s="1">
        <v>5229800</v>
      </c>
      <c r="G3212" s="1">
        <v>35.659999999999997</v>
      </c>
      <c r="H3212" s="1">
        <f t="shared" si="450"/>
        <v>0.77000000000000313</v>
      </c>
      <c r="I3212" s="9">
        <f t="shared" si="457"/>
        <v>2.1641371557054614E-2</v>
      </c>
      <c r="J3212" s="1">
        <f t="shared" si="458"/>
        <v>-0.48000000000000398</v>
      </c>
      <c r="K3212" s="9">
        <f t="shared" si="451"/>
        <v>-1.3281682346430658E-2</v>
      </c>
      <c r="L3212" s="1">
        <f t="shared" si="452"/>
        <v>1</v>
      </c>
      <c r="M3212" s="1">
        <f t="shared" si="453"/>
        <v>36.35</v>
      </c>
      <c r="N3212" s="1">
        <f t="shared" si="454"/>
        <v>35.58</v>
      </c>
      <c r="O3212" s="1">
        <f t="shared" si="455"/>
        <v>33.699999999999996</v>
      </c>
      <c r="P3212" s="1">
        <f t="shared" si="456"/>
        <v>17.193877551020407</v>
      </c>
    </row>
    <row r="3213" spans="1:16">
      <c r="A3213" s="2">
        <v>38398</v>
      </c>
      <c r="B3213" s="1">
        <v>36.21</v>
      </c>
      <c r="C3213" s="1">
        <v>36.450000000000003</v>
      </c>
      <c r="D3213" s="1">
        <v>35.75</v>
      </c>
      <c r="E3213" s="1">
        <v>36.14</v>
      </c>
      <c r="F3213" s="1">
        <v>5177700</v>
      </c>
      <c r="G3213" s="1">
        <v>36.14</v>
      </c>
      <c r="H3213" s="1">
        <f t="shared" si="450"/>
        <v>0.70000000000000284</v>
      </c>
      <c r="I3213" s="9">
        <f t="shared" si="457"/>
        <v>1.9580419580419658E-2</v>
      </c>
      <c r="J3213" s="1">
        <f t="shared" si="458"/>
        <v>0.10999999999999943</v>
      </c>
      <c r="K3213" s="9">
        <f t="shared" si="451"/>
        <v>3.0530113794060348E-3</v>
      </c>
      <c r="L3213" s="1">
        <f t="shared" si="452"/>
        <v>1</v>
      </c>
      <c r="M3213" s="1">
        <f t="shared" si="453"/>
        <v>36.450000000000003</v>
      </c>
      <c r="N3213" s="1">
        <f t="shared" si="454"/>
        <v>35.75</v>
      </c>
      <c r="O3213" s="1">
        <f t="shared" si="455"/>
        <v>34.18</v>
      </c>
      <c r="P3213" s="1">
        <f t="shared" si="456"/>
        <v>17.438775510204081</v>
      </c>
    </row>
    <row r="3214" spans="1:16">
      <c r="A3214" s="2">
        <v>38397</v>
      </c>
      <c r="B3214" s="1">
        <v>35.65</v>
      </c>
      <c r="C3214" s="1">
        <v>36.630000000000003</v>
      </c>
      <c r="D3214" s="1">
        <v>35.5</v>
      </c>
      <c r="E3214" s="1">
        <v>36.03</v>
      </c>
      <c r="F3214" s="1">
        <v>6983100</v>
      </c>
      <c r="G3214" s="1">
        <v>36.03</v>
      </c>
      <c r="H3214" s="1">
        <f t="shared" si="450"/>
        <v>1.1300000000000026</v>
      </c>
      <c r="I3214" s="9">
        <f t="shared" si="457"/>
        <v>3.1830985915493028E-2</v>
      </c>
      <c r="J3214" s="1">
        <f t="shared" si="458"/>
        <v>0.25</v>
      </c>
      <c r="K3214" s="9">
        <f t="shared" si="451"/>
        <v>6.9871436556735601E-3</v>
      </c>
      <c r="L3214" s="1">
        <f t="shared" si="452"/>
        <v>1</v>
      </c>
      <c r="M3214" s="1">
        <f t="shared" si="453"/>
        <v>36.630000000000003</v>
      </c>
      <c r="N3214" s="1">
        <f t="shared" si="454"/>
        <v>35.5</v>
      </c>
      <c r="O3214" s="1">
        <f t="shared" si="455"/>
        <v>34.07</v>
      </c>
      <c r="P3214" s="1">
        <f t="shared" si="456"/>
        <v>17.382653061224492</v>
      </c>
    </row>
    <row r="3215" spans="1:16">
      <c r="A3215" s="2">
        <v>38394</v>
      </c>
      <c r="B3215" s="1">
        <v>35.57</v>
      </c>
      <c r="C3215" s="1">
        <v>35.950000000000003</v>
      </c>
      <c r="D3215" s="1">
        <v>35</v>
      </c>
      <c r="E3215" s="1">
        <v>35.78</v>
      </c>
      <c r="F3215" s="1">
        <v>7841700</v>
      </c>
      <c r="G3215" s="1">
        <v>35.78</v>
      </c>
      <c r="H3215" s="1">
        <f t="shared" si="450"/>
        <v>0.95000000000000284</v>
      </c>
      <c r="I3215" s="9">
        <f t="shared" si="457"/>
        <v>2.7142857142857225E-2</v>
      </c>
      <c r="J3215" s="1">
        <f t="shared" si="458"/>
        <v>0</v>
      </c>
      <c r="K3215" s="9">
        <f t="shared" si="451"/>
        <v>0</v>
      </c>
      <c r="L3215" s="1">
        <f t="shared" si="452"/>
        <v>1</v>
      </c>
      <c r="M3215" s="1">
        <f t="shared" si="453"/>
        <v>35.950000000000003</v>
      </c>
      <c r="N3215" s="1">
        <f t="shared" si="454"/>
        <v>35</v>
      </c>
      <c r="O3215" s="1">
        <f t="shared" si="455"/>
        <v>33.82</v>
      </c>
      <c r="P3215" s="1">
        <f t="shared" si="456"/>
        <v>17.255102040816325</v>
      </c>
    </row>
    <row r="3216" spans="1:16">
      <c r="A3216" s="2">
        <v>38393</v>
      </c>
      <c r="B3216" s="1">
        <v>36.07</v>
      </c>
      <c r="C3216" s="1">
        <v>36.11</v>
      </c>
      <c r="D3216" s="1">
        <v>35.53</v>
      </c>
      <c r="E3216" s="1">
        <v>35.78</v>
      </c>
      <c r="F3216" s="1">
        <v>7982400</v>
      </c>
      <c r="G3216" s="1">
        <v>35.78</v>
      </c>
      <c r="H3216" s="1">
        <f t="shared" si="450"/>
        <v>0.57999999999999829</v>
      </c>
      <c r="I3216" s="9">
        <f t="shared" si="457"/>
        <v>1.6324233042499248E-2</v>
      </c>
      <c r="J3216" s="1">
        <f t="shared" si="458"/>
        <v>-0.10999999999999943</v>
      </c>
      <c r="K3216" s="9">
        <f t="shared" si="451"/>
        <v>-3.0649205906937709E-3</v>
      </c>
      <c r="L3216" s="1">
        <f t="shared" si="452"/>
        <v>1</v>
      </c>
      <c r="M3216" s="1">
        <f t="shared" si="453"/>
        <v>36.11</v>
      </c>
      <c r="N3216" s="1">
        <f t="shared" si="454"/>
        <v>35.53</v>
      </c>
      <c r="O3216" s="1">
        <f t="shared" si="455"/>
        <v>33.82</v>
      </c>
      <c r="P3216" s="1">
        <f t="shared" si="456"/>
        <v>17.255102040816325</v>
      </c>
    </row>
    <row r="3217" spans="1:16">
      <c r="A3217" s="2">
        <v>38392</v>
      </c>
      <c r="B3217" s="1">
        <v>36.450000000000003</v>
      </c>
      <c r="C3217" s="1">
        <v>36.799999999999997</v>
      </c>
      <c r="D3217" s="1">
        <v>35.869999999999997</v>
      </c>
      <c r="E3217" s="1">
        <v>35.89</v>
      </c>
      <c r="F3217" s="1">
        <v>7938800</v>
      </c>
      <c r="G3217" s="1">
        <v>35.89</v>
      </c>
      <c r="H3217" s="1">
        <f t="shared" si="450"/>
        <v>0.92999999999999972</v>
      </c>
      <c r="I3217" s="9">
        <f t="shared" si="457"/>
        <v>2.5926958461109557E-2</v>
      </c>
      <c r="J3217" s="1">
        <f t="shared" si="458"/>
        <v>-0.40999999999999659</v>
      </c>
      <c r="K3217" s="9">
        <f t="shared" si="451"/>
        <v>-1.1294765840220293E-2</v>
      </c>
      <c r="L3217" s="1">
        <f t="shared" si="452"/>
        <v>1</v>
      </c>
      <c r="M3217" s="1">
        <f t="shared" si="453"/>
        <v>36.799999999999997</v>
      </c>
      <c r="N3217" s="1">
        <f t="shared" si="454"/>
        <v>35.869999999999997</v>
      </c>
      <c r="O3217" s="1">
        <f t="shared" si="455"/>
        <v>33.93</v>
      </c>
      <c r="P3217" s="1">
        <f t="shared" si="456"/>
        <v>17.311224489795919</v>
      </c>
    </row>
    <row r="3218" spans="1:16">
      <c r="A3218" s="2">
        <v>38391</v>
      </c>
      <c r="B3218" s="1">
        <v>35.54</v>
      </c>
      <c r="C3218" s="1">
        <v>36.520000000000003</v>
      </c>
      <c r="D3218" s="1">
        <v>35.53</v>
      </c>
      <c r="E3218" s="1">
        <v>36.299999999999997</v>
      </c>
      <c r="F3218" s="1">
        <v>9602500</v>
      </c>
      <c r="G3218" s="1">
        <v>36.299999999999997</v>
      </c>
      <c r="H3218" s="1">
        <f t="shared" si="450"/>
        <v>0.99000000000000199</v>
      </c>
      <c r="I3218" s="9">
        <f t="shared" si="457"/>
        <v>2.7863777089783336E-2</v>
      </c>
      <c r="J3218" s="1">
        <f t="shared" si="458"/>
        <v>0.60999999999999943</v>
      </c>
      <c r="K3218" s="9">
        <f t="shared" si="451"/>
        <v>1.7091622303166139E-2</v>
      </c>
      <c r="L3218" s="1">
        <f t="shared" si="452"/>
        <v>1</v>
      </c>
      <c r="M3218" s="1">
        <f t="shared" si="453"/>
        <v>36.520000000000003</v>
      </c>
      <c r="N3218" s="1">
        <f t="shared" si="454"/>
        <v>35.53</v>
      </c>
      <c r="O3218" s="1">
        <f t="shared" si="455"/>
        <v>34.339999999999996</v>
      </c>
      <c r="P3218" s="1">
        <f t="shared" si="456"/>
        <v>17.520408163265305</v>
      </c>
    </row>
    <row r="3219" spans="1:16">
      <c r="A3219" s="2">
        <v>38390</v>
      </c>
      <c r="B3219" s="1">
        <v>35.82</v>
      </c>
      <c r="C3219" s="1">
        <v>35.840000000000003</v>
      </c>
      <c r="D3219" s="1">
        <v>35.549999999999997</v>
      </c>
      <c r="E3219" s="1">
        <v>35.69</v>
      </c>
      <c r="F3219" s="1">
        <v>7112400</v>
      </c>
      <c r="G3219" s="1">
        <v>35.69</v>
      </c>
      <c r="H3219" s="1">
        <f t="shared" si="450"/>
        <v>0.29000000000000625</v>
      </c>
      <c r="I3219" s="9">
        <f t="shared" si="457"/>
        <v>8.1575246132209924E-3</v>
      </c>
      <c r="J3219" s="1">
        <f t="shared" si="458"/>
        <v>-3.0000000000001137E-2</v>
      </c>
      <c r="K3219" s="9">
        <f t="shared" si="451"/>
        <v>-8.3986562150059174E-4</v>
      </c>
      <c r="L3219" s="1">
        <f t="shared" si="452"/>
        <v>1</v>
      </c>
      <c r="M3219" s="1">
        <f t="shared" si="453"/>
        <v>35.840000000000003</v>
      </c>
      <c r="N3219" s="1">
        <f t="shared" si="454"/>
        <v>35.549999999999997</v>
      </c>
      <c r="O3219" s="1">
        <f t="shared" si="455"/>
        <v>33.729999999999997</v>
      </c>
      <c r="P3219" s="1">
        <f t="shared" si="456"/>
        <v>17.209183673469386</v>
      </c>
    </row>
    <row r="3220" spans="1:16">
      <c r="A3220" s="2">
        <v>38387</v>
      </c>
      <c r="B3220" s="1">
        <v>35.65</v>
      </c>
      <c r="C3220" s="1">
        <v>35.979999999999997</v>
      </c>
      <c r="D3220" s="1">
        <v>35.19</v>
      </c>
      <c r="E3220" s="1">
        <v>35.72</v>
      </c>
      <c r="F3220" s="1">
        <v>17304700</v>
      </c>
      <c r="G3220" s="1">
        <v>35.72</v>
      </c>
      <c r="H3220" s="1">
        <f t="shared" si="450"/>
        <v>0.78999999999999915</v>
      </c>
      <c r="I3220" s="9">
        <f t="shared" si="457"/>
        <v>2.2449559533958489E-2</v>
      </c>
      <c r="J3220" s="1">
        <f t="shared" si="458"/>
        <v>-3.0000000000001137E-2</v>
      </c>
      <c r="K3220" s="9">
        <f t="shared" si="451"/>
        <v>-8.3916083916087093E-4</v>
      </c>
      <c r="L3220" s="1">
        <f t="shared" si="452"/>
        <v>1</v>
      </c>
      <c r="M3220" s="1">
        <f t="shared" si="453"/>
        <v>35.979999999999997</v>
      </c>
      <c r="N3220" s="1">
        <f t="shared" si="454"/>
        <v>35.19</v>
      </c>
      <c r="O3220" s="1">
        <f t="shared" si="455"/>
        <v>33.76</v>
      </c>
      <c r="P3220" s="1">
        <f t="shared" si="456"/>
        <v>17.224489795918366</v>
      </c>
    </row>
    <row r="3221" spans="1:16">
      <c r="A3221" s="2">
        <v>38386</v>
      </c>
      <c r="B3221" s="1">
        <v>34.9</v>
      </c>
      <c r="C3221" s="1">
        <v>35.89</v>
      </c>
      <c r="D3221" s="1">
        <v>34.53</v>
      </c>
      <c r="E3221" s="1">
        <v>35.75</v>
      </c>
      <c r="F3221" s="1">
        <v>60518600</v>
      </c>
      <c r="G3221" s="1">
        <v>35.75</v>
      </c>
      <c r="H3221" s="1">
        <f t="shared" si="450"/>
        <v>1.3599999999999994</v>
      </c>
      <c r="I3221" s="9">
        <f t="shared" si="457"/>
        <v>3.9386041123660565E-2</v>
      </c>
      <c r="J3221" s="1">
        <f t="shared" si="458"/>
        <v>-6.1300000000000026</v>
      </c>
      <c r="K3221" s="9">
        <f t="shared" si="451"/>
        <v>-0.146370582617001</v>
      </c>
      <c r="L3221" s="1">
        <f t="shared" si="452"/>
        <v>1</v>
      </c>
      <c r="M3221" s="1">
        <f t="shared" si="453"/>
        <v>35.89</v>
      </c>
      <c r="N3221" s="1">
        <f t="shared" si="454"/>
        <v>34.53</v>
      </c>
      <c r="O3221" s="1">
        <f t="shared" si="455"/>
        <v>33.79</v>
      </c>
      <c r="P3221" s="1">
        <f t="shared" si="456"/>
        <v>17.239795918367346</v>
      </c>
    </row>
    <row r="3222" spans="1:16">
      <c r="A3222" s="2">
        <v>38385</v>
      </c>
      <c r="B3222" s="1">
        <v>43.05</v>
      </c>
      <c r="C3222" s="1">
        <v>43.54</v>
      </c>
      <c r="D3222" s="1">
        <v>40.86</v>
      </c>
      <c r="E3222" s="1">
        <v>41.88</v>
      </c>
      <c r="F3222" s="1">
        <v>26323600</v>
      </c>
      <c r="G3222" s="1">
        <v>41.88</v>
      </c>
      <c r="H3222" s="1">
        <f t="shared" si="450"/>
        <v>2.6799999999999997</v>
      </c>
      <c r="I3222" s="9">
        <f t="shared" si="457"/>
        <v>6.5589818893783652E-2</v>
      </c>
      <c r="J3222" s="1">
        <f t="shared" si="458"/>
        <v>-0.59999999999999432</v>
      </c>
      <c r="K3222" s="9">
        <f t="shared" si="451"/>
        <v>-1.4124293785310601E-2</v>
      </c>
      <c r="L3222" s="1">
        <f t="shared" si="452"/>
        <v>1</v>
      </c>
      <c r="M3222" s="1">
        <f t="shared" si="453"/>
        <v>43.54</v>
      </c>
      <c r="N3222" s="1">
        <f t="shared" si="454"/>
        <v>40.86</v>
      </c>
      <c r="O3222" s="1">
        <f t="shared" si="455"/>
        <v>39.92</v>
      </c>
      <c r="P3222" s="1">
        <f t="shared" si="456"/>
        <v>20.367346938775512</v>
      </c>
    </row>
    <row r="3223" spans="1:16">
      <c r="A3223" s="2">
        <v>38384</v>
      </c>
      <c r="B3223" s="1">
        <v>43</v>
      </c>
      <c r="C3223" s="1">
        <v>43.27</v>
      </c>
      <c r="D3223" s="1">
        <v>42.38</v>
      </c>
      <c r="E3223" s="1">
        <v>42.48</v>
      </c>
      <c r="F3223" s="1">
        <v>6761500</v>
      </c>
      <c r="G3223" s="1">
        <v>42.48</v>
      </c>
      <c r="H3223" s="1">
        <f t="shared" si="450"/>
        <v>0.89000000000000057</v>
      </c>
      <c r="I3223" s="9">
        <f t="shared" si="457"/>
        <v>2.1000471920717332E-2</v>
      </c>
      <c r="J3223" s="1">
        <f t="shared" si="458"/>
        <v>-0.74000000000000199</v>
      </c>
      <c r="K3223" s="9">
        <f t="shared" si="451"/>
        <v>-1.712170291531703E-2</v>
      </c>
      <c r="L3223" s="1">
        <f t="shared" si="452"/>
        <v>1</v>
      </c>
      <c r="M3223" s="1">
        <f t="shared" si="453"/>
        <v>43.27</v>
      </c>
      <c r="N3223" s="1">
        <f t="shared" si="454"/>
        <v>42.38</v>
      </c>
      <c r="O3223" s="1">
        <f t="shared" si="455"/>
        <v>40.519999999999996</v>
      </c>
      <c r="P3223" s="1">
        <f t="shared" si="456"/>
        <v>20.673469387755102</v>
      </c>
    </row>
    <row r="3224" spans="1:16">
      <c r="A3224" s="2">
        <v>38383</v>
      </c>
      <c r="B3224" s="1">
        <v>42.44</v>
      </c>
      <c r="C3224" s="1">
        <v>43.42</v>
      </c>
      <c r="D3224" s="1">
        <v>42.43</v>
      </c>
      <c r="E3224" s="1">
        <v>43.22</v>
      </c>
      <c r="F3224" s="1">
        <v>6320300</v>
      </c>
      <c r="G3224" s="1">
        <v>43.22</v>
      </c>
      <c r="H3224" s="1">
        <f t="shared" si="450"/>
        <v>0.99000000000000199</v>
      </c>
      <c r="I3224" s="9">
        <f t="shared" si="457"/>
        <v>2.3332547725665849E-2</v>
      </c>
      <c r="J3224" s="1">
        <f t="shared" si="458"/>
        <v>1</v>
      </c>
      <c r="K3224" s="9">
        <f t="shared" si="451"/>
        <v>2.3685457129322598E-2</v>
      </c>
      <c r="L3224" s="1">
        <f t="shared" si="452"/>
        <v>1</v>
      </c>
      <c r="M3224" s="1">
        <f t="shared" si="453"/>
        <v>43.42</v>
      </c>
      <c r="N3224" s="1">
        <f t="shared" si="454"/>
        <v>42.43</v>
      </c>
      <c r="O3224" s="1">
        <f t="shared" si="455"/>
        <v>41.26</v>
      </c>
      <c r="P3224" s="1">
        <f t="shared" si="456"/>
        <v>21.051020408163264</v>
      </c>
    </row>
    <row r="3225" spans="1:16">
      <c r="A3225" s="2">
        <v>38380</v>
      </c>
      <c r="B3225" s="1">
        <v>42.09</v>
      </c>
      <c r="C3225" s="1">
        <v>43</v>
      </c>
      <c r="D3225" s="1">
        <v>41.53</v>
      </c>
      <c r="E3225" s="1">
        <v>42.22</v>
      </c>
      <c r="F3225" s="1">
        <v>6152400</v>
      </c>
      <c r="G3225" s="1">
        <v>42.22</v>
      </c>
      <c r="H3225" s="1">
        <f t="shared" si="450"/>
        <v>1.4699999999999989</v>
      </c>
      <c r="I3225" s="9">
        <f t="shared" si="457"/>
        <v>3.5396099205393661E-2</v>
      </c>
      <c r="J3225" s="1">
        <f t="shared" si="458"/>
        <v>-9.0000000000003411E-2</v>
      </c>
      <c r="K3225" s="9">
        <f t="shared" si="451"/>
        <v>-2.1271567005436871E-3</v>
      </c>
      <c r="L3225" s="1">
        <f t="shared" si="452"/>
        <v>1</v>
      </c>
      <c r="M3225" s="1">
        <f t="shared" si="453"/>
        <v>43</v>
      </c>
      <c r="N3225" s="1">
        <f t="shared" si="454"/>
        <v>41.53</v>
      </c>
      <c r="O3225" s="1">
        <f t="shared" si="455"/>
        <v>40.26</v>
      </c>
      <c r="P3225" s="1">
        <f t="shared" si="456"/>
        <v>20.54081632653061</v>
      </c>
    </row>
    <row r="3226" spans="1:16">
      <c r="A3226" s="2">
        <v>38379</v>
      </c>
      <c r="B3226" s="1">
        <v>41.27</v>
      </c>
      <c r="C3226" s="1">
        <v>42.4</v>
      </c>
      <c r="D3226" s="1">
        <v>41.14</v>
      </c>
      <c r="E3226" s="1">
        <v>42.31</v>
      </c>
      <c r="F3226" s="1">
        <v>8038400</v>
      </c>
      <c r="G3226" s="1">
        <v>42.31</v>
      </c>
      <c r="H3226" s="1">
        <f t="shared" si="450"/>
        <v>1.259999999999998</v>
      </c>
      <c r="I3226" s="9">
        <f t="shared" si="457"/>
        <v>3.0627126883811327E-2</v>
      </c>
      <c r="J3226" s="1">
        <f t="shared" si="458"/>
        <v>0.96999999999999886</v>
      </c>
      <c r="K3226" s="9">
        <f t="shared" si="451"/>
        <v>2.3463957426221548E-2</v>
      </c>
      <c r="L3226" s="1">
        <f t="shared" si="452"/>
        <v>1</v>
      </c>
      <c r="M3226" s="1">
        <f t="shared" si="453"/>
        <v>42.4</v>
      </c>
      <c r="N3226" s="1">
        <f t="shared" si="454"/>
        <v>41.14</v>
      </c>
      <c r="O3226" s="1">
        <f t="shared" si="455"/>
        <v>40.35</v>
      </c>
      <c r="P3226" s="1">
        <f t="shared" si="456"/>
        <v>20.586734693877553</v>
      </c>
    </row>
    <row r="3227" spans="1:16">
      <c r="A3227" s="2">
        <v>38378</v>
      </c>
      <c r="B3227" s="1">
        <v>41.18</v>
      </c>
      <c r="C3227" s="1">
        <v>41.8</v>
      </c>
      <c r="D3227" s="1">
        <v>40.26</v>
      </c>
      <c r="E3227" s="1">
        <v>41.34</v>
      </c>
      <c r="F3227" s="1">
        <v>7714900</v>
      </c>
      <c r="G3227" s="1">
        <v>41.34</v>
      </c>
      <c r="H3227" s="1">
        <f t="shared" si="450"/>
        <v>1.5399999999999991</v>
      </c>
      <c r="I3227" s="9">
        <f t="shared" si="457"/>
        <v>3.8251366120218559E-2</v>
      </c>
      <c r="J3227" s="1">
        <f t="shared" si="458"/>
        <v>0.40000000000000568</v>
      </c>
      <c r="K3227" s="9">
        <f t="shared" si="451"/>
        <v>9.7703957010260318E-3</v>
      </c>
      <c r="L3227" s="1">
        <f t="shared" si="452"/>
        <v>1</v>
      </c>
      <c r="M3227" s="1">
        <f t="shared" si="453"/>
        <v>41.8</v>
      </c>
      <c r="N3227" s="1">
        <f t="shared" si="454"/>
        <v>40.26</v>
      </c>
      <c r="O3227" s="1">
        <f t="shared" si="455"/>
        <v>39.380000000000003</v>
      </c>
      <c r="P3227" s="1">
        <f t="shared" si="456"/>
        <v>20.091836734693878</v>
      </c>
    </row>
    <row r="3228" spans="1:16">
      <c r="A3228" s="2">
        <v>38377</v>
      </c>
      <c r="B3228" s="1">
        <v>40.64</v>
      </c>
      <c r="C3228" s="1">
        <v>41.44</v>
      </c>
      <c r="D3228" s="1">
        <v>40.450000000000003</v>
      </c>
      <c r="E3228" s="1">
        <v>40.94</v>
      </c>
      <c r="F3228" s="1">
        <v>9027900</v>
      </c>
      <c r="G3228" s="1">
        <v>40.94</v>
      </c>
      <c r="H3228" s="1">
        <f t="shared" si="450"/>
        <v>0.98999999999999488</v>
      </c>
      <c r="I3228" s="9">
        <f t="shared" si="457"/>
        <v>2.4474660074165509E-2</v>
      </c>
      <c r="J3228" s="1">
        <f t="shared" si="458"/>
        <v>0.55999999999999517</v>
      </c>
      <c r="K3228" s="9">
        <f t="shared" si="451"/>
        <v>1.3868251609707656E-2</v>
      </c>
      <c r="L3228" s="1">
        <f t="shared" si="452"/>
        <v>1</v>
      </c>
      <c r="M3228" s="1">
        <f t="shared" si="453"/>
        <v>41.44</v>
      </c>
      <c r="N3228" s="1">
        <f t="shared" si="454"/>
        <v>40.450000000000003</v>
      </c>
      <c r="O3228" s="1">
        <f t="shared" si="455"/>
        <v>38.979999999999997</v>
      </c>
      <c r="P3228" s="1">
        <f t="shared" si="456"/>
        <v>19.887755102040813</v>
      </c>
    </row>
    <row r="3229" spans="1:16">
      <c r="A3229" s="2">
        <v>38376</v>
      </c>
      <c r="B3229" s="1">
        <v>41.44</v>
      </c>
      <c r="C3229" s="1">
        <v>41.95</v>
      </c>
      <c r="D3229" s="1">
        <v>40.31</v>
      </c>
      <c r="E3229" s="1">
        <v>40.380000000000003</v>
      </c>
      <c r="F3229" s="1">
        <v>9695900</v>
      </c>
      <c r="G3229" s="1">
        <v>40.380000000000003</v>
      </c>
      <c r="H3229" s="1">
        <f t="shared" si="450"/>
        <v>1.6400000000000006</v>
      </c>
      <c r="I3229" s="9">
        <f t="shared" si="457"/>
        <v>4.068469362441083E-2</v>
      </c>
      <c r="J3229" s="1">
        <f t="shared" si="458"/>
        <v>-0.77999999999999403</v>
      </c>
      <c r="K3229" s="9">
        <f t="shared" si="451"/>
        <v>-1.8950437317784112E-2</v>
      </c>
      <c r="L3229" s="1">
        <f t="shared" si="452"/>
        <v>1</v>
      </c>
      <c r="M3229" s="1">
        <f t="shared" si="453"/>
        <v>41.95</v>
      </c>
      <c r="N3229" s="1">
        <f t="shared" si="454"/>
        <v>40.31</v>
      </c>
      <c r="O3229" s="1">
        <f t="shared" si="455"/>
        <v>38.42</v>
      </c>
      <c r="P3229" s="1">
        <f t="shared" si="456"/>
        <v>19.602040816326532</v>
      </c>
    </row>
    <row r="3230" spans="1:16">
      <c r="A3230" s="2">
        <v>38373</v>
      </c>
      <c r="B3230" s="1">
        <v>41.99</v>
      </c>
      <c r="C3230" s="1">
        <v>42.55</v>
      </c>
      <c r="D3230" s="1">
        <v>41.02</v>
      </c>
      <c r="E3230" s="1">
        <v>41.16</v>
      </c>
      <c r="F3230" s="1">
        <v>10602700</v>
      </c>
      <c r="G3230" s="1">
        <v>41.16</v>
      </c>
      <c r="H3230" s="1">
        <f t="shared" si="450"/>
        <v>1.529999999999994</v>
      </c>
      <c r="I3230" s="9">
        <f t="shared" si="457"/>
        <v>3.7298878595806773E-2</v>
      </c>
      <c r="J3230" s="1">
        <f t="shared" si="458"/>
        <v>-1.2000000000000028</v>
      </c>
      <c r="K3230" s="9">
        <f t="shared" si="451"/>
        <v>-2.8328611898017064E-2</v>
      </c>
      <c r="L3230" s="1">
        <f t="shared" si="452"/>
        <v>1</v>
      </c>
      <c r="M3230" s="1">
        <f t="shared" si="453"/>
        <v>42.55</v>
      </c>
      <c r="N3230" s="1">
        <f t="shared" si="454"/>
        <v>41.02</v>
      </c>
      <c r="O3230" s="1">
        <f t="shared" si="455"/>
        <v>39.199999999999996</v>
      </c>
      <c r="P3230" s="1">
        <f t="shared" si="456"/>
        <v>19.999999999999996</v>
      </c>
    </row>
    <row r="3231" spans="1:16">
      <c r="A3231" s="2">
        <v>38372</v>
      </c>
      <c r="B3231" s="1">
        <v>41.71</v>
      </c>
      <c r="C3231" s="1">
        <v>43.96</v>
      </c>
      <c r="D3231" s="1">
        <v>41.64</v>
      </c>
      <c r="E3231" s="1">
        <v>42.36</v>
      </c>
      <c r="F3231" s="1">
        <v>12830600</v>
      </c>
      <c r="G3231" s="1">
        <v>42.36</v>
      </c>
      <c r="H3231" s="1">
        <f t="shared" si="450"/>
        <v>2.3200000000000003</v>
      </c>
      <c r="I3231" s="9">
        <f t="shared" si="457"/>
        <v>5.5715658021133534E-2</v>
      </c>
      <c r="J3231" s="1">
        <f t="shared" si="458"/>
        <v>-1.6000000000000014</v>
      </c>
      <c r="K3231" s="9">
        <f t="shared" si="451"/>
        <v>-3.6396724294813498E-2</v>
      </c>
      <c r="L3231" s="1">
        <f t="shared" si="452"/>
        <v>1</v>
      </c>
      <c r="M3231" s="1">
        <f t="shared" si="453"/>
        <v>43.96</v>
      </c>
      <c r="N3231" s="1">
        <f t="shared" si="454"/>
        <v>41.64</v>
      </c>
      <c r="O3231" s="1">
        <f t="shared" si="455"/>
        <v>40.4</v>
      </c>
      <c r="P3231" s="1">
        <f t="shared" si="456"/>
        <v>20.612244897959183</v>
      </c>
    </row>
    <row r="3232" spans="1:16">
      <c r="A3232" s="2">
        <v>38371</v>
      </c>
      <c r="B3232" s="1">
        <v>44.47</v>
      </c>
      <c r="C3232" s="1">
        <v>44.74</v>
      </c>
      <c r="D3232" s="1">
        <v>43.43</v>
      </c>
      <c r="E3232" s="1">
        <v>43.96</v>
      </c>
      <c r="F3232" s="1">
        <v>7396700</v>
      </c>
      <c r="G3232" s="1">
        <v>43.96</v>
      </c>
      <c r="H3232" s="1">
        <f t="shared" si="450"/>
        <v>1.3100000000000023</v>
      </c>
      <c r="I3232" s="9">
        <f t="shared" si="457"/>
        <v>3.0163481464425566E-2</v>
      </c>
      <c r="J3232" s="1">
        <f t="shared" si="458"/>
        <v>-0.61999999999999744</v>
      </c>
      <c r="K3232" s="9">
        <f t="shared" si="451"/>
        <v>-1.3907581875280338E-2</v>
      </c>
      <c r="L3232" s="1">
        <f t="shared" si="452"/>
        <v>1</v>
      </c>
      <c r="M3232" s="1">
        <f t="shared" si="453"/>
        <v>44.74</v>
      </c>
      <c r="N3232" s="1">
        <f t="shared" si="454"/>
        <v>43.43</v>
      </c>
      <c r="O3232" s="1">
        <f t="shared" si="455"/>
        <v>42</v>
      </c>
      <c r="P3232" s="1">
        <f t="shared" si="456"/>
        <v>21.428571428571431</v>
      </c>
    </row>
    <row r="3233" spans="1:16">
      <c r="A3233" s="2">
        <v>38370</v>
      </c>
      <c r="B3233" s="1">
        <v>44.29</v>
      </c>
      <c r="C3233" s="1">
        <v>45</v>
      </c>
      <c r="D3233" s="1">
        <v>44.15</v>
      </c>
      <c r="E3233" s="1">
        <v>44.58</v>
      </c>
      <c r="F3233" s="1">
        <v>7131600</v>
      </c>
      <c r="G3233" s="1">
        <v>44.58</v>
      </c>
      <c r="H3233" s="1">
        <f t="shared" si="450"/>
        <v>0.85000000000000142</v>
      </c>
      <c r="I3233" s="9">
        <f t="shared" si="457"/>
        <v>1.925254813137036E-2</v>
      </c>
      <c r="J3233" s="1">
        <f t="shared" si="458"/>
        <v>3.0000000000001137E-2</v>
      </c>
      <c r="K3233" s="9">
        <f t="shared" si="451"/>
        <v>6.7340067340069891E-4</v>
      </c>
      <c r="L3233" s="1">
        <f t="shared" si="452"/>
        <v>1</v>
      </c>
      <c r="M3233" s="1">
        <f t="shared" si="453"/>
        <v>45</v>
      </c>
      <c r="N3233" s="1">
        <f t="shared" si="454"/>
        <v>44.15</v>
      </c>
      <c r="O3233" s="1">
        <f t="shared" si="455"/>
        <v>42.62</v>
      </c>
      <c r="P3233" s="1">
        <f t="shared" si="456"/>
        <v>21.744897959183671</v>
      </c>
    </row>
    <row r="3234" spans="1:16">
      <c r="A3234" s="2">
        <v>38366</v>
      </c>
      <c r="B3234" s="1">
        <v>42.9</v>
      </c>
      <c r="C3234" s="1">
        <v>44.66</v>
      </c>
      <c r="D3234" s="1">
        <v>42.36</v>
      </c>
      <c r="E3234" s="1">
        <v>44.55</v>
      </c>
      <c r="F3234" s="1">
        <v>12533000</v>
      </c>
      <c r="G3234" s="1">
        <v>44.55</v>
      </c>
      <c r="H3234" s="1">
        <f t="shared" si="450"/>
        <v>2.2999999999999972</v>
      </c>
      <c r="I3234" s="9">
        <f t="shared" si="457"/>
        <v>5.4296506137865845E-2</v>
      </c>
      <c r="J3234" s="1">
        <f t="shared" si="458"/>
        <v>1.9499999999999957</v>
      </c>
      <c r="K3234" s="9">
        <f t="shared" si="451"/>
        <v>4.5774647887323841E-2</v>
      </c>
      <c r="L3234" s="1">
        <f t="shared" si="452"/>
        <v>1</v>
      </c>
      <c r="M3234" s="1">
        <f t="shared" si="453"/>
        <v>44.66</v>
      </c>
      <c r="N3234" s="1">
        <f t="shared" si="454"/>
        <v>42.36</v>
      </c>
      <c r="O3234" s="1">
        <f t="shared" si="455"/>
        <v>42.589999999999996</v>
      </c>
      <c r="P3234" s="1">
        <f t="shared" si="456"/>
        <v>21.729591836734691</v>
      </c>
    </row>
    <row r="3235" spans="1:16">
      <c r="A3235" s="2">
        <v>38365</v>
      </c>
      <c r="B3235" s="1">
        <v>42.45</v>
      </c>
      <c r="C3235" s="1">
        <v>44.58</v>
      </c>
      <c r="D3235" s="1">
        <v>42.34</v>
      </c>
      <c r="E3235" s="1">
        <v>42.6</v>
      </c>
      <c r="F3235" s="1">
        <v>17393600</v>
      </c>
      <c r="G3235" s="1">
        <v>42.6</v>
      </c>
      <c r="H3235" s="1">
        <f t="shared" si="450"/>
        <v>2.2399999999999949</v>
      </c>
      <c r="I3235" s="9">
        <f t="shared" si="457"/>
        <v>5.2905054322153866E-2</v>
      </c>
      <c r="J3235" s="1">
        <f t="shared" si="458"/>
        <v>0.30000000000000426</v>
      </c>
      <c r="K3235" s="9">
        <f t="shared" si="451"/>
        <v>7.092198581560385E-3</v>
      </c>
      <c r="L3235" s="1">
        <f t="shared" si="452"/>
        <v>1</v>
      </c>
      <c r="M3235" s="1">
        <f t="shared" si="453"/>
        <v>44.58</v>
      </c>
      <c r="N3235" s="1">
        <f t="shared" si="454"/>
        <v>42.34</v>
      </c>
      <c r="O3235" s="1">
        <f t="shared" si="455"/>
        <v>40.64</v>
      </c>
      <c r="P3235" s="1">
        <f t="shared" si="456"/>
        <v>20.73469387755102</v>
      </c>
    </row>
    <row r="3236" spans="1:16">
      <c r="A3236" s="2">
        <v>38364</v>
      </c>
      <c r="B3236" s="1">
        <v>41.49</v>
      </c>
      <c r="C3236" s="1">
        <v>42.48</v>
      </c>
      <c r="D3236" s="1">
        <v>40.82</v>
      </c>
      <c r="E3236" s="1">
        <v>42.3</v>
      </c>
      <c r="F3236" s="1">
        <v>8072300</v>
      </c>
      <c r="G3236" s="1">
        <v>42.3</v>
      </c>
      <c r="H3236" s="1">
        <f t="shared" si="450"/>
        <v>1.6599999999999966</v>
      </c>
      <c r="I3236" s="9">
        <f t="shared" si="457"/>
        <v>4.0666340029397272E-2</v>
      </c>
      <c r="J3236" s="1">
        <f t="shared" si="458"/>
        <v>0.65999999999999659</v>
      </c>
      <c r="K3236" s="9">
        <f t="shared" si="451"/>
        <v>1.5850144092218937E-2</v>
      </c>
      <c r="L3236" s="1">
        <f t="shared" si="452"/>
        <v>1</v>
      </c>
      <c r="M3236" s="1">
        <f t="shared" si="453"/>
        <v>42.48</v>
      </c>
      <c r="N3236" s="1">
        <f t="shared" si="454"/>
        <v>40.82</v>
      </c>
      <c r="O3236" s="1">
        <f t="shared" si="455"/>
        <v>40.339999999999996</v>
      </c>
      <c r="P3236" s="1">
        <f t="shared" si="456"/>
        <v>20.581632653061224</v>
      </c>
    </row>
    <row r="3237" spans="1:16">
      <c r="A3237" s="2">
        <v>38363</v>
      </c>
      <c r="B3237" s="1">
        <v>41.4</v>
      </c>
      <c r="C3237" s="1">
        <v>42.16</v>
      </c>
      <c r="D3237" s="1">
        <v>41.01</v>
      </c>
      <c r="E3237" s="1">
        <v>41.64</v>
      </c>
      <c r="F3237" s="1">
        <v>7920300</v>
      </c>
      <c r="G3237" s="1">
        <v>41.64</v>
      </c>
      <c r="H3237" s="1">
        <f t="shared" si="450"/>
        <v>1.1499999999999986</v>
      </c>
      <c r="I3237" s="9">
        <f t="shared" si="457"/>
        <v>2.8041940990002404E-2</v>
      </c>
      <c r="J3237" s="1">
        <f t="shared" si="458"/>
        <v>-0.20000000000000284</v>
      </c>
      <c r="K3237" s="9">
        <f t="shared" si="451"/>
        <v>-4.7801147227534138E-3</v>
      </c>
      <c r="L3237" s="1">
        <f t="shared" si="452"/>
        <v>1</v>
      </c>
      <c r="M3237" s="1">
        <f t="shared" si="453"/>
        <v>42.16</v>
      </c>
      <c r="N3237" s="1">
        <f t="shared" si="454"/>
        <v>41.01</v>
      </c>
      <c r="O3237" s="1">
        <f t="shared" si="455"/>
        <v>39.68</v>
      </c>
      <c r="P3237" s="1">
        <f t="shared" si="456"/>
        <v>20.244897959183675</v>
      </c>
    </row>
    <row r="3238" spans="1:16">
      <c r="A3238" s="2">
        <v>38362</v>
      </c>
      <c r="B3238" s="1">
        <v>41.94</v>
      </c>
      <c r="C3238" s="1">
        <v>42.96</v>
      </c>
      <c r="D3238" s="1">
        <v>41.71</v>
      </c>
      <c r="E3238" s="1">
        <v>41.84</v>
      </c>
      <c r="F3238" s="1">
        <v>7347900</v>
      </c>
      <c r="G3238" s="1">
        <v>41.84</v>
      </c>
      <c r="H3238" s="1">
        <f t="shared" si="450"/>
        <v>1.25</v>
      </c>
      <c r="I3238" s="9">
        <f t="shared" si="457"/>
        <v>2.9968832414289139E-2</v>
      </c>
      <c r="J3238" s="1">
        <f t="shared" si="458"/>
        <v>-0.47999999999999687</v>
      </c>
      <c r="K3238" s="9">
        <f t="shared" si="451"/>
        <v>-1.1342155009451722E-2</v>
      </c>
      <c r="L3238" s="1">
        <f t="shared" si="452"/>
        <v>1</v>
      </c>
      <c r="M3238" s="1">
        <f t="shared" si="453"/>
        <v>42.96</v>
      </c>
      <c r="N3238" s="1">
        <f t="shared" si="454"/>
        <v>41.71</v>
      </c>
      <c r="O3238" s="1">
        <f t="shared" si="455"/>
        <v>39.880000000000003</v>
      </c>
      <c r="P3238" s="1">
        <f t="shared" si="456"/>
        <v>20.346938775510207</v>
      </c>
    </row>
    <row r="3239" spans="1:16">
      <c r="A3239" s="2">
        <v>38359</v>
      </c>
      <c r="B3239" s="1">
        <v>41.38</v>
      </c>
      <c r="C3239" s="1">
        <v>42.69</v>
      </c>
      <c r="D3239" s="1">
        <v>41.16</v>
      </c>
      <c r="E3239" s="1">
        <v>42.32</v>
      </c>
      <c r="F3239" s="1">
        <v>9836600</v>
      </c>
      <c r="G3239" s="1">
        <v>42.32</v>
      </c>
      <c r="H3239" s="1">
        <f t="shared" si="450"/>
        <v>1.5300000000000011</v>
      </c>
      <c r="I3239" s="9">
        <f t="shared" si="457"/>
        <v>3.7172011661807614E-2</v>
      </c>
      <c r="J3239" s="1">
        <f t="shared" si="458"/>
        <v>1.2700000000000031</v>
      </c>
      <c r="K3239" s="9">
        <f t="shared" si="451"/>
        <v>3.0937880633374014E-2</v>
      </c>
      <c r="L3239" s="1">
        <f t="shared" si="452"/>
        <v>1</v>
      </c>
      <c r="M3239" s="1">
        <f t="shared" si="453"/>
        <v>42.69</v>
      </c>
      <c r="N3239" s="1">
        <f t="shared" si="454"/>
        <v>41.16</v>
      </c>
      <c r="O3239" s="1">
        <f t="shared" si="455"/>
        <v>40.36</v>
      </c>
      <c r="P3239" s="1">
        <f t="shared" si="456"/>
        <v>20.591836734693878</v>
      </c>
    </row>
    <row r="3240" spans="1:16">
      <c r="A3240" s="2">
        <v>38358</v>
      </c>
      <c r="B3240" s="1">
        <v>41.81</v>
      </c>
      <c r="C3240" s="1">
        <v>42.25</v>
      </c>
      <c r="D3240" s="1">
        <v>40.9</v>
      </c>
      <c r="E3240" s="1">
        <v>41.05</v>
      </c>
      <c r="F3240" s="1">
        <v>8700900</v>
      </c>
      <c r="G3240" s="1">
        <v>41.05</v>
      </c>
      <c r="H3240" s="1">
        <f t="shared" si="450"/>
        <v>1.3500000000000014</v>
      </c>
      <c r="I3240" s="9">
        <f t="shared" si="457"/>
        <v>3.3007334963325217E-2</v>
      </c>
      <c r="J3240" s="1">
        <f t="shared" si="458"/>
        <v>-0.72000000000000597</v>
      </c>
      <c r="K3240" s="9">
        <f t="shared" si="451"/>
        <v>-1.7237251615992481E-2</v>
      </c>
      <c r="L3240" s="1">
        <f t="shared" si="452"/>
        <v>1</v>
      </c>
      <c r="M3240" s="1">
        <f t="shared" si="453"/>
        <v>42.25</v>
      </c>
      <c r="N3240" s="1">
        <f t="shared" si="454"/>
        <v>40.9</v>
      </c>
      <c r="O3240" s="1">
        <f t="shared" si="455"/>
        <v>39.089999999999996</v>
      </c>
      <c r="P3240" s="1">
        <f t="shared" si="456"/>
        <v>19.943877551020407</v>
      </c>
    </row>
    <row r="3241" spans="1:16">
      <c r="A3241" s="2">
        <v>38357</v>
      </c>
      <c r="B3241" s="1">
        <v>41.57</v>
      </c>
      <c r="C3241" s="1">
        <v>42.76</v>
      </c>
      <c r="D3241" s="1">
        <v>41.56</v>
      </c>
      <c r="E3241" s="1">
        <v>41.77</v>
      </c>
      <c r="F3241" s="1">
        <v>8354200</v>
      </c>
      <c r="G3241" s="1">
        <v>41.77</v>
      </c>
      <c r="H3241" s="1">
        <f t="shared" si="450"/>
        <v>1.1999999999999957</v>
      </c>
      <c r="I3241" s="9">
        <f t="shared" si="457"/>
        <v>2.887391722810384E-2</v>
      </c>
      <c r="J3241" s="1">
        <f t="shared" si="458"/>
        <v>-0.36999999999999744</v>
      </c>
      <c r="K3241" s="9">
        <f t="shared" si="451"/>
        <v>-8.780256288561876E-3</v>
      </c>
      <c r="L3241" s="1">
        <f t="shared" si="452"/>
        <v>1</v>
      </c>
      <c r="M3241" s="1">
        <f t="shared" si="453"/>
        <v>42.76</v>
      </c>
      <c r="N3241" s="1">
        <f t="shared" si="454"/>
        <v>41.56</v>
      </c>
      <c r="O3241" s="1">
        <f t="shared" si="455"/>
        <v>39.81</v>
      </c>
      <c r="P3241" s="1">
        <f t="shared" si="456"/>
        <v>20.311224489795919</v>
      </c>
    </row>
    <row r="3242" spans="1:16">
      <c r="A3242" s="2">
        <v>38356</v>
      </c>
      <c r="B3242" s="1">
        <v>42.67</v>
      </c>
      <c r="C3242" s="1">
        <v>43.26</v>
      </c>
      <c r="D3242" s="1">
        <v>41.5</v>
      </c>
      <c r="E3242" s="1">
        <v>42.14</v>
      </c>
      <c r="F3242" s="1">
        <v>19418500</v>
      </c>
      <c r="G3242" s="1">
        <v>42.14</v>
      </c>
      <c r="H3242" s="1">
        <f t="shared" si="450"/>
        <v>1.759999999999998</v>
      </c>
      <c r="I3242" s="9">
        <f t="shared" si="457"/>
        <v>4.2409638554216818E-2</v>
      </c>
      <c r="J3242" s="1">
        <f t="shared" si="458"/>
        <v>-2.3800000000000026</v>
      </c>
      <c r="K3242" s="9">
        <f t="shared" si="451"/>
        <v>-5.3459119496855396E-2</v>
      </c>
      <c r="L3242" s="1">
        <f t="shared" si="452"/>
        <v>1</v>
      </c>
      <c r="M3242" s="1">
        <f t="shared" si="453"/>
        <v>43.26</v>
      </c>
      <c r="N3242" s="1">
        <f t="shared" si="454"/>
        <v>41.5</v>
      </c>
      <c r="O3242" s="1">
        <f t="shared" si="455"/>
        <v>40.18</v>
      </c>
      <c r="P3242" s="1">
        <f t="shared" si="456"/>
        <v>20.5</v>
      </c>
    </row>
    <row r="3243" spans="1:16">
      <c r="A3243" s="2">
        <v>38355</v>
      </c>
      <c r="B3243" s="1">
        <v>44.95</v>
      </c>
      <c r="C3243" s="1">
        <v>45.44</v>
      </c>
      <c r="D3243" s="1">
        <v>44.21</v>
      </c>
      <c r="E3243" s="1">
        <v>44.52</v>
      </c>
      <c r="F3243" s="1">
        <v>10446500</v>
      </c>
      <c r="G3243" s="1">
        <v>44.52</v>
      </c>
      <c r="H3243" s="1">
        <f t="shared" si="450"/>
        <v>1.2299999999999969</v>
      </c>
      <c r="I3243" s="9">
        <f t="shared" si="457"/>
        <v>2.7821759782854488E-2</v>
      </c>
      <c r="J3243" s="1">
        <f t="shared" si="458"/>
        <v>0.23000000000000398</v>
      </c>
      <c r="K3243" s="9">
        <f t="shared" si="451"/>
        <v>5.1930458342741926E-3</v>
      </c>
      <c r="L3243" s="1">
        <f t="shared" si="452"/>
        <v>1</v>
      </c>
      <c r="M3243" s="1">
        <f t="shared" si="453"/>
        <v>45.44</v>
      </c>
      <c r="N3243" s="1">
        <f t="shared" si="454"/>
        <v>44.21</v>
      </c>
      <c r="O3243" s="1">
        <f t="shared" si="455"/>
        <v>42.56</v>
      </c>
      <c r="P3243" s="1">
        <f t="shared" si="456"/>
        <v>21.714285714285715</v>
      </c>
    </row>
    <row r="3244" spans="1:16">
      <c r="A3244" s="2">
        <v>38352</v>
      </c>
      <c r="B3244" s="1">
        <v>45.13</v>
      </c>
      <c r="C3244" s="1">
        <v>45.49</v>
      </c>
      <c r="D3244" s="1">
        <v>44.16</v>
      </c>
      <c r="E3244" s="1">
        <v>44.29</v>
      </c>
      <c r="F3244" s="1">
        <v>4790700</v>
      </c>
      <c r="G3244" s="1">
        <v>44.29</v>
      </c>
      <c r="H3244" s="1">
        <f t="shared" si="450"/>
        <v>1.3300000000000054</v>
      </c>
      <c r="I3244" s="9">
        <f t="shared" si="457"/>
        <v>3.0117753623188529E-2</v>
      </c>
      <c r="J3244" s="1">
        <f t="shared" si="458"/>
        <v>-0.67999999999999972</v>
      </c>
      <c r="K3244" s="9">
        <f t="shared" si="451"/>
        <v>-1.5121191905714915E-2</v>
      </c>
      <c r="L3244" s="1">
        <f t="shared" si="452"/>
        <v>1</v>
      </c>
      <c r="M3244" s="1">
        <f t="shared" si="453"/>
        <v>45.49</v>
      </c>
      <c r="N3244" s="1">
        <f t="shared" si="454"/>
        <v>44.16</v>
      </c>
      <c r="O3244" s="1">
        <f t="shared" si="455"/>
        <v>42.33</v>
      </c>
      <c r="P3244" s="1">
        <f t="shared" si="456"/>
        <v>21.596938775510203</v>
      </c>
    </row>
    <row r="3245" spans="1:16">
      <c r="A3245" s="2">
        <v>38351</v>
      </c>
      <c r="B3245" s="1">
        <v>45</v>
      </c>
      <c r="C3245" s="1">
        <v>45.53</v>
      </c>
      <c r="D3245" s="1">
        <v>44.55</v>
      </c>
      <c r="E3245" s="1">
        <v>44.97</v>
      </c>
      <c r="F3245" s="1">
        <v>6965900</v>
      </c>
      <c r="G3245" s="1">
        <v>44.97</v>
      </c>
      <c r="H3245" s="1">
        <f t="shared" si="450"/>
        <v>0.98000000000000398</v>
      </c>
      <c r="I3245" s="9">
        <f t="shared" si="457"/>
        <v>2.1997755331088754E-2</v>
      </c>
      <c r="J3245" s="1">
        <f t="shared" si="458"/>
        <v>0.14999999999999858</v>
      </c>
      <c r="K3245" s="9">
        <f t="shared" si="451"/>
        <v>3.346720214190062E-3</v>
      </c>
      <c r="L3245" s="1">
        <f t="shared" si="452"/>
        <v>1</v>
      </c>
      <c r="M3245" s="1">
        <f t="shared" si="453"/>
        <v>45.53</v>
      </c>
      <c r="N3245" s="1">
        <f t="shared" si="454"/>
        <v>44.55</v>
      </c>
      <c r="O3245" s="1">
        <f t="shared" si="455"/>
        <v>43.01</v>
      </c>
      <c r="P3245" s="1">
        <f t="shared" si="456"/>
        <v>21.943877551020407</v>
      </c>
    </row>
    <row r="3246" spans="1:16">
      <c r="A3246" s="2">
        <v>38350</v>
      </c>
      <c r="B3246" s="1">
        <v>44.75</v>
      </c>
      <c r="C3246" s="1">
        <v>45.68</v>
      </c>
      <c r="D3246" s="1">
        <v>44.44</v>
      </c>
      <c r="E3246" s="1">
        <v>44.82</v>
      </c>
      <c r="F3246" s="1">
        <v>11759200</v>
      </c>
      <c r="G3246" s="1">
        <v>44.82</v>
      </c>
      <c r="H3246" s="1">
        <f t="shared" si="450"/>
        <v>1.240000000000002</v>
      </c>
      <c r="I3246" s="9">
        <f t="shared" si="457"/>
        <v>2.790279027902795E-2</v>
      </c>
      <c r="J3246" s="1">
        <f t="shared" si="458"/>
        <v>0.18999999999999773</v>
      </c>
      <c r="K3246" s="9">
        <f t="shared" si="451"/>
        <v>4.2572260811113089E-3</v>
      </c>
      <c r="L3246" s="1">
        <f t="shared" si="452"/>
        <v>1</v>
      </c>
      <c r="M3246" s="1">
        <f t="shared" si="453"/>
        <v>45.68</v>
      </c>
      <c r="N3246" s="1">
        <f t="shared" si="454"/>
        <v>44.44</v>
      </c>
      <c r="O3246" s="1">
        <f t="shared" si="455"/>
        <v>42.86</v>
      </c>
      <c r="P3246" s="1">
        <f t="shared" si="456"/>
        <v>21.867346938775512</v>
      </c>
    </row>
    <row r="3247" spans="1:16">
      <c r="A3247" s="2">
        <v>38349</v>
      </c>
      <c r="B3247" s="1">
        <v>43.9</v>
      </c>
      <c r="C3247" s="1">
        <v>45.12</v>
      </c>
      <c r="D3247" s="1">
        <v>43.5</v>
      </c>
      <c r="E3247" s="1">
        <v>44.63</v>
      </c>
      <c r="F3247" s="1">
        <v>25237800</v>
      </c>
      <c r="G3247" s="1">
        <v>44.63</v>
      </c>
      <c r="H3247" s="1">
        <f t="shared" si="450"/>
        <v>1.6199999999999974</v>
      </c>
      <c r="I3247" s="9">
        <f t="shared" si="457"/>
        <v>3.7241379310344769E-2</v>
      </c>
      <c r="J3247" s="1">
        <f t="shared" si="458"/>
        <v>2.3800000000000026</v>
      </c>
      <c r="K3247" s="9">
        <f t="shared" si="451"/>
        <v>5.6331360946745623E-2</v>
      </c>
      <c r="L3247" s="1">
        <f t="shared" si="452"/>
        <v>1</v>
      </c>
      <c r="M3247" s="1">
        <f t="shared" si="453"/>
        <v>45.12</v>
      </c>
      <c r="N3247" s="1">
        <f t="shared" si="454"/>
        <v>43.5</v>
      </c>
      <c r="O3247" s="1">
        <f t="shared" si="455"/>
        <v>42.67</v>
      </c>
      <c r="P3247" s="1">
        <f t="shared" si="456"/>
        <v>21.770408163265309</v>
      </c>
    </row>
    <row r="3248" spans="1:16">
      <c r="A3248" s="2">
        <v>38348</v>
      </c>
      <c r="B3248" s="1">
        <v>39.520000000000003</v>
      </c>
      <c r="C3248" s="1">
        <v>42.93</v>
      </c>
      <c r="D3248" s="1">
        <v>39.47</v>
      </c>
      <c r="E3248" s="1">
        <v>42.25</v>
      </c>
      <c r="F3248" s="1">
        <v>22289200</v>
      </c>
      <c r="G3248" s="1">
        <v>42.25</v>
      </c>
      <c r="H3248" s="1">
        <f t="shared" si="450"/>
        <v>3.4600000000000009</v>
      </c>
      <c r="I3248" s="9">
        <f t="shared" si="457"/>
        <v>8.7661515074740334E-2</v>
      </c>
      <c r="J3248" s="1">
        <f t="shared" si="458"/>
        <v>3.3200000000000003</v>
      </c>
      <c r="K3248" s="9">
        <f t="shared" si="451"/>
        <v>8.528127408168508E-2</v>
      </c>
      <c r="L3248" s="1">
        <f t="shared" si="452"/>
        <v>1</v>
      </c>
      <c r="M3248" s="1">
        <f t="shared" si="453"/>
        <v>42.93</v>
      </c>
      <c r="N3248" s="1">
        <f t="shared" si="454"/>
        <v>39.47</v>
      </c>
      <c r="O3248" s="1">
        <f t="shared" si="455"/>
        <v>40.29</v>
      </c>
      <c r="P3248" s="1">
        <f t="shared" si="456"/>
        <v>20.556122448979593</v>
      </c>
    </row>
    <row r="3249" spans="1:16">
      <c r="A3249" s="2">
        <v>38344</v>
      </c>
      <c r="B3249" s="1">
        <v>39.340000000000003</v>
      </c>
      <c r="C3249" s="1">
        <v>39.520000000000003</v>
      </c>
      <c r="D3249" s="1">
        <v>38.92</v>
      </c>
      <c r="E3249" s="1">
        <v>38.93</v>
      </c>
      <c r="F3249" s="1">
        <v>3206800</v>
      </c>
      <c r="G3249" s="1">
        <v>38.93</v>
      </c>
      <c r="H3249" s="1">
        <f t="shared" si="450"/>
        <v>0.60000000000000142</v>
      </c>
      <c r="I3249" s="9">
        <f t="shared" si="457"/>
        <v>1.5416238437821207E-2</v>
      </c>
      <c r="J3249" s="1">
        <f t="shared" si="458"/>
        <v>-0.59000000000000341</v>
      </c>
      <c r="K3249" s="9">
        <f t="shared" si="451"/>
        <v>-1.4929149797570936E-2</v>
      </c>
      <c r="L3249" s="1">
        <f t="shared" si="452"/>
        <v>1</v>
      </c>
      <c r="M3249" s="1">
        <f t="shared" si="453"/>
        <v>39.520000000000003</v>
      </c>
      <c r="N3249" s="1">
        <f t="shared" si="454"/>
        <v>38.92</v>
      </c>
      <c r="O3249" s="1">
        <f t="shared" si="455"/>
        <v>36.97</v>
      </c>
      <c r="P3249" s="1">
        <f t="shared" si="456"/>
        <v>18.862244897959183</v>
      </c>
    </row>
    <row r="3250" spans="1:16">
      <c r="A3250" s="2">
        <v>38343</v>
      </c>
      <c r="B3250" s="1">
        <v>38.61</v>
      </c>
      <c r="C3250" s="1">
        <v>39.590000000000003</v>
      </c>
      <c r="D3250" s="1">
        <v>38.549999999999997</v>
      </c>
      <c r="E3250" s="1">
        <v>39.520000000000003</v>
      </c>
      <c r="F3250" s="1">
        <v>5276300</v>
      </c>
      <c r="G3250" s="1">
        <v>39.520000000000003</v>
      </c>
      <c r="H3250" s="1">
        <f t="shared" si="450"/>
        <v>1.0400000000000063</v>
      </c>
      <c r="I3250" s="9">
        <f t="shared" si="457"/>
        <v>2.6977950713359438E-2</v>
      </c>
      <c r="J3250" s="1">
        <f t="shared" si="458"/>
        <v>0.13000000000000256</v>
      </c>
      <c r="K3250" s="9">
        <f t="shared" si="451"/>
        <v>3.3003300330033654E-3</v>
      </c>
      <c r="L3250" s="1">
        <f t="shared" si="452"/>
        <v>1</v>
      </c>
      <c r="M3250" s="1">
        <f t="shared" si="453"/>
        <v>39.590000000000003</v>
      </c>
      <c r="N3250" s="1">
        <f t="shared" si="454"/>
        <v>38.549999999999997</v>
      </c>
      <c r="O3250" s="1">
        <f t="shared" si="455"/>
        <v>37.56</v>
      </c>
      <c r="P3250" s="1">
        <f t="shared" si="456"/>
        <v>19.163265306122451</v>
      </c>
    </row>
    <row r="3251" spans="1:16">
      <c r="A3251" s="2">
        <v>38342</v>
      </c>
      <c r="B3251" s="1">
        <v>38.840000000000003</v>
      </c>
      <c r="C3251" s="1">
        <v>39.42</v>
      </c>
      <c r="D3251" s="1">
        <v>38.64</v>
      </c>
      <c r="E3251" s="1">
        <v>39.39</v>
      </c>
      <c r="F3251" s="1">
        <v>5229400</v>
      </c>
      <c r="G3251" s="1">
        <v>39.39</v>
      </c>
      <c r="H3251" s="1">
        <f t="shared" si="450"/>
        <v>0.78000000000000114</v>
      </c>
      <c r="I3251" s="9">
        <f t="shared" si="457"/>
        <v>2.0186335403726736E-2</v>
      </c>
      <c r="J3251" s="1">
        <f t="shared" si="458"/>
        <v>0.43999999999999773</v>
      </c>
      <c r="K3251" s="9">
        <f t="shared" si="451"/>
        <v>1.1296534017971699E-2</v>
      </c>
      <c r="L3251" s="1">
        <f t="shared" si="452"/>
        <v>1</v>
      </c>
      <c r="M3251" s="1">
        <f t="shared" si="453"/>
        <v>39.42</v>
      </c>
      <c r="N3251" s="1">
        <f t="shared" si="454"/>
        <v>38.64</v>
      </c>
      <c r="O3251" s="1">
        <f t="shared" si="455"/>
        <v>37.43</v>
      </c>
      <c r="P3251" s="1">
        <f t="shared" si="456"/>
        <v>19.096938775510203</v>
      </c>
    </row>
    <row r="3252" spans="1:16">
      <c r="A3252" s="2">
        <v>38341</v>
      </c>
      <c r="B3252" s="1">
        <v>39.93</v>
      </c>
      <c r="C3252" s="1">
        <v>40.49</v>
      </c>
      <c r="D3252" s="1">
        <v>38.81</v>
      </c>
      <c r="E3252" s="1">
        <v>38.950000000000003</v>
      </c>
      <c r="F3252" s="1">
        <v>7215700</v>
      </c>
      <c r="G3252" s="1">
        <v>38.950000000000003</v>
      </c>
      <c r="H3252" s="1">
        <f t="shared" si="450"/>
        <v>1.6799999999999997</v>
      </c>
      <c r="I3252" s="9">
        <f t="shared" si="457"/>
        <v>4.3287812419479509E-2</v>
      </c>
      <c r="J3252" s="1">
        <f t="shared" si="458"/>
        <v>-1.0599999999999952</v>
      </c>
      <c r="K3252" s="9">
        <f t="shared" si="451"/>
        <v>-2.6493376655835923E-2</v>
      </c>
      <c r="L3252" s="1">
        <f t="shared" si="452"/>
        <v>1</v>
      </c>
      <c r="M3252" s="1">
        <f t="shared" si="453"/>
        <v>40.49</v>
      </c>
      <c r="N3252" s="1">
        <f t="shared" si="454"/>
        <v>38.81</v>
      </c>
      <c r="O3252" s="1">
        <f t="shared" si="455"/>
        <v>36.99</v>
      </c>
      <c r="P3252" s="1">
        <f t="shared" si="456"/>
        <v>18.872448979591837</v>
      </c>
    </row>
    <row r="3253" spans="1:16">
      <c r="A3253" s="2">
        <v>38338</v>
      </c>
      <c r="B3253" s="1">
        <v>40.159999999999997</v>
      </c>
      <c r="C3253" s="1">
        <v>40.22</v>
      </c>
      <c r="D3253" s="1">
        <v>39.869999999999997</v>
      </c>
      <c r="E3253" s="1">
        <v>40.01</v>
      </c>
      <c r="F3253" s="1">
        <v>5486000</v>
      </c>
      <c r="G3253" s="1">
        <v>40.01</v>
      </c>
      <c r="H3253" s="1">
        <f t="shared" si="450"/>
        <v>0.35000000000000142</v>
      </c>
      <c r="I3253" s="9">
        <f t="shared" si="457"/>
        <v>8.7785302232255193E-3</v>
      </c>
      <c r="J3253" s="1">
        <f t="shared" si="458"/>
        <v>-3.9999999999999147E-2</v>
      </c>
      <c r="K3253" s="9">
        <f t="shared" si="451"/>
        <v>-9.9875156054929208E-4</v>
      </c>
      <c r="L3253" s="1">
        <f t="shared" si="452"/>
        <v>1</v>
      </c>
      <c r="M3253" s="1">
        <f t="shared" si="453"/>
        <v>40.22</v>
      </c>
      <c r="N3253" s="1">
        <f t="shared" si="454"/>
        <v>39.869999999999997</v>
      </c>
      <c r="O3253" s="1">
        <f t="shared" si="455"/>
        <v>38.049999999999997</v>
      </c>
      <c r="P3253" s="1">
        <f t="shared" si="456"/>
        <v>19.413265306122447</v>
      </c>
    </row>
    <row r="3254" spans="1:16">
      <c r="A3254" s="2">
        <v>38337</v>
      </c>
      <c r="B3254" s="1">
        <v>40.86</v>
      </c>
      <c r="C3254" s="1">
        <v>41</v>
      </c>
      <c r="D3254" s="1">
        <v>39.71</v>
      </c>
      <c r="E3254" s="1">
        <v>40.049999999999997</v>
      </c>
      <c r="F3254" s="1">
        <v>5414900</v>
      </c>
      <c r="G3254" s="1">
        <v>40.049999999999997</v>
      </c>
      <c r="H3254" s="1">
        <f t="shared" si="450"/>
        <v>1.2899999999999991</v>
      </c>
      <c r="I3254" s="9">
        <f t="shared" si="457"/>
        <v>3.2485520020146035E-2</v>
      </c>
      <c r="J3254" s="1">
        <f t="shared" si="458"/>
        <v>-0.95000000000000284</v>
      </c>
      <c r="K3254" s="9">
        <f t="shared" si="451"/>
        <v>-2.3170731707317142E-2</v>
      </c>
      <c r="L3254" s="1">
        <f t="shared" si="452"/>
        <v>1</v>
      </c>
      <c r="M3254" s="1">
        <f t="shared" si="453"/>
        <v>41</v>
      </c>
      <c r="N3254" s="1">
        <f t="shared" si="454"/>
        <v>39.71</v>
      </c>
      <c r="O3254" s="1">
        <f t="shared" si="455"/>
        <v>38.089999999999996</v>
      </c>
      <c r="P3254" s="1">
        <f t="shared" si="456"/>
        <v>19.433673469387752</v>
      </c>
    </row>
    <row r="3255" spans="1:16">
      <c r="A3255" s="2">
        <v>38336</v>
      </c>
      <c r="B3255" s="1">
        <v>40.340000000000003</v>
      </c>
      <c r="C3255" s="1">
        <v>41</v>
      </c>
      <c r="D3255" s="1">
        <v>40.21</v>
      </c>
      <c r="E3255" s="1">
        <v>41</v>
      </c>
      <c r="F3255" s="1">
        <v>6674200</v>
      </c>
      <c r="G3255" s="1">
        <v>41</v>
      </c>
      <c r="H3255" s="1">
        <f t="shared" si="450"/>
        <v>0.78999999999999915</v>
      </c>
      <c r="I3255" s="9">
        <f t="shared" si="457"/>
        <v>1.9646854016413806E-2</v>
      </c>
      <c r="J3255" s="1">
        <f t="shared" si="458"/>
        <v>0.56000000000000227</v>
      </c>
      <c r="K3255" s="9">
        <f t="shared" si="451"/>
        <v>1.3847675568743875E-2</v>
      </c>
      <c r="L3255" s="1">
        <f t="shared" si="452"/>
        <v>1</v>
      </c>
      <c r="M3255" s="1">
        <f t="shared" si="453"/>
        <v>41</v>
      </c>
      <c r="N3255" s="1">
        <f t="shared" si="454"/>
        <v>40.21</v>
      </c>
      <c r="O3255" s="1">
        <f t="shared" si="455"/>
        <v>39.04</v>
      </c>
      <c r="P3255" s="1">
        <f t="shared" si="456"/>
        <v>19.918367346938776</v>
      </c>
    </row>
    <row r="3256" spans="1:16">
      <c r="A3256" s="2">
        <v>38335</v>
      </c>
      <c r="B3256" s="1">
        <v>40.15</v>
      </c>
      <c r="C3256" s="1">
        <v>40.47</v>
      </c>
      <c r="D3256" s="1">
        <v>39.94</v>
      </c>
      <c r="E3256" s="1">
        <v>40.44</v>
      </c>
      <c r="F3256" s="1">
        <v>5251500</v>
      </c>
      <c r="G3256" s="1">
        <v>40.44</v>
      </c>
      <c r="H3256" s="1">
        <f t="shared" si="450"/>
        <v>0.53000000000000114</v>
      </c>
      <c r="I3256" s="9">
        <f t="shared" si="457"/>
        <v>1.3269904857285958E-2</v>
      </c>
      <c r="J3256" s="1">
        <f t="shared" si="458"/>
        <v>0.60999999999999943</v>
      </c>
      <c r="K3256" s="9">
        <f t="shared" si="451"/>
        <v>1.5315089128797376E-2</v>
      </c>
      <c r="L3256" s="1">
        <f t="shared" si="452"/>
        <v>1</v>
      </c>
      <c r="M3256" s="1">
        <f t="shared" si="453"/>
        <v>40.47</v>
      </c>
      <c r="N3256" s="1">
        <f t="shared" si="454"/>
        <v>39.94</v>
      </c>
      <c r="O3256" s="1">
        <f t="shared" si="455"/>
        <v>38.479999999999997</v>
      </c>
      <c r="P3256" s="1">
        <f t="shared" si="456"/>
        <v>19.632653061224488</v>
      </c>
    </row>
    <row r="3257" spans="1:16">
      <c r="A3257" s="2">
        <v>38334</v>
      </c>
      <c r="B3257" s="1">
        <v>39.33</v>
      </c>
      <c r="C3257" s="1">
        <v>40.28</v>
      </c>
      <c r="D3257" s="1">
        <v>38.82</v>
      </c>
      <c r="E3257" s="1">
        <v>39.83</v>
      </c>
      <c r="F3257" s="1">
        <v>6052100</v>
      </c>
      <c r="G3257" s="1">
        <v>39.83</v>
      </c>
      <c r="H3257" s="1">
        <f t="shared" si="450"/>
        <v>1.4600000000000009</v>
      </c>
      <c r="I3257" s="9">
        <f t="shared" si="457"/>
        <v>3.7609479649665142E-2</v>
      </c>
      <c r="J3257" s="1">
        <f t="shared" si="458"/>
        <v>0.78000000000000114</v>
      </c>
      <c r="K3257" s="9">
        <f t="shared" si="451"/>
        <v>1.9974391805377752E-2</v>
      </c>
      <c r="L3257" s="1">
        <f t="shared" si="452"/>
        <v>1</v>
      </c>
      <c r="M3257" s="1">
        <f t="shared" si="453"/>
        <v>40.28</v>
      </c>
      <c r="N3257" s="1">
        <f t="shared" si="454"/>
        <v>38.82</v>
      </c>
      <c r="O3257" s="1">
        <f t="shared" si="455"/>
        <v>37.869999999999997</v>
      </c>
      <c r="P3257" s="1">
        <f t="shared" si="456"/>
        <v>19.321428571428569</v>
      </c>
    </row>
    <row r="3258" spans="1:16">
      <c r="A3258" s="2">
        <v>38331</v>
      </c>
      <c r="B3258" s="1">
        <v>39.54</v>
      </c>
      <c r="C3258" s="1">
        <v>40.1</v>
      </c>
      <c r="D3258" s="1">
        <v>39</v>
      </c>
      <c r="E3258" s="1">
        <v>39.049999999999997</v>
      </c>
      <c r="F3258" s="1">
        <v>5510700</v>
      </c>
      <c r="G3258" s="1">
        <v>39.049999999999997</v>
      </c>
      <c r="H3258" s="1">
        <f t="shared" si="450"/>
        <v>1.1000000000000014</v>
      </c>
      <c r="I3258" s="9">
        <f t="shared" si="457"/>
        <v>2.820512820512824E-2</v>
      </c>
      <c r="J3258" s="1">
        <f t="shared" si="458"/>
        <v>-0.77000000000000313</v>
      </c>
      <c r="K3258" s="9">
        <f t="shared" si="451"/>
        <v>-1.9337016574585714E-2</v>
      </c>
      <c r="L3258" s="1">
        <f t="shared" si="452"/>
        <v>1</v>
      </c>
      <c r="M3258" s="1">
        <f t="shared" si="453"/>
        <v>40.1</v>
      </c>
      <c r="N3258" s="1">
        <f t="shared" si="454"/>
        <v>39</v>
      </c>
      <c r="O3258" s="1">
        <f t="shared" si="455"/>
        <v>37.089999999999996</v>
      </c>
      <c r="P3258" s="1">
        <f t="shared" si="456"/>
        <v>18.923469387755102</v>
      </c>
    </row>
    <row r="3259" spans="1:16">
      <c r="A3259" s="2">
        <v>38330</v>
      </c>
      <c r="B3259" s="1">
        <v>38.4</v>
      </c>
      <c r="C3259" s="1">
        <v>39.950000000000003</v>
      </c>
      <c r="D3259" s="1">
        <v>38.17</v>
      </c>
      <c r="E3259" s="1">
        <v>39.82</v>
      </c>
      <c r="F3259" s="1">
        <v>7446700</v>
      </c>
      <c r="G3259" s="1">
        <v>39.82</v>
      </c>
      <c r="H3259" s="1">
        <f t="shared" si="450"/>
        <v>1.7800000000000011</v>
      </c>
      <c r="I3259" s="9">
        <f t="shared" si="457"/>
        <v>4.6633481791983261E-2</v>
      </c>
      <c r="J3259" s="1">
        <f t="shared" si="458"/>
        <v>1.1000000000000014</v>
      </c>
      <c r="K3259" s="9">
        <f t="shared" si="451"/>
        <v>2.8409090909090946E-2</v>
      </c>
      <c r="L3259" s="1">
        <f t="shared" si="452"/>
        <v>1</v>
      </c>
      <c r="M3259" s="1">
        <f t="shared" si="453"/>
        <v>39.950000000000003</v>
      </c>
      <c r="N3259" s="1">
        <f t="shared" si="454"/>
        <v>38.17</v>
      </c>
      <c r="O3259" s="1">
        <f t="shared" si="455"/>
        <v>37.86</v>
      </c>
      <c r="P3259" s="1">
        <f t="shared" si="456"/>
        <v>19.316326530612244</v>
      </c>
    </row>
    <row r="3260" spans="1:16">
      <c r="A3260" s="2">
        <v>38329</v>
      </c>
      <c r="B3260" s="1">
        <v>38.32</v>
      </c>
      <c r="C3260" s="1">
        <v>39.1</v>
      </c>
      <c r="D3260" s="1">
        <v>37.99</v>
      </c>
      <c r="E3260" s="1">
        <v>38.72</v>
      </c>
      <c r="F3260" s="1">
        <v>6421700</v>
      </c>
      <c r="G3260" s="1">
        <v>38.72</v>
      </c>
      <c r="H3260" s="1">
        <f t="shared" si="450"/>
        <v>1.1099999999999994</v>
      </c>
      <c r="I3260" s="9">
        <f t="shared" si="457"/>
        <v>2.9218215319820988E-2</v>
      </c>
      <c r="J3260" s="1">
        <f t="shared" si="458"/>
        <v>0.51999999999999602</v>
      </c>
      <c r="K3260" s="9">
        <f t="shared" si="451"/>
        <v>1.3612565445026073E-2</v>
      </c>
      <c r="L3260" s="1">
        <f t="shared" si="452"/>
        <v>1</v>
      </c>
      <c r="M3260" s="1">
        <f t="shared" si="453"/>
        <v>39.1</v>
      </c>
      <c r="N3260" s="1">
        <f t="shared" si="454"/>
        <v>37.99</v>
      </c>
      <c r="O3260" s="1">
        <f t="shared" si="455"/>
        <v>36.76</v>
      </c>
      <c r="P3260" s="1">
        <f t="shared" si="456"/>
        <v>18.755102040816325</v>
      </c>
    </row>
    <row r="3261" spans="1:16">
      <c r="A3261" s="2">
        <v>38328</v>
      </c>
      <c r="B3261" s="1">
        <v>39.450000000000003</v>
      </c>
      <c r="C3261" s="1">
        <v>39.75</v>
      </c>
      <c r="D3261" s="1">
        <v>38.049999999999997</v>
      </c>
      <c r="E3261" s="1">
        <v>38.200000000000003</v>
      </c>
      <c r="F3261" s="1">
        <v>7093400</v>
      </c>
      <c r="G3261" s="1">
        <v>38.200000000000003</v>
      </c>
      <c r="H3261" s="1">
        <f t="shared" si="450"/>
        <v>1.7000000000000028</v>
      </c>
      <c r="I3261" s="9">
        <f t="shared" si="457"/>
        <v>4.4678055190538843E-2</v>
      </c>
      <c r="J3261" s="1">
        <f t="shared" si="458"/>
        <v>-1.2899999999999991</v>
      </c>
      <c r="K3261" s="9">
        <f t="shared" si="451"/>
        <v>-3.2666497847556319E-2</v>
      </c>
      <c r="L3261" s="1">
        <f t="shared" si="452"/>
        <v>1</v>
      </c>
      <c r="M3261" s="1">
        <f t="shared" si="453"/>
        <v>39.75</v>
      </c>
      <c r="N3261" s="1">
        <f t="shared" si="454"/>
        <v>38.049999999999997</v>
      </c>
      <c r="O3261" s="1">
        <f t="shared" si="455"/>
        <v>36.24</v>
      </c>
      <c r="P3261" s="1">
        <f t="shared" si="456"/>
        <v>18.489795918367349</v>
      </c>
    </row>
    <row r="3262" spans="1:16">
      <c r="A3262" s="2">
        <v>38327</v>
      </c>
      <c r="B3262" s="1">
        <v>39.729999999999997</v>
      </c>
      <c r="C3262" s="1">
        <v>39.979999999999997</v>
      </c>
      <c r="D3262" s="1">
        <v>39.15</v>
      </c>
      <c r="E3262" s="1">
        <v>39.49</v>
      </c>
      <c r="F3262" s="1">
        <v>6088000</v>
      </c>
      <c r="G3262" s="1">
        <v>39.49</v>
      </c>
      <c r="H3262" s="1">
        <f t="shared" si="450"/>
        <v>0.82999999999999829</v>
      </c>
      <c r="I3262" s="9">
        <f t="shared" si="457"/>
        <v>2.1200510855683228E-2</v>
      </c>
      <c r="J3262" s="1">
        <f t="shared" si="458"/>
        <v>-0.60000000000000142</v>
      </c>
      <c r="K3262" s="9">
        <f t="shared" si="451"/>
        <v>-1.496632576702423E-2</v>
      </c>
      <c r="L3262" s="1">
        <f t="shared" si="452"/>
        <v>1</v>
      </c>
      <c r="M3262" s="1">
        <f t="shared" si="453"/>
        <v>39.979999999999997</v>
      </c>
      <c r="N3262" s="1">
        <f t="shared" si="454"/>
        <v>39.15</v>
      </c>
      <c r="O3262" s="1">
        <f t="shared" si="455"/>
        <v>37.53</v>
      </c>
      <c r="P3262" s="1">
        <f t="shared" si="456"/>
        <v>19.147959183673471</v>
      </c>
    </row>
    <row r="3263" spans="1:16">
      <c r="A3263" s="2">
        <v>38324</v>
      </c>
      <c r="B3263" s="1">
        <v>40.36</v>
      </c>
      <c r="C3263" s="1">
        <v>40.46</v>
      </c>
      <c r="D3263" s="1">
        <v>39.54</v>
      </c>
      <c r="E3263" s="1">
        <v>40.090000000000003</v>
      </c>
      <c r="F3263" s="1">
        <v>8247700</v>
      </c>
      <c r="G3263" s="1">
        <v>40.090000000000003</v>
      </c>
      <c r="H3263" s="1">
        <f t="shared" si="450"/>
        <v>0.92000000000000171</v>
      </c>
      <c r="I3263" s="9">
        <f t="shared" si="457"/>
        <v>2.3267577137076421E-2</v>
      </c>
      <c r="J3263" s="1">
        <f t="shared" si="458"/>
        <v>-7.9999999999998295E-2</v>
      </c>
      <c r="K3263" s="9">
        <f t="shared" si="451"/>
        <v>-1.9915359721184539E-3</v>
      </c>
      <c r="L3263" s="1">
        <f t="shared" si="452"/>
        <v>1</v>
      </c>
      <c r="M3263" s="1">
        <f t="shared" si="453"/>
        <v>40.46</v>
      </c>
      <c r="N3263" s="1">
        <f t="shared" si="454"/>
        <v>39.54</v>
      </c>
      <c r="O3263" s="1">
        <f t="shared" si="455"/>
        <v>38.130000000000003</v>
      </c>
      <c r="P3263" s="1">
        <f t="shared" si="456"/>
        <v>19.454081632653065</v>
      </c>
    </row>
    <row r="3264" spans="1:16">
      <c r="A3264" s="2">
        <v>38323</v>
      </c>
      <c r="B3264" s="1">
        <v>39.64</v>
      </c>
      <c r="C3264" s="1">
        <v>40.74</v>
      </c>
      <c r="D3264" s="1">
        <v>39.28</v>
      </c>
      <c r="E3264" s="1">
        <v>40.17</v>
      </c>
      <c r="F3264" s="1">
        <v>6600900</v>
      </c>
      <c r="G3264" s="1">
        <v>40.17</v>
      </c>
      <c r="H3264" s="1">
        <f t="shared" si="450"/>
        <v>1.4600000000000009</v>
      </c>
      <c r="I3264" s="9">
        <f t="shared" si="457"/>
        <v>3.7169042769857455E-2</v>
      </c>
      <c r="J3264" s="1">
        <f t="shared" si="458"/>
        <v>0.19000000000000483</v>
      </c>
      <c r="K3264" s="9">
        <f t="shared" si="451"/>
        <v>4.7523761880941678E-3</v>
      </c>
      <c r="L3264" s="1">
        <f t="shared" si="452"/>
        <v>1</v>
      </c>
      <c r="M3264" s="1">
        <f t="shared" si="453"/>
        <v>40.74</v>
      </c>
      <c r="N3264" s="1">
        <f t="shared" si="454"/>
        <v>39.28</v>
      </c>
      <c r="O3264" s="1">
        <f t="shared" si="455"/>
        <v>38.21</v>
      </c>
      <c r="P3264" s="1">
        <f t="shared" si="456"/>
        <v>19.494897959183675</v>
      </c>
    </row>
    <row r="3265" spans="1:16">
      <c r="A3265" s="2">
        <v>38322</v>
      </c>
      <c r="B3265" s="1">
        <v>40</v>
      </c>
      <c r="C3265" s="1">
        <v>40</v>
      </c>
      <c r="D3265" s="1">
        <v>39.25</v>
      </c>
      <c r="E3265" s="1">
        <v>39.979999999999997</v>
      </c>
      <c r="F3265" s="1">
        <v>7756000</v>
      </c>
      <c r="G3265" s="1">
        <v>39.979999999999997</v>
      </c>
      <c r="H3265" s="1">
        <f t="shared" si="450"/>
        <v>0.75</v>
      </c>
      <c r="I3265" s="9">
        <f t="shared" si="457"/>
        <v>1.9108280254777069E-2</v>
      </c>
      <c r="J3265" s="1">
        <f t="shared" si="458"/>
        <v>0.29999999999999716</v>
      </c>
      <c r="K3265" s="9">
        <f t="shared" si="451"/>
        <v>7.5604838709676702E-3</v>
      </c>
      <c r="L3265" s="1">
        <f t="shared" si="452"/>
        <v>1</v>
      </c>
      <c r="M3265" s="1">
        <f t="shared" si="453"/>
        <v>40</v>
      </c>
      <c r="N3265" s="1">
        <f t="shared" si="454"/>
        <v>39.25</v>
      </c>
      <c r="O3265" s="1">
        <f t="shared" si="455"/>
        <v>38.019999999999996</v>
      </c>
      <c r="P3265" s="1">
        <f t="shared" si="456"/>
        <v>19.397959183673468</v>
      </c>
    </row>
    <row r="3266" spans="1:16">
      <c r="A3266" s="2">
        <v>38321</v>
      </c>
      <c r="B3266" s="1">
        <v>38.97</v>
      </c>
      <c r="C3266" s="1">
        <v>39.799999999999997</v>
      </c>
      <c r="D3266" s="1">
        <v>38.950000000000003</v>
      </c>
      <c r="E3266" s="1">
        <v>39.68</v>
      </c>
      <c r="F3266" s="1">
        <v>7028600</v>
      </c>
      <c r="G3266" s="1">
        <v>39.68</v>
      </c>
      <c r="H3266" s="1">
        <f t="shared" si="450"/>
        <v>0.84999999999999432</v>
      </c>
      <c r="I3266" s="9">
        <f t="shared" si="457"/>
        <v>2.1822849807445296E-2</v>
      </c>
      <c r="J3266" s="1">
        <f t="shared" si="458"/>
        <v>0.74000000000000199</v>
      </c>
      <c r="K3266" s="9">
        <f t="shared" si="451"/>
        <v>1.9003595274781768E-2</v>
      </c>
      <c r="L3266" s="1">
        <f t="shared" si="452"/>
        <v>1</v>
      </c>
      <c r="M3266" s="1">
        <f t="shared" si="453"/>
        <v>39.799999999999997</v>
      </c>
      <c r="N3266" s="1">
        <f t="shared" si="454"/>
        <v>38.950000000000003</v>
      </c>
      <c r="O3266" s="1">
        <f t="shared" si="455"/>
        <v>37.72</v>
      </c>
      <c r="P3266" s="1">
        <f t="shared" si="456"/>
        <v>19.244897959183675</v>
      </c>
    </row>
    <row r="3267" spans="1:16">
      <c r="A3267" s="2">
        <v>38320</v>
      </c>
      <c r="B3267" s="1">
        <v>39.6</v>
      </c>
      <c r="C3267" s="1">
        <v>39.619999999999997</v>
      </c>
      <c r="D3267" s="1">
        <v>37.71</v>
      </c>
      <c r="E3267" s="1">
        <v>38.94</v>
      </c>
      <c r="F3267" s="1">
        <v>9874100</v>
      </c>
      <c r="G3267" s="1">
        <v>38.94</v>
      </c>
      <c r="H3267" s="1">
        <f t="shared" ref="H3267:H3330" si="459">C3267-D3267</f>
        <v>1.9099999999999966</v>
      </c>
      <c r="I3267" s="9">
        <f t="shared" si="457"/>
        <v>5.0649695041103067E-2</v>
      </c>
      <c r="J3267" s="1">
        <f t="shared" si="458"/>
        <v>-0.15000000000000568</v>
      </c>
      <c r="K3267" s="9">
        <f t="shared" ref="K3267:K3330" si="460">(G3267-G3268)/G3268</f>
        <v>-3.8372985418266992E-3</v>
      </c>
      <c r="L3267" s="1">
        <f t="shared" ref="L3267:L3330" si="461">G3267/E3267</f>
        <v>1</v>
      </c>
      <c r="M3267" s="1">
        <f t="shared" ref="M3267:M3330" si="462">L3267*C3267</f>
        <v>39.619999999999997</v>
      </c>
      <c r="N3267" s="1">
        <f t="shared" ref="N3267:N3330" si="463">L3267*D3267</f>
        <v>37.71</v>
      </c>
      <c r="O3267" s="1">
        <f t="shared" ref="O3267:O3330" si="464">G3267-$G$5163</f>
        <v>36.979999999999997</v>
      </c>
      <c r="P3267" s="1">
        <f t="shared" ref="P3267:P3330" si="465">(G3267-$G$5163)/$G$5163</f>
        <v>18.867346938775508</v>
      </c>
    </row>
    <row r="3268" spans="1:16">
      <c r="A3268" s="2">
        <v>38317</v>
      </c>
      <c r="B3268" s="1">
        <v>38.950000000000003</v>
      </c>
      <c r="C3268" s="1">
        <v>39.340000000000003</v>
      </c>
      <c r="D3268" s="1">
        <v>38.89</v>
      </c>
      <c r="E3268" s="1">
        <v>39.090000000000003</v>
      </c>
      <c r="F3268" s="1">
        <v>2337700</v>
      </c>
      <c r="G3268" s="1">
        <v>39.090000000000003</v>
      </c>
      <c r="H3268" s="1">
        <f t="shared" si="459"/>
        <v>0.45000000000000284</v>
      </c>
      <c r="I3268" s="9">
        <f t="shared" ref="I3268:I3331" si="466">(C3268-D3268)/D3268</f>
        <v>1.157109796862954E-2</v>
      </c>
      <c r="J3268" s="1">
        <f t="shared" ref="J3268:J3331" si="467">G3268-G3269</f>
        <v>0.34000000000000341</v>
      </c>
      <c r="K3268" s="9">
        <f t="shared" si="460"/>
        <v>8.7741935483871842E-3</v>
      </c>
      <c r="L3268" s="1">
        <f t="shared" si="461"/>
        <v>1</v>
      </c>
      <c r="M3268" s="1">
        <f t="shared" si="462"/>
        <v>39.340000000000003</v>
      </c>
      <c r="N3268" s="1">
        <f t="shared" si="463"/>
        <v>38.89</v>
      </c>
      <c r="O3268" s="1">
        <f t="shared" si="464"/>
        <v>37.130000000000003</v>
      </c>
      <c r="P3268" s="1">
        <f t="shared" si="465"/>
        <v>18.94387755102041</v>
      </c>
    </row>
    <row r="3269" spans="1:16">
      <c r="A3269" s="2">
        <v>38315</v>
      </c>
      <c r="B3269" s="1">
        <v>38.869999999999997</v>
      </c>
      <c r="C3269" s="1">
        <v>39.159999999999997</v>
      </c>
      <c r="D3269" s="1">
        <v>38.1</v>
      </c>
      <c r="E3269" s="1">
        <v>38.75</v>
      </c>
      <c r="F3269" s="1">
        <v>5940900</v>
      </c>
      <c r="G3269" s="1">
        <v>38.75</v>
      </c>
      <c r="H3269" s="1">
        <f t="shared" si="459"/>
        <v>1.0599999999999952</v>
      </c>
      <c r="I3269" s="9">
        <f t="shared" si="466"/>
        <v>2.7821522309711157E-2</v>
      </c>
      <c r="J3269" s="1">
        <f t="shared" si="467"/>
        <v>0.43999999999999773</v>
      </c>
      <c r="K3269" s="9">
        <f t="shared" si="460"/>
        <v>1.1485251892456218E-2</v>
      </c>
      <c r="L3269" s="1">
        <f t="shared" si="461"/>
        <v>1</v>
      </c>
      <c r="M3269" s="1">
        <f t="shared" si="462"/>
        <v>39.159999999999997</v>
      </c>
      <c r="N3269" s="1">
        <f t="shared" si="463"/>
        <v>38.1</v>
      </c>
      <c r="O3269" s="1">
        <f t="shared" si="464"/>
        <v>36.79</v>
      </c>
      <c r="P3269" s="1">
        <f t="shared" si="465"/>
        <v>18.770408163265305</v>
      </c>
    </row>
    <row r="3270" spans="1:16">
      <c r="A3270" s="2">
        <v>38314</v>
      </c>
      <c r="B3270" s="1">
        <v>38.18</v>
      </c>
      <c r="C3270" s="1">
        <v>39.68</v>
      </c>
      <c r="D3270" s="1">
        <v>38.03</v>
      </c>
      <c r="E3270" s="1">
        <v>38.31</v>
      </c>
      <c r="F3270" s="1">
        <v>7405600</v>
      </c>
      <c r="G3270" s="1">
        <v>38.31</v>
      </c>
      <c r="H3270" s="1">
        <f t="shared" si="459"/>
        <v>1.6499999999999986</v>
      </c>
      <c r="I3270" s="9">
        <f t="shared" si="466"/>
        <v>4.338679989481984E-2</v>
      </c>
      <c r="J3270" s="1">
        <f t="shared" si="467"/>
        <v>0.26000000000000512</v>
      </c>
      <c r="K3270" s="9">
        <f t="shared" si="460"/>
        <v>6.833114323259005E-3</v>
      </c>
      <c r="L3270" s="1">
        <f t="shared" si="461"/>
        <v>1</v>
      </c>
      <c r="M3270" s="1">
        <f t="shared" si="462"/>
        <v>39.68</v>
      </c>
      <c r="N3270" s="1">
        <f t="shared" si="463"/>
        <v>38.03</v>
      </c>
      <c r="O3270" s="1">
        <f t="shared" si="464"/>
        <v>36.35</v>
      </c>
      <c r="P3270" s="1">
        <f t="shared" si="465"/>
        <v>18.545918367346939</v>
      </c>
    </row>
    <row r="3271" spans="1:16">
      <c r="A3271" s="2">
        <v>38313</v>
      </c>
      <c r="B3271" s="1">
        <v>38.44</v>
      </c>
      <c r="C3271" s="1">
        <v>38.53</v>
      </c>
      <c r="D3271" s="1">
        <v>37.58</v>
      </c>
      <c r="E3271" s="1">
        <v>38.049999999999997</v>
      </c>
      <c r="F3271" s="1">
        <v>8868600</v>
      </c>
      <c r="G3271" s="1">
        <v>38.049999999999997</v>
      </c>
      <c r="H3271" s="1">
        <f t="shared" si="459"/>
        <v>0.95000000000000284</v>
      </c>
      <c r="I3271" s="9">
        <f t="shared" si="466"/>
        <v>2.527940393826511E-2</v>
      </c>
      <c r="J3271" s="1">
        <f t="shared" si="467"/>
        <v>-0.5</v>
      </c>
      <c r="K3271" s="9">
        <f t="shared" si="460"/>
        <v>-1.2970168612191959E-2</v>
      </c>
      <c r="L3271" s="1">
        <f t="shared" si="461"/>
        <v>1</v>
      </c>
      <c r="M3271" s="1">
        <f t="shared" si="462"/>
        <v>38.53</v>
      </c>
      <c r="N3271" s="1">
        <f t="shared" si="463"/>
        <v>37.58</v>
      </c>
      <c r="O3271" s="1">
        <f t="shared" si="464"/>
        <v>36.089999999999996</v>
      </c>
      <c r="P3271" s="1">
        <f t="shared" si="465"/>
        <v>18.413265306122447</v>
      </c>
    </row>
    <row r="3272" spans="1:16">
      <c r="A3272" s="2">
        <v>38310</v>
      </c>
      <c r="B3272" s="1">
        <v>39.15</v>
      </c>
      <c r="C3272" s="1">
        <v>39.44</v>
      </c>
      <c r="D3272" s="1">
        <v>38.19</v>
      </c>
      <c r="E3272" s="1">
        <v>38.549999999999997</v>
      </c>
      <c r="F3272" s="1">
        <v>11427500</v>
      </c>
      <c r="G3272" s="1">
        <v>38.549999999999997</v>
      </c>
      <c r="H3272" s="1">
        <f t="shared" si="459"/>
        <v>1.25</v>
      </c>
      <c r="I3272" s="9">
        <f t="shared" si="466"/>
        <v>3.2731081434930615E-2</v>
      </c>
      <c r="J3272" s="1">
        <f t="shared" si="467"/>
        <v>-1.8200000000000003</v>
      </c>
      <c r="K3272" s="9">
        <f t="shared" si="460"/>
        <v>-4.5082982412682694E-2</v>
      </c>
      <c r="L3272" s="1">
        <f t="shared" si="461"/>
        <v>1</v>
      </c>
      <c r="M3272" s="1">
        <f t="shared" si="462"/>
        <v>39.44</v>
      </c>
      <c r="N3272" s="1">
        <f t="shared" si="463"/>
        <v>38.19</v>
      </c>
      <c r="O3272" s="1">
        <f t="shared" si="464"/>
        <v>36.589999999999996</v>
      </c>
      <c r="P3272" s="1">
        <f t="shared" si="465"/>
        <v>18.668367346938773</v>
      </c>
    </row>
    <row r="3273" spans="1:16">
      <c r="A3273" s="2">
        <v>38309</v>
      </c>
      <c r="B3273" s="1">
        <v>39.729999999999997</v>
      </c>
      <c r="C3273" s="1">
        <v>40.96</v>
      </c>
      <c r="D3273" s="1">
        <v>39.590000000000003</v>
      </c>
      <c r="E3273" s="1">
        <v>40.369999999999997</v>
      </c>
      <c r="F3273" s="1">
        <v>6806800</v>
      </c>
      <c r="G3273" s="1">
        <v>40.369999999999997</v>
      </c>
      <c r="H3273" s="1">
        <f t="shared" si="459"/>
        <v>1.3699999999999974</v>
      </c>
      <c r="I3273" s="9">
        <f t="shared" si="466"/>
        <v>3.4604698156099956E-2</v>
      </c>
      <c r="J3273" s="1">
        <f t="shared" si="467"/>
        <v>0.46999999999999886</v>
      </c>
      <c r="K3273" s="9">
        <f t="shared" si="460"/>
        <v>1.1779448621553857E-2</v>
      </c>
      <c r="L3273" s="1">
        <f t="shared" si="461"/>
        <v>1</v>
      </c>
      <c r="M3273" s="1">
        <f t="shared" si="462"/>
        <v>40.96</v>
      </c>
      <c r="N3273" s="1">
        <f t="shared" si="463"/>
        <v>39.590000000000003</v>
      </c>
      <c r="O3273" s="1">
        <f t="shared" si="464"/>
        <v>38.409999999999997</v>
      </c>
      <c r="P3273" s="1">
        <f t="shared" si="465"/>
        <v>19.596938775510203</v>
      </c>
    </row>
    <row r="3274" spans="1:16">
      <c r="A3274" s="2">
        <v>38308</v>
      </c>
      <c r="B3274" s="1">
        <v>40.4</v>
      </c>
      <c r="C3274" s="1">
        <v>40.590000000000003</v>
      </c>
      <c r="D3274" s="1">
        <v>39.54</v>
      </c>
      <c r="E3274" s="1">
        <v>39.9</v>
      </c>
      <c r="F3274" s="1">
        <v>6843600</v>
      </c>
      <c r="G3274" s="1">
        <v>39.9</v>
      </c>
      <c r="H3274" s="1">
        <f t="shared" si="459"/>
        <v>1.0500000000000043</v>
      </c>
      <c r="I3274" s="9">
        <f t="shared" si="466"/>
        <v>2.6555386949924237E-2</v>
      </c>
      <c r="J3274" s="1">
        <f t="shared" si="467"/>
        <v>-0.17000000000000171</v>
      </c>
      <c r="K3274" s="9">
        <f t="shared" si="460"/>
        <v>-4.2425754928874897E-3</v>
      </c>
      <c r="L3274" s="1">
        <f t="shared" si="461"/>
        <v>1</v>
      </c>
      <c r="M3274" s="1">
        <f t="shared" si="462"/>
        <v>40.590000000000003</v>
      </c>
      <c r="N3274" s="1">
        <f t="shared" si="463"/>
        <v>39.54</v>
      </c>
      <c r="O3274" s="1">
        <f t="shared" si="464"/>
        <v>37.94</v>
      </c>
      <c r="P3274" s="1">
        <f t="shared" si="465"/>
        <v>19.357142857142858</v>
      </c>
    </row>
    <row r="3275" spans="1:16">
      <c r="A3275" s="2">
        <v>38307</v>
      </c>
      <c r="B3275" s="1">
        <v>40.5</v>
      </c>
      <c r="C3275" s="1">
        <v>40.659999999999997</v>
      </c>
      <c r="D3275" s="1">
        <v>39.75</v>
      </c>
      <c r="E3275" s="1">
        <v>40.07</v>
      </c>
      <c r="F3275" s="1">
        <v>6401300</v>
      </c>
      <c r="G3275" s="1">
        <v>40.07</v>
      </c>
      <c r="H3275" s="1">
        <f t="shared" si="459"/>
        <v>0.90999999999999659</v>
      </c>
      <c r="I3275" s="9">
        <f t="shared" si="466"/>
        <v>2.2893081761006205E-2</v>
      </c>
      <c r="J3275" s="1">
        <f t="shared" si="467"/>
        <v>-0.82000000000000028</v>
      </c>
      <c r="K3275" s="9">
        <f t="shared" si="460"/>
        <v>-2.0053802885791155E-2</v>
      </c>
      <c r="L3275" s="1">
        <f t="shared" si="461"/>
        <v>1</v>
      </c>
      <c r="M3275" s="1">
        <f t="shared" si="462"/>
        <v>40.659999999999997</v>
      </c>
      <c r="N3275" s="1">
        <f t="shared" si="463"/>
        <v>39.75</v>
      </c>
      <c r="O3275" s="1">
        <f t="shared" si="464"/>
        <v>38.11</v>
      </c>
      <c r="P3275" s="1">
        <f t="shared" si="465"/>
        <v>19.443877551020407</v>
      </c>
    </row>
    <row r="3276" spans="1:16">
      <c r="A3276" s="2">
        <v>38306</v>
      </c>
      <c r="B3276" s="1">
        <v>40.46</v>
      </c>
      <c r="C3276" s="1">
        <v>41.5</v>
      </c>
      <c r="D3276" s="1">
        <v>40.18</v>
      </c>
      <c r="E3276" s="1">
        <v>40.89</v>
      </c>
      <c r="F3276" s="1">
        <v>10366200</v>
      </c>
      <c r="G3276" s="1">
        <v>40.89</v>
      </c>
      <c r="H3276" s="1">
        <f t="shared" si="459"/>
        <v>1.3200000000000003</v>
      </c>
      <c r="I3276" s="9">
        <f t="shared" si="466"/>
        <v>3.2852165256346447E-2</v>
      </c>
      <c r="J3276" s="1">
        <f t="shared" si="467"/>
        <v>0.42999999999999972</v>
      </c>
      <c r="K3276" s="9">
        <f t="shared" si="460"/>
        <v>1.0627780523974289E-2</v>
      </c>
      <c r="L3276" s="1">
        <f t="shared" si="461"/>
        <v>1</v>
      </c>
      <c r="M3276" s="1">
        <f t="shared" si="462"/>
        <v>41.5</v>
      </c>
      <c r="N3276" s="1">
        <f t="shared" si="463"/>
        <v>40.18</v>
      </c>
      <c r="O3276" s="1">
        <f t="shared" si="464"/>
        <v>38.93</v>
      </c>
      <c r="P3276" s="1">
        <f t="shared" si="465"/>
        <v>19.862244897959183</v>
      </c>
    </row>
    <row r="3277" spans="1:16">
      <c r="A3277" s="2">
        <v>38303</v>
      </c>
      <c r="B3277" s="1">
        <v>39.049999999999997</v>
      </c>
      <c r="C3277" s="1">
        <v>40.94</v>
      </c>
      <c r="D3277" s="1">
        <v>39</v>
      </c>
      <c r="E3277" s="1">
        <v>40.46</v>
      </c>
      <c r="F3277" s="1">
        <v>11596000</v>
      </c>
      <c r="G3277" s="1">
        <v>40.46</v>
      </c>
      <c r="H3277" s="1">
        <f t="shared" si="459"/>
        <v>1.9399999999999977</v>
      </c>
      <c r="I3277" s="9">
        <f t="shared" si="466"/>
        <v>4.9743589743589688E-2</v>
      </c>
      <c r="J3277" s="1">
        <f t="shared" si="467"/>
        <v>1.6300000000000026</v>
      </c>
      <c r="K3277" s="9">
        <f t="shared" si="460"/>
        <v>4.1977852176152526E-2</v>
      </c>
      <c r="L3277" s="1">
        <f t="shared" si="461"/>
        <v>1</v>
      </c>
      <c r="M3277" s="1">
        <f t="shared" si="462"/>
        <v>40.94</v>
      </c>
      <c r="N3277" s="1">
        <f t="shared" si="463"/>
        <v>39</v>
      </c>
      <c r="O3277" s="1">
        <f t="shared" si="464"/>
        <v>38.5</v>
      </c>
      <c r="P3277" s="1">
        <f t="shared" si="465"/>
        <v>19.642857142857142</v>
      </c>
    </row>
    <row r="3278" spans="1:16">
      <c r="A3278" s="2">
        <v>38302</v>
      </c>
      <c r="B3278" s="1">
        <v>38.090000000000003</v>
      </c>
      <c r="C3278" s="1">
        <v>39</v>
      </c>
      <c r="D3278" s="1">
        <v>37.64</v>
      </c>
      <c r="E3278" s="1">
        <v>38.83</v>
      </c>
      <c r="F3278" s="1">
        <v>6835000</v>
      </c>
      <c r="G3278" s="1">
        <v>38.83</v>
      </c>
      <c r="H3278" s="1">
        <f t="shared" si="459"/>
        <v>1.3599999999999994</v>
      </c>
      <c r="I3278" s="9">
        <f t="shared" si="466"/>
        <v>3.6131774707757691E-2</v>
      </c>
      <c r="J3278" s="1">
        <f t="shared" si="467"/>
        <v>0.73999999999999488</v>
      </c>
      <c r="K3278" s="9">
        <f t="shared" si="460"/>
        <v>1.9427671304804276E-2</v>
      </c>
      <c r="L3278" s="1">
        <f t="shared" si="461"/>
        <v>1</v>
      </c>
      <c r="M3278" s="1">
        <f t="shared" si="462"/>
        <v>39</v>
      </c>
      <c r="N3278" s="1">
        <f t="shared" si="463"/>
        <v>37.64</v>
      </c>
      <c r="O3278" s="1">
        <f t="shared" si="464"/>
        <v>36.869999999999997</v>
      </c>
      <c r="P3278" s="1">
        <f t="shared" si="465"/>
        <v>18.811224489795919</v>
      </c>
    </row>
    <row r="3279" spans="1:16">
      <c r="A3279" s="2">
        <v>38301</v>
      </c>
      <c r="B3279" s="1">
        <v>38</v>
      </c>
      <c r="C3279" s="1">
        <v>38.840000000000003</v>
      </c>
      <c r="D3279" s="1">
        <v>37.83</v>
      </c>
      <c r="E3279" s="1">
        <v>38.090000000000003</v>
      </c>
      <c r="F3279" s="1">
        <v>10655200</v>
      </c>
      <c r="G3279" s="1">
        <v>38.090000000000003</v>
      </c>
      <c r="H3279" s="1">
        <f t="shared" si="459"/>
        <v>1.0100000000000051</v>
      </c>
      <c r="I3279" s="9">
        <f t="shared" si="466"/>
        <v>2.6698387523129929E-2</v>
      </c>
      <c r="J3279" s="1">
        <f t="shared" si="467"/>
        <v>0.69000000000000483</v>
      </c>
      <c r="K3279" s="9">
        <f t="shared" si="460"/>
        <v>1.8449197860962697E-2</v>
      </c>
      <c r="L3279" s="1">
        <f t="shared" si="461"/>
        <v>1</v>
      </c>
      <c r="M3279" s="1">
        <f t="shared" si="462"/>
        <v>38.840000000000003</v>
      </c>
      <c r="N3279" s="1">
        <f t="shared" si="463"/>
        <v>37.83</v>
      </c>
      <c r="O3279" s="1">
        <f t="shared" si="464"/>
        <v>36.130000000000003</v>
      </c>
      <c r="P3279" s="1">
        <f t="shared" si="465"/>
        <v>18.433673469387756</v>
      </c>
    </row>
    <row r="3280" spans="1:16">
      <c r="A3280" s="2">
        <v>38300</v>
      </c>
      <c r="B3280" s="1">
        <v>37.18</v>
      </c>
      <c r="C3280" s="1">
        <v>37.81</v>
      </c>
      <c r="D3280" s="1">
        <v>36.700000000000003</v>
      </c>
      <c r="E3280" s="1">
        <v>37.4</v>
      </c>
      <c r="F3280" s="1">
        <v>6479900</v>
      </c>
      <c r="G3280" s="1">
        <v>37.4</v>
      </c>
      <c r="H3280" s="1">
        <f t="shared" si="459"/>
        <v>1.1099999999999994</v>
      </c>
      <c r="I3280" s="9">
        <f t="shared" si="466"/>
        <v>3.0245231607629409E-2</v>
      </c>
      <c r="J3280" s="1">
        <f t="shared" si="467"/>
        <v>7.9999999999998295E-2</v>
      </c>
      <c r="K3280" s="9">
        <f t="shared" si="460"/>
        <v>2.1436227224008119E-3</v>
      </c>
      <c r="L3280" s="1">
        <f t="shared" si="461"/>
        <v>1</v>
      </c>
      <c r="M3280" s="1">
        <f t="shared" si="462"/>
        <v>37.81</v>
      </c>
      <c r="N3280" s="1">
        <f t="shared" si="463"/>
        <v>36.700000000000003</v>
      </c>
      <c r="O3280" s="1">
        <f t="shared" si="464"/>
        <v>35.44</v>
      </c>
      <c r="P3280" s="1">
        <f t="shared" si="465"/>
        <v>18.081632653061224</v>
      </c>
    </row>
    <row r="3281" spans="1:16">
      <c r="A3281" s="2">
        <v>38299</v>
      </c>
      <c r="B3281" s="1">
        <v>36.75</v>
      </c>
      <c r="C3281" s="1">
        <v>37.58</v>
      </c>
      <c r="D3281" s="1">
        <v>36.72</v>
      </c>
      <c r="E3281" s="1">
        <v>37.32</v>
      </c>
      <c r="F3281" s="1">
        <v>6886500</v>
      </c>
      <c r="G3281" s="1">
        <v>37.32</v>
      </c>
      <c r="H3281" s="1">
        <f t="shared" si="459"/>
        <v>0.85999999999999943</v>
      </c>
      <c r="I3281" s="9">
        <f t="shared" si="466"/>
        <v>2.3420479302832229E-2</v>
      </c>
      <c r="J3281" s="1">
        <f t="shared" si="467"/>
        <v>0.75999999999999801</v>
      </c>
      <c r="K3281" s="9">
        <f t="shared" si="460"/>
        <v>2.078774617067828E-2</v>
      </c>
      <c r="L3281" s="1">
        <f t="shared" si="461"/>
        <v>1</v>
      </c>
      <c r="M3281" s="1">
        <f t="shared" si="462"/>
        <v>37.58</v>
      </c>
      <c r="N3281" s="1">
        <f t="shared" si="463"/>
        <v>36.72</v>
      </c>
      <c r="O3281" s="1">
        <f t="shared" si="464"/>
        <v>35.36</v>
      </c>
      <c r="P3281" s="1">
        <f t="shared" si="465"/>
        <v>18.040816326530614</v>
      </c>
    </row>
    <row r="3282" spans="1:16">
      <c r="A3282" s="2">
        <v>38296</v>
      </c>
      <c r="B3282" s="1">
        <v>37.299999999999997</v>
      </c>
      <c r="C3282" s="1">
        <v>37.39</v>
      </c>
      <c r="D3282" s="1">
        <v>36.020000000000003</v>
      </c>
      <c r="E3282" s="1">
        <v>36.56</v>
      </c>
      <c r="F3282" s="1">
        <v>7399100</v>
      </c>
      <c r="G3282" s="1">
        <v>36.56</v>
      </c>
      <c r="H3282" s="1">
        <f t="shared" si="459"/>
        <v>1.3699999999999974</v>
      </c>
      <c r="I3282" s="9">
        <f t="shared" si="466"/>
        <v>3.8034425319266998E-2</v>
      </c>
      <c r="J3282" s="1">
        <f t="shared" si="467"/>
        <v>-0.34999999999999432</v>
      </c>
      <c r="K3282" s="9">
        <f t="shared" si="460"/>
        <v>-9.4825250609589361E-3</v>
      </c>
      <c r="L3282" s="1">
        <f t="shared" si="461"/>
        <v>1</v>
      </c>
      <c r="M3282" s="1">
        <f t="shared" si="462"/>
        <v>37.39</v>
      </c>
      <c r="N3282" s="1">
        <f t="shared" si="463"/>
        <v>36.020000000000003</v>
      </c>
      <c r="O3282" s="1">
        <f t="shared" si="464"/>
        <v>34.6</v>
      </c>
      <c r="P3282" s="1">
        <f t="shared" si="465"/>
        <v>17.653061224489797</v>
      </c>
    </row>
    <row r="3283" spans="1:16">
      <c r="A3283" s="2">
        <v>38295</v>
      </c>
      <c r="B3283" s="1">
        <v>35.700000000000003</v>
      </c>
      <c r="C3283" s="1">
        <v>37.29</v>
      </c>
      <c r="D3283" s="1">
        <v>35.520000000000003</v>
      </c>
      <c r="E3283" s="1">
        <v>36.909999999999997</v>
      </c>
      <c r="F3283" s="1">
        <v>7600300</v>
      </c>
      <c r="G3283" s="1">
        <v>36.909999999999997</v>
      </c>
      <c r="H3283" s="1">
        <f t="shared" si="459"/>
        <v>1.769999999999996</v>
      </c>
      <c r="I3283" s="9">
        <f t="shared" si="466"/>
        <v>4.9831081081080968E-2</v>
      </c>
      <c r="J3283" s="1">
        <f t="shared" si="467"/>
        <v>0.98999999999999488</v>
      </c>
      <c r="K3283" s="9">
        <f t="shared" si="460"/>
        <v>2.7561247216035492E-2</v>
      </c>
      <c r="L3283" s="1">
        <f t="shared" si="461"/>
        <v>1</v>
      </c>
      <c r="M3283" s="1">
        <f t="shared" si="462"/>
        <v>37.29</v>
      </c>
      <c r="N3283" s="1">
        <f t="shared" si="463"/>
        <v>35.520000000000003</v>
      </c>
      <c r="O3283" s="1">
        <f t="shared" si="464"/>
        <v>34.949999999999996</v>
      </c>
      <c r="P3283" s="1">
        <f t="shared" si="465"/>
        <v>17.831632653061224</v>
      </c>
    </row>
    <row r="3284" spans="1:16">
      <c r="A3284" s="2">
        <v>38294</v>
      </c>
      <c r="B3284" s="1">
        <v>37.18</v>
      </c>
      <c r="C3284" s="1">
        <v>37.619999999999997</v>
      </c>
      <c r="D3284" s="1">
        <v>35.56</v>
      </c>
      <c r="E3284" s="1">
        <v>35.92</v>
      </c>
      <c r="F3284" s="1">
        <v>10208200</v>
      </c>
      <c r="G3284" s="1">
        <v>35.92</v>
      </c>
      <c r="H3284" s="1">
        <f t="shared" si="459"/>
        <v>2.0599999999999952</v>
      </c>
      <c r="I3284" s="9">
        <f t="shared" si="466"/>
        <v>5.7930258717660152E-2</v>
      </c>
      <c r="J3284" s="1">
        <f t="shared" si="467"/>
        <v>-0.32000000000000028</v>
      </c>
      <c r="K3284" s="9">
        <f t="shared" si="460"/>
        <v>-8.8300220750551946E-3</v>
      </c>
      <c r="L3284" s="1">
        <f t="shared" si="461"/>
        <v>1</v>
      </c>
      <c r="M3284" s="1">
        <f t="shared" si="462"/>
        <v>37.619999999999997</v>
      </c>
      <c r="N3284" s="1">
        <f t="shared" si="463"/>
        <v>35.56</v>
      </c>
      <c r="O3284" s="1">
        <f t="shared" si="464"/>
        <v>33.96</v>
      </c>
      <c r="P3284" s="1">
        <f t="shared" si="465"/>
        <v>17.326530612244898</v>
      </c>
    </row>
    <row r="3285" spans="1:16">
      <c r="A3285" s="2">
        <v>38293</v>
      </c>
      <c r="B3285" s="1">
        <v>35.49</v>
      </c>
      <c r="C3285" s="1">
        <v>36.49</v>
      </c>
      <c r="D3285" s="1">
        <v>35.14</v>
      </c>
      <c r="E3285" s="1">
        <v>36.24</v>
      </c>
      <c r="F3285" s="1">
        <v>11332500</v>
      </c>
      <c r="G3285" s="1">
        <v>36.24</v>
      </c>
      <c r="H3285" s="1">
        <f t="shared" si="459"/>
        <v>1.3500000000000014</v>
      </c>
      <c r="I3285" s="9">
        <f t="shared" si="466"/>
        <v>3.8417757541263559E-2</v>
      </c>
      <c r="J3285" s="1">
        <f t="shared" si="467"/>
        <v>1.1400000000000006</v>
      </c>
      <c r="K3285" s="9">
        <f t="shared" si="460"/>
        <v>3.2478632478632495E-2</v>
      </c>
      <c r="L3285" s="1">
        <f t="shared" si="461"/>
        <v>1</v>
      </c>
      <c r="M3285" s="1">
        <f t="shared" si="462"/>
        <v>36.49</v>
      </c>
      <c r="N3285" s="1">
        <f t="shared" si="463"/>
        <v>35.14</v>
      </c>
      <c r="O3285" s="1">
        <f t="shared" si="464"/>
        <v>34.28</v>
      </c>
      <c r="P3285" s="1">
        <f t="shared" si="465"/>
        <v>17.489795918367349</v>
      </c>
    </row>
    <row r="3286" spans="1:16">
      <c r="A3286" s="2">
        <v>38292</v>
      </c>
      <c r="B3286" s="1">
        <v>34.22</v>
      </c>
      <c r="C3286" s="1">
        <v>35.15</v>
      </c>
      <c r="D3286" s="1">
        <v>34.15</v>
      </c>
      <c r="E3286" s="1">
        <v>35.1</v>
      </c>
      <c r="F3286" s="1">
        <v>6181300</v>
      </c>
      <c r="G3286" s="1">
        <v>35.1</v>
      </c>
      <c r="H3286" s="1">
        <f t="shared" si="459"/>
        <v>1</v>
      </c>
      <c r="I3286" s="9">
        <f t="shared" si="466"/>
        <v>2.9282576866764276E-2</v>
      </c>
      <c r="J3286" s="1">
        <f t="shared" si="467"/>
        <v>0.96999999999999886</v>
      </c>
      <c r="K3286" s="9">
        <f t="shared" si="460"/>
        <v>2.8420744213302044E-2</v>
      </c>
      <c r="L3286" s="1">
        <f t="shared" si="461"/>
        <v>1</v>
      </c>
      <c r="M3286" s="1">
        <f t="shared" si="462"/>
        <v>35.15</v>
      </c>
      <c r="N3286" s="1">
        <f t="shared" si="463"/>
        <v>34.15</v>
      </c>
      <c r="O3286" s="1">
        <f t="shared" si="464"/>
        <v>33.14</v>
      </c>
      <c r="P3286" s="1">
        <f t="shared" si="465"/>
        <v>16.908163265306122</v>
      </c>
    </row>
    <row r="3287" spans="1:16">
      <c r="A3287" s="2">
        <v>38289</v>
      </c>
      <c r="B3287" s="1">
        <v>34.36</v>
      </c>
      <c r="C3287" s="1">
        <v>34.450000000000003</v>
      </c>
      <c r="D3287" s="1">
        <v>34</v>
      </c>
      <c r="E3287" s="1">
        <v>34.130000000000003</v>
      </c>
      <c r="F3287" s="1">
        <v>6491600</v>
      </c>
      <c r="G3287" s="1">
        <v>34.130000000000003</v>
      </c>
      <c r="H3287" s="1">
        <f t="shared" si="459"/>
        <v>0.45000000000000284</v>
      </c>
      <c r="I3287" s="9">
        <f t="shared" si="466"/>
        <v>1.3235294117647142E-2</v>
      </c>
      <c r="J3287" s="1">
        <f t="shared" si="467"/>
        <v>-0.32000000000000028</v>
      </c>
      <c r="K3287" s="9">
        <f t="shared" si="460"/>
        <v>-9.2888243831640138E-3</v>
      </c>
      <c r="L3287" s="1">
        <f t="shared" si="461"/>
        <v>1</v>
      </c>
      <c r="M3287" s="1">
        <f t="shared" si="462"/>
        <v>34.450000000000003</v>
      </c>
      <c r="N3287" s="1">
        <f t="shared" si="463"/>
        <v>34</v>
      </c>
      <c r="O3287" s="1">
        <f t="shared" si="464"/>
        <v>32.17</v>
      </c>
      <c r="P3287" s="1">
        <f t="shared" si="465"/>
        <v>16.413265306122451</v>
      </c>
    </row>
    <row r="3288" spans="1:16">
      <c r="A3288" s="2">
        <v>38288</v>
      </c>
      <c r="B3288" s="1">
        <v>34.24</v>
      </c>
      <c r="C3288" s="1">
        <v>34.770000000000003</v>
      </c>
      <c r="D3288" s="1">
        <v>34.14</v>
      </c>
      <c r="E3288" s="1">
        <v>34.450000000000003</v>
      </c>
      <c r="F3288" s="1">
        <v>7220600</v>
      </c>
      <c r="G3288" s="1">
        <v>34.450000000000003</v>
      </c>
      <c r="H3288" s="1">
        <f t="shared" si="459"/>
        <v>0.63000000000000256</v>
      </c>
      <c r="I3288" s="9">
        <f t="shared" si="466"/>
        <v>1.8453427065026437E-2</v>
      </c>
      <c r="J3288" s="1">
        <f t="shared" si="467"/>
        <v>0.22000000000000597</v>
      </c>
      <c r="K3288" s="9">
        <f t="shared" si="460"/>
        <v>6.4271107215894243E-3</v>
      </c>
      <c r="L3288" s="1">
        <f t="shared" si="461"/>
        <v>1</v>
      </c>
      <c r="M3288" s="1">
        <f t="shared" si="462"/>
        <v>34.770000000000003</v>
      </c>
      <c r="N3288" s="1">
        <f t="shared" si="463"/>
        <v>34.14</v>
      </c>
      <c r="O3288" s="1">
        <f t="shared" si="464"/>
        <v>32.49</v>
      </c>
      <c r="P3288" s="1">
        <f t="shared" si="465"/>
        <v>16.576530612244898</v>
      </c>
    </row>
    <row r="3289" spans="1:16">
      <c r="A3289" s="2">
        <v>38287</v>
      </c>
      <c r="B3289" s="1">
        <v>33.630000000000003</v>
      </c>
      <c r="C3289" s="1">
        <v>34.630000000000003</v>
      </c>
      <c r="D3289" s="1">
        <v>33.619999999999997</v>
      </c>
      <c r="E3289" s="1">
        <v>34.229999999999997</v>
      </c>
      <c r="F3289" s="1">
        <v>9060700</v>
      </c>
      <c r="G3289" s="1">
        <v>34.229999999999997</v>
      </c>
      <c r="H3289" s="1">
        <f t="shared" si="459"/>
        <v>1.0100000000000051</v>
      </c>
      <c r="I3289" s="9">
        <f t="shared" si="466"/>
        <v>3.0041641879833585E-2</v>
      </c>
      <c r="J3289" s="1">
        <f t="shared" si="467"/>
        <v>0.39999999999999858</v>
      </c>
      <c r="K3289" s="9">
        <f t="shared" si="460"/>
        <v>1.1823825007389849E-2</v>
      </c>
      <c r="L3289" s="1">
        <f t="shared" si="461"/>
        <v>1</v>
      </c>
      <c r="M3289" s="1">
        <f t="shared" si="462"/>
        <v>34.630000000000003</v>
      </c>
      <c r="N3289" s="1">
        <f t="shared" si="463"/>
        <v>33.619999999999997</v>
      </c>
      <c r="O3289" s="1">
        <f t="shared" si="464"/>
        <v>32.269999999999996</v>
      </c>
      <c r="P3289" s="1">
        <f t="shared" si="465"/>
        <v>16.464285714285712</v>
      </c>
    </row>
    <row r="3290" spans="1:16">
      <c r="A3290" s="2">
        <v>38286</v>
      </c>
      <c r="B3290" s="1">
        <v>34.15</v>
      </c>
      <c r="C3290" s="1">
        <v>34.26</v>
      </c>
      <c r="D3290" s="1">
        <v>33.51</v>
      </c>
      <c r="E3290" s="1">
        <v>33.83</v>
      </c>
      <c r="F3290" s="1">
        <v>9742500</v>
      </c>
      <c r="G3290" s="1">
        <v>33.83</v>
      </c>
      <c r="H3290" s="1">
        <f t="shared" si="459"/>
        <v>0.75</v>
      </c>
      <c r="I3290" s="9">
        <f t="shared" si="466"/>
        <v>2.2381378692927487E-2</v>
      </c>
      <c r="J3290" s="1">
        <f t="shared" si="467"/>
        <v>-0.14000000000000057</v>
      </c>
      <c r="K3290" s="9">
        <f t="shared" si="460"/>
        <v>-4.1212834854283363E-3</v>
      </c>
      <c r="L3290" s="1">
        <f t="shared" si="461"/>
        <v>1</v>
      </c>
      <c r="M3290" s="1">
        <f t="shared" si="462"/>
        <v>34.26</v>
      </c>
      <c r="N3290" s="1">
        <f t="shared" si="463"/>
        <v>33.51</v>
      </c>
      <c r="O3290" s="1">
        <f t="shared" si="464"/>
        <v>31.869999999999997</v>
      </c>
      <c r="P3290" s="1">
        <f t="shared" si="465"/>
        <v>16.260204081632651</v>
      </c>
    </row>
    <row r="3291" spans="1:16">
      <c r="A3291" s="2">
        <v>38285</v>
      </c>
      <c r="B3291" s="1">
        <v>34</v>
      </c>
      <c r="C3291" s="1">
        <v>34.409999999999997</v>
      </c>
      <c r="D3291" s="1">
        <v>33.72</v>
      </c>
      <c r="E3291" s="1">
        <v>33.97</v>
      </c>
      <c r="F3291" s="1">
        <v>10531800</v>
      </c>
      <c r="G3291" s="1">
        <v>33.97</v>
      </c>
      <c r="H3291" s="1">
        <f t="shared" si="459"/>
        <v>0.68999999999999773</v>
      </c>
      <c r="I3291" s="9">
        <f t="shared" si="466"/>
        <v>2.0462633451957229E-2</v>
      </c>
      <c r="J3291" s="1">
        <f t="shared" si="467"/>
        <v>-0.63000000000000256</v>
      </c>
      <c r="K3291" s="9">
        <f t="shared" si="460"/>
        <v>-1.8208092485549207E-2</v>
      </c>
      <c r="L3291" s="1">
        <f t="shared" si="461"/>
        <v>1</v>
      </c>
      <c r="M3291" s="1">
        <f t="shared" si="462"/>
        <v>34.409999999999997</v>
      </c>
      <c r="N3291" s="1">
        <f t="shared" si="463"/>
        <v>33.72</v>
      </c>
      <c r="O3291" s="1">
        <f t="shared" si="464"/>
        <v>32.01</v>
      </c>
      <c r="P3291" s="1">
        <f t="shared" si="465"/>
        <v>16.331632653061224</v>
      </c>
    </row>
    <row r="3292" spans="1:16">
      <c r="A3292" s="2">
        <v>38282</v>
      </c>
      <c r="B3292" s="1">
        <v>36.22</v>
      </c>
      <c r="C3292" s="1">
        <v>36.799999999999997</v>
      </c>
      <c r="D3292" s="1">
        <v>33</v>
      </c>
      <c r="E3292" s="1">
        <v>34.6</v>
      </c>
      <c r="F3292" s="1">
        <v>33544300</v>
      </c>
      <c r="G3292" s="1">
        <v>34.6</v>
      </c>
      <c r="H3292" s="1">
        <f t="shared" si="459"/>
        <v>3.7999999999999972</v>
      </c>
      <c r="I3292" s="9">
        <f t="shared" si="466"/>
        <v>0.11515151515151506</v>
      </c>
      <c r="J3292" s="1">
        <f t="shared" si="467"/>
        <v>-4.8699999999999974</v>
      </c>
      <c r="K3292" s="9">
        <f t="shared" si="460"/>
        <v>-0.12338484925259685</v>
      </c>
      <c r="L3292" s="1">
        <f t="shared" si="461"/>
        <v>1</v>
      </c>
      <c r="M3292" s="1">
        <f t="shared" si="462"/>
        <v>36.799999999999997</v>
      </c>
      <c r="N3292" s="1">
        <f t="shared" si="463"/>
        <v>33</v>
      </c>
      <c r="O3292" s="1">
        <f t="shared" si="464"/>
        <v>32.64</v>
      </c>
      <c r="P3292" s="1">
        <f t="shared" si="465"/>
        <v>16.653061224489797</v>
      </c>
    </row>
    <row r="3293" spans="1:16">
      <c r="A3293" s="2">
        <v>38281</v>
      </c>
      <c r="B3293" s="1">
        <v>39.299999999999997</v>
      </c>
      <c r="C3293" s="1">
        <v>40.19</v>
      </c>
      <c r="D3293" s="1">
        <v>38.5</v>
      </c>
      <c r="E3293" s="1">
        <v>39.47</v>
      </c>
      <c r="F3293" s="1">
        <v>19217100</v>
      </c>
      <c r="G3293" s="1">
        <v>39.47</v>
      </c>
      <c r="H3293" s="1">
        <f t="shared" si="459"/>
        <v>1.6899999999999977</v>
      </c>
      <c r="I3293" s="9">
        <f t="shared" si="466"/>
        <v>4.3896103896103836E-2</v>
      </c>
      <c r="J3293" s="1">
        <f t="shared" si="467"/>
        <v>1.1199999999999974</v>
      </c>
      <c r="K3293" s="9">
        <f t="shared" si="460"/>
        <v>2.9204693611473206E-2</v>
      </c>
      <c r="L3293" s="1">
        <f t="shared" si="461"/>
        <v>1</v>
      </c>
      <c r="M3293" s="1">
        <f t="shared" si="462"/>
        <v>40.19</v>
      </c>
      <c r="N3293" s="1">
        <f t="shared" si="463"/>
        <v>38.5</v>
      </c>
      <c r="O3293" s="1">
        <f t="shared" si="464"/>
        <v>37.51</v>
      </c>
      <c r="P3293" s="1">
        <f t="shared" si="465"/>
        <v>19.137755102040817</v>
      </c>
    </row>
    <row r="3294" spans="1:16">
      <c r="A3294" s="2">
        <v>38280</v>
      </c>
      <c r="B3294" s="1">
        <v>38.11</v>
      </c>
      <c r="C3294" s="1">
        <v>38.590000000000003</v>
      </c>
      <c r="D3294" s="1">
        <v>37.79</v>
      </c>
      <c r="E3294" s="1">
        <v>38.35</v>
      </c>
      <c r="F3294" s="1">
        <v>6798500</v>
      </c>
      <c r="G3294" s="1">
        <v>38.35</v>
      </c>
      <c r="H3294" s="1">
        <f t="shared" si="459"/>
        <v>0.80000000000000426</v>
      </c>
      <c r="I3294" s="9">
        <f t="shared" si="466"/>
        <v>2.1169621593014137E-2</v>
      </c>
      <c r="J3294" s="1">
        <f t="shared" si="467"/>
        <v>2.0000000000003126E-2</v>
      </c>
      <c r="K3294" s="9">
        <f t="shared" si="460"/>
        <v>5.2178450300034251E-4</v>
      </c>
      <c r="L3294" s="1">
        <f t="shared" si="461"/>
        <v>1</v>
      </c>
      <c r="M3294" s="1">
        <f t="shared" si="462"/>
        <v>38.590000000000003</v>
      </c>
      <c r="N3294" s="1">
        <f t="shared" si="463"/>
        <v>37.79</v>
      </c>
      <c r="O3294" s="1">
        <f t="shared" si="464"/>
        <v>36.39</v>
      </c>
      <c r="P3294" s="1">
        <f t="shared" si="465"/>
        <v>18.566326530612244</v>
      </c>
    </row>
    <row r="3295" spans="1:16">
      <c r="A3295" s="2">
        <v>38279</v>
      </c>
      <c r="B3295" s="1">
        <v>39.74</v>
      </c>
      <c r="C3295" s="1">
        <v>39.85</v>
      </c>
      <c r="D3295" s="1">
        <v>38.17</v>
      </c>
      <c r="E3295" s="1">
        <v>38.33</v>
      </c>
      <c r="F3295" s="1">
        <v>8802600</v>
      </c>
      <c r="G3295" s="1">
        <v>38.33</v>
      </c>
      <c r="H3295" s="1">
        <f t="shared" si="459"/>
        <v>1.6799999999999997</v>
      </c>
      <c r="I3295" s="9">
        <f t="shared" si="466"/>
        <v>4.4013623264343715E-2</v>
      </c>
      <c r="J3295" s="1">
        <f t="shared" si="467"/>
        <v>-0.94000000000000483</v>
      </c>
      <c r="K3295" s="9">
        <f t="shared" si="460"/>
        <v>-2.3936847466259351E-2</v>
      </c>
      <c r="L3295" s="1">
        <f t="shared" si="461"/>
        <v>1</v>
      </c>
      <c r="M3295" s="1">
        <f t="shared" si="462"/>
        <v>39.85</v>
      </c>
      <c r="N3295" s="1">
        <f t="shared" si="463"/>
        <v>38.17</v>
      </c>
      <c r="O3295" s="1">
        <f t="shared" si="464"/>
        <v>36.369999999999997</v>
      </c>
      <c r="P3295" s="1">
        <f t="shared" si="465"/>
        <v>18.55612244897959</v>
      </c>
    </row>
    <row r="3296" spans="1:16">
      <c r="A3296" s="2">
        <v>38278</v>
      </c>
      <c r="B3296" s="1">
        <v>38.229999999999997</v>
      </c>
      <c r="C3296" s="1">
        <v>39.47</v>
      </c>
      <c r="D3296" s="1">
        <v>37.89</v>
      </c>
      <c r="E3296" s="1">
        <v>39.270000000000003</v>
      </c>
      <c r="F3296" s="1">
        <v>8093200</v>
      </c>
      <c r="G3296" s="1">
        <v>39.270000000000003</v>
      </c>
      <c r="H3296" s="1">
        <f t="shared" si="459"/>
        <v>1.5799999999999983</v>
      </c>
      <c r="I3296" s="9">
        <f t="shared" si="466"/>
        <v>4.1699656901557094E-2</v>
      </c>
      <c r="J3296" s="1">
        <f t="shared" si="467"/>
        <v>0.72000000000000597</v>
      </c>
      <c r="K3296" s="9">
        <f t="shared" si="460"/>
        <v>1.8677042801556576E-2</v>
      </c>
      <c r="L3296" s="1">
        <f t="shared" si="461"/>
        <v>1</v>
      </c>
      <c r="M3296" s="1">
        <f t="shared" si="462"/>
        <v>39.47</v>
      </c>
      <c r="N3296" s="1">
        <f t="shared" si="463"/>
        <v>37.89</v>
      </c>
      <c r="O3296" s="1">
        <f t="shared" si="464"/>
        <v>37.31</v>
      </c>
      <c r="P3296" s="1">
        <f t="shared" si="465"/>
        <v>19.035714285714288</v>
      </c>
    </row>
    <row r="3297" spans="1:16">
      <c r="A3297" s="2">
        <v>38275</v>
      </c>
      <c r="B3297" s="1">
        <v>39.29</v>
      </c>
      <c r="C3297" s="1">
        <v>39.67</v>
      </c>
      <c r="D3297" s="1">
        <v>37.880000000000003</v>
      </c>
      <c r="E3297" s="1">
        <v>38.549999999999997</v>
      </c>
      <c r="F3297" s="1">
        <v>8205600</v>
      </c>
      <c r="G3297" s="1">
        <v>38.549999999999997</v>
      </c>
      <c r="H3297" s="1">
        <f t="shared" si="459"/>
        <v>1.7899999999999991</v>
      </c>
      <c r="I3297" s="9">
        <f t="shared" si="466"/>
        <v>4.7254487856388569E-2</v>
      </c>
      <c r="J3297" s="1">
        <f t="shared" si="467"/>
        <v>-0.55000000000000426</v>
      </c>
      <c r="K3297" s="9">
        <f t="shared" si="460"/>
        <v>-1.4066496163682973E-2</v>
      </c>
      <c r="L3297" s="1">
        <f t="shared" si="461"/>
        <v>1</v>
      </c>
      <c r="M3297" s="1">
        <f t="shared" si="462"/>
        <v>39.67</v>
      </c>
      <c r="N3297" s="1">
        <f t="shared" si="463"/>
        <v>37.880000000000003</v>
      </c>
      <c r="O3297" s="1">
        <f t="shared" si="464"/>
        <v>36.589999999999996</v>
      </c>
      <c r="P3297" s="1">
        <f t="shared" si="465"/>
        <v>18.668367346938773</v>
      </c>
    </row>
    <row r="3298" spans="1:16">
      <c r="A3298" s="2">
        <v>38274</v>
      </c>
      <c r="B3298" s="1">
        <v>39.450000000000003</v>
      </c>
      <c r="C3298" s="1">
        <v>39.549999999999997</v>
      </c>
      <c r="D3298" s="1">
        <v>38.729999999999997</v>
      </c>
      <c r="E3298" s="1">
        <v>39.1</v>
      </c>
      <c r="F3298" s="1">
        <v>9026200</v>
      </c>
      <c r="G3298" s="1">
        <v>39.1</v>
      </c>
      <c r="H3298" s="1">
        <f t="shared" si="459"/>
        <v>0.82000000000000028</v>
      </c>
      <c r="I3298" s="9">
        <f t="shared" si="466"/>
        <v>2.1172217918925908E-2</v>
      </c>
      <c r="J3298" s="1">
        <f t="shared" si="467"/>
        <v>-0.87999999999999545</v>
      </c>
      <c r="K3298" s="9">
        <f t="shared" si="460"/>
        <v>-2.2011005502751264E-2</v>
      </c>
      <c r="L3298" s="1">
        <f t="shared" si="461"/>
        <v>1</v>
      </c>
      <c r="M3298" s="1">
        <f t="shared" si="462"/>
        <v>39.549999999999997</v>
      </c>
      <c r="N3298" s="1">
        <f t="shared" si="463"/>
        <v>38.729999999999997</v>
      </c>
      <c r="O3298" s="1">
        <f t="shared" si="464"/>
        <v>37.14</v>
      </c>
      <c r="P3298" s="1">
        <f t="shared" si="465"/>
        <v>18.948979591836736</v>
      </c>
    </row>
    <row r="3299" spans="1:16">
      <c r="A3299" s="2">
        <v>38273</v>
      </c>
      <c r="B3299" s="1">
        <v>41.42</v>
      </c>
      <c r="C3299" s="1">
        <v>41.55</v>
      </c>
      <c r="D3299" s="1">
        <v>39.75</v>
      </c>
      <c r="E3299" s="1">
        <v>39.979999999999997</v>
      </c>
      <c r="F3299" s="1">
        <v>9220200</v>
      </c>
      <c r="G3299" s="1">
        <v>39.979999999999997</v>
      </c>
      <c r="H3299" s="1">
        <f t="shared" si="459"/>
        <v>1.7999999999999972</v>
      </c>
      <c r="I3299" s="9">
        <f t="shared" si="466"/>
        <v>4.5283018867924456E-2</v>
      </c>
      <c r="J3299" s="1">
        <f t="shared" si="467"/>
        <v>-0.24000000000000199</v>
      </c>
      <c r="K3299" s="9">
        <f t="shared" si="460"/>
        <v>-5.9671805072103925E-3</v>
      </c>
      <c r="L3299" s="1">
        <f t="shared" si="461"/>
        <v>1</v>
      </c>
      <c r="M3299" s="1">
        <f t="shared" si="462"/>
        <v>41.55</v>
      </c>
      <c r="N3299" s="1">
        <f t="shared" si="463"/>
        <v>39.75</v>
      </c>
      <c r="O3299" s="1">
        <f t="shared" si="464"/>
        <v>38.019999999999996</v>
      </c>
      <c r="P3299" s="1">
        <f t="shared" si="465"/>
        <v>19.397959183673468</v>
      </c>
    </row>
    <row r="3300" spans="1:16">
      <c r="A3300" s="2">
        <v>38272</v>
      </c>
      <c r="B3300" s="1">
        <v>39.549999999999997</v>
      </c>
      <c r="C3300" s="1">
        <v>40.58</v>
      </c>
      <c r="D3300" s="1">
        <v>39.47</v>
      </c>
      <c r="E3300" s="1">
        <v>40.22</v>
      </c>
      <c r="F3300" s="1">
        <v>6421000</v>
      </c>
      <c r="G3300" s="1">
        <v>40.22</v>
      </c>
      <c r="H3300" s="1">
        <f t="shared" si="459"/>
        <v>1.1099999999999994</v>
      </c>
      <c r="I3300" s="9">
        <f t="shared" si="466"/>
        <v>2.8122624778312628E-2</v>
      </c>
      <c r="J3300" s="1">
        <f t="shared" si="467"/>
        <v>7.0000000000000284E-2</v>
      </c>
      <c r="K3300" s="9">
        <f t="shared" si="460"/>
        <v>1.7434620174346274E-3</v>
      </c>
      <c r="L3300" s="1">
        <f t="shared" si="461"/>
        <v>1</v>
      </c>
      <c r="M3300" s="1">
        <f t="shared" si="462"/>
        <v>40.58</v>
      </c>
      <c r="N3300" s="1">
        <f t="shared" si="463"/>
        <v>39.47</v>
      </c>
      <c r="O3300" s="1">
        <f t="shared" si="464"/>
        <v>38.26</v>
      </c>
      <c r="P3300" s="1">
        <f t="shared" si="465"/>
        <v>19.520408163265305</v>
      </c>
    </row>
    <row r="3301" spans="1:16">
      <c r="A3301" s="2">
        <v>38271</v>
      </c>
      <c r="B3301" s="1">
        <v>39.83</v>
      </c>
      <c r="C3301" s="1">
        <v>40.75</v>
      </c>
      <c r="D3301" s="1">
        <v>39.409999999999997</v>
      </c>
      <c r="E3301" s="1">
        <v>40.15</v>
      </c>
      <c r="F3301" s="1">
        <v>7928300</v>
      </c>
      <c r="G3301" s="1">
        <v>40.15</v>
      </c>
      <c r="H3301" s="1">
        <f t="shared" si="459"/>
        <v>1.3400000000000034</v>
      </c>
      <c r="I3301" s="9">
        <f t="shared" si="466"/>
        <v>3.400152245622947E-2</v>
      </c>
      <c r="J3301" s="1">
        <f t="shared" si="467"/>
        <v>0.14999999999999858</v>
      </c>
      <c r="K3301" s="9">
        <f t="shared" si="460"/>
        <v>3.7499999999999643E-3</v>
      </c>
      <c r="L3301" s="1">
        <f t="shared" si="461"/>
        <v>1</v>
      </c>
      <c r="M3301" s="1">
        <f t="shared" si="462"/>
        <v>40.75</v>
      </c>
      <c r="N3301" s="1">
        <f t="shared" si="463"/>
        <v>39.409999999999997</v>
      </c>
      <c r="O3301" s="1">
        <f t="shared" si="464"/>
        <v>38.19</v>
      </c>
      <c r="P3301" s="1">
        <f t="shared" si="465"/>
        <v>19.48469387755102</v>
      </c>
    </row>
    <row r="3302" spans="1:16">
      <c r="A3302" s="2">
        <v>38268</v>
      </c>
      <c r="B3302" s="1">
        <v>40.94</v>
      </c>
      <c r="C3302" s="1">
        <v>41.19</v>
      </c>
      <c r="D3302" s="1">
        <v>39.630000000000003</v>
      </c>
      <c r="E3302" s="1">
        <v>40</v>
      </c>
      <c r="F3302" s="1">
        <v>8546200</v>
      </c>
      <c r="G3302" s="1">
        <v>40</v>
      </c>
      <c r="H3302" s="1">
        <f t="shared" si="459"/>
        <v>1.5599999999999952</v>
      </c>
      <c r="I3302" s="9">
        <f t="shared" si="466"/>
        <v>3.9364118092354156E-2</v>
      </c>
      <c r="J3302" s="1">
        <f t="shared" si="467"/>
        <v>-1.1499999999999986</v>
      </c>
      <c r="K3302" s="9">
        <f t="shared" si="460"/>
        <v>-2.7946537059538239E-2</v>
      </c>
      <c r="L3302" s="1">
        <f t="shared" si="461"/>
        <v>1</v>
      </c>
      <c r="M3302" s="1">
        <f t="shared" si="462"/>
        <v>41.19</v>
      </c>
      <c r="N3302" s="1">
        <f t="shared" si="463"/>
        <v>39.630000000000003</v>
      </c>
      <c r="O3302" s="1">
        <f t="shared" si="464"/>
        <v>38.04</v>
      </c>
      <c r="P3302" s="1">
        <f t="shared" si="465"/>
        <v>19.408163265306122</v>
      </c>
    </row>
    <row r="3303" spans="1:16">
      <c r="A3303" s="2">
        <v>38267</v>
      </c>
      <c r="B3303" s="1">
        <v>41.42</v>
      </c>
      <c r="C3303" s="1">
        <v>42.7</v>
      </c>
      <c r="D3303" s="1">
        <v>40.85</v>
      </c>
      <c r="E3303" s="1">
        <v>41.15</v>
      </c>
      <c r="F3303" s="1">
        <v>9394400</v>
      </c>
      <c r="G3303" s="1">
        <v>41.15</v>
      </c>
      <c r="H3303" s="1">
        <f t="shared" si="459"/>
        <v>1.8500000000000014</v>
      </c>
      <c r="I3303" s="9">
        <f t="shared" si="466"/>
        <v>4.5287637698898445E-2</v>
      </c>
      <c r="J3303" s="1">
        <f t="shared" si="467"/>
        <v>-0.21000000000000085</v>
      </c>
      <c r="K3303" s="9">
        <f t="shared" si="460"/>
        <v>-5.0773694390715872E-3</v>
      </c>
      <c r="L3303" s="1">
        <f t="shared" si="461"/>
        <v>1</v>
      </c>
      <c r="M3303" s="1">
        <f t="shared" si="462"/>
        <v>42.7</v>
      </c>
      <c r="N3303" s="1">
        <f t="shared" si="463"/>
        <v>40.85</v>
      </c>
      <c r="O3303" s="1">
        <f t="shared" si="464"/>
        <v>39.19</v>
      </c>
      <c r="P3303" s="1">
        <f t="shared" si="465"/>
        <v>19.994897959183671</v>
      </c>
    </row>
    <row r="3304" spans="1:16">
      <c r="A3304" s="2">
        <v>38266</v>
      </c>
      <c r="B3304" s="1">
        <v>40.729999999999997</v>
      </c>
      <c r="C3304" s="1">
        <v>41.41</v>
      </c>
      <c r="D3304" s="1">
        <v>40.4</v>
      </c>
      <c r="E3304" s="1">
        <v>41.36</v>
      </c>
      <c r="F3304" s="1">
        <v>5128100</v>
      </c>
      <c r="G3304" s="1">
        <v>41.36</v>
      </c>
      <c r="H3304" s="1">
        <f t="shared" si="459"/>
        <v>1.009999999999998</v>
      </c>
      <c r="I3304" s="9">
        <f t="shared" si="466"/>
        <v>2.4999999999999953E-2</v>
      </c>
      <c r="J3304" s="1">
        <f t="shared" si="467"/>
        <v>0.39999999999999858</v>
      </c>
      <c r="K3304" s="9">
        <f t="shared" si="460"/>
        <v>9.7656249999999653E-3</v>
      </c>
      <c r="L3304" s="1">
        <f t="shared" si="461"/>
        <v>1</v>
      </c>
      <c r="M3304" s="1">
        <f t="shared" si="462"/>
        <v>41.41</v>
      </c>
      <c r="N3304" s="1">
        <f t="shared" si="463"/>
        <v>40.4</v>
      </c>
      <c r="O3304" s="1">
        <f t="shared" si="464"/>
        <v>39.4</v>
      </c>
      <c r="P3304" s="1">
        <f t="shared" si="465"/>
        <v>20.102040816326529</v>
      </c>
    </row>
    <row r="3305" spans="1:16">
      <c r="A3305" s="2">
        <v>38265</v>
      </c>
      <c r="B3305" s="1">
        <v>40.840000000000003</v>
      </c>
      <c r="C3305" s="1">
        <v>41.25</v>
      </c>
      <c r="D3305" s="1">
        <v>40.57</v>
      </c>
      <c r="E3305" s="1">
        <v>40.96</v>
      </c>
      <c r="F3305" s="1">
        <v>5134000</v>
      </c>
      <c r="G3305" s="1">
        <v>40.96</v>
      </c>
      <c r="H3305" s="1">
        <f t="shared" si="459"/>
        <v>0.67999999999999972</v>
      </c>
      <c r="I3305" s="9">
        <f t="shared" si="466"/>
        <v>1.6761153561745123E-2</v>
      </c>
      <c r="J3305" s="1">
        <f t="shared" si="467"/>
        <v>-4.9999999999997158E-2</v>
      </c>
      <c r="K3305" s="9">
        <f t="shared" si="460"/>
        <v>-1.2192148256522106E-3</v>
      </c>
      <c r="L3305" s="1">
        <f t="shared" si="461"/>
        <v>1</v>
      </c>
      <c r="M3305" s="1">
        <f t="shared" si="462"/>
        <v>41.25</v>
      </c>
      <c r="N3305" s="1">
        <f t="shared" si="463"/>
        <v>40.57</v>
      </c>
      <c r="O3305" s="1">
        <f t="shared" si="464"/>
        <v>39</v>
      </c>
      <c r="P3305" s="1">
        <f t="shared" si="465"/>
        <v>19.897959183673471</v>
      </c>
    </row>
    <row r="3306" spans="1:16">
      <c r="A3306" s="2">
        <v>38264</v>
      </c>
      <c r="B3306" s="1">
        <v>41.36</v>
      </c>
      <c r="C3306" s="1">
        <v>41.68</v>
      </c>
      <c r="D3306" s="1">
        <v>40.74</v>
      </c>
      <c r="E3306" s="1">
        <v>41.01</v>
      </c>
      <c r="F3306" s="1">
        <v>8792600</v>
      </c>
      <c r="G3306" s="1">
        <v>41.01</v>
      </c>
      <c r="H3306" s="1">
        <f t="shared" si="459"/>
        <v>0.93999999999999773</v>
      </c>
      <c r="I3306" s="9">
        <f t="shared" si="466"/>
        <v>2.3073146784486933E-2</v>
      </c>
      <c r="J3306" s="1">
        <f t="shared" si="467"/>
        <v>0.53999999999999915</v>
      </c>
      <c r="K3306" s="9">
        <f t="shared" si="460"/>
        <v>1.3343217197924367E-2</v>
      </c>
      <c r="L3306" s="1">
        <f t="shared" si="461"/>
        <v>1</v>
      </c>
      <c r="M3306" s="1">
        <f t="shared" si="462"/>
        <v>41.68</v>
      </c>
      <c r="N3306" s="1">
        <f t="shared" si="463"/>
        <v>40.74</v>
      </c>
      <c r="O3306" s="1">
        <f t="shared" si="464"/>
        <v>39.049999999999997</v>
      </c>
      <c r="P3306" s="1">
        <f t="shared" si="465"/>
        <v>19.923469387755102</v>
      </c>
    </row>
    <row r="3307" spans="1:16">
      <c r="A3307" s="2">
        <v>38261</v>
      </c>
      <c r="B3307" s="1">
        <v>41.29</v>
      </c>
      <c r="C3307" s="1">
        <v>41.3</v>
      </c>
      <c r="D3307" s="1">
        <v>40.39</v>
      </c>
      <c r="E3307" s="1">
        <v>40.47</v>
      </c>
      <c r="F3307" s="1">
        <v>11268900</v>
      </c>
      <c r="G3307" s="1">
        <v>40.47</v>
      </c>
      <c r="H3307" s="1">
        <f t="shared" si="459"/>
        <v>0.90999999999999659</v>
      </c>
      <c r="I3307" s="9">
        <f t="shared" si="466"/>
        <v>2.253032928942799E-2</v>
      </c>
      <c r="J3307" s="1">
        <f t="shared" si="467"/>
        <v>-0.39000000000000057</v>
      </c>
      <c r="K3307" s="9">
        <f t="shared" si="460"/>
        <v>-9.5447870778267389E-3</v>
      </c>
      <c r="L3307" s="1">
        <f t="shared" si="461"/>
        <v>1</v>
      </c>
      <c r="M3307" s="1">
        <f t="shared" si="462"/>
        <v>41.3</v>
      </c>
      <c r="N3307" s="1">
        <f t="shared" si="463"/>
        <v>40.39</v>
      </c>
      <c r="O3307" s="1">
        <f t="shared" si="464"/>
        <v>38.51</v>
      </c>
      <c r="P3307" s="1">
        <f t="shared" si="465"/>
        <v>19.647959183673468</v>
      </c>
    </row>
    <row r="3308" spans="1:16">
      <c r="A3308" s="2">
        <v>38260</v>
      </c>
      <c r="B3308" s="1">
        <v>40.549999999999997</v>
      </c>
      <c r="C3308" s="1">
        <v>41.28</v>
      </c>
      <c r="D3308" s="1">
        <v>40.21</v>
      </c>
      <c r="E3308" s="1">
        <v>40.86</v>
      </c>
      <c r="F3308" s="1">
        <v>9413300</v>
      </c>
      <c r="G3308" s="1">
        <v>40.86</v>
      </c>
      <c r="H3308" s="1">
        <f t="shared" si="459"/>
        <v>1.0700000000000003</v>
      </c>
      <c r="I3308" s="9">
        <f t="shared" si="466"/>
        <v>2.6610295946282028E-2</v>
      </c>
      <c r="J3308" s="1">
        <f t="shared" si="467"/>
        <v>1.9999999999996021E-2</v>
      </c>
      <c r="K3308" s="9">
        <f t="shared" si="460"/>
        <v>4.8971596474035308E-4</v>
      </c>
      <c r="L3308" s="1">
        <f t="shared" si="461"/>
        <v>1</v>
      </c>
      <c r="M3308" s="1">
        <f t="shared" si="462"/>
        <v>41.28</v>
      </c>
      <c r="N3308" s="1">
        <f t="shared" si="463"/>
        <v>40.21</v>
      </c>
      <c r="O3308" s="1">
        <f t="shared" si="464"/>
        <v>38.9</v>
      </c>
      <c r="P3308" s="1">
        <f t="shared" si="465"/>
        <v>19.846938775510203</v>
      </c>
    </row>
    <row r="3309" spans="1:16">
      <c r="A3309" s="2">
        <v>38259</v>
      </c>
      <c r="B3309" s="1">
        <v>39.450000000000003</v>
      </c>
      <c r="C3309" s="1">
        <v>40.92</v>
      </c>
      <c r="D3309" s="1">
        <v>39.36</v>
      </c>
      <c r="E3309" s="1">
        <v>40.840000000000003</v>
      </c>
      <c r="F3309" s="1">
        <v>9918800</v>
      </c>
      <c r="G3309" s="1">
        <v>40.840000000000003</v>
      </c>
      <c r="H3309" s="1">
        <f t="shared" si="459"/>
        <v>1.5600000000000023</v>
      </c>
      <c r="I3309" s="9">
        <f t="shared" si="466"/>
        <v>3.9634146341463471E-2</v>
      </c>
      <c r="J3309" s="1">
        <f t="shared" si="467"/>
        <v>1.4100000000000037</v>
      </c>
      <c r="K3309" s="9">
        <f t="shared" si="460"/>
        <v>3.5759573928480948E-2</v>
      </c>
      <c r="L3309" s="1">
        <f t="shared" si="461"/>
        <v>1</v>
      </c>
      <c r="M3309" s="1">
        <f t="shared" si="462"/>
        <v>40.92</v>
      </c>
      <c r="N3309" s="1">
        <f t="shared" si="463"/>
        <v>39.36</v>
      </c>
      <c r="O3309" s="1">
        <f t="shared" si="464"/>
        <v>38.880000000000003</v>
      </c>
      <c r="P3309" s="1">
        <f t="shared" si="465"/>
        <v>19.836734693877553</v>
      </c>
    </row>
    <row r="3310" spans="1:16">
      <c r="A3310" s="2">
        <v>38258</v>
      </c>
      <c r="B3310" s="1">
        <v>40.15</v>
      </c>
      <c r="C3310" s="1">
        <v>40.33</v>
      </c>
      <c r="D3310" s="1">
        <v>38.97</v>
      </c>
      <c r="E3310" s="1">
        <v>39.43</v>
      </c>
      <c r="F3310" s="1">
        <v>11902900</v>
      </c>
      <c r="G3310" s="1">
        <v>39.43</v>
      </c>
      <c r="H3310" s="1">
        <f t="shared" si="459"/>
        <v>1.3599999999999994</v>
      </c>
      <c r="I3310" s="9">
        <f t="shared" si="466"/>
        <v>3.4898639979471374E-2</v>
      </c>
      <c r="J3310" s="1">
        <f t="shared" si="467"/>
        <v>-0.5</v>
      </c>
      <c r="K3310" s="9">
        <f t="shared" si="460"/>
        <v>-1.252191334835963E-2</v>
      </c>
      <c r="L3310" s="1">
        <f t="shared" si="461"/>
        <v>1</v>
      </c>
      <c r="M3310" s="1">
        <f t="shared" si="462"/>
        <v>40.33</v>
      </c>
      <c r="N3310" s="1">
        <f t="shared" si="463"/>
        <v>38.97</v>
      </c>
      <c r="O3310" s="1">
        <f t="shared" si="464"/>
        <v>37.47</v>
      </c>
      <c r="P3310" s="1">
        <f t="shared" si="465"/>
        <v>19.117346938775508</v>
      </c>
    </row>
    <row r="3311" spans="1:16">
      <c r="A3311" s="2">
        <v>38257</v>
      </c>
      <c r="B3311" s="1">
        <v>40.909999999999997</v>
      </c>
      <c r="C3311" s="1">
        <v>41.01</v>
      </c>
      <c r="D3311" s="1">
        <v>39.75</v>
      </c>
      <c r="E3311" s="1">
        <v>39.93</v>
      </c>
      <c r="F3311" s="1">
        <v>8397400</v>
      </c>
      <c r="G3311" s="1">
        <v>39.93</v>
      </c>
      <c r="H3311" s="1">
        <f t="shared" si="459"/>
        <v>1.259999999999998</v>
      </c>
      <c r="I3311" s="9">
        <f t="shared" si="466"/>
        <v>3.1698113207547118E-2</v>
      </c>
      <c r="J3311" s="1">
        <f t="shared" si="467"/>
        <v>-1.009999999999998</v>
      </c>
      <c r="K3311" s="9">
        <f t="shared" si="460"/>
        <v>-2.467024914509033E-2</v>
      </c>
      <c r="L3311" s="1">
        <f t="shared" si="461"/>
        <v>1</v>
      </c>
      <c r="M3311" s="1">
        <f t="shared" si="462"/>
        <v>41.01</v>
      </c>
      <c r="N3311" s="1">
        <f t="shared" si="463"/>
        <v>39.75</v>
      </c>
      <c r="O3311" s="1">
        <f t="shared" si="464"/>
        <v>37.97</v>
      </c>
      <c r="P3311" s="1">
        <f t="shared" si="465"/>
        <v>19.372448979591837</v>
      </c>
    </row>
    <row r="3312" spans="1:16">
      <c r="A3312" s="2">
        <v>38254</v>
      </c>
      <c r="B3312" s="1">
        <v>41.81</v>
      </c>
      <c r="C3312" s="1">
        <v>41.91</v>
      </c>
      <c r="D3312" s="1">
        <v>40.85</v>
      </c>
      <c r="E3312" s="1">
        <v>40.94</v>
      </c>
      <c r="F3312" s="1">
        <v>6205700</v>
      </c>
      <c r="G3312" s="1">
        <v>40.94</v>
      </c>
      <c r="H3312" s="1">
        <f t="shared" si="459"/>
        <v>1.0599999999999952</v>
      </c>
      <c r="I3312" s="9">
        <f t="shared" si="466"/>
        <v>2.5948592411260591E-2</v>
      </c>
      <c r="J3312" s="1">
        <f t="shared" si="467"/>
        <v>-0.89000000000000057</v>
      </c>
      <c r="K3312" s="9">
        <f t="shared" si="460"/>
        <v>-2.1276595744680864E-2</v>
      </c>
      <c r="L3312" s="1">
        <f t="shared" si="461"/>
        <v>1</v>
      </c>
      <c r="M3312" s="1">
        <f t="shared" si="462"/>
        <v>41.91</v>
      </c>
      <c r="N3312" s="1">
        <f t="shared" si="463"/>
        <v>40.85</v>
      </c>
      <c r="O3312" s="1">
        <f t="shared" si="464"/>
        <v>38.979999999999997</v>
      </c>
      <c r="P3312" s="1">
        <f t="shared" si="465"/>
        <v>19.887755102040813</v>
      </c>
    </row>
    <row r="3313" spans="1:16">
      <c r="A3313" s="2">
        <v>38253</v>
      </c>
      <c r="B3313" s="1">
        <v>41.33</v>
      </c>
      <c r="C3313" s="1">
        <v>42.2</v>
      </c>
      <c r="D3313" s="1">
        <v>41.11</v>
      </c>
      <c r="E3313" s="1">
        <v>41.83</v>
      </c>
      <c r="F3313" s="1">
        <v>7411000</v>
      </c>
      <c r="G3313" s="1">
        <v>41.83</v>
      </c>
      <c r="H3313" s="1">
        <f t="shared" si="459"/>
        <v>1.0900000000000034</v>
      </c>
      <c r="I3313" s="9">
        <f t="shared" si="466"/>
        <v>2.6514230114327499E-2</v>
      </c>
      <c r="J3313" s="1">
        <f t="shared" si="467"/>
        <v>0.44999999999999574</v>
      </c>
      <c r="K3313" s="9">
        <f t="shared" si="460"/>
        <v>1.0874818753020678E-2</v>
      </c>
      <c r="L3313" s="1">
        <f t="shared" si="461"/>
        <v>1</v>
      </c>
      <c r="M3313" s="1">
        <f t="shared" si="462"/>
        <v>42.2</v>
      </c>
      <c r="N3313" s="1">
        <f t="shared" si="463"/>
        <v>41.11</v>
      </c>
      <c r="O3313" s="1">
        <f t="shared" si="464"/>
        <v>39.869999999999997</v>
      </c>
      <c r="P3313" s="1">
        <f t="shared" si="465"/>
        <v>20.341836734693878</v>
      </c>
    </row>
    <row r="3314" spans="1:16">
      <c r="A3314" s="2">
        <v>38252</v>
      </c>
      <c r="B3314" s="1">
        <v>43.15</v>
      </c>
      <c r="C3314" s="1">
        <v>43.24</v>
      </c>
      <c r="D3314" s="1">
        <v>41.17</v>
      </c>
      <c r="E3314" s="1">
        <v>41.38</v>
      </c>
      <c r="F3314" s="1">
        <v>12216800</v>
      </c>
      <c r="G3314" s="1">
        <v>41.38</v>
      </c>
      <c r="H3314" s="1">
        <f t="shared" si="459"/>
        <v>2.0700000000000003</v>
      </c>
      <c r="I3314" s="9">
        <f t="shared" si="466"/>
        <v>5.027932960893855E-2</v>
      </c>
      <c r="J3314" s="1">
        <f t="shared" si="467"/>
        <v>-1.9099999999999966</v>
      </c>
      <c r="K3314" s="9">
        <f t="shared" si="460"/>
        <v>-4.4121044121044041E-2</v>
      </c>
      <c r="L3314" s="1">
        <f t="shared" si="461"/>
        <v>1</v>
      </c>
      <c r="M3314" s="1">
        <f t="shared" si="462"/>
        <v>43.24</v>
      </c>
      <c r="N3314" s="1">
        <f t="shared" si="463"/>
        <v>41.17</v>
      </c>
      <c r="O3314" s="1">
        <f t="shared" si="464"/>
        <v>39.42</v>
      </c>
      <c r="P3314" s="1">
        <f t="shared" si="465"/>
        <v>20.112244897959187</v>
      </c>
    </row>
    <row r="3315" spans="1:16">
      <c r="A3315" s="2">
        <v>38251</v>
      </c>
      <c r="B3315" s="1">
        <v>43.57</v>
      </c>
      <c r="C3315" s="1">
        <v>43.77</v>
      </c>
      <c r="D3315" s="1">
        <v>42.77</v>
      </c>
      <c r="E3315" s="1">
        <v>43.29</v>
      </c>
      <c r="F3315" s="1">
        <v>6695500</v>
      </c>
      <c r="G3315" s="1">
        <v>43.29</v>
      </c>
      <c r="H3315" s="1">
        <f t="shared" si="459"/>
        <v>1</v>
      </c>
      <c r="I3315" s="9">
        <f t="shared" si="466"/>
        <v>2.3380874444704231E-2</v>
      </c>
      <c r="J3315" s="1">
        <f t="shared" si="467"/>
        <v>1.9999999999996021E-2</v>
      </c>
      <c r="K3315" s="9">
        <f t="shared" si="460"/>
        <v>4.6221400508426208E-4</v>
      </c>
      <c r="L3315" s="1">
        <f t="shared" si="461"/>
        <v>1</v>
      </c>
      <c r="M3315" s="1">
        <f t="shared" si="462"/>
        <v>43.77</v>
      </c>
      <c r="N3315" s="1">
        <f t="shared" si="463"/>
        <v>42.77</v>
      </c>
      <c r="O3315" s="1">
        <f t="shared" si="464"/>
        <v>41.33</v>
      </c>
      <c r="P3315" s="1">
        <f t="shared" si="465"/>
        <v>21.086734693877549</v>
      </c>
    </row>
    <row r="3316" spans="1:16">
      <c r="A3316" s="2">
        <v>38250</v>
      </c>
      <c r="B3316" s="1">
        <v>42.71</v>
      </c>
      <c r="C3316" s="1">
        <v>43.99</v>
      </c>
      <c r="D3316" s="1">
        <v>42.61</v>
      </c>
      <c r="E3316" s="1">
        <v>43.27</v>
      </c>
      <c r="F3316" s="1">
        <v>9222400</v>
      </c>
      <c r="G3316" s="1">
        <v>43.27</v>
      </c>
      <c r="H3316" s="1">
        <f t="shared" si="459"/>
        <v>1.3800000000000026</v>
      </c>
      <c r="I3316" s="9">
        <f t="shared" si="466"/>
        <v>3.2386763670499946E-2</v>
      </c>
      <c r="J3316" s="1">
        <f t="shared" si="467"/>
        <v>0.31000000000000227</v>
      </c>
      <c r="K3316" s="9">
        <f t="shared" si="460"/>
        <v>7.2160148975791965E-3</v>
      </c>
      <c r="L3316" s="1">
        <f t="shared" si="461"/>
        <v>1</v>
      </c>
      <c r="M3316" s="1">
        <f t="shared" si="462"/>
        <v>43.99</v>
      </c>
      <c r="N3316" s="1">
        <f t="shared" si="463"/>
        <v>42.61</v>
      </c>
      <c r="O3316" s="1">
        <f t="shared" si="464"/>
        <v>41.31</v>
      </c>
      <c r="P3316" s="1">
        <f t="shared" si="465"/>
        <v>21.076530612244898</v>
      </c>
    </row>
    <row r="3317" spans="1:16">
      <c r="A3317" s="2">
        <v>38247</v>
      </c>
      <c r="B3317" s="1">
        <v>42.85</v>
      </c>
      <c r="C3317" s="1">
        <v>43.26</v>
      </c>
      <c r="D3317" s="1">
        <v>42.39</v>
      </c>
      <c r="E3317" s="1">
        <v>42.96</v>
      </c>
      <c r="F3317" s="1">
        <v>7884200</v>
      </c>
      <c r="G3317" s="1">
        <v>42.96</v>
      </c>
      <c r="H3317" s="1">
        <f t="shared" si="459"/>
        <v>0.86999999999999744</v>
      </c>
      <c r="I3317" s="9">
        <f t="shared" si="466"/>
        <v>2.0523708421797533E-2</v>
      </c>
      <c r="J3317" s="1">
        <f t="shared" si="467"/>
        <v>0.39000000000000057</v>
      </c>
      <c r="K3317" s="9">
        <f t="shared" si="460"/>
        <v>9.1613812544045232E-3</v>
      </c>
      <c r="L3317" s="1">
        <f t="shared" si="461"/>
        <v>1</v>
      </c>
      <c r="M3317" s="1">
        <f t="shared" si="462"/>
        <v>43.26</v>
      </c>
      <c r="N3317" s="1">
        <f t="shared" si="463"/>
        <v>42.39</v>
      </c>
      <c r="O3317" s="1">
        <f t="shared" si="464"/>
        <v>41</v>
      </c>
      <c r="P3317" s="1">
        <f t="shared" si="465"/>
        <v>20.918367346938776</v>
      </c>
    </row>
    <row r="3318" spans="1:16">
      <c r="A3318" s="2">
        <v>38246</v>
      </c>
      <c r="B3318" s="1">
        <v>42.39</v>
      </c>
      <c r="C3318" s="1">
        <v>44.28</v>
      </c>
      <c r="D3318" s="1">
        <v>42.35</v>
      </c>
      <c r="E3318" s="1">
        <v>42.57</v>
      </c>
      <c r="F3318" s="1">
        <v>11596600</v>
      </c>
      <c r="G3318" s="1">
        <v>42.57</v>
      </c>
      <c r="H3318" s="1">
        <f t="shared" si="459"/>
        <v>1.9299999999999997</v>
      </c>
      <c r="I3318" s="9">
        <f t="shared" si="466"/>
        <v>4.5572609208972839E-2</v>
      </c>
      <c r="J3318" s="1">
        <f t="shared" si="467"/>
        <v>0.35999999999999943</v>
      </c>
      <c r="K3318" s="9">
        <f t="shared" si="460"/>
        <v>8.5287846481876192E-3</v>
      </c>
      <c r="L3318" s="1">
        <f t="shared" si="461"/>
        <v>1</v>
      </c>
      <c r="M3318" s="1">
        <f t="shared" si="462"/>
        <v>44.28</v>
      </c>
      <c r="N3318" s="1">
        <f t="shared" si="463"/>
        <v>42.35</v>
      </c>
      <c r="O3318" s="1">
        <f t="shared" si="464"/>
        <v>40.61</v>
      </c>
      <c r="P3318" s="1">
        <f t="shared" si="465"/>
        <v>20.719387755102041</v>
      </c>
    </row>
    <row r="3319" spans="1:16">
      <c r="A3319" s="2">
        <v>38245</v>
      </c>
      <c r="B3319" s="1">
        <v>42.05</v>
      </c>
      <c r="C3319" s="1">
        <v>43.18</v>
      </c>
      <c r="D3319" s="1">
        <v>41.87</v>
      </c>
      <c r="E3319" s="1">
        <v>42.21</v>
      </c>
      <c r="F3319" s="1">
        <v>11135800</v>
      </c>
      <c r="G3319" s="1">
        <v>42.21</v>
      </c>
      <c r="H3319" s="1">
        <f t="shared" si="459"/>
        <v>1.3100000000000023</v>
      </c>
      <c r="I3319" s="9">
        <f t="shared" si="466"/>
        <v>3.1287317888703182E-2</v>
      </c>
      <c r="J3319" s="1">
        <f t="shared" si="467"/>
        <v>-0.46000000000000085</v>
      </c>
      <c r="K3319" s="9">
        <f t="shared" si="460"/>
        <v>-1.0780407780642157E-2</v>
      </c>
      <c r="L3319" s="1">
        <f t="shared" si="461"/>
        <v>1</v>
      </c>
      <c r="M3319" s="1">
        <f t="shared" si="462"/>
        <v>43.18</v>
      </c>
      <c r="N3319" s="1">
        <f t="shared" si="463"/>
        <v>41.87</v>
      </c>
      <c r="O3319" s="1">
        <f t="shared" si="464"/>
        <v>40.25</v>
      </c>
      <c r="P3319" s="1">
        <f t="shared" si="465"/>
        <v>20.535714285714285</v>
      </c>
    </row>
    <row r="3320" spans="1:16">
      <c r="A3320" s="2">
        <v>38244</v>
      </c>
      <c r="B3320" s="1">
        <v>40.200000000000003</v>
      </c>
      <c r="C3320" s="1">
        <v>42.75</v>
      </c>
      <c r="D3320" s="1">
        <v>39.9</v>
      </c>
      <c r="E3320" s="1">
        <v>42.67</v>
      </c>
      <c r="F3320" s="1">
        <v>15872100</v>
      </c>
      <c r="G3320" s="1">
        <v>42.67</v>
      </c>
      <c r="H3320" s="1">
        <f t="shared" si="459"/>
        <v>2.8500000000000014</v>
      </c>
      <c r="I3320" s="9">
        <f t="shared" si="466"/>
        <v>7.1428571428571466E-2</v>
      </c>
      <c r="J3320" s="1">
        <f t="shared" si="467"/>
        <v>2.6600000000000037</v>
      </c>
      <c r="K3320" s="9">
        <f t="shared" si="460"/>
        <v>6.6483379155211297E-2</v>
      </c>
      <c r="L3320" s="1">
        <f t="shared" si="461"/>
        <v>1</v>
      </c>
      <c r="M3320" s="1">
        <f t="shared" si="462"/>
        <v>42.75</v>
      </c>
      <c r="N3320" s="1">
        <f t="shared" si="463"/>
        <v>39.9</v>
      </c>
      <c r="O3320" s="1">
        <f t="shared" si="464"/>
        <v>40.71</v>
      </c>
      <c r="P3320" s="1">
        <f t="shared" si="465"/>
        <v>20.770408163265309</v>
      </c>
    </row>
    <row r="3321" spans="1:16">
      <c r="A3321" s="2">
        <v>38243</v>
      </c>
      <c r="B3321" s="1">
        <v>39.130000000000003</v>
      </c>
      <c r="C3321" s="1">
        <v>40.04</v>
      </c>
      <c r="D3321" s="1">
        <v>38.82</v>
      </c>
      <c r="E3321" s="1">
        <v>40.01</v>
      </c>
      <c r="F3321" s="1">
        <v>8065200</v>
      </c>
      <c r="G3321" s="1">
        <v>40.01</v>
      </c>
      <c r="H3321" s="1">
        <f t="shared" si="459"/>
        <v>1.2199999999999989</v>
      </c>
      <c r="I3321" s="9">
        <f t="shared" si="466"/>
        <v>3.1427099433281785E-2</v>
      </c>
      <c r="J3321" s="1">
        <f t="shared" si="467"/>
        <v>1.4399999999999977</v>
      </c>
      <c r="K3321" s="9">
        <f t="shared" si="460"/>
        <v>3.7334716100596257E-2</v>
      </c>
      <c r="L3321" s="1">
        <f t="shared" si="461"/>
        <v>1</v>
      </c>
      <c r="M3321" s="1">
        <f t="shared" si="462"/>
        <v>40.04</v>
      </c>
      <c r="N3321" s="1">
        <f t="shared" si="463"/>
        <v>38.82</v>
      </c>
      <c r="O3321" s="1">
        <f t="shared" si="464"/>
        <v>38.049999999999997</v>
      </c>
      <c r="P3321" s="1">
        <f t="shared" si="465"/>
        <v>19.413265306122447</v>
      </c>
    </row>
    <row r="3322" spans="1:16">
      <c r="A3322" s="2">
        <v>38240</v>
      </c>
      <c r="B3322" s="1">
        <v>38.130000000000003</v>
      </c>
      <c r="C3322" s="1">
        <v>38.799999999999997</v>
      </c>
      <c r="D3322" s="1">
        <v>37.9</v>
      </c>
      <c r="E3322" s="1">
        <v>38.57</v>
      </c>
      <c r="F3322" s="1">
        <v>4634500</v>
      </c>
      <c r="G3322" s="1">
        <v>38.57</v>
      </c>
      <c r="H3322" s="1">
        <f t="shared" si="459"/>
        <v>0.89999999999999858</v>
      </c>
      <c r="I3322" s="9">
        <f t="shared" si="466"/>
        <v>2.3746701846965663E-2</v>
      </c>
      <c r="J3322" s="1">
        <f t="shared" si="467"/>
        <v>0.5</v>
      </c>
      <c r="K3322" s="9">
        <f t="shared" si="460"/>
        <v>1.3133701076963489E-2</v>
      </c>
      <c r="L3322" s="1">
        <f t="shared" si="461"/>
        <v>1</v>
      </c>
      <c r="M3322" s="1">
        <f t="shared" si="462"/>
        <v>38.799999999999997</v>
      </c>
      <c r="N3322" s="1">
        <f t="shared" si="463"/>
        <v>37.9</v>
      </c>
      <c r="O3322" s="1">
        <f t="shared" si="464"/>
        <v>36.61</v>
      </c>
      <c r="P3322" s="1">
        <f t="shared" si="465"/>
        <v>18.678571428571427</v>
      </c>
    </row>
    <row r="3323" spans="1:16">
      <c r="A3323" s="2">
        <v>38239</v>
      </c>
      <c r="B3323" s="1">
        <v>38.24</v>
      </c>
      <c r="C3323" s="1">
        <v>38.31</v>
      </c>
      <c r="D3323" s="1">
        <v>37.36</v>
      </c>
      <c r="E3323" s="1">
        <v>38.07</v>
      </c>
      <c r="F3323" s="1">
        <v>6956700</v>
      </c>
      <c r="G3323" s="1">
        <v>38.07</v>
      </c>
      <c r="H3323" s="1">
        <f t="shared" si="459"/>
        <v>0.95000000000000284</v>
      </c>
      <c r="I3323" s="9">
        <f t="shared" si="466"/>
        <v>2.5428265524625345E-2</v>
      </c>
      <c r="J3323" s="1">
        <f t="shared" si="467"/>
        <v>6.0000000000002274E-2</v>
      </c>
      <c r="K3323" s="9">
        <f t="shared" si="460"/>
        <v>1.5785319652723566E-3</v>
      </c>
      <c r="L3323" s="1">
        <f t="shared" si="461"/>
        <v>1</v>
      </c>
      <c r="M3323" s="1">
        <f t="shared" si="462"/>
        <v>38.31</v>
      </c>
      <c r="N3323" s="1">
        <f t="shared" si="463"/>
        <v>37.36</v>
      </c>
      <c r="O3323" s="1">
        <f t="shared" si="464"/>
        <v>36.11</v>
      </c>
      <c r="P3323" s="1">
        <f t="shared" si="465"/>
        <v>18.423469387755102</v>
      </c>
    </row>
    <row r="3324" spans="1:16">
      <c r="A3324" s="2">
        <v>38238</v>
      </c>
      <c r="B3324" s="1">
        <v>38.49</v>
      </c>
      <c r="C3324" s="1">
        <v>38.81</v>
      </c>
      <c r="D3324" s="1">
        <v>37.71</v>
      </c>
      <c r="E3324" s="1">
        <v>38.01</v>
      </c>
      <c r="F3324" s="1">
        <v>6611300</v>
      </c>
      <c r="G3324" s="1">
        <v>38.01</v>
      </c>
      <c r="H3324" s="1">
        <f t="shared" si="459"/>
        <v>1.1000000000000014</v>
      </c>
      <c r="I3324" s="9">
        <f t="shared" si="466"/>
        <v>2.9169981437284578E-2</v>
      </c>
      <c r="J3324" s="1">
        <f t="shared" si="467"/>
        <v>-0.5</v>
      </c>
      <c r="K3324" s="9">
        <f t="shared" si="460"/>
        <v>-1.2983640612827838E-2</v>
      </c>
      <c r="L3324" s="1">
        <f t="shared" si="461"/>
        <v>1</v>
      </c>
      <c r="M3324" s="1">
        <f t="shared" si="462"/>
        <v>38.81</v>
      </c>
      <c r="N3324" s="1">
        <f t="shared" si="463"/>
        <v>37.71</v>
      </c>
      <c r="O3324" s="1">
        <f t="shared" si="464"/>
        <v>36.049999999999997</v>
      </c>
      <c r="P3324" s="1">
        <f t="shared" si="465"/>
        <v>18.392857142857142</v>
      </c>
    </row>
    <row r="3325" spans="1:16">
      <c r="A3325" s="2">
        <v>38237</v>
      </c>
      <c r="B3325" s="1">
        <v>39.15</v>
      </c>
      <c r="C3325" s="1">
        <v>39.36</v>
      </c>
      <c r="D3325" s="1">
        <v>38.11</v>
      </c>
      <c r="E3325" s="1">
        <v>38.51</v>
      </c>
      <c r="F3325" s="1">
        <v>5833000</v>
      </c>
      <c r="G3325" s="1">
        <v>38.51</v>
      </c>
      <c r="H3325" s="1">
        <f t="shared" si="459"/>
        <v>1.25</v>
      </c>
      <c r="I3325" s="9">
        <f t="shared" si="466"/>
        <v>3.2799790081343483E-2</v>
      </c>
      <c r="J3325" s="1">
        <f t="shared" si="467"/>
        <v>-0.23000000000000398</v>
      </c>
      <c r="K3325" s="9">
        <f t="shared" si="460"/>
        <v>-5.9370160041302003E-3</v>
      </c>
      <c r="L3325" s="1">
        <f t="shared" si="461"/>
        <v>1</v>
      </c>
      <c r="M3325" s="1">
        <f t="shared" si="462"/>
        <v>39.36</v>
      </c>
      <c r="N3325" s="1">
        <f t="shared" si="463"/>
        <v>38.11</v>
      </c>
      <c r="O3325" s="1">
        <f t="shared" si="464"/>
        <v>36.549999999999997</v>
      </c>
      <c r="P3325" s="1">
        <f t="shared" si="465"/>
        <v>18.647959183673468</v>
      </c>
    </row>
    <row r="3326" spans="1:16">
      <c r="A3326" s="2">
        <v>38233</v>
      </c>
      <c r="B3326" s="1">
        <v>39.01</v>
      </c>
      <c r="C3326" s="1">
        <v>40.01</v>
      </c>
      <c r="D3326" s="1">
        <v>38.64</v>
      </c>
      <c r="E3326" s="1">
        <v>38.74</v>
      </c>
      <c r="F3326" s="1">
        <v>5228900</v>
      </c>
      <c r="G3326" s="1">
        <v>38.74</v>
      </c>
      <c r="H3326" s="1">
        <f t="shared" si="459"/>
        <v>1.3699999999999974</v>
      </c>
      <c r="I3326" s="9">
        <f t="shared" si="466"/>
        <v>3.5455486542442995E-2</v>
      </c>
      <c r="J3326" s="1">
        <f t="shared" si="467"/>
        <v>-0.43999999999999773</v>
      </c>
      <c r="K3326" s="9">
        <f t="shared" si="460"/>
        <v>-1.1230219499744711E-2</v>
      </c>
      <c r="L3326" s="1">
        <f t="shared" si="461"/>
        <v>1</v>
      </c>
      <c r="M3326" s="1">
        <f t="shared" si="462"/>
        <v>40.01</v>
      </c>
      <c r="N3326" s="1">
        <f t="shared" si="463"/>
        <v>38.64</v>
      </c>
      <c r="O3326" s="1">
        <f t="shared" si="464"/>
        <v>36.78</v>
      </c>
      <c r="P3326" s="1">
        <f t="shared" si="465"/>
        <v>18.76530612244898</v>
      </c>
    </row>
    <row r="3327" spans="1:16">
      <c r="A3327" s="2">
        <v>38232</v>
      </c>
      <c r="B3327" s="1">
        <v>38.04</v>
      </c>
      <c r="C3327" s="1">
        <v>39.64</v>
      </c>
      <c r="D3327" s="1">
        <v>37.909999999999997</v>
      </c>
      <c r="E3327" s="1">
        <v>39.18</v>
      </c>
      <c r="F3327" s="1">
        <v>5722300</v>
      </c>
      <c r="G3327" s="1">
        <v>39.18</v>
      </c>
      <c r="H3327" s="1">
        <f t="shared" si="459"/>
        <v>1.730000000000004</v>
      </c>
      <c r="I3327" s="9">
        <f t="shared" si="466"/>
        <v>4.5634397256660623E-2</v>
      </c>
      <c r="J3327" s="1">
        <f t="shared" si="467"/>
        <v>0.93999999999999773</v>
      </c>
      <c r="K3327" s="9">
        <f t="shared" si="460"/>
        <v>2.4581589958158935E-2</v>
      </c>
      <c r="L3327" s="1">
        <f t="shared" si="461"/>
        <v>1</v>
      </c>
      <c r="M3327" s="1">
        <f t="shared" si="462"/>
        <v>39.64</v>
      </c>
      <c r="N3327" s="1">
        <f t="shared" si="463"/>
        <v>37.909999999999997</v>
      </c>
      <c r="O3327" s="1">
        <f t="shared" si="464"/>
        <v>37.22</v>
      </c>
      <c r="P3327" s="1">
        <f t="shared" si="465"/>
        <v>18.989795918367346</v>
      </c>
    </row>
    <row r="3328" spans="1:16">
      <c r="A3328" s="2">
        <v>38231</v>
      </c>
      <c r="B3328" s="1">
        <v>38.229999999999997</v>
      </c>
      <c r="C3328" s="1">
        <v>39.01</v>
      </c>
      <c r="D3328" s="1">
        <v>38.020000000000003</v>
      </c>
      <c r="E3328" s="1">
        <v>38.24</v>
      </c>
      <c r="F3328" s="1">
        <v>5252500</v>
      </c>
      <c r="G3328" s="1">
        <v>38.24</v>
      </c>
      <c r="H3328" s="1">
        <f t="shared" si="459"/>
        <v>0.98999999999999488</v>
      </c>
      <c r="I3328" s="9">
        <f t="shared" si="466"/>
        <v>2.6038926880589026E-2</v>
      </c>
      <c r="J3328" s="1">
        <f t="shared" si="467"/>
        <v>0.10000000000000142</v>
      </c>
      <c r="K3328" s="9">
        <f t="shared" si="460"/>
        <v>2.6219192448872948E-3</v>
      </c>
      <c r="L3328" s="1">
        <f t="shared" si="461"/>
        <v>1</v>
      </c>
      <c r="M3328" s="1">
        <f t="shared" si="462"/>
        <v>39.01</v>
      </c>
      <c r="N3328" s="1">
        <f t="shared" si="463"/>
        <v>38.020000000000003</v>
      </c>
      <c r="O3328" s="1">
        <f t="shared" si="464"/>
        <v>36.28</v>
      </c>
      <c r="P3328" s="1">
        <f t="shared" si="465"/>
        <v>18.510204081632654</v>
      </c>
    </row>
    <row r="3329" spans="1:16">
      <c r="A3329" s="2">
        <v>38230</v>
      </c>
      <c r="B3329" s="1">
        <v>38.380000000000003</v>
      </c>
      <c r="C3329" s="1">
        <v>38.85</v>
      </c>
      <c r="D3329" s="1">
        <v>37.86</v>
      </c>
      <c r="E3329" s="1">
        <v>38.14</v>
      </c>
      <c r="F3329" s="1">
        <v>6143200</v>
      </c>
      <c r="G3329" s="1">
        <v>38.14</v>
      </c>
      <c r="H3329" s="1">
        <f t="shared" si="459"/>
        <v>0.99000000000000199</v>
      </c>
      <c r="I3329" s="9">
        <f t="shared" si="466"/>
        <v>2.6148969889065028E-2</v>
      </c>
      <c r="J3329" s="1">
        <f t="shared" si="467"/>
        <v>-0.17000000000000171</v>
      </c>
      <c r="K3329" s="9">
        <f t="shared" si="460"/>
        <v>-4.4374836857217883E-3</v>
      </c>
      <c r="L3329" s="1">
        <f t="shared" si="461"/>
        <v>1</v>
      </c>
      <c r="M3329" s="1">
        <f t="shared" si="462"/>
        <v>38.85</v>
      </c>
      <c r="N3329" s="1">
        <f t="shared" si="463"/>
        <v>37.86</v>
      </c>
      <c r="O3329" s="1">
        <f t="shared" si="464"/>
        <v>36.18</v>
      </c>
      <c r="P3329" s="1">
        <f t="shared" si="465"/>
        <v>18.459183673469386</v>
      </c>
    </row>
    <row r="3330" spans="1:16">
      <c r="A3330" s="2">
        <v>38229</v>
      </c>
      <c r="B3330" s="1">
        <v>39.880000000000003</v>
      </c>
      <c r="C3330" s="1">
        <v>39.950000000000003</v>
      </c>
      <c r="D3330" s="1">
        <v>38.25</v>
      </c>
      <c r="E3330" s="1">
        <v>38.31</v>
      </c>
      <c r="F3330" s="1">
        <v>7711500</v>
      </c>
      <c r="G3330" s="1">
        <v>38.31</v>
      </c>
      <c r="H3330" s="1">
        <f t="shared" si="459"/>
        <v>1.7000000000000028</v>
      </c>
      <c r="I3330" s="9">
        <f t="shared" si="466"/>
        <v>4.4444444444444516E-2</v>
      </c>
      <c r="J3330" s="1">
        <f t="shared" si="467"/>
        <v>-1.5899999999999963</v>
      </c>
      <c r="K3330" s="9">
        <f t="shared" si="460"/>
        <v>-3.9849624060150288E-2</v>
      </c>
      <c r="L3330" s="1">
        <f t="shared" si="461"/>
        <v>1</v>
      </c>
      <c r="M3330" s="1">
        <f t="shared" si="462"/>
        <v>39.950000000000003</v>
      </c>
      <c r="N3330" s="1">
        <f t="shared" si="463"/>
        <v>38.25</v>
      </c>
      <c r="O3330" s="1">
        <f t="shared" si="464"/>
        <v>36.35</v>
      </c>
      <c r="P3330" s="1">
        <f t="shared" si="465"/>
        <v>18.545918367346939</v>
      </c>
    </row>
    <row r="3331" spans="1:16">
      <c r="A3331" s="2">
        <v>38226</v>
      </c>
      <c r="B3331" s="1">
        <v>40.32</v>
      </c>
      <c r="C3331" s="1">
        <v>40.39</v>
      </c>
      <c r="D3331" s="1">
        <v>39.6</v>
      </c>
      <c r="E3331" s="1">
        <v>39.9</v>
      </c>
      <c r="F3331" s="1">
        <v>4240400</v>
      </c>
      <c r="G3331" s="1">
        <v>39.9</v>
      </c>
      <c r="H3331" s="1">
        <f t="shared" ref="H3331:H3394" si="468">C3331-D3331</f>
        <v>0.78999999999999915</v>
      </c>
      <c r="I3331" s="9">
        <f t="shared" si="466"/>
        <v>1.9949494949494929E-2</v>
      </c>
      <c r="J3331" s="1">
        <f t="shared" si="467"/>
        <v>-0.28999999999999915</v>
      </c>
      <c r="K3331" s="9">
        <f t="shared" ref="K3331:K3394" si="469">(G3331-G3332)/G3332</f>
        <v>-7.2157253048021688E-3</v>
      </c>
      <c r="L3331" s="1">
        <f t="shared" ref="L3331:L3394" si="470">G3331/E3331</f>
        <v>1</v>
      </c>
      <c r="M3331" s="1">
        <f t="shared" ref="M3331:M3394" si="471">L3331*C3331</f>
        <v>40.39</v>
      </c>
      <c r="N3331" s="1">
        <f t="shared" ref="N3331:N3394" si="472">L3331*D3331</f>
        <v>39.6</v>
      </c>
      <c r="O3331" s="1">
        <f t="shared" ref="O3331:O3394" si="473">G3331-$G$5163</f>
        <v>37.94</v>
      </c>
      <c r="P3331" s="1">
        <f t="shared" ref="P3331:P3394" si="474">(G3331-$G$5163)/$G$5163</f>
        <v>19.357142857142858</v>
      </c>
    </row>
    <row r="3332" spans="1:16">
      <c r="A3332" s="2">
        <v>38225</v>
      </c>
      <c r="B3332" s="1">
        <v>40.18</v>
      </c>
      <c r="C3332" s="1">
        <v>40.83</v>
      </c>
      <c r="D3332" s="1">
        <v>39.700000000000003</v>
      </c>
      <c r="E3332" s="1">
        <v>40.19</v>
      </c>
      <c r="F3332" s="1">
        <v>6971700</v>
      </c>
      <c r="G3332" s="1">
        <v>40.19</v>
      </c>
      <c r="H3332" s="1">
        <f t="shared" si="468"/>
        <v>1.1299999999999955</v>
      </c>
      <c r="I3332" s="9">
        <f t="shared" ref="I3332:I3395" si="475">(C3332-D3332)/D3332</f>
        <v>2.8463476070528852E-2</v>
      </c>
      <c r="J3332" s="1">
        <f t="shared" ref="J3332:J3395" si="476">G3332-G3333</f>
        <v>-0.10999999999999943</v>
      </c>
      <c r="K3332" s="9">
        <f t="shared" si="469"/>
        <v>-2.729528535980135E-3</v>
      </c>
      <c r="L3332" s="1">
        <f t="shared" si="470"/>
        <v>1</v>
      </c>
      <c r="M3332" s="1">
        <f t="shared" si="471"/>
        <v>40.83</v>
      </c>
      <c r="N3332" s="1">
        <f t="shared" si="472"/>
        <v>39.700000000000003</v>
      </c>
      <c r="O3332" s="1">
        <f t="shared" si="473"/>
        <v>38.229999999999997</v>
      </c>
      <c r="P3332" s="1">
        <f t="shared" si="474"/>
        <v>19.505102040816325</v>
      </c>
    </row>
    <row r="3333" spans="1:16">
      <c r="A3333" s="2">
        <v>38224</v>
      </c>
      <c r="B3333" s="1">
        <v>39.06</v>
      </c>
      <c r="C3333" s="1">
        <v>40.49</v>
      </c>
      <c r="D3333" s="1">
        <v>38.159999999999997</v>
      </c>
      <c r="E3333" s="1">
        <v>40.299999999999997</v>
      </c>
      <c r="F3333" s="1">
        <v>7254800</v>
      </c>
      <c r="G3333" s="1">
        <v>40.299999999999997</v>
      </c>
      <c r="H3333" s="1">
        <f t="shared" si="468"/>
        <v>2.3300000000000054</v>
      </c>
      <c r="I3333" s="9">
        <f t="shared" si="475"/>
        <v>6.1058700209643754E-2</v>
      </c>
      <c r="J3333" s="1">
        <f t="shared" si="476"/>
        <v>1.25</v>
      </c>
      <c r="K3333" s="9">
        <f t="shared" si="469"/>
        <v>3.2010243277848911E-2</v>
      </c>
      <c r="L3333" s="1">
        <f t="shared" si="470"/>
        <v>1</v>
      </c>
      <c r="M3333" s="1">
        <f t="shared" si="471"/>
        <v>40.49</v>
      </c>
      <c r="N3333" s="1">
        <f t="shared" si="472"/>
        <v>38.159999999999997</v>
      </c>
      <c r="O3333" s="1">
        <f t="shared" si="473"/>
        <v>38.339999999999996</v>
      </c>
      <c r="P3333" s="1">
        <f t="shared" si="474"/>
        <v>19.561224489795915</v>
      </c>
    </row>
    <row r="3334" spans="1:16">
      <c r="A3334" s="2">
        <v>38223</v>
      </c>
      <c r="B3334" s="1">
        <v>39.72</v>
      </c>
      <c r="C3334" s="1">
        <v>39.93</v>
      </c>
      <c r="D3334" s="1">
        <v>38.32</v>
      </c>
      <c r="E3334" s="1">
        <v>39.049999999999997</v>
      </c>
      <c r="F3334" s="1">
        <v>7640400</v>
      </c>
      <c r="G3334" s="1">
        <v>39.049999999999997</v>
      </c>
      <c r="H3334" s="1">
        <f t="shared" si="468"/>
        <v>1.6099999999999994</v>
      </c>
      <c r="I3334" s="9">
        <f t="shared" si="475"/>
        <v>4.201461377870562E-2</v>
      </c>
      <c r="J3334" s="1">
        <f t="shared" si="476"/>
        <v>-0.40000000000000568</v>
      </c>
      <c r="K3334" s="9">
        <f t="shared" si="469"/>
        <v>-1.0139416983523591E-2</v>
      </c>
      <c r="L3334" s="1">
        <f t="shared" si="470"/>
        <v>1</v>
      </c>
      <c r="M3334" s="1">
        <f t="shared" si="471"/>
        <v>39.93</v>
      </c>
      <c r="N3334" s="1">
        <f t="shared" si="472"/>
        <v>38.32</v>
      </c>
      <c r="O3334" s="1">
        <f t="shared" si="473"/>
        <v>37.089999999999996</v>
      </c>
      <c r="P3334" s="1">
        <f t="shared" si="474"/>
        <v>18.923469387755102</v>
      </c>
    </row>
    <row r="3335" spans="1:16">
      <c r="A3335" s="2">
        <v>38222</v>
      </c>
      <c r="B3335" s="1">
        <v>39.89</v>
      </c>
      <c r="C3335" s="1">
        <v>40</v>
      </c>
      <c r="D3335" s="1">
        <v>39.11</v>
      </c>
      <c r="E3335" s="1">
        <v>39.450000000000003</v>
      </c>
      <c r="F3335" s="1">
        <v>5532600</v>
      </c>
      <c r="G3335" s="1">
        <v>39.450000000000003</v>
      </c>
      <c r="H3335" s="1">
        <f t="shared" si="468"/>
        <v>0.89000000000000057</v>
      </c>
      <c r="I3335" s="9">
        <f t="shared" si="475"/>
        <v>2.2756328304781401E-2</v>
      </c>
      <c r="J3335" s="1">
        <f t="shared" si="476"/>
        <v>-5.9999999999995168E-2</v>
      </c>
      <c r="K3335" s="9">
        <f t="shared" si="469"/>
        <v>-1.5186028853453599E-3</v>
      </c>
      <c r="L3335" s="1">
        <f t="shared" si="470"/>
        <v>1</v>
      </c>
      <c r="M3335" s="1">
        <f t="shared" si="471"/>
        <v>40</v>
      </c>
      <c r="N3335" s="1">
        <f t="shared" si="472"/>
        <v>39.11</v>
      </c>
      <c r="O3335" s="1">
        <f t="shared" si="473"/>
        <v>37.49</v>
      </c>
      <c r="P3335" s="1">
        <f t="shared" si="474"/>
        <v>19.127551020408166</v>
      </c>
    </row>
    <row r="3336" spans="1:16">
      <c r="A3336" s="2">
        <v>38219</v>
      </c>
      <c r="B3336" s="1">
        <v>38.46</v>
      </c>
      <c r="C3336" s="1">
        <v>39.909999999999997</v>
      </c>
      <c r="D3336" s="1">
        <v>38.11</v>
      </c>
      <c r="E3336" s="1">
        <v>39.51</v>
      </c>
      <c r="F3336" s="1">
        <v>6790800</v>
      </c>
      <c r="G3336" s="1">
        <v>39.51</v>
      </c>
      <c r="H3336" s="1">
        <f t="shared" si="468"/>
        <v>1.7999999999999972</v>
      </c>
      <c r="I3336" s="9">
        <f t="shared" si="475"/>
        <v>4.7231697717134535E-2</v>
      </c>
      <c r="J3336" s="1">
        <f t="shared" si="476"/>
        <v>0.87999999999999545</v>
      </c>
      <c r="K3336" s="9">
        <f t="shared" si="469"/>
        <v>2.2780222624902806E-2</v>
      </c>
      <c r="L3336" s="1">
        <f t="shared" si="470"/>
        <v>1</v>
      </c>
      <c r="M3336" s="1">
        <f t="shared" si="471"/>
        <v>39.909999999999997</v>
      </c>
      <c r="N3336" s="1">
        <f t="shared" si="472"/>
        <v>38.11</v>
      </c>
      <c r="O3336" s="1">
        <f t="shared" si="473"/>
        <v>37.549999999999997</v>
      </c>
      <c r="P3336" s="1">
        <f t="shared" si="474"/>
        <v>19.158163265306122</v>
      </c>
    </row>
    <row r="3337" spans="1:16">
      <c r="A3337" s="2">
        <v>38218</v>
      </c>
      <c r="B3337" s="1">
        <v>40.26</v>
      </c>
      <c r="C3337" s="1">
        <v>40.479999999999997</v>
      </c>
      <c r="D3337" s="1">
        <v>36.35</v>
      </c>
      <c r="E3337" s="1">
        <v>38.630000000000003</v>
      </c>
      <c r="F3337" s="1">
        <v>12696100</v>
      </c>
      <c r="G3337" s="1">
        <v>38.630000000000003</v>
      </c>
      <c r="H3337" s="1">
        <f t="shared" si="468"/>
        <v>4.1299999999999955</v>
      </c>
      <c r="I3337" s="9">
        <f t="shared" si="475"/>
        <v>0.1136176066024758</v>
      </c>
      <c r="J3337" s="1">
        <f t="shared" si="476"/>
        <v>-0.72999999999999687</v>
      </c>
      <c r="K3337" s="9">
        <f t="shared" si="469"/>
        <v>-1.8546747967479595E-2</v>
      </c>
      <c r="L3337" s="1">
        <f t="shared" si="470"/>
        <v>1</v>
      </c>
      <c r="M3337" s="1">
        <f t="shared" si="471"/>
        <v>40.479999999999997</v>
      </c>
      <c r="N3337" s="1">
        <f t="shared" si="472"/>
        <v>36.35</v>
      </c>
      <c r="O3337" s="1">
        <f t="shared" si="473"/>
        <v>36.67</v>
      </c>
      <c r="P3337" s="1">
        <f t="shared" si="474"/>
        <v>18.70918367346939</v>
      </c>
    </row>
    <row r="3338" spans="1:16">
      <c r="A3338" s="2">
        <v>38217</v>
      </c>
      <c r="B3338" s="1">
        <v>37.92</v>
      </c>
      <c r="C3338" s="1">
        <v>39.54</v>
      </c>
      <c r="D3338" s="1">
        <v>37.42</v>
      </c>
      <c r="E3338" s="1">
        <v>39.36</v>
      </c>
      <c r="F3338" s="1">
        <v>9549800</v>
      </c>
      <c r="G3338" s="1">
        <v>39.36</v>
      </c>
      <c r="H3338" s="1">
        <f t="shared" si="468"/>
        <v>2.1199999999999974</v>
      </c>
      <c r="I3338" s="9">
        <f t="shared" si="475"/>
        <v>5.6654195617316869E-2</v>
      </c>
      <c r="J3338" s="1">
        <f t="shared" si="476"/>
        <v>1.1300000000000026</v>
      </c>
      <c r="K3338" s="9">
        <f t="shared" si="469"/>
        <v>2.9557938791525049E-2</v>
      </c>
      <c r="L3338" s="1">
        <f t="shared" si="470"/>
        <v>1</v>
      </c>
      <c r="M3338" s="1">
        <f t="shared" si="471"/>
        <v>39.54</v>
      </c>
      <c r="N3338" s="1">
        <f t="shared" si="472"/>
        <v>37.42</v>
      </c>
      <c r="O3338" s="1">
        <f t="shared" si="473"/>
        <v>37.4</v>
      </c>
      <c r="P3338" s="1">
        <f t="shared" si="474"/>
        <v>19.081632653061224</v>
      </c>
    </row>
    <row r="3339" spans="1:16">
      <c r="A3339" s="2">
        <v>38216</v>
      </c>
      <c r="B3339" s="1">
        <v>38.57</v>
      </c>
      <c r="C3339" s="1">
        <v>39.44</v>
      </c>
      <c r="D3339" s="1">
        <v>37.9</v>
      </c>
      <c r="E3339" s="1">
        <v>38.229999999999997</v>
      </c>
      <c r="F3339" s="1">
        <v>11163000</v>
      </c>
      <c r="G3339" s="1">
        <v>38.229999999999997</v>
      </c>
      <c r="H3339" s="1">
        <f t="shared" si="468"/>
        <v>1.5399999999999991</v>
      </c>
      <c r="I3339" s="9">
        <f t="shared" si="475"/>
        <v>4.0633245382585732E-2</v>
      </c>
      <c r="J3339" s="1">
        <f t="shared" si="476"/>
        <v>0.27999999999999403</v>
      </c>
      <c r="K3339" s="9">
        <f t="shared" si="469"/>
        <v>7.3781291172593938E-3</v>
      </c>
      <c r="L3339" s="1">
        <f t="shared" si="470"/>
        <v>1</v>
      </c>
      <c r="M3339" s="1">
        <f t="shared" si="471"/>
        <v>39.44</v>
      </c>
      <c r="N3339" s="1">
        <f t="shared" si="472"/>
        <v>37.9</v>
      </c>
      <c r="O3339" s="1">
        <f t="shared" si="473"/>
        <v>36.269999999999996</v>
      </c>
      <c r="P3339" s="1">
        <f t="shared" si="474"/>
        <v>18.505102040816325</v>
      </c>
    </row>
    <row r="3340" spans="1:16">
      <c r="A3340" s="2">
        <v>38215</v>
      </c>
      <c r="B3340" s="1">
        <v>36.14</v>
      </c>
      <c r="C3340" s="1">
        <v>38.4</v>
      </c>
      <c r="D3340" s="1">
        <v>35.979999999999997</v>
      </c>
      <c r="E3340" s="1">
        <v>37.950000000000003</v>
      </c>
      <c r="F3340" s="1">
        <v>8164300</v>
      </c>
      <c r="G3340" s="1">
        <v>37.950000000000003</v>
      </c>
      <c r="H3340" s="1">
        <f t="shared" si="468"/>
        <v>2.4200000000000017</v>
      </c>
      <c r="I3340" s="9">
        <f t="shared" si="475"/>
        <v>6.7259588660366923E-2</v>
      </c>
      <c r="J3340" s="1">
        <f t="shared" si="476"/>
        <v>1.8200000000000003</v>
      </c>
      <c r="K3340" s="9">
        <f t="shared" si="469"/>
        <v>5.0373650705784673E-2</v>
      </c>
      <c r="L3340" s="1">
        <f t="shared" si="470"/>
        <v>1</v>
      </c>
      <c r="M3340" s="1">
        <f t="shared" si="471"/>
        <v>38.4</v>
      </c>
      <c r="N3340" s="1">
        <f t="shared" si="472"/>
        <v>35.979999999999997</v>
      </c>
      <c r="O3340" s="1">
        <f t="shared" si="473"/>
        <v>35.99</v>
      </c>
      <c r="P3340" s="1">
        <f t="shared" si="474"/>
        <v>18.362244897959187</v>
      </c>
    </row>
    <row r="3341" spans="1:16">
      <c r="A3341" s="2">
        <v>38212</v>
      </c>
      <c r="B3341" s="1">
        <v>36.56</v>
      </c>
      <c r="C3341" s="1">
        <v>37</v>
      </c>
      <c r="D3341" s="1">
        <v>35.869999999999997</v>
      </c>
      <c r="E3341" s="1">
        <v>36.130000000000003</v>
      </c>
      <c r="F3341" s="1">
        <v>4981100</v>
      </c>
      <c r="G3341" s="1">
        <v>36.130000000000003</v>
      </c>
      <c r="H3341" s="1">
        <f t="shared" si="468"/>
        <v>1.1300000000000026</v>
      </c>
      <c r="I3341" s="9">
        <f t="shared" si="475"/>
        <v>3.1502648452746099E-2</v>
      </c>
      <c r="J3341" s="1">
        <f t="shared" si="476"/>
        <v>-0.15999999999999659</v>
      </c>
      <c r="K3341" s="9">
        <f t="shared" si="469"/>
        <v>-4.4089280793606113E-3</v>
      </c>
      <c r="L3341" s="1">
        <f t="shared" si="470"/>
        <v>1</v>
      </c>
      <c r="M3341" s="1">
        <f t="shared" si="471"/>
        <v>37</v>
      </c>
      <c r="N3341" s="1">
        <f t="shared" si="472"/>
        <v>35.869999999999997</v>
      </c>
      <c r="O3341" s="1">
        <f t="shared" si="473"/>
        <v>34.17</v>
      </c>
      <c r="P3341" s="1">
        <f t="shared" si="474"/>
        <v>17.433673469387756</v>
      </c>
    </row>
    <row r="3342" spans="1:16">
      <c r="A3342" s="2">
        <v>38211</v>
      </c>
      <c r="B3342" s="1">
        <v>36.25</v>
      </c>
      <c r="C3342" s="1">
        <v>37.35</v>
      </c>
      <c r="D3342" s="1">
        <v>36.17</v>
      </c>
      <c r="E3342" s="1">
        <v>36.29</v>
      </c>
      <c r="F3342" s="1">
        <v>9118100</v>
      </c>
      <c r="G3342" s="1">
        <v>36.29</v>
      </c>
      <c r="H3342" s="1">
        <f t="shared" si="468"/>
        <v>1.1799999999999997</v>
      </c>
      <c r="I3342" s="9">
        <f t="shared" si="475"/>
        <v>3.2623721316007735E-2</v>
      </c>
      <c r="J3342" s="1">
        <f t="shared" si="476"/>
        <v>-0.27000000000000313</v>
      </c>
      <c r="K3342" s="9">
        <f t="shared" si="469"/>
        <v>-7.3851203501094946E-3</v>
      </c>
      <c r="L3342" s="1">
        <f t="shared" si="470"/>
        <v>1</v>
      </c>
      <c r="M3342" s="1">
        <f t="shared" si="471"/>
        <v>37.35</v>
      </c>
      <c r="N3342" s="1">
        <f t="shared" si="472"/>
        <v>36.17</v>
      </c>
      <c r="O3342" s="1">
        <f t="shared" si="473"/>
        <v>34.33</v>
      </c>
      <c r="P3342" s="1">
        <f t="shared" si="474"/>
        <v>17.51530612244898</v>
      </c>
    </row>
    <row r="3343" spans="1:16">
      <c r="A3343" s="2">
        <v>38210</v>
      </c>
      <c r="B3343" s="1">
        <v>36.4</v>
      </c>
      <c r="C3343" s="1">
        <v>36.9</v>
      </c>
      <c r="D3343" s="1">
        <v>35.6</v>
      </c>
      <c r="E3343" s="1">
        <v>36.56</v>
      </c>
      <c r="F3343" s="1">
        <v>9448100</v>
      </c>
      <c r="G3343" s="1">
        <v>36.56</v>
      </c>
      <c r="H3343" s="1">
        <f t="shared" si="468"/>
        <v>1.2999999999999972</v>
      </c>
      <c r="I3343" s="9">
        <f t="shared" si="475"/>
        <v>3.6516853932584185E-2</v>
      </c>
      <c r="J3343" s="1">
        <f t="shared" si="476"/>
        <v>-0.53999999999999915</v>
      </c>
      <c r="K3343" s="9">
        <f t="shared" si="469"/>
        <v>-1.4555256064690004E-2</v>
      </c>
      <c r="L3343" s="1">
        <f t="shared" si="470"/>
        <v>1</v>
      </c>
      <c r="M3343" s="1">
        <f t="shared" si="471"/>
        <v>36.9</v>
      </c>
      <c r="N3343" s="1">
        <f t="shared" si="472"/>
        <v>35.6</v>
      </c>
      <c r="O3343" s="1">
        <f t="shared" si="473"/>
        <v>34.6</v>
      </c>
      <c r="P3343" s="1">
        <f t="shared" si="474"/>
        <v>17.653061224489797</v>
      </c>
    </row>
    <row r="3344" spans="1:16">
      <c r="A3344" s="2">
        <v>38209</v>
      </c>
      <c r="B3344" s="1">
        <v>35.69</v>
      </c>
      <c r="C3344" s="1">
        <v>37.200000000000003</v>
      </c>
      <c r="D3344" s="1">
        <v>35.549999999999997</v>
      </c>
      <c r="E3344" s="1">
        <v>37.1</v>
      </c>
      <c r="F3344" s="1">
        <v>10070400</v>
      </c>
      <c r="G3344" s="1">
        <v>37.1</v>
      </c>
      <c r="H3344" s="1">
        <f t="shared" si="468"/>
        <v>1.6500000000000057</v>
      </c>
      <c r="I3344" s="9">
        <f t="shared" si="475"/>
        <v>4.6413502109704803E-2</v>
      </c>
      <c r="J3344" s="1">
        <f t="shared" si="476"/>
        <v>1.7800000000000011</v>
      </c>
      <c r="K3344" s="9">
        <f t="shared" si="469"/>
        <v>5.0396375990940011E-2</v>
      </c>
      <c r="L3344" s="1">
        <f t="shared" si="470"/>
        <v>1</v>
      </c>
      <c r="M3344" s="1">
        <f t="shared" si="471"/>
        <v>37.200000000000003</v>
      </c>
      <c r="N3344" s="1">
        <f t="shared" si="472"/>
        <v>35.549999999999997</v>
      </c>
      <c r="O3344" s="1">
        <f t="shared" si="473"/>
        <v>35.14</v>
      </c>
      <c r="P3344" s="1">
        <f t="shared" si="474"/>
        <v>17.928571428571431</v>
      </c>
    </row>
    <row r="3345" spans="1:16">
      <c r="A3345" s="2">
        <v>38208</v>
      </c>
      <c r="B3345" s="1">
        <v>35.340000000000003</v>
      </c>
      <c r="C3345" s="1">
        <v>36.299999999999997</v>
      </c>
      <c r="D3345" s="1">
        <v>34.85</v>
      </c>
      <c r="E3345" s="1">
        <v>35.32</v>
      </c>
      <c r="F3345" s="1">
        <v>9167200</v>
      </c>
      <c r="G3345" s="1">
        <v>35.32</v>
      </c>
      <c r="H3345" s="1">
        <f t="shared" si="468"/>
        <v>1.4499999999999957</v>
      </c>
      <c r="I3345" s="9">
        <f t="shared" si="475"/>
        <v>4.1606886657101744E-2</v>
      </c>
      <c r="J3345" s="1">
        <f t="shared" si="476"/>
        <v>-0.17000000000000171</v>
      </c>
      <c r="K3345" s="9">
        <f t="shared" si="469"/>
        <v>-4.7900817131586839E-3</v>
      </c>
      <c r="L3345" s="1">
        <f t="shared" si="470"/>
        <v>1</v>
      </c>
      <c r="M3345" s="1">
        <f t="shared" si="471"/>
        <v>36.299999999999997</v>
      </c>
      <c r="N3345" s="1">
        <f t="shared" si="472"/>
        <v>34.85</v>
      </c>
      <c r="O3345" s="1">
        <f t="shared" si="473"/>
        <v>33.36</v>
      </c>
      <c r="P3345" s="1">
        <f t="shared" si="474"/>
        <v>17.020408163265305</v>
      </c>
    </row>
    <row r="3346" spans="1:16">
      <c r="A3346" s="2">
        <v>38205</v>
      </c>
      <c r="B3346" s="1">
        <v>35.25</v>
      </c>
      <c r="C3346" s="1">
        <v>36.67</v>
      </c>
      <c r="D3346" s="1">
        <v>34.85</v>
      </c>
      <c r="E3346" s="1">
        <v>35.49</v>
      </c>
      <c r="F3346" s="1">
        <v>11513100</v>
      </c>
      <c r="G3346" s="1">
        <v>35.49</v>
      </c>
      <c r="H3346" s="1">
        <f t="shared" si="468"/>
        <v>1.8200000000000003</v>
      </c>
      <c r="I3346" s="9">
        <f t="shared" si="475"/>
        <v>5.2223816355810623E-2</v>
      </c>
      <c r="J3346" s="1">
        <f t="shared" si="476"/>
        <v>-0.11999999999999744</v>
      </c>
      <c r="K3346" s="9">
        <f t="shared" si="469"/>
        <v>-3.3698399326031296E-3</v>
      </c>
      <c r="L3346" s="1">
        <f t="shared" si="470"/>
        <v>1</v>
      </c>
      <c r="M3346" s="1">
        <f t="shared" si="471"/>
        <v>36.67</v>
      </c>
      <c r="N3346" s="1">
        <f t="shared" si="472"/>
        <v>34.85</v>
      </c>
      <c r="O3346" s="1">
        <f t="shared" si="473"/>
        <v>33.53</v>
      </c>
      <c r="P3346" s="1">
        <f t="shared" si="474"/>
        <v>17.107142857142858</v>
      </c>
    </row>
    <row r="3347" spans="1:16">
      <c r="A3347" s="2">
        <v>38204</v>
      </c>
      <c r="B3347" s="1">
        <v>37.409999999999997</v>
      </c>
      <c r="C3347" s="1">
        <v>37.479999999999997</v>
      </c>
      <c r="D3347" s="1">
        <v>35.380000000000003</v>
      </c>
      <c r="E3347" s="1">
        <v>35.61</v>
      </c>
      <c r="F3347" s="1">
        <v>8402400</v>
      </c>
      <c r="G3347" s="1">
        <v>35.61</v>
      </c>
      <c r="H3347" s="1">
        <f t="shared" si="468"/>
        <v>2.0999999999999943</v>
      </c>
      <c r="I3347" s="9">
        <f t="shared" si="475"/>
        <v>5.9355568117580387E-2</v>
      </c>
      <c r="J3347" s="1">
        <f t="shared" si="476"/>
        <v>-1.509999999999998</v>
      </c>
      <c r="K3347" s="9">
        <f t="shared" si="469"/>
        <v>-4.0678879310344779E-2</v>
      </c>
      <c r="L3347" s="1">
        <f t="shared" si="470"/>
        <v>1</v>
      </c>
      <c r="M3347" s="1">
        <f t="shared" si="471"/>
        <v>37.479999999999997</v>
      </c>
      <c r="N3347" s="1">
        <f t="shared" si="472"/>
        <v>35.380000000000003</v>
      </c>
      <c r="O3347" s="1">
        <f t="shared" si="473"/>
        <v>33.65</v>
      </c>
      <c r="P3347" s="1">
        <f t="shared" si="474"/>
        <v>17.168367346938776</v>
      </c>
    </row>
    <row r="3348" spans="1:16">
      <c r="A3348" s="2">
        <v>38203</v>
      </c>
      <c r="B3348" s="1">
        <v>36.82</v>
      </c>
      <c r="C3348" s="1">
        <v>37.46</v>
      </c>
      <c r="D3348" s="1">
        <v>36.4</v>
      </c>
      <c r="E3348" s="1">
        <v>37.119999999999997</v>
      </c>
      <c r="F3348" s="1">
        <v>9765600</v>
      </c>
      <c r="G3348" s="1">
        <v>37.119999999999997</v>
      </c>
      <c r="H3348" s="1">
        <f t="shared" si="468"/>
        <v>1.0600000000000023</v>
      </c>
      <c r="I3348" s="9">
        <f t="shared" si="475"/>
        <v>2.9120879120879184E-2</v>
      </c>
      <c r="J3348" s="1">
        <f t="shared" si="476"/>
        <v>-0.49000000000000199</v>
      </c>
      <c r="K3348" s="9">
        <f t="shared" si="469"/>
        <v>-1.3028449880351024E-2</v>
      </c>
      <c r="L3348" s="1">
        <f t="shared" si="470"/>
        <v>1</v>
      </c>
      <c r="M3348" s="1">
        <f t="shared" si="471"/>
        <v>37.46</v>
      </c>
      <c r="N3348" s="1">
        <f t="shared" si="472"/>
        <v>36.4</v>
      </c>
      <c r="O3348" s="1">
        <f t="shared" si="473"/>
        <v>35.159999999999997</v>
      </c>
      <c r="P3348" s="1">
        <f t="shared" si="474"/>
        <v>17.938775510204081</v>
      </c>
    </row>
    <row r="3349" spans="1:16">
      <c r="A3349" s="2">
        <v>38202</v>
      </c>
      <c r="B3349" s="1">
        <v>38.32</v>
      </c>
      <c r="C3349" s="1">
        <v>39.08</v>
      </c>
      <c r="D3349" s="1">
        <v>37.229999999999997</v>
      </c>
      <c r="E3349" s="1">
        <v>37.61</v>
      </c>
      <c r="F3349" s="1">
        <v>7785600</v>
      </c>
      <c r="G3349" s="1">
        <v>37.61</v>
      </c>
      <c r="H3349" s="1">
        <f t="shared" si="468"/>
        <v>1.8500000000000014</v>
      </c>
      <c r="I3349" s="9">
        <f t="shared" si="475"/>
        <v>4.9691109320440546E-2</v>
      </c>
      <c r="J3349" s="1">
        <f t="shared" si="476"/>
        <v>-0.68999999999999773</v>
      </c>
      <c r="K3349" s="9">
        <f t="shared" si="469"/>
        <v>-1.8015665796344591E-2</v>
      </c>
      <c r="L3349" s="1">
        <f t="shared" si="470"/>
        <v>1</v>
      </c>
      <c r="M3349" s="1">
        <f t="shared" si="471"/>
        <v>39.08</v>
      </c>
      <c r="N3349" s="1">
        <f t="shared" si="472"/>
        <v>37.229999999999997</v>
      </c>
      <c r="O3349" s="1">
        <f t="shared" si="473"/>
        <v>35.65</v>
      </c>
      <c r="P3349" s="1">
        <f t="shared" si="474"/>
        <v>18.188775510204081</v>
      </c>
    </row>
    <row r="3350" spans="1:16">
      <c r="A3350" s="2">
        <v>38201</v>
      </c>
      <c r="B3350" s="1">
        <v>38.450000000000003</v>
      </c>
      <c r="C3350" s="1">
        <v>38.76</v>
      </c>
      <c r="D3350" s="1">
        <v>37.81</v>
      </c>
      <c r="E3350" s="1">
        <v>38.299999999999997</v>
      </c>
      <c r="F3350" s="1">
        <v>5912200</v>
      </c>
      <c r="G3350" s="1">
        <v>38.299999999999997</v>
      </c>
      <c r="H3350" s="1">
        <f t="shared" si="468"/>
        <v>0.94999999999999574</v>
      </c>
      <c r="I3350" s="9">
        <f t="shared" si="475"/>
        <v>2.5125628140703404E-2</v>
      </c>
      <c r="J3350" s="1">
        <f t="shared" si="476"/>
        <v>-0.62000000000000455</v>
      </c>
      <c r="K3350" s="9">
        <f t="shared" si="469"/>
        <v>-1.5930113052415328E-2</v>
      </c>
      <c r="L3350" s="1">
        <f t="shared" si="470"/>
        <v>1</v>
      </c>
      <c r="M3350" s="1">
        <f t="shared" si="471"/>
        <v>38.76</v>
      </c>
      <c r="N3350" s="1">
        <f t="shared" si="472"/>
        <v>37.81</v>
      </c>
      <c r="O3350" s="1">
        <f t="shared" si="473"/>
        <v>36.339999999999996</v>
      </c>
      <c r="P3350" s="1">
        <f t="shared" si="474"/>
        <v>18.54081632653061</v>
      </c>
    </row>
    <row r="3351" spans="1:16">
      <c r="A3351" s="2">
        <v>38198</v>
      </c>
      <c r="B3351" s="1">
        <v>38.5</v>
      </c>
      <c r="C3351" s="1">
        <v>39.42</v>
      </c>
      <c r="D3351" s="1">
        <v>38.229999999999997</v>
      </c>
      <c r="E3351" s="1">
        <v>38.92</v>
      </c>
      <c r="F3351" s="1">
        <v>6031500</v>
      </c>
      <c r="G3351" s="1">
        <v>38.92</v>
      </c>
      <c r="H3351" s="1">
        <f t="shared" si="468"/>
        <v>1.1900000000000048</v>
      </c>
      <c r="I3351" s="9">
        <f t="shared" si="475"/>
        <v>3.1127386868951213E-2</v>
      </c>
      <c r="J3351" s="1">
        <f t="shared" si="476"/>
        <v>0.34000000000000341</v>
      </c>
      <c r="K3351" s="9">
        <f t="shared" si="469"/>
        <v>8.8128564022810635E-3</v>
      </c>
      <c r="L3351" s="1">
        <f t="shared" si="470"/>
        <v>1</v>
      </c>
      <c r="M3351" s="1">
        <f t="shared" si="471"/>
        <v>39.42</v>
      </c>
      <c r="N3351" s="1">
        <f t="shared" si="472"/>
        <v>38.229999999999997</v>
      </c>
      <c r="O3351" s="1">
        <f t="shared" si="473"/>
        <v>36.96</v>
      </c>
      <c r="P3351" s="1">
        <f t="shared" si="474"/>
        <v>18.857142857142858</v>
      </c>
    </row>
    <row r="3352" spans="1:16">
      <c r="A3352" s="2">
        <v>38197</v>
      </c>
      <c r="B3352" s="1">
        <v>38.31</v>
      </c>
      <c r="C3352" s="1">
        <v>38.96</v>
      </c>
      <c r="D3352" s="1">
        <v>38.020000000000003</v>
      </c>
      <c r="E3352" s="1">
        <v>38.58</v>
      </c>
      <c r="F3352" s="1">
        <v>8200000</v>
      </c>
      <c r="G3352" s="1">
        <v>38.58</v>
      </c>
      <c r="H3352" s="1">
        <f t="shared" si="468"/>
        <v>0.93999999999999773</v>
      </c>
      <c r="I3352" s="9">
        <f t="shared" si="475"/>
        <v>2.4723829563387627E-2</v>
      </c>
      <c r="J3352" s="1">
        <f t="shared" si="476"/>
        <v>0.60999999999999943</v>
      </c>
      <c r="K3352" s="9">
        <f t="shared" si="469"/>
        <v>1.606531472214905E-2</v>
      </c>
      <c r="L3352" s="1">
        <f t="shared" si="470"/>
        <v>1</v>
      </c>
      <c r="M3352" s="1">
        <f t="shared" si="471"/>
        <v>38.96</v>
      </c>
      <c r="N3352" s="1">
        <f t="shared" si="472"/>
        <v>38.020000000000003</v>
      </c>
      <c r="O3352" s="1">
        <f t="shared" si="473"/>
        <v>36.619999999999997</v>
      </c>
      <c r="P3352" s="1">
        <f t="shared" si="474"/>
        <v>18.683673469387752</v>
      </c>
    </row>
    <row r="3353" spans="1:16">
      <c r="A3353" s="2">
        <v>38196</v>
      </c>
      <c r="B3353" s="1">
        <v>39.29</v>
      </c>
      <c r="C3353" s="1">
        <v>39.57</v>
      </c>
      <c r="D3353" s="1">
        <v>37.380000000000003</v>
      </c>
      <c r="E3353" s="1">
        <v>37.97</v>
      </c>
      <c r="F3353" s="1">
        <v>10183600</v>
      </c>
      <c r="G3353" s="1">
        <v>37.97</v>
      </c>
      <c r="H3353" s="1">
        <f t="shared" si="468"/>
        <v>2.1899999999999977</v>
      </c>
      <c r="I3353" s="9">
        <f t="shared" si="475"/>
        <v>5.8587479935794474E-2</v>
      </c>
      <c r="J3353" s="1">
        <f t="shared" si="476"/>
        <v>-1.1400000000000006</v>
      </c>
      <c r="K3353" s="9">
        <f t="shared" si="469"/>
        <v>-2.9148555356686284E-2</v>
      </c>
      <c r="L3353" s="1">
        <f t="shared" si="470"/>
        <v>1</v>
      </c>
      <c r="M3353" s="1">
        <f t="shared" si="471"/>
        <v>39.57</v>
      </c>
      <c r="N3353" s="1">
        <f t="shared" si="472"/>
        <v>37.380000000000003</v>
      </c>
      <c r="O3353" s="1">
        <f t="shared" si="473"/>
        <v>36.01</v>
      </c>
      <c r="P3353" s="1">
        <f t="shared" si="474"/>
        <v>18.372448979591837</v>
      </c>
    </row>
    <row r="3354" spans="1:16">
      <c r="A3354" s="2">
        <v>38195</v>
      </c>
      <c r="B3354" s="1">
        <v>39.200000000000003</v>
      </c>
      <c r="C3354" s="1">
        <v>39.909999999999997</v>
      </c>
      <c r="D3354" s="1">
        <v>38.799999999999997</v>
      </c>
      <c r="E3354" s="1">
        <v>39.11</v>
      </c>
      <c r="F3354" s="1">
        <v>10534900</v>
      </c>
      <c r="G3354" s="1">
        <v>39.11</v>
      </c>
      <c r="H3354" s="1">
        <f t="shared" si="468"/>
        <v>1.1099999999999994</v>
      </c>
      <c r="I3354" s="9">
        <f t="shared" si="475"/>
        <v>2.8608247422680401E-2</v>
      </c>
      <c r="J3354" s="1">
        <f t="shared" si="476"/>
        <v>0.32999999999999829</v>
      </c>
      <c r="K3354" s="9">
        <f t="shared" si="469"/>
        <v>8.5095410005156854E-3</v>
      </c>
      <c r="L3354" s="1">
        <f t="shared" si="470"/>
        <v>1</v>
      </c>
      <c r="M3354" s="1">
        <f t="shared" si="471"/>
        <v>39.909999999999997</v>
      </c>
      <c r="N3354" s="1">
        <f t="shared" si="472"/>
        <v>38.799999999999997</v>
      </c>
      <c r="O3354" s="1">
        <f t="shared" si="473"/>
        <v>37.15</v>
      </c>
      <c r="P3354" s="1">
        <f t="shared" si="474"/>
        <v>18.954081632653061</v>
      </c>
    </row>
    <row r="3355" spans="1:16">
      <c r="A3355" s="2">
        <v>38194</v>
      </c>
      <c r="B3355" s="1">
        <v>40.229999999999997</v>
      </c>
      <c r="C3355" s="1">
        <v>40.24</v>
      </c>
      <c r="D3355" s="1">
        <v>38.33</v>
      </c>
      <c r="E3355" s="1">
        <v>38.78</v>
      </c>
      <c r="F3355" s="1">
        <v>13972400</v>
      </c>
      <c r="G3355" s="1">
        <v>38.78</v>
      </c>
      <c r="H3355" s="1">
        <f t="shared" si="468"/>
        <v>1.9100000000000037</v>
      </c>
      <c r="I3355" s="9">
        <f t="shared" si="475"/>
        <v>4.9830420036525012E-2</v>
      </c>
      <c r="J3355" s="1">
        <f t="shared" si="476"/>
        <v>-1.1999999999999957</v>
      </c>
      <c r="K3355" s="9">
        <f t="shared" si="469"/>
        <v>-3.0015007503751773E-2</v>
      </c>
      <c r="L3355" s="1">
        <f t="shared" si="470"/>
        <v>1</v>
      </c>
      <c r="M3355" s="1">
        <f t="shared" si="471"/>
        <v>40.24</v>
      </c>
      <c r="N3355" s="1">
        <f t="shared" si="472"/>
        <v>38.33</v>
      </c>
      <c r="O3355" s="1">
        <f t="shared" si="473"/>
        <v>36.82</v>
      </c>
      <c r="P3355" s="1">
        <f t="shared" si="474"/>
        <v>18.785714285714285</v>
      </c>
    </row>
    <row r="3356" spans="1:16">
      <c r="A3356" s="2">
        <v>38191</v>
      </c>
      <c r="B3356" s="1">
        <v>42.47</v>
      </c>
      <c r="C3356" s="1">
        <v>42.76</v>
      </c>
      <c r="D3356" s="1">
        <v>39.56</v>
      </c>
      <c r="E3356" s="1">
        <v>39.979999999999997</v>
      </c>
      <c r="F3356" s="1">
        <v>35927200</v>
      </c>
      <c r="G3356" s="1">
        <v>39.979999999999997</v>
      </c>
      <c r="H3356" s="1">
        <f t="shared" si="468"/>
        <v>3.1999999999999957</v>
      </c>
      <c r="I3356" s="9">
        <f t="shared" si="475"/>
        <v>8.0889787664307267E-2</v>
      </c>
      <c r="J3356" s="1">
        <f t="shared" si="476"/>
        <v>-5.8400000000000034</v>
      </c>
      <c r="K3356" s="9">
        <f t="shared" si="469"/>
        <v>-0.12745525971191626</v>
      </c>
      <c r="L3356" s="1">
        <f t="shared" si="470"/>
        <v>1</v>
      </c>
      <c r="M3356" s="1">
        <f t="shared" si="471"/>
        <v>42.76</v>
      </c>
      <c r="N3356" s="1">
        <f t="shared" si="472"/>
        <v>39.56</v>
      </c>
      <c r="O3356" s="1">
        <f t="shared" si="473"/>
        <v>38.019999999999996</v>
      </c>
      <c r="P3356" s="1">
        <f t="shared" si="474"/>
        <v>19.397959183673468</v>
      </c>
    </row>
    <row r="3357" spans="1:16">
      <c r="A3357" s="2">
        <v>38190</v>
      </c>
      <c r="B3357" s="1">
        <v>43.71</v>
      </c>
      <c r="C3357" s="1">
        <v>46.07</v>
      </c>
      <c r="D3357" s="1">
        <v>43.64</v>
      </c>
      <c r="E3357" s="1">
        <v>45.82</v>
      </c>
      <c r="F3357" s="1">
        <v>16391000</v>
      </c>
      <c r="G3357" s="1">
        <v>45.82</v>
      </c>
      <c r="H3357" s="1">
        <f t="shared" si="468"/>
        <v>2.4299999999999997</v>
      </c>
      <c r="I3357" s="9">
        <f t="shared" si="475"/>
        <v>5.5682859761686521E-2</v>
      </c>
      <c r="J3357" s="1">
        <f t="shared" si="476"/>
        <v>1.0600000000000023</v>
      </c>
      <c r="K3357" s="9">
        <f t="shared" si="469"/>
        <v>2.3681858802502287E-2</v>
      </c>
      <c r="L3357" s="1">
        <f t="shared" si="470"/>
        <v>1</v>
      </c>
      <c r="M3357" s="1">
        <f t="shared" si="471"/>
        <v>46.07</v>
      </c>
      <c r="N3357" s="1">
        <f t="shared" si="472"/>
        <v>43.64</v>
      </c>
      <c r="O3357" s="1">
        <f t="shared" si="473"/>
        <v>43.86</v>
      </c>
      <c r="P3357" s="1">
        <f t="shared" si="474"/>
        <v>22.377551020408163</v>
      </c>
    </row>
    <row r="3358" spans="1:16">
      <c r="A3358" s="2">
        <v>38189</v>
      </c>
      <c r="B3358" s="1">
        <v>47.32</v>
      </c>
      <c r="C3358" s="1">
        <v>47.6</v>
      </c>
      <c r="D3358" s="1">
        <v>44.52</v>
      </c>
      <c r="E3358" s="1">
        <v>44.76</v>
      </c>
      <c r="F3358" s="1">
        <v>9336500</v>
      </c>
      <c r="G3358" s="1">
        <v>44.76</v>
      </c>
      <c r="H3358" s="1">
        <f t="shared" si="468"/>
        <v>3.0799999999999983</v>
      </c>
      <c r="I3358" s="9">
        <f t="shared" si="475"/>
        <v>6.9182389937106875E-2</v>
      </c>
      <c r="J3358" s="1">
        <f t="shared" si="476"/>
        <v>-2.230000000000004</v>
      </c>
      <c r="K3358" s="9">
        <f t="shared" si="469"/>
        <v>-4.7456905724622342E-2</v>
      </c>
      <c r="L3358" s="1">
        <f t="shared" si="470"/>
        <v>1</v>
      </c>
      <c r="M3358" s="1">
        <f t="shared" si="471"/>
        <v>47.6</v>
      </c>
      <c r="N3358" s="1">
        <f t="shared" si="472"/>
        <v>44.52</v>
      </c>
      <c r="O3358" s="1">
        <f t="shared" si="473"/>
        <v>42.8</v>
      </c>
      <c r="P3358" s="1">
        <f t="shared" si="474"/>
        <v>21.836734693877549</v>
      </c>
    </row>
    <row r="3359" spans="1:16">
      <c r="A3359" s="2">
        <v>38188</v>
      </c>
      <c r="B3359" s="1">
        <v>46.14</v>
      </c>
      <c r="C3359" s="1">
        <v>47.85</v>
      </c>
      <c r="D3359" s="1">
        <v>46.12</v>
      </c>
      <c r="E3359" s="1">
        <v>46.99</v>
      </c>
      <c r="F3359" s="1">
        <v>7626300</v>
      </c>
      <c r="G3359" s="1">
        <v>46.99</v>
      </c>
      <c r="H3359" s="1">
        <f t="shared" si="468"/>
        <v>1.730000000000004</v>
      </c>
      <c r="I3359" s="9">
        <f t="shared" si="475"/>
        <v>3.7510841283608071E-2</v>
      </c>
      <c r="J3359" s="1">
        <f t="shared" si="476"/>
        <v>0.96999999999999886</v>
      </c>
      <c r="K3359" s="9">
        <f t="shared" si="469"/>
        <v>2.1077792264232915E-2</v>
      </c>
      <c r="L3359" s="1">
        <f t="shared" si="470"/>
        <v>1</v>
      </c>
      <c r="M3359" s="1">
        <f t="shared" si="471"/>
        <v>47.85</v>
      </c>
      <c r="N3359" s="1">
        <f t="shared" si="472"/>
        <v>46.12</v>
      </c>
      <c r="O3359" s="1">
        <f t="shared" si="473"/>
        <v>45.03</v>
      </c>
      <c r="P3359" s="1">
        <f t="shared" si="474"/>
        <v>22.97448979591837</v>
      </c>
    </row>
    <row r="3360" spans="1:16">
      <c r="A3360" s="2">
        <v>38187</v>
      </c>
      <c r="B3360" s="1">
        <v>47.26</v>
      </c>
      <c r="C3360" s="1">
        <v>47.26</v>
      </c>
      <c r="D3360" s="1">
        <v>45.15</v>
      </c>
      <c r="E3360" s="1">
        <v>46.02</v>
      </c>
      <c r="F3360" s="1">
        <v>9847100</v>
      </c>
      <c r="G3360" s="1">
        <v>46.02</v>
      </c>
      <c r="H3360" s="1">
        <f t="shared" si="468"/>
        <v>2.1099999999999994</v>
      </c>
      <c r="I3360" s="9">
        <f t="shared" si="475"/>
        <v>4.6733111849390906E-2</v>
      </c>
      <c r="J3360" s="1">
        <f t="shared" si="476"/>
        <v>-1.0799999999999983</v>
      </c>
      <c r="K3360" s="9">
        <f t="shared" si="469"/>
        <v>-2.2929936305732448E-2</v>
      </c>
      <c r="L3360" s="1">
        <f t="shared" si="470"/>
        <v>1</v>
      </c>
      <c r="M3360" s="1">
        <f t="shared" si="471"/>
        <v>47.26</v>
      </c>
      <c r="N3360" s="1">
        <f t="shared" si="472"/>
        <v>45.15</v>
      </c>
      <c r="O3360" s="1">
        <f t="shared" si="473"/>
        <v>44.06</v>
      </c>
      <c r="P3360" s="1">
        <f t="shared" si="474"/>
        <v>22.479591836734695</v>
      </c>
    </row>
    <row r="3361" spans="1:16">
      <c r="A3361" s="2">
        <v>38184</v>
      </c>
      <c r="B3361" s="1">
        <v>48.99</v>
      </c>
      <c r="C3361" s="1">
        <v>49.06</v>
      </c>
      <c r="D3361" s="1">
        <v>46.78</v>
      </c>
      <c r="E3361" s="1">
        <v>47.1</v>
      </c>
      <c r="F3361" s="1">
        <v>9286900</v>
      </c>
      <c r="G3361" s="1">
        <v>47.1</v>
      </c>
      <c r="H3361" s="1">
        <f t="shared" si="468"/>
        <v>2.2800000000000011</v>
      </c>
      <c r="I3361" s="9">
        <f t="shared" si="475"/>
        <v>4.8738777255237307E-2</v>
      </c>
      <c r="J3361" s="1">
        <f t="shared" si="476"/>
        <v>-1.5700000000000003</v>
      </c>
      <c r="K3361" s="9">
        <f t="shared" si="469"/>
        <v>-3.2258064516129038E-2</v>
      </c>
      <c r="L3361" s="1">
        <f t="shared" si="470"/>
        <v>1</v>
      </c>
      <c r="M3361" s="1">
        <f t="shared" si="471"/>
        <v>49.06</v>
      </c>
      <c r="N3361" s="1">
        <f t="shared" si="472"/>
        <v>46.78</v>
      </c>
      <c r="O3361" s="1">
        <f t="shared" si="473"/>
        <v>45.14</v>
      </c>
      <c r="P3361" s="1">
        <f t="shared" si="474"/>
        <v>23.030612244897959</v>
      </c>
    </row>
    <row r="3362" spans="1:16">
      <c r="A3362" s="2">
        <v>38183</v>
      </c>
      <c r="B3362" s="1">
        <v>49.51</v>
      </c>
      <c r="C3362" s="1">
        <v>49.67</v>
      </c>
      <c r="D3362" s="1">
        <v>48.12</v>
      </c>
      <c r="E3362" s="1">
        <v>48.67</v>
      </c>
      <c r="F3362" s="1">
        <v>5244100</v>
      </c>
      <c r="G3362" s="1">
        <v>48.67</v>
      </c>
      <c r="H3362" s="1">
        <f t="shared" si="468"/>
        <v>1.5500000000000043</v>
      </c>
      <c r="I3362" s="9">
        <f t="shared" si="475"/>
        <v>3.2211138819617714E-2</v>
      </c>
      <c r="J3362" s="1">
        <f t="shared" si="476"/>
        <v>-0.82999999999999829</v>
      </c>
      <c r="K3362" s="9">
        <f t="shared" si="469"/>
        <v>-1.6767676767676733E-2</v>
      </c>
      <c r="L3362" s="1">
        <f t="shared" si="470"/>
        <v>1</v>
      </c>
      <c r="M3362" s="1">
        <f t="shared" si="471"/>
        <v>49.67</v>
      </c>
      <c r="N3362" s="1">
        <f t="shared" si="472"/>
        <v>48.12</v>
      </c>
      <c r="O3362" s="1">
        <f t="shared" si="473"/>
        <v>46.71</v>
      </c>
      <c r="P3362" s="1">
        <f t="shared" si="474"/>
        <v>23.831632653061224</v>
      </c>
    </row>
    <row r="3363" spans="1:16">
      <c r="A3363" s="2">
        <v>38182</v>
      </c>
      <c r="B3363" s="1">
        <v>48.95</v>
      </c>
      <c r="C3363" s="1">
        <v>50.4</v>
      </c>
      <c r="D3363" s="1">
        <v>48.89</v>
      </c>
      <c r="E3363" s="1">
        <v>49.5</v>
      </c>
      <c r="F3363" s="1">
        <v>5065600</v>
      </c>
      <c r="G3363" s="1">
        <v>49.5</v>
      </c>
      <c r="H3363" s="1">
        <f t="shared" si="468"/>
        <v>1.509999999999998</v>
      </c>
      <c r="I3363" s="9">
        <f t="shared" si="475"/>
        <v>3.0885661689507016E-2</v>
      </c>
      <c r="J3363" s="1">
        <f t="shared" si="476"/>
        <v>-0.10000000000000142</v>
      </c>
      <c r="K3363" s="9">
        <f t="shared" si="469"/>
        <v>-2.0161290322580931E-3</v>
      </c>
      <c r="L3363" s="1">
        <f t="shared" si="470"/>
        <v>1</v>
      </c>
      <c r="M3363" s="1">
        <f t="shared" si="471"/>
        <v>50.4</v>
      </c>
      <c r="N3363" s="1">
        <f t="shared" si="472"/>
        <v>48.89</v>
      </c>
      <c r="O3363" s="1">
        <f t="shared" si="473"/>
        <v>47.54</v>
      </c>
      <c r="P3363" s="1">
        <f t="shared" si="474"/>
        <v>24.255102040816325</v>
      </c>
    </row>
    <row r="3364" spans="1:16">
      <c r="A3364" s="2">
        <v>38181</v>
      </c>
      <c r="B3364" s="1">
        <v>49.11</v>
      </c>
      <c r="C3364" s="1">
        <v>49.98</v>
      </c>
      <c r="D3364" s="1">
        <v>48.87</v>
      </c>
      <c r="E3364" s="1">
        <v>49.6</v>
      </c>
      <c r="F3364" s="1">
        <v>4908800</v>
      </c>
      <c r="G3364" s="1">
        <v>49.6</v>
      </c>
      <c r="H3364" s="1">
        <f t="shared" si="468"/>
        <v>1.1099999999999994</v>
      </c>
      <c r="I3364" s="9">
        <f t="shared" si="475"/>
        <v>2.2713321055862483E-2</v>
      </c>
      <c r="J3364" s="1">
        <f t="shared" si="476"/>
        <v>0.55000000000000426</v>
      </c>
      <c r="K3364" s="9">
        <f t="shared" si="469"/>
        <v>1.1213047910295704E-2</v>
      </c>
      <c r="L3364" s="1">
        <f t="shared" si="470"/>
        <v>1</v>
      </c>
      <c r="M3364" s="1">
        <f t="shared" si="471"/>
        <v>49.98</v>
      </c>
      <c r="N3364" s="1">
        <f t="shared" si="472"/>
        <v>48.87</v>
      </c>
      <c r="O3364" s="1">
        <f t="shared" si="473"/>
        <v>47.64</v>
      </c>
      <c r="P3364" s="1">
        <f t="shared" si="474"/>
        <v>24.306122448979593</v>
      </c>
    </row>
    <row r="3365" spans="1:16">
      <c r="A3365" s="2">
        <v>38180</v>
      </c>
      <c r="B3365" s="1">
        <v>48.22</v>
      </c>
      <c r="C3365" s="1">
        <v>49.35</v>
      </c>
      <c r="D3365" s="1">
        <v>48.03</v>
      </c>
      <c r="E3365" s="1">
        <v>49.05</v>
      </c>
      <c r="F3365" s="1">
        <v>7066900</v>
      </c>
      <c r="G3365" s="1">
        <v>49.05</v>
      </c>
      <c r="H3365" s="1">
        <f t="shared" si="468"/>
        <v>1.3200000000000003</v>
      </c>
      <c r="I3365" s="9">
        <f t="shared" si="475"/>
        <v>2.7482823235477832E-2</v>
      </c>
      <c r="J3365" s="1">
        <f t="shared" si="476"/>
        <v>0.72999999999999687</v>
      </c>
      <c r="K3365" s="9">
        <f t="shared" si="469"/>
        <v>1.510761589403967E-2</v>
      </c>
      <c r="L3365" s="1">
        <f t="shared" si="470"/>
        <v>1</v>
      </c>
      <c r="M3365" s="1">
        <f t="shared" si="471"/>
        <v>49.35</v>
      </c>
      <c r="N3365" s="1">
        <f t="shared" si="472"/>
        <v>48.03</v>
      </c>
      <c r="O3365" s="1">
        <f t="shared" si="473"/>
        <v>47.089999999999996</v>
      </c>
      <c r="P3365" s="1">
        <f t="shared" si="474"/>
        <v>24.02551020408163</v>
      </c>
    </row>
    <row r="3366" spans="1:16">
      <c r="A3366" s="2">
        <v>38177</v>
      </c>
      <c r="B3366" s="1">
        <v>49.87</v>
      </c>
      <c r="C3366" s="1">
        <v>50</v>
      </c>
      <c r="D3366" s="1">
        <v>47.82</v>
      </c>
      <c r="E3366" s="1">
        <v>48.32</v>
      </c>
      <c r="F3366" s="1">
        <v>8033500</v>
      </c>
      <c r="G3366" s="1">
        <v>48.32</v>
      </c>
      <c r="H3366" s="1">
        <f t="shared" si="468"/>
        <v>2.1799999999999997</v>
      </c>
      <c r="I3366" s="9">
        <f t="shared" si="475"/>
        <v>4.5587620242576322E-2</v>
      </c>
      <c r="J3366" s="1">
        <f t="shared" si="476"/>
        <v>-1.1799999999999997</v>
      </c>
      <c r="K3366" s="9">
        <f t="shared" si="469"/>
        <v>-2.3838383838383832E-2</v>
      </c>
      <c r="L3366" s="1">
        <f t="shared" si="470"/>
        <v>1</v>
      </c>
      <c r="M3366" s="1">
        <f t="shared" si="471"/>
        <v>50</v>
      </c>
      <c r="N3366" s="1">
        <f t="shared" si="472"/>
        <v>47.82</v>
      </c>
      <c r="O3366" s="1">
        <f t="shared" si="473"/>
        <v>46.36</v>
      </c>
      <c r="P3366" s="1">
        <f t="shared" si="474"/>
        <v>23.653061224489797</v>
      </c>
    </row>
    <row r="3367" spans="1:16">
      <c r="A3367" s="2">
        <v>38176</v>
      </c>
      <c r="B3367" s="1">
        <v>48.51</v>
      </c>
      <c r="C3367" s="1">
        <v>49.97</v>
      </c>
      <c r="D3367" s="1">
        <v>48.47</v>
      </c>
      <c r="E3367" s="1">
        <v>49.5</v>
      </c>
      <c r="F3367" s="1">
        <v>10033900</v>
      </c>
      <c r="G3367" s="1">
        <v>49.5</v>
      </c>
      <c r="H3367" s="1">
        <f t="shared" si="468"/>
        <v>1.5</v>
      </c>
      <c r="I3367" s="9">
        <f t="shared" si="475"/>
        <v>3.0946977511863007E-2</v>
      </c>
      <c r="J3367" s="1">
        <f t="shared" si="476"/>
        <v>-1.5</v>
      </c>
      <c r="K3367" s="9">
        <f t="shared" si="469"/>
        <v>-2.9411764705882353E-2</v>
      </c>
      <c r="L3367" s="1">
        <f t="shared" si="470"/>
        <v>1</v>
      </c>
      <c r="M3367" s="1">
        <f t="shared" si="471"/>
        <v>49.97</v>
      </c>
      <c r="N3367" s="1">
        <f t="shared" si="472"/>
        <v>48.47</v>
      </c>
      <c r="O3367" s="1">
        <f t="shared" si="473"/>
        <v>47.54</v>
      </c>
      <c r="P3367" s="1">
        <f t="shared" si="474"/>
        <v>24.255102040816325</v>
      </c>
    </row>
    <row r="3368" spans="1:16">
      <c r="A3368" s="2">
        <v>38175</v>
      </c>
      <c r="B3368" s="1">
        <v>50.79</v>
      </c>
      <c r="C3368" s="1">
        <v>52.03</v>
      </c>
      <c r="D3368" s="1">
        <v>50.24</v>
      </c>
      <c r="E3368" s="1">
        <v>51</v>
      </c>
      <c r="F3368" s="1">
        <v>6515600</v>
      </c>
      <c r="G3368" s="1">
        <v>51</v>
      </c>
      <c r="H3368" s="1">
        <f t="shared" si="468"/>
        <v>1.7899999999999991</v>
      </c>
      <c r="I3368" s="9">
        <f t="shared" si="475"/>
        <v>3.5628980891719723E-2</v>
      </c>
      <c r="J3368" s="1">
        <f t="shared" si="476"/>
        <v>-0.24000000000000199</v>
      </c>
      <c r="K3368" s="9">
        <f t="shared" si="469"/>
        <v>-4.6838407494145589E-3</v>
      </c>
      <c r="L3368" s="1">
        <f t="shared" si="470"/>
        <v>1</v>
      </c>
      <c r="M3368" s="1">
        <f t="shared" si="471"/>
        <v>52.03</v>
      </c>
      <c r="N3368" s="1">
        <f t="shared" si="472"/>
        <v>50.24</v>
      </c>
      <c r="O3368" s="1">
        <f t="shared" si="473"/>
        <v>49.04</v>
      </c>
      <c r="P3368" s="1">
        <f t="shared" si="474"/>
        <v>25.020408163265305</v>
      </c>
    </row>
    <row r="3369" spans="1:16">
      <c r="A3369" s="2">
        <v>38174</v>
      </c>
      <c r="B3369" s="1">
        <v>52.55</v>
      </c>
      <c r="C3369" s="1">
        <v>52.6</v>
      </c>
      <c r="D3369" s="1">
        <v>50.49</v>
      </c>
      <c r="E3369" s="1">
        <v>51.24</v>
      </c>
      <c r="F3369" s="1">
        <v>6156900</v>
      </c>
      <c r="G3369" s="1">
        <v>51.24</v>
      </c>
      <c r="H3369" s="1">
        <f t="shared" si="468"/>
        <v>2.1099999999999994</v>
      </c>
      <c r="I3369" s="9">
        <f t="shared" si="475"/>
        <v>4.1790453555159424E-2</v>
      </c>
      <c r="J3369" s="1">
        <f t="shared" si="476"/>
        <v>-1.3500000000000014</v>
      </c>
      <c r="K3369" s="9">
        <f t="shared" si="469"/>
        <v>-2.5670279520821473E-2</v>
      </c>
      <c r="L3369" s="1">
        <f t="shared" si="470"/>
        <v>1</v>
      </c>
      <c r="M3369" s="1">
        <f t="shared" si="471"/>
        <v>52.6</v>
      </c>
      <c r="N3369" s="1">
        <f t="shared" si="472"/>
        <v>50.49</v>
      </c>
      <c r="O3369" s="1">
        <f t="shared" si="473"/>
        <v>49.28</v>
      </c>
      <c r="P3369" s="1">
        <f t="shared" si="474"/>
        <v>25.142857142857142</v>
      </c>
    </row>
    <row r="3370" spans="1:16">
      <c r="A3370" s="2">
        <v>38170</v>
      </c>
      <c r="B3370" s="1">
        <v>52.62</v>
      </c>
      <c r="C3370" s="1">
        <v>53.24</v>
      </c>
      <c r="D3370" s="1">
        <v>51.83</v>
      </c>
      <c r="E3370" s="1">
        <v>52.59</v>
      </c>
      <c r="F3370" s="1">
        <v>4862400</v>
      </c>
      <c r="G3370" s="1">
        <v>52.59</v>
      </c>
      <c r="H3370" s="1">
        <f t="shared" si="468"/>
        <v>1.4100000000000037</v>
      </c>
      <c r="I3370" s="9">
        <f t="shared" si="475"/>
        <v>2.7204321821339066E-2</v>
      </c>
      <c r="J3370" s="1">
        <f t="shared" si="476"/>
        <v>3.0000000000001137E-2</v>
      </c>
      <c r="K3370" s="9">
        <f t="shared" si="469"/>
        <v>5.7077625570778421E-4</v>
      </c>
      <c r="L3370" s="1">
        <f t="shared" si="470"/>
        <v>1</v>
      </c>
      <c r="M3370" s="1">
        <f t="shared" si="471"/>
        <v>53.24</v>
      </c>
      <c r="N3370" s="1">
        <f t="shared" si="472"/>
        <v>51.83</v>
      </c>
      <c r="O3370" s="1">
        <f t="shared" si="473"/>
        <v>50.63</v>
      </c>
      <c r="P3370" s="1">
        <f t="shared" si="474"/>
        <v>25.831632653061227</v>
      </c>
    </row>
    <row r="3371" spans="1:16">
      <c r="A3371" s="2">
        <v>38169</v>
      </c>
      <c r="B3371" s="1">
        <v>53.8</v>
      </c>
      <c r="C3371" s="1">
        <v>54.04</v>
      </c>
      <c r="D3371" s="1">
        <v>52.05</v>
      </c>
      <c r="E3371" s="1">
        <v>52.56</v>
      </c>
      <c r="F3371" s="1">
        <v>7211900</v>
      </c>
      <c r="G3371" s="1">
        <v>52.56</v>
      </c>
      <c r="H3371" s="1">
        <f t="shared" si="468"/>
        <v>1.990000000000002</v>
      </c>
      <c r="I3371" s="9">
        <f t="shared" si="475"/>
        <v>3.8232468780019249E-2</v>
      </c>
      <c r="J3371" s="1">
        <f t="shared" si="476"/>
        <v>-1.8399999999999963</v>
      </c>
      <c r="K3371" s="9">
        <f t="shared" si="469"/>
        <v>-3.3823529411764641E-2</v>
      </c>
      <c r="L3371" s="1">
        <f t="shared" si="470"/>
        <v>1</v>
      </c>
      <c r="M3371" s="1">
        <f t="shared" si="471"/>
        <v>54.04</v>
      </c>
      <c r="N3371" s="1">
        <f t="shared" si="472"/>
        <v>52.05</v>
      </c>
      <c r="O3371" s="1">
        <f t="shared" si="473"/>
        <v>50.6</v>
      </c>
      <c r="P3371" s="1">
        <f t="shared" si="474"/>
        <v>25.816326530612248</v>
      </c>
    </row>
    <row r="3372" spans="1:16">
      <c r="A3372" s="2">
        <v>38168</v>
      </c>
      <c r="B3372" s="1">
        <v>53.61</v>
      </c>
      <c r="C3372" s="1">
        <v>54.7</v>
      </c>
      <c r="D3372" s="1">
        <v>53.42</v>
      </c>
      <c r="E3372" s="1">
        <v>54.4</v>
      </c>
      <c r="F3372" s="1">
        <v>6899100</v>
      </c>
      <c r="G3372" s="1">
        <v>54.4</v>
      </c>
      <c r="H3372" s="1">
        <f t="shared" si="468"/>
        <v>1.2800000000000011</v>
      </c>
      <c r="I3372" s="9">
        <f t="shared" si="475"/>
        <v>2.3961063272182722E-2</v>
      </c>
      <c r="J3372" s="1">
        <f t="shared" si="476"/>
        <v>0.68999999999999773</v>
      </c>
      <c r="K3372" s="9">
        <f t="shared" si="469"/>
        <v>1.2846769689070893E-2</v>
      </c>
      <c r="L3372" s="1">
        <f t="shared" si="470"/>
        <v>1</v>
      </c>
      <c r="M3372" s="1">
        <f t="shared" si="471"/>
        <v>54.7</v>
      </c>
      <c r="N3372" s="1">
        <f t="shared" si="472"/>
        <v>53.42</v>
      </c>
      <c r="O3372" s="1">
        <f t="shared" si="473"/>
        <v>52.44</v>
      </c>
      <c r="P3372" s="1">
        <f t="shared" si="474"/>
        <v>26.755102040816325</v>
      </c>
    </row>
    <row r="3373" spans="1:16">
      <c r="A3373" s="2">
        <v>38167</v>
      </c>
      <c r="B3373" s="1">
        <v>53.22</v>
      </c>
      <c r="C3373" s="1">
        <v>53.94</v>
      </c>
      <c r="D3373" s="1">
        <v>52.65</v>
      </c>
      <c r="E3373" s="1">
        <v>53.71</v>
      </c>
      <c r="F3373" s="1">
        <v>8589400</v>
      </c>
      <c r="G3373" s="1">
        <v>53.71</v>
      </c>
      <c r="H3373" s="1">
        <f t="shared" si="468"/>
        <v>1.2899999999999991</v>
      </c>
      <c r="I3373" s="9">
        <f t="shared" si="475"/>
        <v>2.4501424501424486E-2</v>
      </c>
      <c r="J3373" s="1">
        <f t="shared" si="476"/>
        <v>0.32000000000000028</v>
      </c>
      <c r="K3373" s="9">
        <f t="shared" si="469"/>
        <v>5.9936317662483661E-3</v>
      </c>
      <c r="L3373" s="1">
        <f t="shared" si="470"/>
        <v>1</v>
      </c>
      <c r="M3373" s="1">
        <f t="shared" si="471"/>
        <v>53.94</v>
      </c>
      <c r="N3373" s="1">
        <f t="shared" si="472"/>
        <v>52.65</v>
      </c>
      <c r="O3373" s="1">
        <f t="shared" si="473"/>
        <v>51.75</v>
      </c>
      <c r="P3373" s="1">
        <f t="shared" si="474"/>
        <v>26.403061224489797</v>
      </c>
    </row>
    <row r="3374" spans="1:16">
      <c r="A3374" s="2">
        <v>38166</v>
      </c>
      <c r="B3374" s="1">
        <v>52.38</v>
      </c>
      <c r="C3374" s="1">
        <v>54.04</v>
      </c>
      <c r="D3374" s="1">
        <v>52.2</v>
      </c>
      <c r="E3374" s="1">
        <v>53.39</v>
      </c>
      <c r="F3374" s="1">
        <v>11503900</v>
      </c>
      <c r="G3374" s="1">
        <v>53.39</v>
      </c>
      <c r="H3374" s="1">
        <f t="shared" si="468"/>
        <v>1.8399999999999963</v>
      </c>
      <c r="I3374" s="9">
        <f t="shared" si="475"/>
        <v>3.5249042145593795E-2</v>
      </c>
      <c r="J3374" s="1">
        <f t="shared" si="476"/>
        <v>1.5900000000000034</v>
      </c>
      <c r="K3374" s="9">
        <f t="shared" si="469"/>
        <v>3.0694980694980764E-2</v>
      </c>
      <c r="L3374" s="1">
        <f t="shared" si="470"/>
        <v>1</v>
      </c>
      <c r="M3374" s="1">
        <f t="shared" si="471"/>
        <v>54.04</v>
      </c>
      <c r="N3374" s="1">
        <f t="shared" si="472"/>
        <v>52.2</v>
      </c>
      <c r="O3374" s="1">
        <f t="shared" si="473"/>
        <v>51.43</v>
      </c>
      <c r="P3374" s="1">
        <f t="shared" si="474"/>
        <v>26.239795918367346</v>
      </c>
    </row>
    <row r="3375" spans="1:16">
      <c r="A3375" s="2">
        <v>38163</v>
      </c>
      <c r="B3375" s="1">
        <v>51.05</v>
      </c>
      <c r="C3375" s="1">
        <v>51.93</v>
      </c>
      <c r="D3375" s="1">
        <v>50.87</v>
      </c>
      <c r="E3375" s="1">
        <v>51.8</v>
      </c>
      <c r="F3375" s="1">
        <v>6998100</v>
      </c>
      <c r="G3375" s="1">
        <v>51.8</v>
      </c>
      <c r="H3375" s="1">
        <f t="shared" si="468"/>
        <v>1.0600000000000023</v>
      </c>
      <c r="I3375" s="9">
        <f t="shared" si="475"/>
        <v>2.0837428739925345E-2</v>
      </c>
      <c r="J3375" s="1">
        <f t="shared" si="476"/>
        <v>0.77999999999999403</v>
      </c>
      <c r="K3375" s="9">
        <f t="shared" si="469"/>
        <v>1.5288122304978322E-2</v>
      </c>
      <c r="L3375" s="1">
        <f t="shared" si="470"/>
        <v>1</v>
      </c>
      <c r="M3375" s="1">
        <f t="shared" si="471"/>
        <v>51.93</v>
      </c>
      <c r="N3375" s="1">
        <f t="shared" si="472"/>
        <v>50.87</v>
      </c>
      <c r="O3375" s="1">
        <f t="shared" si="473"/>
        <v>49.839999999999996</v>
      </c>
      <c r="P3375" s="1">
        <f t="shared" si="474"/>
        <v>25.428571428571427</v>
      </c>
    </row>
    <row r="3376" spans="1:16">
      <c r="A3376" s="2">
        <v>38162</v>
      </c>
      <c r="B3376" s="1">
        <v>51</v>
      </c>
      <c r="C3376" s="1">
        <v>51.94</v>
      </c>
      <c r="D3376" s="1">
        <v>50.69</v>
      </c>
      <c r="E3376" s="1">
        <v>51.02</v>
      </c>
      <c r="F3376" s="1">
        <v>6760100</v>
      </c>
      <c r="G3376" s="1">
        <v>51.02</v>
      </c>
      <c r="H3376" s="1">
        <f t="shared" si="468"/>
        <v>1.25</v>
      </c>
      <c r="I3376" s="9">
        <f t="shared" si="475"/>
        <v>2.465969619254291E-2</v>
      </c>
      <c r="J3376" s="1">
        <f t="shared" si="476"/>
        <v>0.21000000000000085</v>
      </c>
      <c r="K3376" s="9">
        <f t="shared" si="469"/>
        <v>4.1330446762448507E-3</v>
      </c>
      <c r="L3376" s="1">
        <f t="shared" si="470"/>
        <v>1</v>
      </c>
      <c r="M3376" s="1">
        <f t="shared" si="471"/>
        <v>51.94</v>
      </c>
      <c r="N3376" s="1">
        <f t="shared" si="472"/>
        <v>50.69</v>
      </c>
      <c r="O3376" s="1">
        <f t="shared" si="473"/>
        <v>49.06</v>
      </c>
      <c r="P3376" s="1">
        <f t="shared" si="474"/>
        <v>25.030612244897959</v>
      </c>
    </row>
    <row r="3377" spans="1:16">
      <c r="A3377" s="2">
        <v>38161</v>
      </c>
      <c r="B3377" s="1">
        <v>48.77</v>
      </c>
      <c r="C3377" s="1">
        <v>51</v>
      </c>
      <c r="D3377" s="1">
        <v>48.35</v>
      </c>
      <c r="E3377" s="1">
        <v>50.81</v>
      </c>
      <c r="F3377" s="1">
        <v>7594700</v>
      </c>
      <c r="G3377" s="1">
        <v>50.81</v>
      </c>
      <c r="H3377" s="1">
        <f t="shared" si="468"/>
        <v>2.6499999999999986</v>
      </c>
      <c r="I3377" s="9">
        <f t="shared" si="475"/>
        <v>5.4808686659772461E-2</v>
      </c>
      <c r="J3377" s="1">
        <f t="shared" si="476"/>
        <v>1.8100000000000023</v>
      </c>
      <c r="K3377" s="9">
        <f t="shared" si="469"/>
        <v>3.6938775510204129E-2</v>
      </c>
      <c r="L3377" s="1">
        <f t="shared" si="470"/>
        <v>1</v>
      </c>
      <c r="M3377" s="1">
        <f t="shared" si="471"/>
        <v>51</v>
      </c>
      <c r="N3377" s="1">
        <f t="shared" si="472"/>
        <v>48.35</v>
      </c>
      <c r="O3377" s="1">
        <f t="shared" si="473"/>
        <v>48.85</v>
      </c>
      <c r="P3377" s="1">
        <f t="shared" si="474"/>
        <v>24.923469387755102</v>
      </c>
    </row>
    <row r="3378" spans="1:16">
      <c r="A3378" s="2">
        <v>38160</v>
      </c>
      <c r="B3378" s="1">
        <v>49.67</v>
      </c>
      <c r="C3378" s="1">
        <v>49.79</v>
      </c>
      <c r="D3378" s="1">
        <v>48.24</v>
      </c>
      <c r="E3378" s="1">
        <v>49</v>
      </c>
      <c r="F3378" s="1">
        <v>8120500</v>
      </c>
      <c r="G3378" s="1">
        <v>49</v>
      </c>
      <c r="H3378" s="1">
        <f t="shared" si="468"/>
        <v>1.5499999999999972</v>
      </c>
      <c r="I3378" s="9">
        <f t="shared" si="475"/>
        <v>3.2131011608623486E-2</v>
      </c>
      <c r="J3378" s="1">
        <f t="shared" si="476"/>
        <v>-0.77000000000000313</v>
      </c>
      <c r="K3378" s="9">
        <f t="shared" si="469"/>
        <v>-1.5471167369901609E-2</v>
      </c>
      <c r="L3378" s="1">
        <f t="shared" si="470"/>
        <v>1</v>
      </c>
      <c r="M3378" s="1">
        <f t="shared" si="471"/>
        <v>49.79</v>
      </c>
      <c r="N3378" s="1">
        <f t="shared" si="472"/>
        <v>48.24</v>
      </c>
      <c r="O3378" s="1">
        <f t="shared" si="473"/>
        <v>47.04</v>
      </c>
      <c r="P3378" s="1">
        <f t="shared" si="474"/>
        <v>24</v>
      </c>
    </row>
    <row r="3379" spans="1:16">
      <c r="A3379" s="2">
        <v>38159</v>
      </c>
      <c r="B3379" s="1">
        <v>49.45</v>
      </c>
      <c r="C3379" s="1">
        <v>50.3</v>
      </c>
      <c r="D3379" s="1">
        <v>49.25</v>
      </c>
      <c r="E3379" s="1">
        <v>49.77</v>
      </c>
      <c r="F3379" s="1">
        <v>4490300</v>
      </c>
      <c r="G3379" s="1">
        <v>49.77</v>
      </c>
      <c r="H3379" s="1">
        <f t="shared" si="468"/>
        <v>1.0499999999999972</v>
      </c>
      <c r="I3379" s="9">
        <f t="shared" si="475"/>
        <v>2.1319796954314664E-2</v>
      </c>
      <c r="J3379" s="1">
        <f t="shared" si="476"/>
        <v>0.17000000000000171</v>
      </c>
      <c r="K3379" s="9">
        <f t="shared" si="469"/>
        <v>3.427419354838744E-3</v>
      </c>
      <c r="L3379" s="1">
        <f t="shared" si="470"/>
        <v>1</v>
      </c>
      <c r="M3379" s="1">
        <f t="shared" si="471"/>
        <v>50.3</v>
      </c>
      <c r="N3379" s="1">
        <f t="shared" si="472"/>
        <v>49.25</v>
      </c>
      <c r="O3379" s="1">
        <f t="shared" si="473"/>
        <v>47.81</v>
      </c>
      <c r="P3379" s="1">
        <f t="shared" si="474"/>
        <v>24.392857142857146</v>
      </c>
    </row>
    <row r="3380" spans="1:16">
      <c r="A3380" s="2">
        <v>38156</v>
      </c>
      <c r="B3380" s="1">
        <v>49.44</v>
      </c>
      <c r="C3380" s="1">
        <v>50.28</v>
      </c>
      <c r="D3380" s="1">
        <v>49.4</v>
      </c>
      <c r="E3380" s="1">
        <v>49.6</v>
      </c>
      <c r="F3380" s="1">
        <v>4416700</v>
      </c>
      <c r="G3380" s="1">
        <v>49.6</v>
      </c>
      <c r="H3380" s="1">
        <f t="shared" si="468"/>
        <v>0.88000000000000256</v>
      </c>
      <c r="I3380" s="9">
        <f t="shared" si="475"/>
        <v>1.7813765182186286E-2</v>
      </c>
      <c r="J3380" s="1">
        <f t="shared" si="476"/>
        <v>-0.17000000000000171</v>
      </c>
      <c r="K3380" s="9">
        <f t="shared" si="469"/>
        <v>-3.4157122764718042E-3</v>
      </c>
      <c r="L3380" s="1">
        <f t="shared" si="470"/>
        <v>1</v>
      </c>
      <c r="M3380" s="1">
        <f t="shared" si="471"/>
        <v>50.28</v>
      </c>
      <c r="N3380" s="1">
        <f t="shared" si="472"/>
        <v>49.4</v>
      </c>
      <c r="O3380" s="1">
        <f t="shared" si="473"/>
        <v>47.64</v>
      </c>
      <c r="P3380" s="1">
        <f t="shared" si="474"/>
        <v>24.306122448979593</v>
      </c>
    </row>
    <row r="3381" spans="1:16">
      <c r="A3381" s="2">
        <v>38155</v>
      </c>
      <c r="B3381" s="1">
        <v>50.51</v>
      </c>
      <c r="C3381" s="1">
        <v>50.91</v>
      </c>
      <c r="D3381" s="1">
        <v>49.41</v>
      </c>
      <c r="E3381" s="1">
        <v>49.77</v>
      </c>
      <c r="F3381" s="1">
        <v>5875500</v>
      </c>
      <c r="G3381" s="1">
        <v>49.77</v>
      </c>
      <c r="H3381" s="1">
        <f t="shared" si="468"/>
        <v>1.5</v>
      </c>
      <c r="I3381" s="9">
        <f t="shared" si="475"/>
        <v>3.0358227079538558E-2</v>
      </c>
      <c r="J3381" s="1">
        <f t="shared" si="476"/>
        <v>-0.79999999999999716</v>
      </c>
      <c r="K3381" s="9">
        <f t="shared" si="469"/>
        <v>-1.581965592248363E-2</v>
      </c>
      <c r="L3381" s="1">
        <f t="shared" si="470"/>
        <v>1</v>
      </c>
      <c r="M3381" s="1">
        <f t="shared" si="471"/>
        <v>50.91</v>
      </c>
      <c r="N3381" s="1">
        <f t="shared" si="472"/>
        <v>49.41</v>
      </c>
      <c r="O3381" s="1">
        <f t="shared" si="473"/>
        <v>47.81</v>
      </c>
      <c r="P3381" s="1">
        <f t="shared" si="474"/>
        <v>24.392857142857146</v>
      </c>
    </row>
    <row r="3382" spans="1:16">
      <c r="A3382" s="2">
        <v>38154</v>
      </c>
      <c r="B3382" s="1">
        <v>50.09</v>
      </c>
      <c r="C3382" s="1">
        <v>50.75</v>
      </c>
      <c r="D3382" s="1">
        <v>49.91</v>
      </c>
      <c r="E3382" s="1">
        <v>50.57</v>
      </c>
      <c r="F3382" s="1">
        <v>4097600</v>
      </c>
      <c r="G3382" s="1">
        <v>50.57</v>
      </c>
      <c r="H3382" s="1">
        <f t="shared" si="468"/>
        <v>0.84000000000000341</v>
      </c>
      <c r="I3382" s="9">
        <f t="shared" si="475"/>
        <v>1.6830294530154347E-2</v>
      </c>
      <c r="J3382" s="1">
        <f t="shared" si="476"/>
        <v>0.46000000000000085</v>
      </c>
      <c r="K3382" s="9">
        <f t="shared" si="469"/>
        <v>9.1798044302534593E-3</v>
      </c>
      <c r="L3382" s="1">
        <f t="shared" si="470"/>
        <v>1</v>
      </c>
      <c r="M3382" s="1">
        <f t="shared" si="471"/>
        <v>50.75</v>
      </c>
      <c r="N3382" s="1">
        <f t="shared" si="472"/>
        <v>49.91</v>
      </c>
      <c r="O3382" s="1">
        <f t="shared" si="473"/>
        <v>48.61</v>
      </c>
      <c r="P3382" s="1">
        <f t="shared" si="474"/>
        <v>24.801020408163264</v>
      </c>
    </row>
    <row r="3383" spans="1:16">
      <c r="A3383" s="2">
        <v>38153</v>
      </c>
      <c r="B3383" s="1">
        <v>49.71</v>
      </c>
      <c r="C3383" s="1">
        <v>50.6</v>
      </c>
      <c r="D3383" s="1">
        <v>49.49</v>
      </c>
      <c r="E3383" s="1">
        <v>50.11</v>
      </c>
      <c r="F3383" s="1">
        <v>6912500</v>
      </c>
      <c r="G3383" s="1">
        <v>50.11</v>
      </c>
      <c r="H3383" s="1">
        <f t="shared" si="468"/>
        <v>1.1099999999999994</v>
      </c>
      <c r="I3383" s="9">
        <f t="shared" si="475"/>
        <v>2.2428773489593844E-2</v>
      </c>
      <c r="J3383" s="1">
        <f t="shared" si="476"/>
        <v>0.85999999999999943</v>
      </c>
      <c r="K3383" s="9">
        <f t="shared" si="469"/>
        <v>1.7461928934010142E-2</v>
      </c>
      <c r="L3383" s="1">
        <f t="shared" si="470"/>
        <v>1</v>
      </c>
      <c r="M3383" s="1">
        <f t="shared" si="471"/>
        <v>50.6</v>
      </c>
      <c r="N3383" s="1">
        <f t="shared" si="472"/>
        <v>49.49</v>
      </c>
      <c r="O3383" s="1">
        <f t="shared" si="473"/>
        <v>48.15</v>
      </c>
      <c r="P3383" s="1">
        <f t="shared" si="474"/>
        <v>24.566326530612244</v>
      </c>
    </row>
    <row r="3384" spans="1:16">
      <c r="A3384" s="2">
        <v>38152</v>
      </c>
      <c r="B3384" s="1">
        <v>49.34</v>
      </c>
      <c r="C3384" s="1">
        <v>49.99</v>
      </c>
      <c r="D3384" s="1">
        <v>49.04</v>
      </c>
      <c r="E3384" s="1">
        <v>49.25</v>
      </c>
      <c r="F3384" s="1">
        <v>5180900</v>
      </c>
      <c r="G3384" s="1">
        <v>49.25</v>
      </c>
      <c r="H3384" s="1">
        <f t="shared" si="468"/>
        <v>0.95000000000000284</v>
      </c>
      <c r="I3384" s="9">
        <f t="shared" si="475"/>
        <v>1.9371941272430727E-2</v>
      </c>
      <c r="J3384" s="1">
        <f t="shared" si="476"/>
        <v>-0.68999999999999773</v>
      </c>
      <c r="K3384" s="9">
        <f t="shared" si="469"/>
        <v>-1.3816579895875005E-2</v>
      </c>
      <c r="L3384" s="1">
        <f t="shared" si="470"/>
        <v>1</v>
      </c>
      <c r="M3384" s="1">
        <f t="shared" si="471"/>
        <v>49.99</v>
      </c>
      <c r="N3384" s="1">
        <f t="shared" si="472"/>
        <v>49.04</v>
      </c>
      <c r="O3384" s="1">
        <f t="shared" si="473"/>
        <v>47.29</v>
      </c>
      <c r="P3384" s="1">
        <f t="shared" si="474"/>
        <v>24.127551020408163</v>
      </c>
    </row>
    <row r="3385" spans="1:16">
      <c r="A3385" s="2">
        <v>38148</v>
      </c>
      <c r="B3385" s="1">
        <v>50.4</v>
      </c>
      <c r="C3385" s="1">
        <v>50.47</v>
      </c>
      <c r="D3385" s="1">
        <v>49.26</v>
      </c>
      <c r="E3385" s="1">
        <v>49.94</v>
      </c>
      <c r="F3385" s="1">
        <v>7209000</v>
      </c>
      <c r="G3385" s="1">
        <v>49.94</v>
      </c>
      <c r="H3385" s="1">
        <f t="shared" si="468"/>
        <v>1.2100000000000009</v>
      </c>
      <c r="I3385" s="9">
        <f t="shared" si="475"/>
        <v>2.4563540397888772E-2</v>
      </c>
      <c r="J3385" s="1">
        <f t="shared" si="476"/>
        <v>-0.30000000000000426</v>
      </c>
      <c r="K3385" s="9">
        <f t="shared" si="469"/>
        <v>-5.9713375796179189E-3</v>
      </c>
      <c r="L3385" s="1">
        <f t="shared" si="470"/>
        <v>1</v>
      </c>
      <c r="M3385" s="1">
        <f t="shared" si="471"/>
        <v>50.47</v>
      </c>
      <c r="N3385" s="1">
        <f t="shared" si="472"/>
        <v>49.26</v>
      </c>
      <c r="O3385" s="1">
        <f t="shared" si="473"/>
        <v>47.98</v>
      </c>
      <c r="P3385" s="1">
        <f t="shared" si="474"/>
        <v>24.479591836734691</v>
      </c>
    </row>
    <row r="3386" spans="1:16">
      <c r="A3386" s="2">
        <v>38147</v>
      </c>
      <c r="B3386" s="1">
        <v>51.62</v>
      </c>
      <c r="C3386" s="1">
        <v>51.83</v>
      </c>
      <c r="D3386" s="1">
        <v>50.01</v>
      </c>
      <c r="E3386" s="1">
        <v>50.24</v>
      </c>
      <c r="F3386" s="1">
        <v>6579400</v>
      </c>
      <c r="G3386" s="1">
        <v>50.24</v>
      </c>
      <c r="H3386" s="1">
        <f t="shared" si="468"/>
        <v>1.8200000000000003</v>
      </c>
      <c r="I3386" s="9">
        <f t="shared" si="475"/>
        <v>3.6392721455708862E-2</v>
      </c>
      <c r="J3386" s="1">
        <f t="shared" si="476"/>
        <v>-1.6999999999999957</v>
      </c>
      <c r="K3386" s="9">
        <f t="shared" si="469"/>
        <v>-3.2730073161339926E-2</v>
      </c>
      <c r="L3386" s="1">
        <f t="shared" si="470"/>
        <v>1</v>
      </c>
      <c r="M3386" s="1">
        <f t="shared" si="471"/>
        <v>51.83</v>
      </c>
      <c r="N3386" s="1">
        <f t="shared" si="472"/>
        <v>50.01</v>
      </c>
      <c r="O3386" s="1">
        <f t="shared" si="473"/>
        <v>48.28</v>
      </c>
      <c r="P3386" s="1">
        <f t="shared" si="474"/>
        <v>24.632653061224492</v>
      </c>
    </row>
    <row r="3387" spans="1:16">
      <c r="A3387" s="2">
        <v>38146</v>
      </c>
      <c r="B3387" s="1">
        <v>51.3</v>
      </c>
      <c r="C3387" s="1">
        <v>52.12</v>
      </c>
      <c r="D3387" s="1">
        <v>51.1</v>
      </c>
      <c r="E3387" s="1">
        <v>51.94</v>
      </c>
      <c r="F3387" s="1">
        <v>5994700</v>
      </c>
      <c r="G3387" s="1">
        <v>51.94</v>
      </c>
      <c r="H3387" s="1">
        <f t="shared" si="468"/>
        <v>1.019999999999996</v>
      </c>
      <c r="I3387" s="9">
        <f t="shared" si="475"/>
        <v>1.9960861056751388E-2</v>
      </c>
      <c r="J3387" s="1">
        <f t="shared" si="476"/>
        <v>0.17999999999999972</v>
      </c>
      <c r="K3387" s="9">
        <f t="shared" si="469"/>
        <v>3.4775888717156053E-3</v>
      </c>
      <c r="L3387" s="1">
        <f t="shared" si="470"/>
        <v>1</v>
      </c>
      <c r="M3387" s="1">
        <f t="shared" si="471"/>
        <v>52.12</v>
      </c>
      <c r="N3387" s="1">
        <f t="shared" si="472"/>
        <v>51.1</v>
      </c>
      <c r="O3387" s="1">
        <f t="shared" si="473"/>
        <v>49.98</v>
      </c>
      <c r="P3387" s="1">
        <f t="shared" si="474"/>
        <v>25.5</v>
      </c>
    </row>
    <row r="3388" spans="1:16">
      <c r="A3388" s="2">
        <v>38145</v>
      </c>
      <c r="B3388" s="1">
        <v>51.69</v>
      </c>
      <c r="C3388" s="1">
        <v>51.99</v>
      </c>
      <c r="D3388" s="1">
        <v>50.65</v>
      </c>
      <c r="E3388" s="1">
        <v>51.76</v>
      </c>
      <c r="F3388" s="1">
        <v>7688000</v>
      </c>
      <c r="G3388" s="1">
        <v>51.76</v>
      </c>
      <c r="H3388" s="1">
        <f t="shared" si="468"/>
        <v>1.3400000000000034</v>
      </c>
      <c r="I3388" s="9">
        <f t="shared" si="475"/>
        <v>2.6456071076011913E-2</v>
      </c>
      <c r="J3388" s="1">
        <f t="shared" si="476"/>
        <v>0.80999999999999517</v>
      </c>
      <c r="K3388" s="9">
        <f t="shared" si="469"/>
        <v>1.5897939156035233E-2</v>
      </c>
      <c r="L3388" s="1">
        <f t="shared" si="470"/>
        <v>1</v>
      </c>
      <c r="M3388" s="1">
        <f t="shared" si="471"/>
        <v>51.99</v>
      </c>
      <c r="N3388" s="1">
        <f t="shared" si="472"/>
        <v>50.65</v>
      </c>
      <c r="O3388" s="1">
        <f t="shared" si="473"/>
        <v>49.8</v>
      </c>
      <c r="P3388" s="1">
        <f t="shared" si="474"/>
        <v>25.408163265306122</v>
      </c>
    </row>
    <row r="3389" spans="1:16">
      <c r="A3389" s="2">
        <v>38142</v>
      </c>
      <c r="B3389" s="1">
        <v>50.05</v>
      </c>
      <c r="C3389" s="1">
        <v>51.51</v>
      </c>
      <c r="D3389" s="1">
        <v>50</v>
      </c>
      <c r="E3389" s="1">
        <v>50.95</v>
      </c>
      <c r="F3389" s="1">
        <v>12585600</v>
      </c>
      <c r="G3389" s="1">
        <v>50.95</v>
      </c>
      <c r="H3389" s="1">
        <f t="shared" si="468"/>
        <v>1.509999999999998</v>
      </c>
      <c r="I3389" s="9">
        <f t="shared" si="475"/>
        <v>3.019999999999996E-2</v>
      </c>
      <c r="J3389" s="1">
        <f t="shared" si="476"/>
        <v>1.5500000000000043</v>
      </c>
      <c r="K3389" s="9">
        <f t="shared" si="469"/>
        <v>3.137651821862357E-2</v>
      </c>
      <c r="L3389" s="1">
        <f t="shared" si="470"/>
        <v>1</v>
      </c>
      <c r="M3389" s="1">
        <f t="shared" si="471"/>
        <v>51.51</v>
      </c>
      <c r="N3389" s="1">
        <f t="shared" si="472"/>
        <v>50</v>
      </c>
      <c r="O3389" s="1">
        <f t="shared" si="473"/>
        <v>48.99</v>
      </c>
      <c r="P3389" s="1">
        <f t="shared" si="474"/>
        <v>24.994897959183675</v>
      </c>
    </row>
    <row r="3390" spans="1:16">
      <c r="A3390" s="2">
        <v>38141</v>
      </c>
      <c r="B3390" s="1">
        <v>49.85</v>
      </c>
      <c r="C3390" s="1">
        <v>50.35</v>
      </c>
      <c r="D3390" s="1">
        <v>49.32</v>
      </c>
      <c r="E3390" s="1">
        <v>49.4</v>
      </c>
      <c r="F3390" s="1">
        <v>8341400</v>
      </c>
      <c r="G3390" s="1">
        <v>49.4</v>
      </c>
      <c r="H3390" s="1">
        <f t="shared" si="468"/>
        <v>1.0300000000000011</v>
      </c>
      <c r="I3390" s="9">
        <f t="shared" si="475"/>
        <v>2.0884022708840249E-2</v>
      </c>
      <c r="J3390" s="1">
        <f t="shared" si="476"/>
        <v>-0.95000000000000284</v>
      </c>
      <c r="K3390" s="9">
        <f t="shared" si="469"/>
        <v>-1.8867924528301942E-2</v>
      </c>
      <c r="L3390" s="1">
        <f t="shared" si="470"/>
        <v>1</v>
      </c>
      <c r="M3390" s="1">
        <f t="shared" si="471"/>
        <v>50.35</v>
      </c>
      <c r="N3390" s="1">
        <f t="shared" si="472"/>
        <v>49.32</v>
      </c>
      <c r="O3390" s="1">
        <f t="shared" si="473"/>
        <v>47.44</v>
      </c>
      <c r="P3390" s="1">
        <f t="shared" si="474"/>
        <v>24.204081632653061</v>
      </c>
    </row>
    <row r="3391" spans="1:16">
      <c r="A3391" s="2">
        <v>38140</v>
      </c>
      <c r="B3391" s="1">
        <v>50.49</v>
      </c>
      <c r="C3391" s="1">
        <v>51.21</v>
      </c>
      <c r="D3391" s="1">
        <v>49.77</v>
      </c>
      <c r="E3391" s="1">
        <v>50.35</v>
      </c>
      <c r="F3391" s="1">
        <v>12473500</v>
      </c>
      <c r="G3391" s="1">
        <v>50.35</v>
      </c>
      <c r="H3391" s="1">
        <f t="shared" si="468"/>
        <v>1.4399999999999977</v>
      </c>
      <c r="I3391" s="9">
        <f t="shared" si="475"/>
        <v>2.8933092224231419E-2</v>
      </c>
      <c r="J3391" s="1">
        <f t="shared" si="476"/>
        <v>0.12000000000000455</v>
      </c>
      <c r="K3391" s="9">
        <f t="shared" si="469"/>
        <v>2.3890105514633598E-3</v>
      </c>
      <c r="L3391" s="1">
        <f t="shared" si="470"/>
        <v>1</v>
      </c>
      <c r="M3391" s="1">
        <f t="shared" si="471"/>
        <v>51.21</v>
      </c>
      <c r="N3391" s="1">
        <f t="shared" si="472"/>
        <v>49.77</v>
      </c>
      <c r="O3391" s="1">
        <f t="shared" si="473"/>
        <v>48.39</v>
      </c>
      <c r="P3391" s="1">
        <f t="shared" si="474"/>
        <v>24.688775510204081</v>
      </c>
    </row>
    <row r="3392" spans="1:16">
      <c r="A3392" s="2">
        <v>38139</v>
      </c>
      <c r="B3392" s="1">
        <v>47.87</v>
      </c>
      <c r="C3392" s="1">
        <v>50.45</v>
      </c>
      <c r="D3392" s="1">
        <v>47.7</v>
      </c>
      <c r="E3392" s="1">
        <v>50.23</v>
      </c>
      <c r="F3392" s="1">
        <v>12940300</v>
      </c>
      <c r="G3392" s="1">
        <v>50.23</v>
      </c>
      <c r="H3392" s="1">
        <f t="shared" si="468"/>
        <v>2.75</v>
      </c>
      <c r="I3392" s="9">
        <f t="shared" si="475"/>
        <v>5.7651991614255764E-2</v>
      </c>
      <c r="J3392" s="1">
        <f t="shared" si="476"/>
        <v>1.7299999999999969</v>
      </c>
      <c r="K3392" s="9">
        <f t="shared" si="469"/>
        <v>3.5670103092783442E-2</v>
      </c>
      <c r="L3392" s="1">
        <f t="shared" si="470"/>
        <v>1</v>
      </c>
      <c r="M3392" s="1">
        <f t="shared" si="471"/>
        <v>50.45</v>
      </c>
      <c r="N3392" s="1">
        <f t="shared" si="472"/>
        <v>47.7</v>
      </c>
      <c r="O3392" s="1">
        <f t="shared" si="473"/>
        <v>48.269999999999996</v>
      </c>
      <c r="P3392" s="1">
        <f t="shared" si="474"/>
        <v>24.627551020408163</v>
      </c>
    </row>
    <row r="3393" spans="1:16">
      <c r="A3393" s="2">
        <v>38135</v>
      </c>
      <c r="B3393" s="1">
        <v>47.27</v>
      </c>
      <c r="C3393" s="1">
        <v>48.68</v>
      </c>
      <c r="D3393" s="1">
        <v>46.88</v>
      </c>
      <c r="E3393" s="1">
        <v>48.5</v>
      </c>
      <c r="F3393" s="1">
        <v>10629100</v>
      </c>
      <c r="G3393" s="1">
        <v>48.5</v>
      </c>
      <c r="H3393" s="1">
        <f t="shared" si="468"/>
        <v>1.7999999999999972</v>
      </c>
      <c r="I3393" s="9">
        <f t="shared" si="475"/>
        <v>3.8395904436860008E-2</v>
      </c>
      <c r="J3393" s="1">
        <f t="shared" si="476"/>
        <v>0.88000000000000256</v>
      </c>
      <c r="K3393" s="9">
        <f t="shared" si="469"/>
        <v>1.8479630407391905E-2</v>
      </c>
      <c r="L3393" s="1">
        <f t="shared" si="470"/>
        <v>1</v>
      </c>
      <c r="M3393" s="1">
        <f t="shared" si="471"/>
        <v>48.68</v>
      </c>
      <c r="N3393" s="1">
        <f t="shared" si="472"/>
        <v>46.88</v>
      </c>
      <c r="O3393" s="1">
        <f t="shared" si="473"/>
        <v>46.54</v>
      </c>
      <c r="P3393" s="1">
        <f t="shared" si="474"/>
        <v>23.744897959183675</v>
      </c>
    </row>
    <row r="3394" spans="1:16">
      <c r="A3394" s="2">
        <v>38134</v>
      </c>
      <c r="B3394" s="1">
        <v>45.27</v>
      </c>
      <c r="C3394" s="1">
        <v>47.83</v>
      </c>
      <c r="D3394" s="1">
        <v>44.85</v>
      </c>
      <c r="E3394" s="1">
        <v>47.62</v>
      </c>
      <c r="F3394" s="1">
        <v>14175200</v>
      </c>
      <c r="G3394" s="1">
        <v>47.62</v>
      </c>
      <c r="H3394" s="1">
        <f t="shared" si="468"/>
        <v>2.9799999999999969</v>
      </c>
      <c r="I3394" s="9">
        <f t="shared" si="475"/>
        <v>6.6443701226309854E-2</v>
      </c>
      <c r="J3394" s="1">
        <f t="shared" si="476"/>
        <v>2.9299999999999997</v>
      </c>
      <c r="K3394" s="9">
        <f t="shared" si="469"/>
        <v>6.5562765719400312E-2</v>
      </c>
      <c r="L3394" s="1">
        <f t="shared" si="470"/>
        <v>1</v>
      </c>
      <c r="M3394" s="1">
        <f t="shared" si="471"/>
        <v>47.83</v>
      </c>
      <c r="N3394" s="1">
        <f t="shared" si="472"/>
        <v>44.85</v>
      </c>
      <c r="O3394" s="1">
        <f t="shared" si="473"/>
        <v>45.66</v>
      </c>
      <c r="P3394" s="1">
        <f t="shared" si="474"/>
        <v>23.295918367346939</v>
      </c>
    </row>
    <row r="3395" spans="1:16">
      <c r="A3395" s="2">
        <v>38133</v>
      </c>
      <c r="B3395" s="1">
        <v>43.86</v>
      </c>
      <c r="C3395" s="1">
        <v>45</v>
      </c>
      <c r="D3395" s="1">
        <v>43.67</v>
      </c>
      <c r="E3395" s="1">
        <v>44.69</v>
      </c>
      <c r="F3395" s="1">
        <v>7397600</v>
      </c>
      <c r="G3395" s="1">
        <v>44.69</v>
      </c>
      <c r="H3395" s="1">
        <f t="shared" ref="H3395:H3458" si="477">C3395-D3395</f>
        <v>1.3299999999999983</v>
      </c>
      <c r="I3395" s="9">
        <f t="shared" si="475"/>
        <v>3.0455690405312531E-2</v>
      </c>
      <c r="J3395" s="1">
        <f t="shared" si="476"/>
        <v>1.0700000000000003</v>
      </c>
      <c r="K3395" s="9">
        <f t="shared" ref="K3395:K3458" si="478">(G3395-G3396)/G3396</f>
        <v>2.4530032095369105E-2</v>
      </c>
      <c r="L3395" s="1">
        <f t="shared" ref="L3395:L3458" si="479">G3395/E3395</f>
        <v>1</v>
      </c>
      <c r="M3395" s="1">
        <f t="shared" ref="M3395:M3458" si="480">L3395*C3395</f>
        <v>45</v>
      </c>
      <c r="N3395" s="1">
        <f t="shared" ref="N3395:N3458" si="481">L3395*D3395</f>
        <v>43.67</v>
      </c>
      <c r="O3395" s="1">
        <f t="shared" ref="O3395:O3458" si="482">G3395-$G$5163</f>
        <v>42.73</v>
      </c>
      <c r="P3395" s="1">
        <f t="shared" ref="P3395:P3458" si="483">(G3395-$G$5163)/$G$5163</f>
        <v>21.801020408163264</v>
      </c>
    </row>
    <row r="3396" spans="1:16">
      <c r="A3396" s="2">
        <v>38132</v>
      </c>
      <c r="B3396" s="1">
        <v>41.75</v>
      </c>
      <c r="C3396" s="1">
        <v>43.86</v>
      </c>
      <c r="D3396" s="1">
        <v>41.39</v>
      </c>
      <c r="E3396" s="1">
        <v>43.62</v>
      </c>
      <c r="F3396" s="1">
        <v>7222000</v>
      </c>
      <c r="G3396" s="1">
        <v>43.62</v>
      </c>
      <c r="H3396" s="1">
        <f t="shared" si="477"/>
        <v>2.4699999999999989</v>
      </c>
      <c r="I3396" s="9">
        <f t="shared" ref="I3396:I3459" si="484">(C3396-D3396)/D3396</f>
        <v>5.9676250302005289E-2</v>
      </c>
      <c r="J3396" s="1">
        <f t="shared" ref="J3396:J3459" si="485">G3396-G3397</f>
        <v>1.9899999999999949</v>
      </c>
      <c r="K3396" s="9">
        <f t="shared" si="478"/>
        <v>4.7802065817919646E-2</v>
      </c>
      <c r="L3396" s="1">
        <f t="shared" si="479"/>
        <v>1</v>
      </c>
      <c r="M3396" s="1">
        <f t="shared" si="480"/>
        <v>43.86</v>
      </c>
      <c r="N3396" s="1">
        <f t="shared" si="481"/>
        <v>41.39</v>
      </c>
      <c r="O3396" s="1">
        <f t="shared" si="482"/>
        <v>41.66</v>
      </c>
      <c r="P3396" s="1">
        <f t="shared" si="483"/>
        <v>21.255102040816325</v>
      </c>
    </row>
    <row r="3397" spans="1:16">
      <c r="A3397" s="2">
        <v>38131</v>
      </c>
      <c r="B3397" s="1">
        <v>41.29</v>
      </c>
      <c r="C3397" s="1">
        <v>42.3</v>
      </c>
      <c r="D3397" s="1">
        <v>41.17</v>
      </c>
      <c r="E3397" s="1">
        <v>41.63</v>
      </c>
      <c r="F3397" s="1">
        <v>5073900</v>
      </c>
      <c r="G3397" s="1">
        <v>41.63</v>
      </c>
      <c r="H3397" s="1">
        <f t="shared" si="477"/>
        <v>1.1299999999999955</v>
      </c>
      <c r="I3397" s="9">
        <f t="shared" si="484"/>
        <v>2.7447170269613685E-2</v>
      </c>
      <c r="J3397" s="1">
        <f t="shared" si="485"/>
        <v>0.46000000000000085</v>
      </c>
      <c r="K3397" s="9">
        <f t="shared" si="478"/>
        <v>1.1173184357541919E-2</v>
      </c>
      <c r="L3397" s="1">
        <f t="shared" si="479"/>
        <v>1</v>
      </c>
      <c r="M3397" s="1">
        <f t="shared" si="480"/>
        <v>42.3</v>
      </c>
      <c r="N3397" s="1">
        <f t="shared" si="481"/>
        <v>41.17</v>
      </c>
      <c r="O3397" s="1">
        <f t="shared" si="482"/>
        <v>39.67</v>
      </c>
      <c r="P3397" s="1">
        <f t="shared" si="483"/>
        <v>20.239795918367349</v>
      </c>
    </row>
    <row r="3398" spans="1:16">
      <c r="A3398" s="2">
        <v>38128</v>
      </c>
      <c r="B3398" s="1">
        <v>41.27</v>
      </c>
      <c r="C3398" s="1">
        <v>41.48</v>
      </c>
      <c r="D3398" s="1">
        <v>40.549999999999997</v>
      </c>
      <c r="E3398" s="1">
        <v>41.17</v>
      </c>
      <c r="F3398" s="1">
        <v>5272900</v>
      </c>
      <c r="G3398" s="1">
        <v>41.17</v>
      </c>
      <c r="H3398" s="1">
        <f t="shared" si="477"/>
        <v>0.92999999999999972</v>
      </c>
      <c r="I3398" s="9">
        <f t="shared" si="484"/>
        <v>2.2934648581997528E-2</v>
      </c>
      <c r="J3398" s="1">
        <f t="shared" si="485"/>
        <v>0.19000000000000483</v>
      </c>
      <c r="K3398" s="9">
        <f t="shared" si="478"/>
        <v>4.6364080039044617E-3</v>
      </c>
      <c r="L3398" s="1">
        <f t="shared" si="479"/>
        <v>1</v>
      </c>
      <c r="M3398" s="1">
        <f t="shared" si="480"/>
        <v>41.48</v>
      </c>
      <c r="N3398" s="1">
        <f t="shared" si="481"/>
        <v>40.549999999999997</v>
      </c>
      <c r="O3398" s="1">
        <f t="shared" si="482"/>
        <v>39.21</v>
      </c>
      <c r="P3398" s="1">
        <f t="shared" si="483"/>
        <v>20.005102040816329</v>
      </c>
    </row>
    <row r="3399" spans="1:16">
      <c r="A3399" s="2">
        <v>38127</v>
      </c>
      <c r="B3399" s="1">
        <v>41.65</v>
      </c>
      <c r="C3399" s="1">
        <v>41.97</v>
      </c>
      <c r="D3399" s="1">
        <v>40.799999999999997</v>
      </c>
      <c r="E3399" s="1">
        <v>40.98</v>
      </c>
      <c r="F3399" s="1">
        <v>5926300</v>
      </c>
      <c r="G3399" s="1">
        <v>40.98</v>
      </c>
      <c r="H3399" s="1">
        <f t="shared" si="477"/>
        <v>1.1700000000000017</v>
      </c>
      <c r="I3399" s="9">
        <f t="shared" si="484"/>
        <v>2.8676470588235338E-2</v>
      </c>
      <c r="J3399" s="1">
        <f t="shared" si="485"/>
        <v>-0.71000000000000085</v>
      </c>
      <c r="K3399" s="9">
        <f t="shared" si="478"/>
        <v>-1.7030462940753201E-2</v>
      </c>
      <c r="L3399" s="1">
        <f t="shared" si="479"/>
        <v>1</v>
      </c>
      <c r="M3399" s="1">
        <f t="shared" si="480"/>
        <v>41.97</v>
      </c>
      <c r="N3399" s="1">
        <f t="shared" si="481"/>
        <v>40.799999999999997</v>
      </c>
      <c r="O3399" s="1">
        <f t="shared" si="482"/>
        <v>39.019999999999996</v>
      </c>
      <c r="P3399" s="1">
        <f t="shared" si="483"/>
        <v>19.908163265306122</v>
      </c>
    </row>
    <row r="3400" spans="1:16">
      <c r="A3400" s="2">
        <v>38126</v>
      </c>
      <c r="B3400" s="1">
        <v>42.38</v>
      </c>
      <c r="C3400" s="1">
        <v>43.27</v>
      </c>
      <c r="D3400" s="1">
        <v>41.47</v>
      </c>
      <c r="E3400" s="1">
        <v>41.69</v>
      </c>
      <c r="F3400" s="1">
        <v>7379400</v>
      </c>
      <c r="G3400" s="1">
        <v>41.69</v>
      </c>
      <c r="H3400" s="1">
        <f t="shared" si="477"/>
        <v>1.8000000000000043</v>
      </c>
      <c r="I3400" s="9">
        <f t="shared" si="484"/>
        <v>4.3404870991077989E-2</v>
      </c>
      <c r="J3400" s="1">
        <f t="shared" si="485"/>
        <v>-0.30000000000000426</v>
      </c>
      <c r="K3400" s="9">
        <f t="shared" si="478"/>
        <v>-7.1445582281496603E-3</v>
      </c>
      <c r="L3400" s="1">
        <f t="shared" si="479"/>
        <v>1</v>
      </c>
      <c r="M3400" s="1">
        <f t="shared" si="480"/>
        <v>43.27</v>
      </c>
      <c r="N3400" s="1">
        <f t="shared" si="481"/>
        <v>41.47</v>
      </c>
      <c r="O3400" s="1">
        <f t="shared" si="482"/>
        <v>39.729999999999997</v>
      </c>
      <c r="P3400" s="1">
        <f t="shared" si="483"/>
        <v>20.270408163265305</v>
      </c>
    </row>
    <row r="3401" spans="1:16">
      <c r="A3401" s="2">
        <v>38125</v>
      </c>
      <c r="B3401" s="1">
        <v>42.2</v>
      </c>
      <c r="C3401" s="1">
        <v>42.4</v>
      </c>
      <c r="D3401" s="1">
        <v>41.83</v>
      </c>
      <c r="E3401" s="1">
        <v>41.99</v>
      </c>
      <c r="F3401" s="1">
        <v>5602000</v>
      </c>
      <c r="G3401" s="1">
        <v>41.99</v>
      </c>
      <c r="H3401" s="1">
        <f t="shared" si="477"/>
        <v>0.57000000000000028</v>
      </c>
      <c r="I3401" s="9">
        <f t="shared" si="484"/>
        <v>1.3626583791537182E-2</v>
      </c>
      <c r="J3401" s="1">
        <f t="shared" si="485"/>
        <v>-8.9999999999996305E-2</v>
      </c>
      <c r="K3401" s="9">
        <f t="shared" si="478"/>
        <v>-2.1387832699618897E-3</v>
      </c>
      <c r="L3401" s="1">
        <f t="shared" si="479"/>
        <v>1</v>
      </c>
      <c r="M3401" s="1">
        <f t="shared" si="480"/>
        <v>42.4</v>
      </c>
      <c r="N3401" s="1">
        <f t="shared" si="481"/>
        <v>41.83</v>
      </c>
      <c r="O3401" s="1">
        <f t="shared" si="482"/>
        <v>40.03</v>
      </c>
      <c r="P3401" s="1">
        <f t="shared" si="483"/>
        <v>20.423469387755102</v>
      </c>
    </row>
    <row r="3402" spans="1:16">
      <c r="A3402" s="2">
        <v>38124</v>
      </c>
      <c r="B3402" s="1">
        <v>42.24</v>
      </c>
      <c r="C3402" s="1">
        <v>42.59</v>
      </c>
      <c r="D3402" s="1">
        <v>41.7</v>
      </c>
      <c r="E3402" s="1">
        <v>42.08</v>
      </c>
      <c r="F3402" s="1">
        <v>6625700</v>
      </c>
      <c r="G3402" s="1">
        <v>42.08</v>
      </c>
      <c r="H3402" s="1">
        <f t="shared" si="477"/>
        <v>0.89000000000000057</v>
      </c>
      <c r="I3402" s="9">
        <f t="shared" si="484"/>
        <v>2.1342925659472434E-2</v>
      </c>
      <c r="J3402" s="1">
        <f t="shared" si="485"/>
        <v>-0.96999999999999886</v>
      </c>
      <c r="K3402" s="9">
        <f t="shared" si="478"/>
        <v>-2.2531939605110313E-2</v>
      </c>
      <c r="L3402" s="1">
        <f t="shared" si="479"/>
        <v>1</v>
      </c>
      <c r="M3402" s="1">
        <f t="shared" si="480"/>
        <v>42.59</v>
      </c>
      <c r="N3402" s="1">
        <f t="shared" si="481"/>
        <v>41.7</v>
      </c>
      <c r="O3402" s="1">
        <f t="shared" si="482"/>
        <v>40.119999999999997</v>
      </c>
      <c r="P3402" s="1">
        <f t="shared" si="483"/>
        <v>20.469387755102041</v>
      </c>
    </row>
    <row r="3403" spans="1:16">
      <c r="A3403" s="2">
        <v>38121</v>
      </c>
      <c r="B3403" s="1">
        <v>43.7</v>
      </c>
      <c r="C3403" s="1">
        <v>43.92</v>
      </c>
      <c r="D3403" s="1">
        <v>42.76</v>
      </c>
      <c r="E3403" s="1">
        <v>43.05</v>
      </c>
      <c r="F3403" s="1">
        <v>5126600</v>
      </c>
      <c r="G3403" s="1">
        <v>43.05</v>
      </c>
      <c r="H3403" s="1">
        <f t="shared" si="477"/>
        <v>1.1600000000000037</v>
      </c>
      <c r="I3403" s="9">
        <f t="shared" si="484"/>
        <v>2.7128157156220856E-2</v>
      </c>
      <c r="J3403" s="1">
        <f t="shared" si="485"/>
        <v>-0.56000000000000227</v>
      </c>
      <c r="K3403" s="9">
        <f t="shared" si="478"/>
        <v>-1.2841091492776938E-2</v>
      </c>
      <c r="L3403" s="1">
        <f t="shared" si="479"/>
        <v>1</v>
      </c>
      <c r="M3403" s="1">
        <f t="shared" si="480"/>
        <v>43.92</v>
      </c>
      <c r="N3403" s="1">
        <f t="shared" si="481"/>
        <v>42.76</v>
      </c>
      <c r="O3403" s="1">
        <f t="shared" si="482"/>
        <v>41.089999999999996</v>
      </c>
      <c r="P3403" s="1">
        <f t="shared" si="483"/>
        <v>20.964285714285712</v>
      </c>
    </row>
    <row r="3404" spans="1:16">
      <c r="A3404" s="2">
        <v>38120</v>
      </c>
      <c r="B3404" s="1">
        <v>42.46</v>
      </c>
      <c r="C3404" s="1">
        <v>44.13</v>
      </c>
      <c r="D3404" s="1">
        <v>42.25</v>
      </c>
      <c r="E3404" s="1">
        <v>43.61</v>
      </c>
      <c r="F3404" s="1">
        <v>8261200</v>
      </c>
      <c r="G3404" s="1">
        <v>43.61</v>
      </c>
      <c r="H3404" s="1">
        <f t="shared" si="477"/>
        <v>1.8800000000000026</v>
      </c>
      <c r="I3404" s="9">
        <f t="shared" si="484"/>
        <v>4.4497041420118406E-2</v>
      </c>
      <c r="J3404" s="1">
        <f t="shared" si="485"/>
        <v>0.58999999999999631</v>
      </c>
      <c r="K3404" s="9">
        <f t="shared" si="478"/>
        <v>1.3714551371455051E-2</v>
      </c>
      <c r="L3404" s="1">
        <f t="shared" si="479"/>
        <v>1</v>
      </c>
      <c r="M3404" s="1">
        <f t="shared" si="480"/>
        <v>44.13</v>
      </c>
      <c r="N3404" s="1">
        <f t="shared" si="481"/>
        <v>42.25</v>
      </c>
      <c r="O3404" s="1">
        <f t="shared" si="482"/>
        <v>41.65</v>
      </c>
      <c r="P3404" s="1">
        <f t="shared" si="483"/>
        <v>21.25</v>
      </c>
    </row>
    <row r="3405" spans="1:16">
      <c r="A3405" s="2">
        <v>38119</v>
      </c>
      <c r="B3405" s="1">
        <v>42.34</v>
      </c>
      <c r="C3405" s="1">
        <v>43.15</v>
      </c>
      <c r="D3405" s="1">
        <v>41.25</v>
      </c>
      <c r="E3405" s="1">
        <v>43.02</v>
      </c>
      <c r="F3405" s="1">
        <v>7486200</v>
      </c>
      <c r="G3405" s="1">
        <v>43.02</v>
      </c>
      <c r="H3405" s="1">
        <f t="shared" si="477"/>
        <v>1.8999999999999986</v>
      </c>
      <c r="I3405" s="9">
        <f t="shared" si="484"/>
        <v>4.6060606060606024E-2</v>
      </c>
      <c r="J3405" s="1">
        <f t="shared" si="485"/>
        <v>0.32000000000000028</v>
      </c>
      <c r="K3405" s="9">
        <f t="shared" si="478"/>
        <v>7.4941451990632379E-3</v>
      </c>
      <c r="L3405" s="1">
        <f t="shared" si="479"/>
        <v>1</v>
      </c>
      <c r="M3405" s="1">
        <f t="shared" si="480"/>
        <v>43.15</v>
      </c>
      <c r="N3405" s="1">
        <f t="shared" si="481"/>
        <v>41.25</v>
      </c>
      <c r="O3405" s="1">
        <f t="shared" si="482"/>
        <v>41.06</v>
      </c>
      <c r="P3405" s="1">
        <f t="shared" si="483"/>
        <v>20.948979591836736</v>
      </c>
    </row>
    <row r="3406" spans="1:16">
      <c r="A3406" s="2">
        <v>38118</v>
      </c>
      <c r="B3406" s="1">
        <v>41.92</v>
      </c>
      <c r="C3406" s="1">
        <v>43.04</v>
      </c>
      <c r="D3406" s="1">
        <v>41.9</v>
      </c>
      <c r="E3406" s="1">
        <v>42.7</v>
      </c>
      <c r="F3406" s="1">
        <v>7595600</v>
      </c>
      <c r="G3406" s="1">
        <v>42.7</v>
      </c>
      <c r="H3406" s="1">
        <f t="shared" si="477"/>
        <v>1.1400000000000006</v>
      </c>
      <c r="I3406" s="9">
        <f t="shared" si="484"/>
        <v>2.7207637231503594E-2</v>
      </c>
      <c r="J3406" s="1">
        <f t="shared" si="485"/>
        <v>1.4400000000000048</v>
      </c>
      <c r="K3406" s="9">
        <f t="shared" si="478"/>
        <v>3.4900630150266718E-2</v>
      </c>
      <c r="L3406" s="1">
        <f t="shared" si="479"/>
        <v>1</v>
      </c>
      <c r="M3406" s="1">
        <f t="shared" si="480"/>
        <v>43.04</v>
      </c>
      <c r="N3406" s="1">
        <f t="shared" si="481"/>
        <v>41.9</v>
      </c>
      <c r="O3406" s="1">
        <f t="shared" si="482"/>
        <v>40.74</v>
      </c>
      <c r="P3406" s="1">
        <f t="shared" si="483"/>
        <v>20.785714285714288</v>
      </c>
    </row>
    <row r="3407" spans="1:16">
      <c r="A3407" s="2">
        <v>38117</v>
      </c>
      <c r="B3407" s="1">
        <v>41.23</v>
      </c>
      <c r="C3407" s="1">
        <v>42.15</v>
      </c>
      <c r="D3407" s="1">
        <v>40.57</v>
      </c>
      <c r="E3407" s="1">
        <v>41.26</v>
      </c>
      <c r="F3407" s="1">
        <v>10209000</v>
      </c>
      <c r="G3407" s="1">
        <v>41.26</v>
      </c>
      <c r="H3407" s="1">
        <f t="shared" si="477"/>
        <v>1.5799999999999983</v>
      </c>
      <c r="I3407" s="9">
        <f t="shared" si="484"/>
        <v>3.8945033275819531E-2</v>
      </c>
      <c r="J3407" s="1">
        <f t="shared" si="485"/>
        <v>-0.64000000000000057</v>
      </c>
      <c r="K3407" s="9">
        <f t="shared" si="478"/>
        <v>-1.5274463007159919E-2</v>
      </c>
      <c r="L3407" s="1">
        <f t="shared" si="479"/>
        <v>1</v>
      </c>
      <c r="M3407" s="1">
        <f t="shared" si="480"/>
        <v>42.15</v>
      </c>
      <c r="N3407" s="1">
        <f t="shared" si="481"/>
        <v>40.57</v>
      </c>
      <c r="O3407" s="1">
        <f t="shared" si="482"/>
        <v>39.299999999999997</v>
      </c>
      <c r="P3407" s="1">
        <f t="shared" si="483"/>
        <v>20.051020408163264</v>
      </c>
    </row>
    <row r="3408" spans="1:16">
      <c r="A3408" s="2">
        <v>38114</v>
      </c>
      <c r="B3408" s="1">
        <v>42.96</v>
      </c>
      <c r="C3408" s="1">
        <v>44.18</v>
      </c>
      <c r="D3408" s="1">
        <v>41.68</v>
      </c>
      <c r="E3408" s="1">
        <v>41.9</v>
      </c>
      <c r="F3408" s="1">
        <v>9292600</v>
      </c>
      <c r="G3408" s="1">
        <v>41.9</v>
      </c>
      <c r="H3408" s="1">
        <f t="shared" si="477"/>
        <v>2.5</v>
      </c>
      <c r="I3408" s="9">
        <f t="shared" si="484"/>
        <v>5.9980806142034548E-2</v>
      </c>
      <c r="J3408" s="1">
        <f t="shared" si="485"/>
        <v>-1.240000000000002</v>
      </c>
      <c r="K3408" s="9">
        <f t="shared" si="478"/>
        <v>-2.8743625405656049E-2</v>
      </c>
      <c r="L3408" s="1">
        <f t="shared" si="479"/>
        <v>1</v>
      </c>
      <c r="M3408" s="1">
        <f t="shared" si="480"/>
        <v>44.18</v>
      </c>
      <c r="N3408" s="1">
        <f t="shared" si="481"/>
        <v>41.68</v>
      </c>
      <c r="O3408" s="1">
        <f t="shared" si="482"/>
        <v>39.94</v>
      </c>
      <c r="P3408" s="1">
        <f t="shared" si="483"/>
        <v>20.377551020408163</v>
      </c>
    </row>
    <row r="3409" spans="1:16">
      <c r="A3409" s="2">
        <v>38113</v>
      </c>
      <c r="B3409" s="1">
        <v>43.59</v>
      </c>
      <c r="C3409" s="1">
        <v>44.25</v>
      </c>
      <c r="D3409" s="1">
        <v>42.77</v>
      </c>
      <c r="E3409" s="1">
        <v>43.14</v>
      </c>
      <c r="F3409" s="1">
        <v>7818400</v>
      </c>
      <c r="G3409" s="1">
        <v>43.14</v>
      </c>
      <c r="H3409" s="1">
        <f t="shared" si="477"/>
        <v>1.4799999999999969</v>
      </c>
      <c r="I3409" s="9">
        <f t="shared" si="484"/>
        <v>3.4603694178162191E-2</v>
      </c>
      <c r="J3409" s="1">
        <f t="shared" si="485"/>
        <v>-1.1199999999999974</v>
      </c>
      <c r="K3409" s="9">
        <f t="shared" si="478"/>
        <v>-2.5305015815634827E-2</v>
      </c>
      <c r="L3409" s="1">
        <f t="shared" si="479"/>
        <v>1</v>
      </c>
      <c r="M3409" s="1">
        <f t="shared" si="480"/>
        <v>44.25</v>
      </c>
      <c r="N3409" s="1">
        <f t="shared" si="481"/>
        <v>42.77</v>
      </c>
      <c r="O3409" s="1">
        <f t="shared" si="482"/>
        <v>41.18</v>
      </c>
      <c r="P3409" s="1">
        <f t="shared" si="483"/>
        <v>21.010204081632654</v>
      </c>
    </row>
    <row r="3410" spans="1:16">
      <c r="A3410" s="2">
        <v>38112</v>
      </c>
      <c r="B3410" s="1">
        <v>43.98</v>
      </c>
      <c r="C3410" s="1">
        <v>45.05</v>
      </c>
      <c r="D3410" s="1">
        <v>43.95</v>
      </c>
      <c r="E3410" s="1">
        <v>44.26</v>
      </c>
      <c r="F3410" s="1">
        <v>4890500</v>
      </c>
      <c r="G3410" s="1">
        <v>44.26</v>
      </c>
      <c r="H3410" s="1">
        <f t="shared" si="477"/>
        <v>1.0999999999999943</v>
      </c>
      <c r="I3410" s="9">
        <f t="shared" si="484"/>
        <v>2.5028441410693839E-2</v>
      </c>
      <c r="J3410" s="1">
        <f t="shared" si="485"/>
        <v>0.30999999999999517</v>
      </c>
      <c r="K3410" s="9">
        <f t="shared" si="478"/>
        <v>7.0534698521045542E-3</v>
      </c>
      <c r="L3410" s="1">
        <f t="shared" si="479"/>
        <v>1</v>
      </c>
      <c r="M3410" s="1">
        <f t="shared" si="480"/>
        <v>45.05</v>
      </c>
      <c r="N3410" s="1">
        <f t="shared" si="481"/>
        <v>43.95</v>
      </c>
      <c r="O3410" s="1">
        <f t="shared" si="482"/>
        <v>42.3</v>
      </c>
      <c r="P3410" s="1">
        <f t="shared" si="483"/>
        <v>21.581632653061224</v>
      </c>
    </row>
    <row r="3411" spans="1:16">
      <c r="A3411" s="2">
        <v>38111</v>
      </c>
      <c r="B3411" s="1">
        <v>44.41</v>
      </c>
      <c r="C3411" s="1">
        <v>44.57</v>
      </c>
      <c r="D3411" s="1">
        <v>43.7</v>
      </c>
      <c r="E3411" s="1">
        <v>43.95</v>
      </c>
      <c r="F3411" s="1">
        <v>7288900</v>
      </c>
      <c r="G3411" s="1">
        <v>43.95</v>
      </c>
      <c r="H3411" s="1">
        <f t="shared" si="477"/>
        <v>0.86999999999999744</v>
      </c>
      <c r="I3411" s="9">
        <f t="shared" si="484"/>
        <v>1.9908466819221909E-2</v>
      </c>
      <c r="J3411" s="1">
        <f t="shared" si="485"/>
        <v>-0.45999999999999375</v>
      </c>
      <c r="K3411" s="9">
        <f t="shared" si="478"/>
        <v>-1.035802747129011E-2</v>
      </c>
      <c r="L3411" s="1">
        <f t="shared" si="479"/>
        <v>1</v>
      </c>
      <c r="M3411" s="1">
        <f t="shared" si="480"/>
        <v>44.57</v>
      </c>
      <c r="N3411" s="1">
        <f t="shared" si="481"/>
        <v>43.7</v>
      </c>
      <c r="O3411" s="1">
        <f t="shared" si="482"/>
        <v>41.99</v>
      </c>
      <c r="P3411" s="1">
        <f t="shared" si="483"/>
        <v>21.423469387755102</v>
      </c>
    </row>
    <row r="3412" spans="1:16">
      <c r="A3412" s="2">
        <v>38110</v>
      </c>
      <c r="B3412" s="1">
        <v>43.48</v>
      </c>
      <c r="C3412" s="1">
        <v>45.15</v>
      </c>
      <c r="D3412" s="1">
        <v>43.41</v>
      </c>
      <c r="E3412" s="1">
        <v>44.41</v>
      </c>
      <c r="F3412" s="1">
        <v>6923400</v>
      </c>
      <c r="G3412" s="1">
        <v>44.41</v>
      </c>
      <c r="H3412" s="1">
        <f t="shared" si="477"/>
        <v>1.740000000000002</v>
      </c>
      <c r="I3412" s="9">
        <f t="shared" si="484"/>
        <v>4.0082930200414701E-2</v>
      </c>
      <c r="J3412" s="1">
        <f t="shared" si="485"/>
        <v>0.80999999999999517</v>
      </c>
      <c r="K3412" s="9">
        <f t="shared" si="478"/>
        <v>1.8577981651376037E-2</v>
      </c>
      <c r="L3412" s="1">
        <f t="shared" si="479"/>
        <v>1</v>
      </c>
      <c r="M3412" s="1">
        <f t="shared" si="480"/>
        <v>45.15</v>
      </c>
      <c r="N3412" s="1">
        <f t="shared" si="481"/>
        <v>43.41</v>
      </c>
      <c r="O3412" s="1">
        <f t="shared" si="482"/>
        <v>42.449999999999996</v>
      </c>
      <c r="P3412" s="1">
        <f t="shared" si="483"/>
        <v>21.658163265306122</v>
      </c>
    </row>
    <row r="3413" spans="1:16">
      <c r="A3413" s="2">
        <v>38107</v>
      </c>
      <c r="B3413" s="1">
        <v>46.06</v>
      </c>
      <c r="C3413" s="1">
        <v>46.35</v>
      </c>
      <c r="D3413" s="1">
        <v>43.31</v>
      </c>
      <c r="E3413" s="1">
        <v>43.6</v>
      </c>
      <c r="F3413" s="1">
        <v>9841300</v>
      </c>
      <c r="G3413" s="1">
        <v>43.6</v>
      </c>
      <c r="H3413" s="1">
        <f t="shared" si="477"/>
        <v>3.0399999999999991</v>
      </c>
      <c r="I3413" s="9">
        <f t="shared" si="484"/>
        <v>7.0191641653197856E-2</v>
      </c>
      <c r="J3413" s="1">
        <f t="shared" si="485"/>
        <v>-2.5899999999999963</v>
      </c>
      <c r="K3413" s="9">
        <f t="shared" si="478"/>
        <v>-5.6072743017969183E-2</v>
      </c>
      <c r="L3413" s="1">
        <f t="shared" si="479"/>
        <v>1</v>
      </c>
      <c r="M3413" s="1">
        <f t="shared" si="480"/>
        <v>46.35</v>
      </c>
      <c r="N3413" s="1">
        <f t="shared" si="481"/>
        <v>43.31</v>
      </c>
      <c r="O3413" s="1">
        <f t="shared" si="482"/>
        <v>41.64</v>
      </c>
      <c r="P3413" s="1">
        <f t="shared" si="483"/>
        <v>21.244897959183675</v>
      </c>
    </row>
    <row r="3414" spans="1:16">
      <c r="A3414" s="2">
        <v>38106</v>
      </c>
      <c r="B3414" s="1">
        <v>46.9</v>
      </c>
      <c r="C3414" s="1">
        <v>47.08</v>
      </c>
      <c r="D3414" s="1">
        <v>45.51</v>
      </c>
      <c r="E3414" s="1">
        <v>46.19</v>
      </c>
      <c r="F3414" s="1">
        <v>9035700</v>
      </c>
      <c r="G3414" s="1">
        <v>46.19</v>
      </c>
      <c r="H3414" s="1">
        <f t="shared" si="477"/>
        <v>1.5700000000000003</v>
      </c>
      <c r="I3414" s="9">
        <f t="shared" si="484"/>
        <v>3.4497912546693044E-2</v>
      </c>
      <c r="J3414" s="1">
        <f t="shared" si="485"/>
        <v>-0.78000000000000114</v>
      </c>
      <c r="K3414" s="9">
        <f t="shared" si="478"/>
        <v>-1.660634447519696E-2</v>
      </c>
      <c r="L3414" s="1">
        <f t="shared" si="479"/>
        <v>1</v>
      </c>
      <c r="M3414" s="1">
        <f t="shared" si="480"/>
        <v>47.08</v>
      </c>
      <c r="N3414" s="1">
        <f t="shared" si="481"/>
        <v>45.51</v>
      </c>
      <c r="O3414" s="1">
        <f t="shared" si="482"/>
        <v>44.23</v>
      </c>
      <c r="P3414" s="1">
        <f t="shared" si="483"/>
        <v>22.566326530612244</v>
      </c>
    </row>
    <row r="3415" spans="1:16">
      <c r="A3415" s="2">
        <v>38105</v>
      </c>
      <c r="B3415" s="1">
        <v>47.62</v>
      </c>
      <c r="C3415" s="1">
        <v>48.35</v>
      </c>
      <c r="D3415" s="1">
        <v>46.64</v>
      </c>
      <c r="E3415" s="1">
        <v>46.97</v>
      </c>
      <c r="F3415" s="1">
        <v>6127600</v>
      </c>
      <c r="G3415" s="1">
        <v>46.97</v>
      </c>
      <c r="H3415" s="1">
        <f t="shared" si="477"/>
        <v>1.7100000000000009</v>
      </c>
      <c r="I3415" s="9">
        <f t="shared" si="484"/>
        <v>3.6663807890222999E-2</v>
      </c>
      <c r="J3415" s="1">
        <f t="shared" si="485"/>
        <v>-1.0300000000000011</v>
      </c>
      <c r="K3415" s="9">
        <f t="shared" si="478"/>
        <v>-2.1458333333333357E-2</v>
      </c>
      <c r="L3415" s="1">
        <f t="shared" si="479"/>
        <v>1</v>
      </c>
      <c r="M3415" s="1">
        <f t="shared" si="480"/>
        <v>48.35</v>
      </c>
      <c r="N3415" s="1">
        <f t="shared" si="481"/>
        <v>46.64</v>
      </c>
      <c r="O3415" s="1">
        <f t="shared" si="482"/>
        <v>45.01</v>
      </c>
      <c r="P3415" s="1">
        <f t="shared" si="483"/>
        <v>22.964285714285715</v>
      </c>
    </row>
    <row r="3416" spans="1:16">
      <c r="A3416" s="2">
        <v>38104</v>
      </c>
      <c r="B3416" s="1">
        <v>47.59</v>
      </c>
      <c r="C3416" s="1">
        <v>48.8</v>
      </c>
      <c r="D3416" s="1">
        <v>46.79</v>
      </c>
      <c r="E3416" s="1">
        <v>48</v>
      </c>
      <c r="F3416" s="1">
        <v>8983700</v>
      </c>
      <c r="G3416" s="1">
        <v>48</v>
      </c>
      <c r="H3416" s="1">
        <f t="shared" si="477"/>
        <v>2.009999999999998</v>
      </c>
      <c r="I3416" s="9">
        <f t="shared" si="484"/>
        <v>4.2957896986535543E-2</v>
      </c>
      <c r="J3416" s="1">
        <f t="shared" si="485"/>
        <v>0.75</v>
      </c>
      <c r="K3416" s="9">
        <f t="shared" si="478"/>
        <v>1.5873015873015872E-2</v>
      </c>
      <c r="L3416" s="1">
        <f t="shared" si="479"/>
        <v>1</v>
      </c>
      <c r="M3416" s="1">
        <f t="shared" si="480"/>
        <v>48.8</v>
      </c>
      <c r="N3416" s="1">
        <f t="shared" si="481"/>
        <v>46.79</v>
      </c>
      <c r="O3416" s="1">
        <f t="shared" si="482"/>
        <v>46.04</v>
      </c>
      <c r="P3416" s="1">
        <f t="shared" si="483"/>
        <v>23.489795918367346</v>
      </c>
    </row>
    <row r="3417" spans="1:16">
      <c r="A3417" s="2">
        <v>38103</v>
      </c>
      <c r="B3417" s="1">
        <v>46.33</v>
      </c>
      <c r="C3417" s="1">
        <v>47.76</v>
      </c>
      <c r="D3417" s="1">
        <v>46.15</v>
      </c>
      <c r="E3417" s="1">
        <v>47.25</v>
      </c>
      <c r="F3417" s="1">
        <v>7314200</v>
      </c>
      <c r="G3417" s="1">
        <v>47.25</v>
      </c>
      <c r="H3417" s="1">
        <f t="shared" si="477"/>
        <v>1.6099999999999994</v>
      </c>
      <c r="I3417" s="9">
        <f t="shared" si="484"/>
        <v>3.4886240520043327E-2</v>
      </c>
      <c r="J3417" s="1">
        <f t="shared" si="485"/>
        <v>0.96000000000000085</v>
      </c>
      <c r="K3417" s="9">
        <f t="shared" si="478"/>
        <v>2.0738820479585241E-2</v>
      </c>
      <c r="L3417" s="1">
        <f t="shared" si="479"/>
        <v>1</v>
      </c>
      <c r="M3417" s="1">
        <f t="shared" si="480"/>
        <v>47.76</v>
      </c>
      <c r="N3417" s="1">
        <f t="shared" si="481"/>
        <v>46.15</v>
      </c>
      <c r="O3417" s="1">
        <f t="shared" si="482"/>
        <v>45.29</v>
      </c>
      <c r="P3417" s="1">
        <f t="shared" si="483"/>
        <v>23.107142857142858</v>
      </c>
    </row>
    <row r="3418" spans="1:16">
      <c r="A3418" s="2">
        <v>38100</v>
      </c>
      <c r="B3418" s="1">
        <v>46</v>
      </c>
      <c r="C3418" s="1">
        <v>46.89</v>
      </c>
      <c r="D3418" s="1">
        <v>45.51</v>
      </c>
      <c r="E3418" s="1">
        <v>46.29</v>
      </c>
      <c r="F3418" s="1">
        <v>14599400</v>
      </c>
      <c r="G3418" s="1">
        <v>46.29</v>
      </c>
      <c r="H3418" s="1">
        <f t="shared" si="477"/>
        <v>1.3800000000000026</v>
      </c>
      <c r="I3418" s="9">
        <f t="shared" si="484"/>
        <v>3.0323005932762086E-2</v>
      </c>
      <c r="J3418" s="1">
        <f t="shared" si="485"/>
        <v>-2.5700000000000003</v>
      </c>
      <c r="K3418" s="9">
        <f t="shared" si="478"/>
        <v>-5.2599263200982405E-2</v>
      </c>
      <c r="L3418" s="1">
        <f t="shared" si="479"/>
        <v>1</v>
      </c>
      <c r="M3418" s="1">
        <f t="shared" si="480"/>
        <v>46.89</v>
      </c>
      <c r="N3418" s="1">
        <f t="shared" si="481"/>
        <v>45.51</v>
      </c>
      <c r="O3418" s="1">
        <f t="shared" si="482"/>
        <v>44.33</v>
      </c>
      <c r="P3418" s="1">
        <f t="shared" si="483"/>
        <v>22.617346938775508</v>
      </c>
    </row>
    <row r="3419" spans="1:16">
      <c r="A3419" s="2">
        <v>38099</v>
      </c>
      <c r="B3419" s="1">
        <v>45.95</v>
      </c>
      <c r="C3419" s="1">
        <v>49.1</v>
      </c>
      <c r="D3419" s="1">
        <v>45.89</v>
      </c>
      <c r="E3419" s="1">
        <v>48.86</v>
      </c>
      <c r="F3419" s="1">
        <v>15798200</v>
      </c>
      <c r="G3419" s="1">
        <v>48.86</v>
      </c>
      <c r="H3419" s="1">
        <f t="shared" si="477"/>
        <v>3.2100000000000009</v>
      </c>
      <c r="I3419" s="9">
        <f t="shared" si="484"/>
        <v>6.9949880148180446E-2</v>
      </c>
      <c r="J3419" s="1">
        <f t="shared" si="485"/>
        <v>3.1400000000000006</v>
      </c>
      <c r="K3419" s="9">
        <f t="shared" si="478"/>
        <v>6.867891513560806E-2</v>
      </c>
      <c r="L3419" s="1">
        <f t="shared" si="479"/>
        <v>1</v>
      </c>
      <c r="M3419" s="1">
        <f t="shared" si="480"/>
        <v>49.1</v>
      </c>
      <c r="N3419" s="1">
        <f t="shared" si="481"/>
        <v>45.89</v>
      </c>
      <c r="O3419" s="1">
        <f t="shared" si="482"/>
        <v>46.9</v>
      </c>
      <c r="P3419" s="1">
        <f t="shared" si="483"/>
        <v>23.928571428571427</v>
      </c>
    </row>
    <row r="3420" spans="1:16">
      <c r="A3420" s="2">
        <v>38098</v>
      </c>
      <c r="B3420" s="1">
        <v>45.2</v>
      </c>
      <c r="C3420" s="1">
        <v>46.49</v>
      </c>
      <c r="D3420" s="1">
        <v>44.91</v>
      </c>
      <c r="E3420" s="1">
        <v>45.72</v>
      </c>
      <c r="F3420" s="1">
        <v>6054200</v>
      </c>
      <c r="G3420" s="1">
        <v>45.72</v>
      </c>
      <c r="H3420" s="1">
        <f t="shared" si="477"/>
        <v>1.5800000000000054</v>
      </c>
      <c r="I3420" s="9">
        <f t="shared" si="484"/>
        <v>3.5181474059229695E-2</v>
      </c>
      <c r="J3420" s="1">
        <f t="shared" si="485"/>
        <v>0.51999999999999602</v>
      </c>
      <c r="K3420" s="9">
        <f t="shared" si="478"/>
        <v>1.1504424778760973E-2</v>
      </c>
      <c r="L3420" s="1">
        <f t="shared" si="479"/>
        <v>1</v>
      </c>
      <c r="M3420" s="1">
        <f t="shared" si="480"/>
        <v>46.49</v>
      </c>
      <c r="N3420" s="1">
        <f t="shared" si="481"/>
        <v>44.91</v>
      </c>
      <c r="O3420" s="1">
        <f t="shared" si="482"/>
        <v>43.76</v>
      </c>
      <c r="P3420" s="1">
        <f t="shared" si="483"/>
        <v>22.326530612244898</v>
      </c>
    </row>
    <row r="3421" spans="1:16">
      <c r="A3421" s="2">
        <v>38097</v>
      </c>
      <c r="B3421" s="1">
        <v>47.66</v>
      </c>
      <c r="C3421" s="1">
        <v>47.81</v>
      </c>
      <c r="D3421" s="1">
        <v>45.18</v>
      </c>
      <c r="E3421" s="1">
        <v>45.2</v>
      </c>
      <c r="F3421" s="1">
        <v>9376100</v>
      </c>
      <c r="G3421" s="1">
        <v>45.2</v>
      </c>
      <c r="H3421" s="1">
        <f t="shared" si="477"/>
        <v>2.6300000000000026</v>
      </c>
      <c r="I3421" s="9">
        <f t="shared" si="484"/>
        <v>5.8211598052235559E-2</v>
      </c>
      <c r="J3421" s="1">
        <f t="shared" si="485"/>
        <v>-1.9099999999999966</v>
      </c>
      <c r="K3421" s="9">
        <f t="shared" si="478"/>
        <v>-4.0543409042666026E-2</v>
      </c>
      <c r="L3421" s="1">
        <f t="shared" si="479"/>
        <v>1</v>
      </c>
      <c r="M3421" s="1">
        <f t="shared" si="480"/>
        <v>47.81</v>
      </c>
      <c r="N3421" s="1">
        <f t="shared" si="481"/>
        <v>45.18</v>
      </c>
      <c r="O3421" s="1">
        <f t="shared" si="482"/>
        <v>43.24</v>
      </c>
      <c r="P3421" s="1">
        <f t="shared" si="483"/>
        <v>22.061224489795919</v>
      </c>
    </row>
    <row r="3422" spans="1:16">
      <c r="A3422" s="2">
        <v>38096</v>
      </c>
      <c r="B3422" s="1">
        <v>45.35</v>
      </c>
      <c r="C3422" s="1">
        <v>47.27</v>
      </c>
      <c r="D3422" s="1">
        <v>45.12</v>
      </c>
      <c r="E3422" s="1">
        <v>47.11</v>
      </c>
      <c r="F3422" s="1">
        <v>5352500</v>
      </c>
      <c r="G3422" s="1">
        <v>47.11</v>
      </c>
      <c r="H3422" s="1">
        <f t="shared" si="477"/>
        <v>2.1500000000000057</v>
      </c>
      <c r="I3422" s="9">
        <f t="shared" si="484"/>
        <v>4.7650709219858284E-2</v>
      </c>
      <c r="J3422" s="1">
        <f t="shared" si="485"/>
        <v>1.6099999999999994</v>
      </c>
      <c r="K3422" s="9">
        <f t="shared" si="478"/>
        <v>3.5384615384615375E-2</v>
      </c>
      <c r="L3422" s="1">
        <f t="shared" si="479"/>
        <v>1</v>
      </c>
      <c r="M3422" s="1">
        <f t="shared" si="480"/>
        <v>47.27</v>
      </c>
      <c r="N3422" s="1">
        <f t="shared" si="481"/>
        <v>45.12</v>
      </c>
      <c r="O3422" s="1">
        <f t="shared" si="482"/>
        <v>45.15</v>
      </c>
      <c r="P3422" s="1">
        <f t="shared" si="483"/>
        <v>23.035714285714285</v>
      </c>
    </row>
    <row r="3423" spans="1:16">
      <c r="A3423" s="2">
        <v>38093</v>
      </c>
      <c r="B3423" s="1">
        <v>47.05</v>
      </c>
      <c r="C3423" s="1">
        <v>47.1</v>
      </c>
      <c r="D3423" s="1">
        <v>45.33</v>
      </c>
      <c r="E3423" s="1">
        <v>45.5</v>
      </c>
      <c r="F3423" s="1">
        <v>8393500</v>
      </c>
      <c r="G3423" s="1">
        <v>45.5</v>
      </c>
      <c r="H3423" s="1">
        <f t="shared" si="477"/>
        <v>1.7700000000000031</v>
      </c>
      <c r="I3423" s="9">
        <f t="shared" si="484"/>
        <v>3.9046988749172805E-2</v>
      </c>
      <c r="J3423" s="1">
        <f t="shared" si="485"/>
        <v>-1.490000000000002</v>
      </c>
      <c r="K3423" s="9">
        <f t="shared" si="478"/>
        <v>-3.1708874228559308E-2</v>
      </c>
      <c r="L3423" s="1">
        <f t="shared" si="479"/>
        <v>1</v>
      </c>
      <c r="M3423" s="1">
        <f t="shared" si="480"/>
        <v>47.1</v>
      </c>
      <c r="N3423" s="1">
        <f t="shared" si="481"/>
        <v>45.33</v>
      </c>
      <c r="O3423" s="1">
        <f t="shared" si="482"/>
        <v>43.54</v>
      </c>
      <c r="P3423" s="1">
        <f t="shared" si="483"/>
        <v>22.214285714285715</v>
      </c>
    </row>
    <row r="3424" spans="1:16">
      <c r="A3424" s="2">
        <v>38092</v>
      </c>
      <c r="B3424" s="1">
        <v>46.98</v>
      </c>
      <c r="C3424" s="1">
        <v>47.6</v>
      </c>
      <c r="D3424" s="1">
        <v>46</v>
      </c>
      <c r="E3424" s="1">
        <v>46.99</v>
      </c>
      <c r="F3424" s="1">
        <v>5603500</v>
      </c>
      <c r="G3424" s="1">
        <v>46.99</v>
      </c>
      <c r="H3424" s="1">
        <f t="shared" si="477"/>
        <v>1.6000000000000014</v>
      </c>
      <c r="I3424" s="9">
        <f t="shared" si="484"/>
        <v>3.4782608695652202E-2</v>
      </c>
      <c r="J3424" s="1">
        <f t="shared" si="485"/>
        <v>0.20000000000000284</v>
      </c>
      <c r="K3424" s="9">
        <f t="shared" si="478"/>
        <v>4.2744176106006169E-3</v>
      </c>
      <c r="L3424" s="1">
        <f t="shared" si="479"/>
        <v>1</v>
      </c>
      <c r="M3424" s="1">
        <f t="shared" si="480"/>
        <v>47.6</v>
      </c>
      <c r="N3424" s="1">
        <f t="shared" si="481"/>
        <v>46</v>
      </c>
      <c r="O3424" s="1">
        <f t="shared" si="482"/>
        <v>45.03</v>
      </c>
      <c r="P3424" s="1">
        <f t="shared" si="483"/>
        <v>22.97448979591837</v>
      </c>
    </row>
    <row r="3425" spans="1:16">
      <c r="A3425" s="2">
        <v>38091</v>
      </c>
      <c r="B3425" s="1">
        <v>46.08</v>
      </c>
      <c r="C3425" s="1">
        <v>47.66</v>
      </c>
      <c r="D3425" s="1">
        <v>45.98</v>
      </c>
      <c r="E3425" s="1">
        <v>46.79</v>
      </c>
      <c r="F3425" s="1">
        <v>6144100</v>
      </c>
      <c r="G3425" s="1">
        <v>46.79</v>
      </c>
      <c r="H3425" s="1">
        <f t="shared" si="477"/>
        <v>1.6799999999999997</v>
      </c>
      <c r="I3425" s="9">
        <f t="shared" si="484"/>
        <v>3.6537625054371463E-2</v>
      </c>
      <c r="J3425" s="1">
        <f t="shared" si="485"/>
        <v>0.21000000000000085</v>
      </c>
      <c r="K3425" s="9">
        <f t="shared" si="478"/>
        <v>4.508372692142569E-3</v>
      </c>
      <c r="L3425" s="1">
        <f t="shared" si="479"/>
        <v>1</v>
      </c>
      <c r="M3425" s="1">
        <f t="shared" si="480"/>
        <v>47.66</v>
      </c>
      <c r="N3425" s="1">
        <f t="shared" si="481"/>
        <v>45.98</v>
      </c>
      <c r="O3425" s="1">
        <f t="shared" si="482"/>
        <v>44.83</v>
      </c>
      <c r="P3425" s="1">
        <f t="shared" si="483"/>
        <v>22.872448979591837</v>
      </c>
    </row>
    <row r="3426" spans="1:16">
      <c r="A3426" s="2">
        <v>38090</v>
      </c>
      <c r="B3426" s="1">
        <v>47.99</v>
      </c>
      <c r="C3426" s="1">
        <v>48.34</v>
      </c>
      <c r="D3426" s="1">
        <v>46.36</v>
      </c>
      <c r="E3426" s="1">
        <v>46.58</v>
      </c>
      <c r="F3426" s="1">
        <v>5724400</v>
      </c>
      <c r="G3426" s="1">
        <v>46.58</v>
      </c>
      <c r="H3426" s="1">
        <f t="shared" si="477"/>
        <v>1.980000000000004</v>
      </c>
      <c r="I3426" s="9">
        <f t="shared" si="484"/>
        <v>4.2709232096635116E-2</v>
      </c>
      <c r="J3426" s="1">
        <f t="shared" si="485"/>
        <v>-1.3800000000000026</v>
      </c>
      <c r="K3426" s="9">
        <f t="shared" si="478"/>
        <v>-2.8773978315262773E-2</v>
      </c>
      <c r="L3426" s="1">
        <f t="shared" si="479"/>
        <v>1</v>
      </c>
      <c r="M3426" s="1">
        <f t="shared" si="480"/>
        <v>48.34</v>
      </c>
      <c r="N3426" s="1">
        <f t="shared" si="481"/>
        <v>46.36</v>
      </c>
      <c r="O3426" s="1">
        <f t="shared" si="482"/>
        <v>44.62</v>
      </c>
      <c r="P3426" s="1">
        <f t="shared" si="483"/>
        <v>22.76530612244898</v>
      </c>
    </row>
    <row r="3427" spans="1:16">
      <c r="A3427" s="2">
        <v>38089</v>
      </c>
      <c r="B3427" s="1">
        <v>48.16</v>
      </c>
      <c r="C3427" s="1">
        <v>48.37</v>
      </c>
      <c r="D3427" s="1">
        <v>47.57</v>
      </c>
      <c r="E3427" s="1">
        <v>47.96</v>
      </c>
      <c r="F3427" s="1">
        <v>4345900</v>
      </c>
      <c r="G3427" s="1">
        <v>47.96</v>
      </c>
      <c r="H3427" s="1">
        <f t="shared" si="477"/>
        <v>0.79999999999999716</v>
      </c>
      <c r="I3427" s="9">
        <f t="shared" si="484"/>
        <v>1.6817321841496681E-2</v>
      </c>
      <c r="J3427" s="1">
        <f t="shared" si="485"/>
        <v>-0.14000000000000057</v>
      </c>
      <c r="K3427" s="9">
        <f t="shared" si="478"/>
        <v>-2.9106029106029225E-3</v>
      </c>
      <c r="L3427" s="1">
        <f t="shared" si="479"/>
        <v>1</v>
      </c>
      <c r="M3427" s="1">
        <f t="shared" si="480"/>
        <v>48.37</v>
      </c>
      <c r="N3427" s="1">
        <f t="shared" si="481"/>
        <v>47.57</v>
      </c>
      <c r="O3427" s="1">
        <f t="shared" si="482"/>
        <v>46</v>
      </c>
      <c r="P3427" s="1">
        <f t="shared" si="483"/>
        <v>23.469387755102041</v>
      </c>
    </row>
    <row r="3428" spans="1:16">
      <c r="A3428" s="2">
        <v>38085</v>
      </c>
      <c r="B3428" s="1">
        <v>47.84</v>
      </c>
      <c r="C3428" s="1">
        <v>48.15</v>
      </c>
      <c r="D3428" s="1">
        <v>47</v>
      </c>
      <c r="E3428" s="1">
        <v>48.1</v>
      </c>
      <c r="F3428" s="1">
        <v>8879700</v>
      </c>
      <c r="G3428" s="1">
        <v>48.1</v>
      </c>
      <c r="H3428" s="1">
        <f t="shared" si="477"/>
        <v>1.1499999999999986</v>
      </c>
      <c r="I3428" s="9">
        <f t="shared" si="484"/>
        <v>2.4468085106382948E-2</v>
      </c>
      <c r="J3428" s="1">
        <f t="shared" si="485"/>
        <v>2.25</v>
      </c>
      <c r="K3428" s="9">
        <f t="shared" si="478"/>
        <v>4.9073064340239912E-2</v>
      </c>
      <c r="L3428" s="1">
        <f t="shared" si="479"/>
        <v>1</v>
      </c>
      <c r="M3428" s="1">
        <f t="shared" si="480"/>
        <v>48.15</v>
      </c>
      <c r="N3428" s="1">
        <f t="shared" si="481"/>
        <v>47</v>
      </c>
      <c r="O3428" s="1">
        <f t="shared" si="482"/>
        <v>46.14</v>
      </c>
      <c r="P3428" s="1">
        <f t="shared" si="483"/>
        <v>23.540816326530614</v>
      </c>
    </row>
    <row r="3429" spans="1:16">
      <c r="A3429" s="2">
        <v>38084</v>
      </c>
      <c r="B3429" s="1">
        <v>46.2</v>
      </c>
      <c r="C3429" s="1">
        <v>46.8</v>
      </c>
      <c r="D3429" s="1">
        <v>45.39</v>
      </c>
      <c r="E3429" s="1">
        <v>45.85</v>
      </c>
      <c r="F3429" s="1">
        <v>4550600</v>
      </c>
      <c r="G3429" s="1">
        <v>45.85</v>
      </c>
      <c r="H3429" s="1">
        <f t="shared" si="477"/>
        <v>1.4099999999999966</v>
      </c>
      <c r="I3429" s="9">
        <f t="shared" si="484"/>
        <v>3.1064111037673422E-2</v>
      </c>
      <c r="J3429" s="1">
        <f t="shared" si="485"/>
        <v>-0.58999999999999631</v>
      </c>
      <c r="K3429" s="9">
        <f t="shared" si="478"/>
        <v>-1.2704565030146346E-2</v>
      </c>
      <c r="L3429" s="1">
        <f t="shared" si="479"/>
        <v>1</v>
      </c>
      <c r="M3429" s="1">
        <f t="shared" si="480"/>
        <v>46.8</v>
      </c>
      <c r="N3429" s="1">
        <f t="shared" si="481"/>
        <v>45.39</v>
      </c>
      <c r="O3429" s="1">
        <f t="shared" si="482"/>
        <v>43.89</v>
      </c>
      <c r="P3429" s="1">
        <f t="shared" si="483"/>
        <v>22.392857142857142</v>
      </c>
    </row>
    <row r="3430" spans="1:16">
      <c r="A3430" s="2">
        <v>38083</v>
      </c>
      <c r="B3430" s="1">
        <v>46.31</v>
      </c>
      <c r="C3430" s="1">
        <v>46.97</v>
      </c>
      <c r="D3430" s="1">
        <v>45.75</v>
      </c>
      <c r="E3430" s="1">
        <v>46.44</v>
      </c>
      <c r="F3430" s="1">
        <v>5916300</v>
      </c>
      <c r="G3430" s="1">
        <v>46.44</v>
      </c>
      <c r="H3430" s="1">
        <f t="shared" si="477"/>
        <v>1.2199999999999989</v>
      </c>
      <c r="I3430" s="9">
        <f t="shared" si="484"/>
        <v>2.6666666666666641E-2</v>
      </c>
      <c r="J3430" s="1">
        <f t="shared" si="485"/>
        <v>-0.52000000000000313</v>
      </c>
      <c r="K3430" s="9">
        <f t="shared" si="478"/>
        <v>-1.107325383304947E-2</v>
      </c>
      <c r="L3430" s="1">
        <f t="shared" si="479"/>
        <v>1</v>
      </c>
      <c r="M3430" s="1">
        <f t="shared" si="480"/>
        <v>46.97</v>
      </c>
      <c r="N3430" s="1">
        <f t="shared" si="481"/>
        <v>45.75</v>
      </c>
      <c r="O3430" s="1">
        <f t="shared" si="482"/>
        <v>44.48</v>
      </c>
      <c r="P3430" s="1">
        <f t="shared" si="483"/>
        <v>22.693877551020407</v>
      </c>
    </row>
    <row r="3431" spans="1:16">
      <c r="A3431" s="2">
        <v>38082</v>
      </c>
      <c r="B3431" s="1">
        <v>45.67</v>
      </c>
      <c r="C3431" s="1">
        <v>47.09</v>
      </c>
      <c r="D3431" s="1">
        <v>45.59</v>
      </c>
      <c r="E3431" s="1">
        <v>46.96</v>
      </c>
      <c r="F3431" s="1">
        <v>5939100</v>
      </c>
      <c r="G3431" s="1">
        <v>46.96</v>
      </c>
      <c r="H3431" s="1">
        <f t="shared" si="477"/>
        <v>1.5</v>
      </c>
      <c r="I3431" s="9">
        <f t="shared" si="484"/>
        <v>3.2901952182496162E-2</v>
      </c>
      <c r="J3431" s="1">
        <f t="shared" si="485"/>
        <v>0.86999999999999744</v>
      </c>
      <c r="K3431" s="9">
        <f t="shared" si="478"/>
        <v>1.8876111954870847E-2</v>
      </c>
      <c r="L3431" s="1">
        <f t="shared" si="479"/>
        <v>1</v>
      </c>
      <c r="M3431" s="1">
        <f t="shared" si="480"/>
        <v>47.09</v>
      </c>
      <c r="N3431" s="1">
        <f t="shared" si="481"/>
        <v>45.59</v>
      </c>
      <c r="O3431" s="1">
        <f t="shared" si="482"/>
        <v>45</v>
      </c>
      <c r="P3431" s="1">
        <f t="shared" si="483"/>
        <v>22.95918367346939</v>
      </c>
    </row>
    <row r="3432" spans="1:16">
      <c r="A3432" s="2">
        <v>38079</v>
      </c>
      <c r="B3432" s="1">
        <v>46</v>
      </c>
      <c r="C3432" s="1">
        <v>46.25</v>
      </c>
      <c r="D3432" s="1">
        <v>45.25</v>
      </c>
      <c r="E3432" s="1">
        <v>46.09</v>
      </c>
      <c r="F3432" s="1">
        <v>8148100</v>
      </c>
      <c r="G3432" s="1">
        <v>46.09</v>
      </c>
      <c r="H3432" s="1">
        <f t="shared" si="477"/>
        <v>1</v>
      </c>
      <c r="I3432" s="9">
        <f t="shared" si="484"/>
        <v>2.2099447513812154E-2</v>
      </c>
      <c r="J3432" s="1">
        <f t="shared" si="485"/>
        <v>1.3500000000000014</v>
      </c>
      <c r="K3432" s="9">
        <f t="shared" si="478"/>
        <v>3.0174340634778751E-2</v>
      </c>
      <c r="L3432" s="1">
        <f t="shared" si="479"/>
        <v>1</v>
      </c>
      <c r="M3432" s="1">
        <f t="shared" si="480"/>
        <v>46.25</v>
      </c>
      <c r="N3432" s="1">
        <f t="shared" si="481"/>
        <v>45.25</v>
      </c>
      <c r="O3432" s="1">
        <f t="shared" si="482"/>
        <v>44.13</v>
      </c>
      <c r="P3432" s="1">
        <f t="shared" si="483"/>
        <v>22.51530612244898</v>
      </c>
    </row>
    <row r="3433" spans="1:16">
      <c r="A3433" s="2">
        <v>38078</v>
      </c>
      <c r="B3433" s="1">
        <v>43.45</v>
      </c>
      <c r="C3433" s="1">
        <v>44.84</v>
      </c>
      <c r="D3433" s="1">
        <v>43.3</v>
      </c>
      <c r="E3433" s="1">
        <v>44.74</v>
      </c>
      <c r="F3433" s="1">
        <v>6508500</v>
      </c>
      <c r="G3433" s="1">
        <v>44.74</v>
      </c>
      <c r="H3433" s="1">
        <f t="shared" si="477"/>
        <v>1.5400000000000063</v>
      </c>
      <c r="I3433" s="9">
        <f t="shared" si="484"/>
        <v>3.5565819861432015E-2</v>
      </c>
      <c r="J3433" s="1">
        <f t="shared" si="485"/>
        <v>1.4600000000000009</v>
      </c>
      <c r="K3433" s="9">
        <f t="shared" si="478"/>
        <v>3.3733826247689482E-2</v>
      </c>
      <c r="L3433" s="1">
        <f t="shared" si="479"/>
        <v>1</v>
      </c>
      <c r="M3433" s="1">
        <f t="shared" si="480"/>
        <v>44.84</v>
      </c>
      <c r="N3433" s="1">
        <f t="shared" si="481"/>
        <v>43.3</v>
      </c>
      <c r="O3433" s="1">
        <f t="shared" si="482"/>
        <v>42.78</v>
      </c>
      <c r="P3433" s="1">
        <f t="shared" si="483"/>
        <v>21.826530612244898</v>
      </c>
    </row>
    <row r="3434" spans="1:16">
      <c r="A3434" s="2">
        <v>38077</v>
      </c>
      <c r="B3434" s="1">
        <v>43.85</v>
      </c>
      <c r="C3434" s="1">
        <v>44</v>
      </c>
      <c r="D3434" s="1">
        <v>42.95</v>
      </c>
      <c r="E3434" s="1">
        <v>43.28</v>
      </c>
      <c r="F3434" s="1">
        <v>4674900</v>
      </c>
      <c r="G3434" s="1">
        <v>43.28</v>
      </c>
      <c r="H3434" s="1">
        <f t="shared" si="477"/>
        <v>1.0499999999999972</v>
      </c>
      <c r="I3434" s="9">
        <f t="shared" si="484"/>
        <v>2.4447031431897488E-2</v>
      </c>
      <c r="J3434" s="1">
        <f t="shared" si="485"/>
        <v>-0.51999999999999602</v>
      </c>
      <c r="K3434" s="9">
        <f t="shared" si="478"/>
        <v>-1.1872146118721371E-2</v>
      </c>
      <c r="L3434" s="1">
        <f t="shared" si="479"/>
        <v>1</v>
      </c>
      <c r="M3434" s="1">
        <f t="shared" si="480"/>
        <v>44</v>
      </c>
      <c r="N3434" s="1">
        <f t="shared" si="481"/>
        <v>42.95</v>
      </c>
      <c r="O3434" s="1">
        <f t="shared" si="482"/>
        <v>41.32</v>
      </c>
      <c r="P3434" s="1">
        <f t="shared" si="483"/>
        <v>21.081632653061224</v>
      </c>
    </row>
    <row r="3435" spans="1:16">
      <c r="A3435" s="2">
        <v>38076</v>
      </c>
      <c r="B3435" s="1">
        <v>42.71</v>
      </c>
      <c r="C3435" s="1">
        <v>43.93</v>
      </c>
      <c r="D3435" s="1">
        <v>42.56</v>
      </c>
      <c r="E3435" s="1">
        <v>43.8</v>
      </c>
      <c r="F3435" s="1">
        <v>5452900</v>
      </c>
      <c r="G3435" s="1">
        <v>43.8</v>
      </c>
      <c r="H3435" s="1">
        <f t="shared" si="477"/>
        <v>1.3699999999999974</v>
      </c>
      <c r="I3435" s="9">
        <f t="shared" si="484"/>
        <v>3.2189849624060088E-2</v>
      </c>
      <c r="J3435" s="1">
        <f t="shared" si="485"/>
        <v>1.0399999999999991</v>
      </c>
      <c r="K3435" s="9">
        <f t="shared" si="478"/>
        <v>2.4321796071094463E-2</v>
      </c>
      <c r="L3435" s="1">
        <f t="shared" si="479"/>
        <v>1</v>
      </c>
      <c r="M3435" s="1">
        <f t="shared" si="480"/>
        <v>43.93</v>
      </c>
      <c r="N3435" s="1">
        <f t="shared" si="481"/>
        <v>42.56</v>
      </c>
      <c r="O3435" s="1">
        <f t="shared" si="482"/>
        <v>41.839999999999996</v>
      </c>
      <c r="P3435" s="1">
        <f t="shared" si="483"/>
        <v>21.346938775510203</v>
      </c>
    </row>
    <row r="3436" spans="1:16">
      <c r="A3436" s="2">
        <v>38075</v>
      </c>
      <c r="B3436" s="1">
        <v>41.97</v>
      </c>
      <c r="C3436" s="1">
        <v>42.8</v>
      </c>
      <c r="D3436" s="1">
        <v>41.97</v>
      </c>
      <c r="E3436" s="1">
        <v>42.76</v>
      </c>
      <c r="F3436" s="1">
        <v>5561000</v>
      </c>
      <c r="G3436" s="1">
        <v>42.76</v>
      </c>
      <c r="H3436" s="1">
        <f t="shared" si="477"/>
        <v>0.82999999999999829</v>
      </c>
      <c r="I3436" s="9">
        <f t="shared" si="484"/>
        <v>1.9776030497974703E-2</v>
      </c>
      <c r="J3436" s="1">
        <f t="shared" si="485"/>
        <v>1.0599999999999952</v>
      </c>
      <c r="K3436" s="9">
        <f t="shared" si="478"/>
        <v>2.5419664268585013E-2</v>
      </c>
      <c r="L3436" s="1">
        <f t="shared" si="479"/>
        <v>1</v>
      </c>
      <c r="M3436" s="1">
        <f t="shared" si="480"/>
        <v>42.8</v>
      </c>
      <c r="N3436" s="1">
        <f t="shared" si="481"/>
        <v>41.97</v>
      </c>
      <c r="O3436" s="1">
        <f t="shared" si="482"/>
        <v>40.799999999999997</v>
      </c>
      <c r="P3436" s="1">
        <f t="shared" si="483"/>
        <v>20.816326530612244</v>
      </c>
    </row>
    <row r="3437" spans="1:16">
      <c r="A3437" s="2">
        <v>38072</v>
      </c>
      <c r="B3437" s="1">
        <v>42.01</v>
      </c>
      <c r="C3437" s="1">
        <v>42.49</v>
      </c>
      <c r="D3437" s="1">
        <v>41.29</v>
      </c>
      <c r="E3437" s="1">
        <v>41.7</v>
      </c>
      <c r="F3437" s="1">
        <v>5740400</v>
      </c>
      <c r="G3437" s="1">
        <v>41.7</v>
      </c>
      <c r="H3437" s="1">
        <f t="shared" si="477"/>
        <v>1.2000000000000028</v>
      </c>
      <c r="I3437" s="9">
        <f t="shared" si="484"/>
        <v>2.9062727052555169E-2</v>
      </c>
      <c r="J3437" s="1">
        <f t="shared" si="485"/>
        <v>-0.28999999999999915</v>
      </c>
      <c r="K3437" s="9">
        <f t="shared" si="478"/>
        <v>-6.9064062872112204E-3</v>
      </c>
      <c r="L3437" s="1">
        <f t="shared" si="479"/>
        <v>1</v>
      </c>
      <c r="M3437" s="1">
        <f t="shared" si="480"/>
        <v>42.49</v>
      </c>
      <c r="N3437" s="1">
        <f t="shared" si="481"/>
        <v>41.29</v>
      </c>
      <c r="O3437" s="1">
        <f t="shared" si="482"/>
        <v>39.74</v>
      </c>
      <c r="P3437" s="1">
        <f t="shared" si="483"/>
        <v>20.275510204081634</v>
      </c>
    </row>
    <row r="3438" spans="1:16">
      <c r="A3438" s="2">
        <v>38071</v>
      </c>
      <c r="B3438" s="1">
        <v>40</v>
      </c>
      <c r="C3438" s="1">
        <v>42.2</v>
      </c>
      <c r="D3438" s="1">
        <v>40</v>
      </c>
      <c r="E3438" s="1">
        <v>41.99</v>
      </c>
      <c r="F3438" s="1">
        <v>7112700</v>
      </c>
      <c r="G3438" s="1">
        <v>41.99</v>
      </c>
      <c r="H3438" s="1">
        <f t="shared" si="477"/>
        <v>2.2000000000000028</v>
      </c>
      <c r="I3438" s="9">
        <f t="shared" si="484"/>
        <v>5.500000000000007E-2</v>
      </c>
      <c r="J3438" s="1">
        <f t="shared" si="485"/>
        <v>2.3599999999999994</v>
      </c>
      <c r="K3438" s="9">
        <f t="shared" si="478"/>
        <v>5.9550845319202607E-2</v>
      </c>
      <c r="L3438" s="1">
        <f t="shared" si="479"/>
        <v>1</v>
      </c>
      <c r="M3438" s="1">
        <f t="shared" si="480"/>
        <v>42.2</v>
      </c>
      <c r="N3438" s="1">
        <f t="shared" si="481"/>
        <v>40</v>
      </c>
      <c r="O3438" s="1">
        <f t="shared" si="482"/>
        <v>40.03</v>
      </c>
      <c r="P3438" s="1">
        <f t="shared" si="483"/>
        <v>20.423469387755102</v>
      </c>
    </row>
    <row r="3439" spans="1:16">
      <c r="A3439" s="2">
        <v>38070</v>
      </c>
      <c r="B3439" s="1">
        <v>40.31</v>
      </c>
      <c r="C3439" s="1">
        <v>40.380000000000003</v>
      </c>
      <c r="D3439" s="1">
        <v>39.15</v>
      </c>
      <c r="E3439" s="1">
        <v>39.630000000000003</v>
      </c>
      <c r="F3439" s="1">
        <v>7875900</v>
      </c>
      <c r="G3439" s="1">
        <v>39.630000000000003</v>
      </c>
      <c r="H3439" s="1">
        <f t="shared" si="477"/>
        <v>1.230000000000004</v>
      </c>
      <c r="I3439" s="9">
        <f t="shared" si="484"/>
        <v>3.1417624521072898E-2</v>
      </c>
      <c r="J3439" s="1">
        <f t="shared" si="485"/>
        <v>-0.59999999999999432</v>
      </c>
      <c r="K3439" s="9">
        <f t="shared" si="478"/>
        <v>-1.4914243102162425E-2</v>
      </c>
      <c r="L3439" s="1">
        <f t="shared" si="479"/>
        <v>1</v>
      </c>
      <c r="M3439" s="1">
        <f t="shared" si="480"/>
        <v>40.380000000000003</v>
      </c>
      <c r="N3439" s="1">
        <f t="shared" si="481"/>
        <v>39.15</v>
      </c>
      <c r="O3439" s="1">
        <f t="shared" si="482"/>
        <v>37.67</v>
      </c>
      <c r="P3439" s="1">
        <f t="shared" si="483"/>
        <v>19.219387755102041</v>
      </c>
    </row>
    <row r="3440" spans="1:16">
      <c r="A3440" s="2">
        <v>38069</v>
      </c>
      <c r="B3440" s="1">
        <v>41.32</v>
      </c>
      <c r="C3440" s="1">
        <v>41.74</v>
      </c>
      <c r="D3440" s="1">
        <v>39.85</v>
      </c>
      <c r="E3440" s="1">
        <v>40.229999999999997</v>
      </c>
      <c r="F3440" s="1">
        <v>11225700</v>
      </c>
      <c r="G3440" s="1">
        <v>40.229999999999997</v>
      </c>
      <c r="H3440" s="1">
        <f t="shared" si="477"/>
        <v>1.8900000000000006</v>
      </c>
      <c r="I3440" s="9">
        <f t="shared" si="484"/>
        <v>4.7427854454203278E-2</v>
      </c>
      <c r="J3440" s="1">
        <f t="shared" si="485"/>
        <v>-0.62000000000000455</v>
      </c>
      <c r="K3440" s="9">
        <f t="shared" si="478"/>
        <v>-1.5177478580171469E-2</v>
      </c>
      <c r="L3440" s="1">
        <f t="shared" si="479"/>
        <v>1</v>
      </c>
      <c r="M3440" s="1">
        <f t="shared" si="480"/>
        <v>41.74</v>
      </c>
      <c r="N3440" s="1">
        <f t="shared" si="481"/>
        <v>39.85</v>
      </c>
      <c r="O3440" s="1">
        <f t="shared" si="482"/>
        <v>38.269999999999996</v>
      </c>
      <c r="P3440" s="1">
        <f t="shared" si="483"/>
        <v>19.52551020408163</v>
      </c>
    </row>
    <row r="3441" spans="1:16">
      <c r="A3441" s="2">
        <v>38068</v>
      </c>
      <c r="B3441" s="1">
        <v>41.75</v>
      </c>
      <c r="C3441" s="1">
        <v>41.85</v>
      </c>
      <c r="D3441" s="1">
        <v>40.51</v>
      </c>
      <c r="E3441" s="1">
        <v>40.85</v>
      </c>
      <c r="F3441" s="1">
        <v>8975100</v>
      </c>
      <c r="G3441" s="1">
        <v>40.85</v>
      </c>
      <c r="H3441" s="1">
        <f t="shared" si="477"/>
        <v>1.3400000000000034</v>
      </c>
      <c r="I3441" s="9">
        <f t="shared" si="484"/>
        <v>3.3078252283386907E-2</v>
      </c>
      <c r="J3441" s="1">
        <f t="shared" si="485"/>
        <v>-1.9499999999999957</v>
      </c>
      <c r="K3441" s="9">
        <f t="shared" si="478"/>
        <v>-4.5560747663551303E-2</v>
      </c>
      <c r="L3441" s="1">
        <f t="shared" si="479"/>
        <v>1</v>
      </c>
      <c r="M3441" s="1">
        <f t="shared" si="480"/>
        <v>41.85</v>
      </c>
      <c r="N3441" s="1">
        <f t="shared" si="481"/>
        <v>40.51</v>
      </c>
      <c r="O3441" s="1">
        <f t="shared" si="482"/>
        <v>38.89</v>
      </c>
      <c r="P3441" s="1">
        <f t="shared" si="483"/>
        <v>19.841836734693878</v>
      </c>
    </row>
    <row r="3442" spans="1:16">
      <c r="A3442" s="2">
        <v>38065</v>
      </c>
      <c r="B3442" s="1">
        <v>43.03</v>
      </c>
      <c r="C3442" s="1">
        <v>43.75</v>
      </c>
      <c r="D3442" s="1">
        <v>42.63</v>
      </c>
      <c r="E3442" s="1">
        <v>42.8</v>
      </c>
      <c r="F3442" s="1">
        <v>5754900</v>
      </c>
      <c r="G3442" s="1">
        <v>42.8</v>
      </c>
      <c r="H3442" s="1">
        <f t="shared" si="477"/>
        <v>1.1199999999999974</v>
      </c>
      <c r="I3442" s="9">
        <f t="shared" si="484"/>
        <v>2.6272577996715864E-2</v>
      </c>
      <c r="J3442" s="1">
        <f t="shared" si="485"/>
        <v>-0.21000000000000085</v>
      </c>
      <c r="K3442" s="9">
        <f t="shared" si="478"/>
        <v>-4.882585445245312E-3</v>
      </c>
      <c r="L3442" s="1">
        <f t="shared" si="479"/>
        <v>1</v>
      </c>
      <c r="M3442" s="1">
        <f t="shared" si="480"/>
        <v>43.75</v>
      </c>
      <c r="N3442" s="1">
        <f t="shared" si="481"/>
        <v>42.63</v>
      </c>
      <c r="O3442" s="1">
        <f t="shared" si="482"/>
        <v>40.839999999999996</v>
      </c>
      <c r="P3442" s="1">
        <f t="shared" si="483"/>
        <v>20.836734693877549</v>
      </c>
    </row>
    <row r="3443" spans="1:16">
      <c r="A3443" s="2">
        <v>38064</v>
      </c>
      <c r="B3443" s="1">
        <v>42.53</v>
      </c>
      <c r="C3443" s="1">
        <v>43.2</v>
      </c>
      <c r="D3443" s="1">
        <v>42.21</v>
      </c>
      <c r="E3443" s="1">
        <v>43.01</v>
      </c>
      <c r="F3443" s="1">
        <v>5724300</v>
      </c>
      <c r="G3443" s="1">
        <v>43.01</v>
      </c>
      <c r="H3443" s="1">
        <f t="shared" si="477"/>
        <v>0.99000000000000199</v>
      </c>
      <c r="I3443" s="9">
        <f t="shared" si="484"/>
        <v>2.3454157782516038E-2</v>
      </c>
      <c r="J3443" s="1">
        <f t="shared" si="485"/>
        <v>0.21000000000000085</v>
      </c>
      <c r="K3443" s="9">
        <f t="shared" si="478"/>
        <v>4.906542056074787E-3</v>
      </c>
      <c r="L3443" s="1">
        <f t="shared" si="479"/>
        <v>1</v>
      </c>
      <c r="M3443" s="1">
        <f t="shared" si="480"/>
        <v>43.2</v>
      </c>
      <c r="N3443" s="1">
        <f t="shared" si="481"/>
        <v>42.21</v>
      </c>
      <c r="O3443" s="1">
        <f t="shared" si="482"/>
        <v>41.05</v>
      </c>
      <c r="P3443" s="1">
        <f t="shared" si="483"/>
        <v>20.943877551020407</v>
      </c>
    </row>
    <row r="3444" spans="1:16">
      <c r="A3444" s="2">
        <v>38063</v>
      </c>
      <c r="B3444" s="1">
        <v>43.04</v>
      </c>
      <c r="C3444" s="1">
        <v>43.45</v>
      </c>
      <c r="D3444" s="1">
        <v>42.59</v>
      </c>
      <c r="E3444" s="1">
        <v>42.8</v>
      </c>
      <c r="F3444" s="1">
        <v>5107300</v>
      </c>
      <c r="G3444" s="1">
        <v>42.8</v>
      </c>
      <c r="H3444" s="1">
        <f t="shared" si="477"/>
        <v>0.85999999999999943</v>
      </c>
      <c r="I3444" s="9">
        <f t="shared" si="484"/>
        <v>2.0192533458558332E-2</v>
      </c>
      <c r="J3444" s="1">
        <f t="shared" si="485"/>
        <v>0.6699999999999946</v>
      </c>
      <c r="K3444" s="9">
        <f t="shared" si="478"/>
        <v>1.5903156895323869E-2</v>
      </c>
      <c r="L3444" s="1">
        <f t="shared" si="479"/>
        <v>1</v>
      </c>
      <c r="M3444" s="1">
        <f t="shared" si="480"/>
        <v>43.45</v>
      </c>
      <c r="N3444" s="1">
        <f t="shared" si="481"/>
        <v>42.59</v>
      </c>
      <c r="O3444" s="1">
        <f t="shared" si="482"/>
        <v>40.839999999999996</v>
      </c>
      <c r="P3444" s="1">
        <f t="shared" si="483"/>
        <v>20.836734693877549</v>
      </c>
    </row>
    <row r="3445" spans="1:16">
      <c r="A3445" s="2">
        <v>38062</v>
      </c>
      <c r="B3445" s="1">
        <v>41.29</v>
      </c>
      <c r="C3445" s="1">
        <v>42.36</v>
      </c>
      <c r="D3445" s="1">
        <v>41.26</v>
      </c>
      <c r="E3445" s="1">
        <v>42.13</v>
      </c>
      <c r="F3445" s="1">
        <v>6218200</v>
      </c>
      <c r="G3445" s="1">
        <v>42.13</v>
      </c>
      <c r="H3445" s="1">
        <f t="shared" si="477"/>
        <v>1.1000000000000014</v>
      </c>
      <c r="I3445" s="9">
        <f t="shared" si="484"/>
        <v>2.6660203587009247E-2</v>
      </c>
      <c r="J3445" s="1">
        <f t="shared" si="485"/>
        <v>1.0500000000000043</v>
      </c>
      <c r="K3445" s="9">
        <f t="shared" si="478"/>
        <v>2.5559883154819968E-2</v>
      </c>
      <c r="L3445" s="1">
        <f t="shared" si="479"/>
        <v>1</v>
      </c>
      <c r="M3445" s="1">
        <f t="shared" si="480"/>
        <v>42.36</v>
      </c>
      <c r="N3445" s="1">
        <f t="shared" si="481"/>
        <v>41.26</v>
      </c>
      <c r="O3445" s="1">
        <f t="shared" si="482"/>
        <v>40.17</v>
      </c>
      <c r="P3445" s="1">
        <f t="shared" si="483"/>
        <v>20.494897959183675</v>
      </c>
    </row>
    <row r="3446" spans="1:16">
      <c r="A3446" s="2">
        <v>38061</v>
      </c>
      <c r="B3446" s="1">
        <v>42.26</v>
      </c>
      <c r="C3446" s="1">
        <v>42.8</v>
      </c>
      <c r="D3446" s="1">
        <v>40.92</v>
      </c>
      <c r="E3446" s="1">
        <v>41.08</v>
      </c>
      <c r="F3446" s="1">
        <v>6612200</v>
      </c>
      <c r="G3446" s="1">
        <v>41.08</v>
      </c>
      <c r="H3446" s="1">
        <f t="shared" si="477"/>
        <v>1.8799999999999955</v>
      </c>
      <c r="I3446" s="9">
        <f t="shared" si="484"/>
        <v>4.5943304007820027E-2</v>
      </c>
      <c r="J3446" s="1">
        <f t="shared" si="485"/>
        <v>-1.3599999999999994</v>
      </c>
      <c r="K3446" s="9">
        <f t="shared" si="478"/>
        <v>-3.2045240339302533E-2</v>
      </c>
      <c r="L3446" s="1">
        <f t="shared" si="479"/>
        <v>1</v>
      </c>
      <c r="M3446" s="1">
        <f t="shared" si="480"/>
        <v>42.8</v>
      </c>
      <c r="N3446" s="1">
        <f t="shared" si="481"/>
        <v>40.92</v>
      </c>
      <c r="O3446" s="1">
        <f t="shared" si="482"/>
        <v>39.119999999999997</v>
      </c>
      <c r="P3446" s="1">
        <f t="shared" si="483"/>
        <v>19.959183673469386</v>
      </c>
    </row>
    <row r="3447" spans="1:16">
      <c r="A3447" s="2">
        <v>38058</v>
      </c>
      <c r="B3447" s="1">
        <v>41.35</v>
      </c>
      <c r="C3447" s="1">
        <v>42.61</v>
      </c>
      <c r="D3447" s="1">
        <v>41.3</v>
      </c>
      <c r="E3447" s="1">
        <v>42.44</v>
      </c>
      <c r="F3447" s="1">
        <v>6223800</v>
      </c>
      <c r="G3447" s="1">
        <v>42.44</v>
      </c>
      <c r="H3447" s="1">
        <f t="shared" si="477"/>
        <v>1.3100000000000023</v>
      </c>
      <c r="I3447" s="9">
        <f t="shared" si="484"/>
        <v>3.171912832929788E-2</v>
      </c>
      <c r="J3447" s="1">
        <f t="shared" si="485"/>
        <v>1.1599999999999966</v>
      </c>
      <c r="K3447" s="9">
        <f t="shared" si="478"/>
        <v>2.8100775193798368E-2</v>
      </c>
      <c r="L3447" s="1">
        <f t="shared" si="479"/>
        <v>1</v>
      </c>
      <c r="M3447" s="1">
        <f t="shared" si="480"/>
        <v>42.61</v>
      </c>
      <c r="N3447" s="1">
        <f t="shared" si="481"/>
        <v>41.3</v>
      </c>
      <c r="O3447" s="1">
        <f t="shared" si="482"/>
        <v>40.479999999999997</v>
      </c>
      <c r="P3447" s="1">
        <f t="shared" si="483"/>
        <v>20.653061224489793</v>
      </c>
    </row>
    <row r="3448" spans="1:16">
      <c r="A3448" s="2">
        <v>38057</v>
      </c>
      <c r="B3448" s="1">
        <v>41.09</v>
      </c>
      <c r="C3448" s="1">
        <v>42.37</v>
      </c>
      <c r="D3448" s="1">
        <v>41.04</v>
      </c>
      <c r="E3448" s="1">
        <v>41.28</v>
      </c>
      <c r="F3448" s="1">
        <v>7042600</v>
      </c>
      <c r="G3448" s="1">
        <v>41.28</v>
      </c>
      <c r="H3448" s="1">
        <f t="shared" si="477"/>
        <v>1.3299999999999983</v>
      </c>
      <c r="I3448" s="9">
        <f t="shared" si="484"/>
        <v>3.2407407407407364E-2</v>
      </c>
      <c r="J3448" s="1">
        <f t="shared" si="485"/>
        <v>-0.26999999999999602</v>
      </c>
      <c r="K3448" s="9">
        <f t="shared" si="478"/>
        <v>-6.4981949458482804E-3</v>
      </c>
      <c r="L3448" s="1">
        <f t="shared" si="479"/>
        <v>1</v>
      </c>
      <c r="M3448" s="1">
        <f t="shared" si="480"/>
        <v>42.37</v>
      </c>
      <c r="N3448" s="1">
        <f t="shared" si="481"/>
        <v>41.04</v>
      </c>
      <c r="O3448" s="1">
        <f t="shared" si="482"/>
        <v>39.32</v>
      </c>
      <c r="P3448" s="1">
        <f t="shared" si="483"/>
        <v>20.061224489795919</v>
      </c>
    </row>
    <row r="3449" spans="1:16">
      <c r="A3449" s="2">
        <v>38056</v>
      </c>
      <c r="B3449" s="1">
        <v>42.72</v>
      </c>
      <c r="C3449" s="1">
        <v>43.2</v>
      </c>
      <c r="D3449" s="1">
        <v>41.46</v>
      </c>
      <c r="E3449" s="1">
        <v>41.55</v>
      </c>
      <c r="F3449" s="1">
        <v>6932700</v>
      </c>
      <c r="G3449" s="1">
        <v>41.55</v>
      </c>
      <c r="H3449" s="1">
        <f t="shared" si="477"/>
        <v>1.740000000000002</v>
      </c>
      <c r="I3449" s="9">
        <f t="shared" si="484"/>
        <v>4.1968162083936368E-2</v>
      </c>
      <c r="J3449" s="1">
        <f t="shared" si="485"/>
        <v>-1.1600000000000037</v>
      </c>
      <c r="K3449" s="9">
        <f t="shared" si="478"/>
        <v>-2.71599157106065E-2</v>
      </c>
      <c r="L3449" s="1">
        <f t="shared" si="479"/>
        <v>1</v>
      </c>
      <c r="M3449" s="1">
        <f t="shared" si="480"/>
        <v>43.2</v>
      </c>
      <c r="N3449" s="1">
        <f t="shared" si="481"/>
        <v>41.46</v>
      </c>
      <c r="O3449" s="1">
        <f t="shared" si="482"/>
        <v>39.589999999999996</v>
      </c>
      <c r="P3449" s="1">
        <f t="shared" si="483"/>
        <v>20.198979591836732</v>
      </c>
    </row>
    <row r="3450" spans="1:16">
      <c r="A3450" s="2">
        <v>38055</v>
      </c>
      <c r="B3450" s="1">
        <v>43.42</v>
      </c>
      <c r="C3450" s="1">
        <v>43.89</v>
      </c>
      <c r="D3450" s="1">
        <v>42.27</v>
      </c>
      <c r="E3450" s="1">
        <v>42.71</v>
      </c>
      <c r="F3450" s="1">
        <v>6593100</v>
      </c>
      <c r="G3450" s="1">
        <v>42.71</v>
      </c>
      <c r="H3450" s="1">
        <f t="shared" si="477"/>
        <v>1.6199999999999974</v>
      </c>
      <c r="I3450" s="9">
        <f t="shared" si="484"/>
        <v>3.8325053229240534E-2</v>
      </c>
      <c r="J3450" s="1">
        <f t="shared" si="485"/>
        <v>-0.78999999999999915</v>
      </c>
      <c r="K3450" s="9">
        <f t="shared" si="478"/>
        <v>-1.8160919540229865E-2</v>
      </c>
      <c r="L3450" s="1">
        <f t="shared" si="479"/>
        <v>1</v>
      </c>
      <c r="M3450" s="1">
        <f t="shared" si="480"/>
        <v>43.89</v>
      </c>
      <c r="N3450" s="1">
        <f t="shared" si="481"/>
        <v>42.27</v>
      </c>
      <c r="O3450" s="1">
        <f t="shared" si="482"/>
        <v>40.75</v>
      </c>
      <c r="P3450" s="1">
        <f t="shared" si="483"/>
        <v>20.790816326530614</v>
      </c>
    </row>
    <row r="3451" spans="1:16">
      <c r="A3451" s="2">
        <v>38054</v>
      </c>
      <c r="B3451" s="1">
        <v>43.96</v>
      </c>
      <c r="C3451" s="1">
        <v>45.06</v>
      </c>
      <c r="D3451" s="1">
        <v>43.13</v>
      </c>
      <c r="E3451" s="1">
        <v>43.5</v>
      </c>
      <c r="F3451" s="1">
        <v>6608500</v>
      </c>
      <c r="G3451" s="1">
        <v>43.5</v>
      </c>
      <c r="H3451" s="1">
        <f t="shared" si="477"/>
        <v>1.9299999999999997</v>
      </c>
      <c r="I3451" s="9">
        <f t="shared" si="484"/>
        <v>4.4748434964062125E-2</v>
      </c>
      <c r="J3451" s="1">
        <f t="shared" si="485"/>
        <v>-0.59000000000000341</v>
      </c>
      <c r="K3451" s="9">
        <f t="shared" si="478"/>
        <v>-1.3381719210705452E-2</v>
      </c>
      <c r="L3451" s="1">
        <f t="shared" si="479"/>
        <v>1</v>
      </c>
      <c r="M3451" s="1">
        <f t="shared" si="480"/>
        <v>45.06</v>
      </c>
      <c r="N3451" s="1">
        <f t="shared" si="481"/>
        <v>43.13</v>
      </c>
      <c r="O3451" s="1">
        <f t="shared" si="482"/>
        <v>41.54</v>
      </c>
      <c r="P3451" s="1">
        <f t="shared" si="483"/>
        <v>21.193877551020407</v>
      </c>
    </row>
    <row r="3452" spans="1:16">
      <c r="A3452" s="2">
        <v>38051</v>
      </c>
      <c r="B3452" s="1">
        <v>43.79</v>
      </c>
      <c r="C3452" s="1">
        <v>44.83</v>
      </c>
      <c r="D3452" s="1">
        <v>43.53</v>
      </c>
      <c r="E3452" s="1">
        <v>44.09</v>
      </c>
      <c r="F3452" s="1">
        <v>6426500</v>
      </c>
      <c r="G3452" s="1">
        <v>44.09</v>
      </c>
      <c r="H3452" s="1">
        <f t="shared" si="477"/>
        <v>1.2999999999999972</v>
      </c>
      <c r="I3452" s="9">
        <f t="shared" si="484"/>
        <v>2.9864461291063567E-2</v>
      </c>
      <c r="J3452" s="1">
        <f t="shared" si="485"/>
        <v>-0.29999999999999716</v>
      </c>
      <c r="K3452" s="9">
        <f t="shared" si="478"/>
        <v>-6.758278891642198E-3</v>
      </c>
      <c r="L3452" s="1">
        <f t="shared" si="479"/>
        <v>1</v>
      </c>
      <c r="M3452" s="1">
        <f t="shared" si="480"/>
        <v>44.83</v>
      </c>
      <c r="N3452" s="1">
        <f t="shared" si="481"/>
        <v>43.53</v>
      </c>
      <c r="O3452" s="1">
        <f t="shared" si="482"/>
        <v>42.13</v>
      </c>
      <c r="P3452" s="1">
        <f t="shared" si="483"/>
        <v>21.494897959183675</v>
      </c>
    </row>
    <row r="3453" spans="1:16">
      <c r="A3453" s="2">
        <v>38050</v>
      </c>
      <c r="B3453" s="1">
        <v>43.12</v>
      </c>
      <c r="C3453" s="1">
        <v>44.47</v>
      </c>
      <c r="D3453" s="1">
        <v>43.1</v>
      </c>
      <c r="E3453" s="1">
        <v>44.39</v>
      </c>
      <c r="F3453" s="1">
        <v>7380100</v>
      </c>
      <c r="G3453" s="1">
        <v>44.39</v>
      </c>
      <c r="H3453" s="1">
        <f t="shared" si="477"/>
        <v>1.3699999999999974</v>
      </c>
      <c r="I3453" s="9">
        <f t="shared" si="484"/>
        <v>3.1786542923433816E-2</v>
      </c>
      <c r="J3453" s="1">
        <f t="shared" si="485"/>
        <v>1.2199999999999989</v>
      </c>
      <c r="K3453" s="9">
        <f t="shared" si="478"/>
        <v>2.8260365994903842E-2</v>
      </c>
      <c r="L3453" s="1">
        <f t="shared" si="479"/>
        <v>1</v>
      </c>
      <c r="M3453" s="1">
        <f t="shared" si="480"/>
        <v>44.47</v>
      </c>
      <c r="N3453" s="1">
        <f t="shared" si="481"/>
        <v>43.1</v>
      </c>
      <c r="O3453" s="1">
        <f t="shared" si="482"/>
        <v>42.43</v>
      </c>
      <c r="P3453" s="1">
        <f t="shared" si="483"/>
        <v>21.647959183673471</v>
      </c>
    </row>
    <row r="3454" spans="1:16">
      <c r="A3454" s="2">
        <v>38049</v>
      </c>
      <c r="B3454" s="1">
        <v>41.86</v>
      </c>
      <c r="C3454" s="1">
        <v>43.38</v>
      </c>
      <c r="D3454" s="1">
        <v>41.65</v>
      </c>
      <c r="E3454" s="1">
        <v>43.17</v>
      </c>
      <c r="F3454" s="1">
        <v>9601600</v>
      </c>
      <c r="G3454" s="1">
        <v>43.17</v>
      </c>
      <c r="H3454" s="1">
        <f t="shared" si="477"/>
        <v>1.730000000000004</v>
      </c>
      <c r="I3454" s="9">
        <f t="shared" si="484"/>
        <v>4.1536614645858443E-2</v>
      </c>
      <c r="J3454" s="1">
        <f t="shared" si="485"/>
        <v>1.1600000000000037</v>
      </c>
      <c r="K3454" s="9">
        <f t="shared" si="478"/>
        <v>2.7612473220661838E-2</v>
      </c>
      <c r="L3454" s="1">
        <f t="shared" si="479"/>
        <v>1</v>
      </c>
      <c r="M3454" s="1">
        <f t="shared" si="480"/>
        <v>43.38</v>
      </c>
      <c r="N3454" s="1">
        <f t="shared" si="481"/>
        <v>41.65</v>
      </c>
      <c r="O3454" s="1">
        <f t="shared" si="482"/>
        <v>41.21</v>
      </c>
      <c r="P3454" s="1">
        <f t="shared" si="483"/>
        <v>21.025510204081634</v>
      </c>
    </row>
    <row r="3455" spans="1:16">
      <c r="A3455" s="2">
        <v>38048</v>
      </c>
      <c r="B3455" s="1">
        <v>42.73</v>
      </c>
      <c r="C3455" s="1">
        <v>43.49</v>
      </c>
      <c r="D3455" s="1">
        <v>41.86</v>
      </c>
      <c r="E3455" s="1">
        <v>42.01</v>
      </c>
      <c r="F3455" s="1">
        <v>6966600</v>
      </c>
      <c r="G3455" s="1">
        <v>42.01</v>
      </c>
      <c r="H3455" s="1">
        <f t="shared" si="477"/>
        <v>1.6300000000000026</v>
      </c>
      <c r="I3455" s="9">
        <f t="shared" si="484"/>
        <v>3.8939321548017262E-2</v>
      </c>
      <c r="J3455" s="1">
        <f t="shared" si="485"/>
        <v>-0.96000000000000085</v>
      </c>
      <c r="K3455" s="9">
        <f t="shared" si="478"/>
        <v>-2.2341168256923456E-2</v>
      </c>
      <c r="L3455" s="1">
        <f t="shared" si="479"/>
        <v>1</v>
      </c>
      <c r="M3455" s="1">
        <f t="shared" si="480"/>
        <v>43.49</v>
      </c>
      <c r="N3455" s="1">
        <f t="shared" si="481"/>
        <v>41.86</v>
      </c>
      <c r="O3455" s="1">
        <f t="shared" si="482"/>
        <v>40.049999999999997</v>
      </c>
      <c r="P3455" s="1">
        <f t="shared" si="483"/>
        <v>20.433673469387752</v>
      </c>
    </row>
    <row r="3456" spans="1:16">
      <c r="A3456" s="2">
        <v>38047</v>
      </c>
      <c r="B3456" s="1">
        <v>43.02</v>
      </c>
      <c r="C3456" s="1">
        <v>43.48</v>
      </c>
      <c r="D3456" s="1">
        <v>42.58</v>
      </c>
      <c r="E3456" s="1">
        <v>42.97</v>
      </c>
      <c r="F3456" s="1">
        <v>4959500</v>
      </c>
      <c r="G3456" s="1">
        <v>42.97</v>
      </c>
      <c r="H3456" s="1">
        <f t="shared" si="477"/>
        <v>0.89999999999999858</v>
      </c>
      <c r="I3456" s="9">
        <f t="shared" si="484"/>
        <v>2.1136683889149802E-2</v>
      </c>
      <c r="J3456" s="1">
        <f t="shared" si="485"/>
        <v>-3.9999999999999147E-2</v>
      </c>
      <c r="K3456" s="9">
        <f t="shared" si="478"/>
        <v>-9.3001627528479765E-4</v>
      </c>
      <c r="L3456" s="1">
        <f t="shared" si="479"/>
        <v>1</v>
      </c>
      <c r="M3456" s="1">
        <f t="shared" si="480"/>
        <v>43.48</v>
      </c>
      <c r="N3456" s="1">
        <f t="shared" si="481"/>
        <v>42.58</v>
      </c>
      <c r="O3456" s="1">
        <f t="shared" si="482"/>
        <v>41.01</v>
      </c>
      <c r="P3456" s="1">
        <f t="shared" si="483"/>
        <v>20.923469387755102</v>
      </c>
    </row>
    <row r="3457" spans="1:16">
      <c r="A3457" s="2">
        <v>38044</v>
      </c>
      <c r="B3457" s="1">
        <v>43.57</v>
      </c>
      <c r="C3457" s="1">
        <v>43.6</v>
      </c>
      <c r="D3457" s="1">
        <v>42.52</v>
      </c>
      <c r="E3457" s="1">
        <v>43.01</v>
      </c>
      <c r="F3457" s="1">
        <v>7163600</v>
      </c>
      <c r="G3457" s="1">
        <v>43.01</v>
      </c>
      <c r="H3457" s="1">
        <f t="shared" si="477"/>
        <v>1.0799999999999983</v>
      </c>
      <c r="I3457" s="9">
        <f t="shared" si="484"/>
        <v>2.5399811853245489E-2</v>
      </c>
      <c r="J3457" s="1">
        <f t="shared" si="485"/>
        <v>-0.64000000000000057</v>
      </c>
      <c r="K3457" s="9">
        <f t="shared" si="478"/>
        <v>-1.4662084765177563E-2</v>
      </c>
      <c r="L3457" s="1">
        <f t="shared" si="479"/>
        <v>1</v>
      </c>
      <c r="M3457" s="1">
        <f t="shared" si="480"/>
        <v>43.6</v>
      </c>
      <c r="N3457" s="1">
        <f t="shared" si="481"/>
        <v>42.52</v>
      </c>
      <c r="O3457" s="1">
        <f t="shared" si="482"/>
        <v>41.05</v>
      </c>
      <c r="P3457" s="1">
        <f t="shared" si="483"/>
        <v>20.943877551020407</v>
      </c>
    </row>
    <row r="3458" spans="1:16">
      <c r="A3458" s="2">
        <v>38043</v>
      </c>
      <c r="B3458" s="1">
        <v>43.2</v>
      </c>
      <c r="C3458" s="1">
        <v>43.85</v>
      </c>
      <c r="D3458" s="1">
        <v>43</v>
      </c>
      <c r="E3458" s="1">
        <v>43.65</v>
      </c>
      <c r="F3458" s="1">
        <v>5960300</v>
      </c>
      <c r="G3458" s="1">
        <v>43.65</v>
      </c>
      <c r="H3458" s="1">
        <f t="shared" si="477"/>
        <v>0.85000000000000142</v>
      </c>
      <c r="I3458" s="9">
        <f t="shared" si="484"/>
        <v>1.9767441860465151E-2</v>
      </c>
      <c r="J3458" s="1">
        <f t="shared" si="485"/>
        <v>0.71000000000000085</v>
      </c>
      <c r="K3458" s="9">
        <f t="shared" si="478"/>
        <v>1.6534699580810455E-2</v>
      </c>
      <c r="L3458" s="1">
        <f t="shared" si="479"/>
        <v>1</v>
      </c>
      <c r="M3458" s="1">
        <f t="shared" si="480"/>
        <v>43.85</v>
      </c>
      <c r="N3458" s="1">
        <f t="shared" si="481"/>
        <v>43</v>
      </c>
      <c r="O3458" s="1">
        <f t="shared" si="482"/>
        <v>41.69</v>
      </c>
      <c r="P3458" s="1">
        <f t="shared" si="483"/>
        <v>21.270408163265305</v>
      </c>
    </row>
    <row r="3459" spans="1:16">
      <c r="A3459" s="2">
        <v>38042</v>
      </c>
      <c r="B3459" s="1">
        <v>42.5</v>
      </c>
      <c r="C3459" s="1">
        <v>43.29</v>
      </c>
      <c r="D3459" s="1">
        <v>42.5</v>
      </c>
      <c r="E3459" s="1">
        <v>42.94</v>
      </c>
      <c r="F3459" s="1">
        <v>7152800</v>
      </c>
      <c r="G3459" s="1">
        <v>42.94</v>
      </c>
      <c r="H3459" s="1">
        <f t="shared" ref="H3459:H3522" si="486">C3459-D3459</f>
        <v>0.78999999999999915</v>
      </c>
      <c r="I3459" s="9">
        <f t="shared" si="484"/>
        <v>1.8588235294117628E-2</v>
      </c>
      <c r="J3459" s="1">
        <f t="shared" si="485"/>
        <v>0.61999999999999744</v>
      </c>
      <c r="K3459" s="9">
        <f t="shared" ref="K3459:K3522" si="487">(G3459-G3460)/G3460</f>
        <v>1.4650283553875175E-2</v>
      </c>
      <c r="L3459" s="1">
        <f t="shared" ref="L3459:L3522" si="488">G3459/E3459</f>
        <v>1</v>
      </c>
      <c r="M3459" s="1">
        <f t="shared" ref="M3459:M3522" si="489">L3459*C3459</f>
        <v>43.29</v>
      </c>
      <c r="N3459" s="1">
        <f t="shared" ref="N3459:N3522" si="490">L3459*D3459</f>
        <v>42.5</v>
      </c>
      <c r="O3459" s="1">
        <f t="shared" ref="O3459:O3522" si="491">G3459-$G$5163</f>
        <v>40.98</v>
      </c>
      <c r="P3459" s="1">
        <f t="shared" ref="P3459:P3522" si="492">(G3459-$G$5163)/$G$5163</f>
        <v>20.908163265306122</v>
      </c>
    </row>
    <row r="3460" spans="1:16">
      <c r="A3460" s="2">
        <v>38041</v>
      </c>
      <c r="B3460" s="1">
        <v>43.92</v>
      </c>
      <c r="C3460" s="1">
        <v>43.94</v>
      </c>
      <c r="D3460" s="1">
        <v>42.23</v>
      </c>
      <c r="E3460" s="1">
        <v>42.32</v>
      </c>
      <c r="F3460" s="1">
        <v>11095300</v>
      </c>
      <c r="G3460" s="1">
        <v>42.32</v>
      </c>
      <c r="H3460" s="1">
        <f t="shared" si="486"/>
        <v>1.7100000000000009</v>
      </c>
      <c r="I3460" s="9">
        <f t="shared" ref="I3460:I3523" si="493">(C3460-D3460)/D3460</f>
        <v>4.0492540847738595E-2</v>
      </c>
      <c r="J3460" s="1">
        <f t="shared" ref="J3460:J3523" si="494">G3460-G3461</f>
        <v>-1.6499999999999986</v>
      </c>
      <c r="K3460" s="9">
        <f t="shared" si="487"/>
        <v>-3.7525585626563537E-2</v>
      </c>
      <c r="L3460" s="1">
        <f t="shared" si="488"/>
        <v>1</v>
      </c>
      <c r="M3460" s="1">
        <f t="shared" si="489"/>
        <v>43.94</v>
      </c>
      <c r="N3460" s="1">
        <f t="shared" si="490"/>
        <v>42.23</v>
      </c>
      <c r="O3460" s="1">
        <f t="shared" si="491"/>
        <v>40.36</v>
      </c>
      <c r="P3460" s="1">
        <f t="shared" si="492"/>
        <v>20.591836734693878</v>
      </c>
    </row>
    <row r="3461" spans="1:16">
      <c r="A3461" s="2">
        <v>38040</v>
      </c>
      <c r="B3461" s="1">
        <v>45.18</v>
      </c>
      <c r="C3461" s="1">
        <v>45.25</v>
      </c>
      <c r="D3461" s="1">
        <v>43.35</v>
      </c>
      <c r="E3461" s="1">
        <v>43.97</v>
      </c>
      <c r="F3461" s="1">
        <v>9341900</v>
      </c>
      <c r="G3461" s="1">
        <v>43.97</v>
      </c>
      <c r="H3461" s="1">
        <f t="shared" si="486"/>
        <v>1.8999999999999986</v>
      </c>
      <c r="I3461" s="9">
        <f t="shared" si="493"/>
        <v>4.3829296424452102E-2</v>
      </c>
      <c r="J3461" s="1">
        <f t="shared" si="494"/>
        <v>-1.2000000000000028</v>
      </c>
      <c r="K3461" s="9">
        <f t="shared" si="487"/>
        <v>-2.6566305069736614E-2</v>
      </c>
      <c r="L3461" s="1">
        <f t="shared" si="488"/>
        <v>1</v>
      </c>
      <c r="M3461" s="1">
        <f t="shared" si="489"/>
        <v>45.25</v>
      </c>
      <c r="N3461" s="1">
        <f t="shared" si="490"/>
        <v>43.35</v>
      </c>
      <c r="O3461" s="1">
        <f t="shared" si="491"/>
        <v>42.01</v>
      </c>
      <c r="P3461" s="1">
        <f t="shared" si="492"/>
        <v>21.433673469387756</v>
      </c>
    </row>
    <row r="3462" spans="1:16">
      <c r="A3462" s="2">
        <v>38037</v>
      </c>
      <c r="B3462" s="1">
        <v>44.8</v>
      </c>
      <c r="C3462" s="1">
        <v>45.38</v>
      </c>
      <c r="D3462" s="1">
        <v>44.73</v>
      </c>
      <c r="E3462" s="1">
        <v>45.17</v>
      </c>
      <c r="F3462" s="1">
        <v>7475300</v>
      </c>
      <c r="G3462" s="1">
        <v>45.17</v>
      </c>
      <c r="H3462" s="1">
        <f t="shared" si="486"/>
        <v>0.65000000000000568</v>
      </c>
      <c r="I3462" s="9">
        <f t="shared" si="493"/>
        <v>1.4531634249944237E-2</v>
      </c>
      <c r="J3462" s="1">
        <f t="shared" si="494"/>
        <v>0.52000000000000313</v>
      </c>
      <c r="K3462" s="9">
        <f t="shared" si="487"/>
        <v>1.1646136618141168E-2</v>
      </c>
      <c r="L3462" s="1">
        <f t="shared" si="488"/>
        <v>1</v>
      </c>
      <c r="M3462" s="1">
        <f t="shared" si="489"/>
        <v>45.38</v>
      </c>
      <c r="N3462" s="1">
        <f t="shared" si="490"/>
        <v>44.73</v>
      </c>
      <c r="O3462" s="1">
        <f t="shared" si="491"/>
        <v>43.21</v>
      </c>
      <c r="P3462" s="1">
        <f t="shared" si="492"/>
        <v>22.045918367346939</v>
      </c>
    </row>
    <row r="3463" spans="1:16">
      <c r="A3463" s="2">
        <v>38036</v>
      </c>
      <c r="B3463" s="1">
        <v>45.15</v>
      </c>
      <c r="C3463" s="1">
        <v>46.16</v>
      </c>
      <c r="D3463" s="1">
        <v>44.65</v>
      </c>
      <c r="E3463" s="1">
        <v>44.65</v>
      </c>
      <c r="F3463" s="1">
        <v>7442500</v>
      </c>
      <c r="G3463" s="1">
        <v>44.65</v>
      </c>
      <c r="H3463" s="1">
        <f t="shared" si="486"/>
        <v>1.509999999999998</v>
      </c>
      <c r="I3463" s="9">
        <f t="shared" si="493"/>
        <v>3.3818589025755838E-2</v>
      </c>
      <c r="J3463" s="1">
        <f t="shared" si="494"/>
        <v>-0.21999999999999886</v>
      </c>
      <c r="K3463" s="9">
        <f t="shared" si="487"/>
        <v>-4.9030532649877176E-3</v>
      </c>
      <c r="L3463" s="1">
        <f t="shared" si="488"/>
        <v>1</v>
      </c>
      <c r="M3463" s="1">
        <f t="shared" si="489"/>
        <v>46.16</v>
      </c>
      <c r="N3463" s="1">
        <f t="shared" si="490"/>
        <v>44.65</v>
      </c>
      <c r="O3463" s="1">
        <f t="shared" si="491"/>
        <v>42.69</v>
      </c>
      <c r="P3463" s="1">
        <f t="shared" si="492"/>
        <v>21.780612244897959</v>
      </c>
    </row>
    <row r="3464" spans="1:16">
      <c r="A3464" s="2">
        <v>38035</v>
      </c>
      <c r="B3464" s="1">
        <v>45.36</v>
      </c>
      <c r="C3464" s="1">
        <v>45.37</v>
      </c>
      <c r="D3464" s="1">
        <v>44.64</v>
      </c>
      <c r="E3464" s="1">
        <v>44.87</v>
      </c>
      <c r="F3464" s="1">
        <v>7953500</v>
      </c>
      <c r="G3464" s="1">
        <v>44.87</v>
      </c>
      <c r="H3464" s="1">
        <f t="shared" si="486"/>
        <v>0.72999999999999687</v>
      </c>
      <c r="I3464" s="9">
        <f t="shared" si="493"/>
        <v>1.6353046594982008E-2</v>
      </c>
      <c r="J3464" s="1">
        <f t="shared" si="494"/>
        <v>-0.66000000000000369</v>
      </c>
      <c r="K3464" s="9">
        <f t="shared" si="487"/>
        <v>-1.4495936745003376E-2</v>
      </c>
      <c r="L3464" s="1">
        <f t="shared" si="488"/>
        <v>1</v>
      </c>
      <c r="M3464" s="1">
        <f t="shared" si="489"/>
        <v>45.37</v>
      </c>
      <c r="N3464" s="1">
        <f t="shared" si="490"/>
        <v>44.64</v>
      </c>
      <c r="O3464" s="1">
        <f t="shared" si="491"/>
        <v>42.91</v>
      </c>
      <c r="P3464" s="1">
        <f t="shared" si="492"/>
        <v>21.892857142857142</v>
      </c>
    </row>
    <row r="3465" spans="1:16">
      <c r="A3465" s="2">
        <v>38034</v>
      </c>
      <c r="B3465" s="1">
        <v>46.14</v>
      </c>
      <c r="C3465" s="1">
        <v>46.45</v>
      </c>
      <c r="D3465" s="1">
        <v>44.8</v>
      </c>
      <c r="E3465" s="1">
        <v>45.53</v>
      </c>
      <c r="F3465" s="1">
        <v>11038200</v>
      </c>
      <c r="G3465" s="1">
        <v>45.53</v>
      </c>
      <c r="H3465" s="1">
        <f t="shared" si="486"/>
        <v>1.6500000000000057</v>
      </c>
      <c r="I3465" s="9">
        <f t="shared" si="493"/>
        <v>3.6830357142857269E-2</v>
      </c>
      <c r="J3465" s="1">
        <f t="shared" si="494"/>
        <v>-0.85000000000000142</v>
      </c>
      <c r="K3465" s="9">
        <f t="shared" si="487"/>
        <v>-1.8326865028029351E-2</v>
      </c>
      <c r="L3465" s="1">
        <f t="shared" si="488"/>
        <v>1</v>
      </c>
      <c r="M3465" s="1">
        <f t="shared" si="489"/>
        <v>46.45</v>
      </c>
      <c r="N3465" s="1">
        <f t="shared" si="490"/>
        <v>44.8</v>
      </c>
      <c r="O3465" s="1">
        <f t="shared" si="491"/>
        <v>43.57</v>
      </c>
      <c r="P3465" s="1">
        <f t="shared" si="492"/>
        <v>22.229591836734695</v>
      </c>
    </row>
    <row r="3466" spans="1:16">
      <c r="A3466" s="2">
        <v>38030</v>
      </c>
      <c r="B3466" s="1">
        <v>47.29</v>
      </c>
      <c r="C3466" s="1">
        <v>47.7</v>
      </c>
      <c r="D3466" s="1">
        <v>46.24</v>
      </c>
      <c r="E3466" s="1">
        <v>46.38</v>
      </c>
      <c r="F3466" s="1">
        <v>5431700</v>
      </c>
      <c r="G3466" s="1">
        <v>46.38</v>
      </c>
      <c r="H3466" s="1">
        <f t="shared" si="486"/>
        <v>1.4600000000000009</v>
      </c>
      <c r="I3466" s="9">
        <f t="shared" si="493"/>
        <v>3.1574394463667839E-2</v>
      </c>
      <c r="J3466" s="1">
        <f t="shared" si="494"/>
        <v>-0.67999999999999972</v>
      </c>
      <c r="K3466" s="9">
        <f t="shared" si="487"/>
        <v>-1.4449638759031018E-2</v>
      </c>
      <c r="L3466" s="1">
        <f t="shared" si="488"/>
        <v>1</v>
      </c>
      <c r="M3466" s="1">
        <f t="shared" si="489"/>
        <v>47.7</v>
      </c>
      <c r="N3466" s="1">
        <f t="shared" si="490"/>
        <v>46.24</v>
      </c>
      <c r="O3466" s="1">
        <f t="shared" si="491"/>
        <v>44.42</v>
      </c>
      <c r="P3466" s="1">
        <f t="shared" si="492"/>
        <v>22.663265306122451</v>
      </c>
    </row>
    <row r="3467" spans="1:16">
      <c r="A3467" s="2">
        <v>38029</v>
      </c>
      <c r="B3467" s="1">
        <v>46.93</v>
      </c>
      <c r="C3467" s="1">
        <v>48.1</v>
      </c>
      <c r="D3467" s="1">
        <v>46.71</v>
      </c>
      <c r="E3467" s="1">
        <v>47.06</v>
      </c>
      <c r="F3467" s="1">
        <v>6757200</v>
      </c>
      <c r="G3467" s="1">
        <v>47.06</v>
      </c>
      <c r="H3467" s="1">
        <f t="shared" si="486"/>
        <v>1.3900000000000006</v>
      </c>
      <c r="I3467" s="9">
        <f t="shared" si="493"/>
        <v>2.9758081781203181E-2</v>
      </c>
      <c r="J3467" s="1">
        <f t="shared" si="494"/>
        <v>-7.9999999999998295E-2</v>
      </c>
      <c r="K3467" s="9">
        <f t="shared" si="487"/>
        <v>-1.6970725498514699E-3</v>
      </c>
      <c r="L3467" s="1">
        <f t="shared" si="488"/>
        <v>1</v>
      </c>
      <c r="M3467" s="1">
        <f t="shared" si="489"/>
        <v>48.1</v>
      </c>
      <c r="N3467" s="1">
        <f t="shared" si="490"/>
        <v>46.71</v>
      </c>
      <c r="O3467" s="1">
        <f t="shared" si="491"/>
        <v>45.1</v>
      </c>
      <c r="P3467" s="1">
        <f t="shared" si="492"/>
        <v>23.010204081632654</v>
      </c>
    </row>
    <row r="3468" spans="1:16">
      <c r="A3468" s="2">
        <v>38028</v>
      </c>
      <c r="B3468" s="1">
        <v>45.86</v>
      </c>
      <c r="C3468" s="1">
        <v>47.36</v>
      </c>
      <c r="D3468" s="1">
        <v>45.54</v>
      </c>
      <c r="E3468" s="1">
        <v>47.14</v>
      </c>
      <c r="F3468" s="1">
        <v>7881700</v>
      </c>
      <c r="G3468" s="1">
        <v>47.14</v>
      </c>
      <c r="H3468" s="1">
        <f t="shared" si="486"/>
        <v>1.8200000000000003</v>
      </c>
      <c r="I3468" s="9">
        <f t="shared" si="493"/>
        <v>3.9964866051822583E-2</v>
      </c>
      <c r="J3468" s="1">
        <f t="shared" si="494"/>
        <v>1.5499999999999972</v>
      </c>
      <c r="K3468" s="9">
        <f t="shared" si="487"/>
        <v>3.3998683921912638E-2</v>
      </c>
      <c r="L3468" s="1">
        <f t="shared" si="488"/>
        <v>1</v>
      </c>
      <c r="M3468" s="1">
        <f t="shared" si="489"/>
        <v>47.36</v>
      </c>
      <c r="N3468" s="1">
        <f t="shared" si="490"/>
        <v>45.54</v>
      </c>
      <c r="O3468" s="1">
        <f t="shared" si="491"/>
        <v>45.18</v>
      </c>
      <c r="P3468" s="1">
        <f t="shared" si="492"/>
        <v>23.051020408163264</v>
      </c>
    </row>
    <row r="3469" spans="1:16">
      <c r="A3469" s="2">
        <v>38027</v>
      </c>
      <c r="B3469" s="1">
        <v>45.85</v>
      </c>
      <c r="C3469" s="1">
        <v>46.25</v>
      </c>
      <c r="D3469" s="1">
        <v>45.51</v>
      </c>
      <c r="E3469" s="1">
        <v>45.59</v>
      </c>
      <c r="F3469" s="1">
        <v>4949000</v>
      </c>
      <c r="G3469" s="1">
        <v>45.59</v>
      </c>
      <c r="H3469" s="1">
        <f t="shared" si="486"/>
        <v>0.74000000000000199</v>
      </c>
      <c r="I3469" s="9">
        <f t="shared" si="493"/>
        <v>1.626016260162606E-2</v>
      </c>
      <c r="J3469" s="1">
        <f t="shared" si="494"/>
        <v>-0.26999999999999602</v>
      </c>
      <c r="K3469" s="9">
        <f t="shared" si="487"/>
        <v>-5.887483645878675E-3</v>
      </c>
      <c r="L3469" s="1">
        <f t="shared" si="488"/>
        <v>1</v>
      </c>
      <c r="M3469" s="1">
        <f t="shared" si="489"/>
        <v>46.25</v>
      </c>
      <c r="N3469" s="1">
        <f t="shared" si="490"/>
        <v>45.51</v>
      </c>
      <c r="O3469" s="1">
        <f t="shared" si="491"/>
        <v>43.63</v>
      </c>
      <c r="P3469" s="1">
        <f t="shared" si="492"/>
        <v>22.260204081632654</v>
      </c>
    </row>
    <row r="3470" spans="1:16">
      <c r="A3470" s="2">
        <v>38026</v>
      </c>
      <c r="B3470" s="1">
        <v>46.75</v>
      </c>
      <c r="C3470" s="1">
        <v>46.8</v>
      </c>
      <c r="D3470" s="1">
        <v>45.7</v>
      </c>
      <c r="E3470" s="1">
        <v>45.86</v>
      </c>
      <c r="F3470" s="1">
        <v>6146100</v>
      </c>
      <c r="G3470" s="1">
        <v>45.86</v>
      </c>
      <c r="H3470" s="1">
        <f t="shared" si="486"/>
        <v>1.0999999999999943</v>
      </c>
      <c r="I3470" s="9">
        <f t="shared" si="493"/>
        <v>2.4070021881837947E-2</v>
      </c>
      <c r="J3470" s="1">
        <f t="shared" si="494"/>
        <v>-0.49000000000000199</v>
      </c>
      <c r="K3470" s="9">
        <f t="shared" si="487"/>
        <v>-1.057173678532906E-2</v>
      </c>
      <c r="L3470" s="1">
        <f t="shared" si="488"/>
        <v>1</v>
      </c>
      <c r="M3470" s="1">
        <f t="shared" si="489"/>
        <v>46.8</v>
      </c>
      <c r="N3470" s="1">
        <f t="shared" si="490"/>
        <v>45.7</v>
      </c>
      <c r="O3470" s="1">
        <f t="shared" si="491"/>
        <v>43.9</v>
      </c>
      <c r="P3470" s="1">
        <f t="shared" si="492"/>
        <v>22.397959183673468</v>
      </c>
    </row>
    <row r="3471" spans="1:16">
      <c r="A3471" s="2">
        <v>38023</v>
      </c>
      <c r="B3471" s="1">
        <v>46.11</v>
      </c>
      <c r="C3471" s="1">
        <v>46.73</v>
      </c>
      <c r="D3471" s="1">
        <v>45.51</v>
      </c>
      <c r="E3471" s="1">
        <v>46.35</v>
      </c>
      <c r="F3471" s="1">
        <v>6508100</v>
      </c>
      <c r="G3471" s="1">
        <v>46.35</v>
      </c>
      <c r="H3471" s="1">
        <f t="shared" si="486"/>
        <v>1.2199999999999989</v>
      </c>
      <c r="I3471" s="9">
        <f t="shared" si="493"/>
        <v>2.6807295099978003E-2</v>
      </c>
      <c r="J3471" s="1">
        <f t="shared" si="494"/>
        <v>0.31000000000000227</v>
      </c>
      <c r="K3471" s="9">
        <f t="shared" si="487"/>
        <v>6.7332754126846715E-3</v>
      </c>
      <c r="L3471" s="1">
        <f t="shared" si="488"/>
        <v>1</v>
      </c>
      <c r="M3471" s="1">
        <f t="shared" si="489"/>
        <v>46.73</v>
      </c>
      <c r="N3471" s="1">
        <f t="shared" si="490"/>
        <v>45.51</v>
      </c>
      <c r="O3471" s="1">
        <f t="shared" si="491"/>
        <v>44.39</v>
      </c>
      <c r="P3471" s="1">
        <f t="shared" si="492"/>
        <v>22.647959183673471</v>
      </c>
    </row>
    <row r="3472" spans="1:16">
      <c r="A3472" s="2">
        <v>38022</v>
      </c>
      <c r="B3472" s="1">
        <v>46.03</v>
      </c>
      <c r="C3472" s="1">
        <v>47.09</v>
      </c>
      <c r="D3472" s="1">
        <v>45.9</v>
      </c>
      <c r="E3472" s="1">
        <v>46.04</v>
      </c>
      <c r="F3472" s="1">
        <v>13189500</v>
      </c>
      <c r="G3472" s="1">
        <v>46.04</v>
      </c>
      <c r="H3472" s="1">
        <f t="shared" si="486"/>
        <v>1.1900000000000048</v>
      </c>
      <c r="I3472" s="9">
        <f t="shared" si="493"/>
        <v>2.5925925925926033E-2</v>
      </c>
      <c r="J3472" s="1">
        <f t="shared" si="494"/>
        <v>0.64999999999999858</v>
      </c>
      <c r="K3472" s="9">
        <f t="shared" si="487"/>
        <v>1.4320334875523212E-2</v>
      </c>
      <c r="L3472" s="1">
        <f t="shared" si="488"/>
        <v>1</v>
      </c>
      <c r="M3472" s="1">
        <f t="shared" si="489"/>
        <v>47.09</v>
      </c>
      <c r="N3472" s="1">
        <f t="shared" si="490"/>
        <v>45.9</v>
      </c>
      <c r="O3472" s="1">
        <f t="shared" si="491"/>
        <v>44.08</v>
      </c>
      <c r="P3472" s="1">
        <f t="shared" si="492"/>
        <v>22.489795918367346</v>
      </c>
    </row>
    <row r="3473" spans="1:16">
      <c r="A3473" s="2">
        <v>38021</v>
      </c>
      <c r="B3473" s="1">
        <v>44.81</v>
      </c>
      <c r="C3473" s="1">
        <v>45.91</v>
      </c>
      <c r="D3473" s="1">
        <v>44.3</v>
      </c>
      <c r="E3473" s="1">
        <v>45.39</v>
      </c>
      <c r="F3473" s="1">
        <v>21600700</v>
      </c>
      <c r="G3473" s="1">
        <v>45.39</v>
      </c>
      <c r="H3473" s="1">
        <f t="shared" si="486"/>
        <v>1.6099999999999994</v>
      </c>
      <c r="I3473" s="9">
        <f t="shared" si="493"/>
        <v>3.6343115124153488E-2</v>
      </c>
      <c r="J3473" s="1">
        <f t="shared" si="494"/>
        <v>0.45000000000000284</v>
      </c>
      <c r="K3473" s="9">
        <f t="shared" si="487"/>
        <v>1.0013351134846527E-2</v>
      </c>
      <c r="L3473" s="1">
        <f t="shared" si="488"/>
        <v>1</v>
      </c>
      <c r="M3473" s="1">
        <f t="shared" si="489"/>
        <v>45.91</v>
      </c>
      <c r="N3473" s="1">
        <f t="shared" si="490"/>
        <v>44.3</v>
      </c>
      <c r="O3473" s="1">
        <f t="shared" si="491"/>
        <v>43.43</v>
      </c>
      <c r="P3473" s="1">
        <f t="shared" si="492"/>
        <v>22.158163265306122</v>
      </c>
    </row>
    <row r="3474" spans="1:16">
      <c r="A3474" s="2">
        <v>38020</v>
      </c>
      <c r="B3474" s="1">
        <v>48.19</v>
      </c>
      <c r="C3474" s="1">
        <v>48.28</v>
      </c>
      <c r="D3474" s="1">
        <v>44.52</v>
      </c>
      <c r="E3474" s="1">
        <v>44.94</v>
      </c>
      <c r="F3474" s="1">
        <v>27071400</v>
      </c>
      <c r="G3474" s="1">
        <v>44.94</v>
      </c>
      <c r="H3474" s="1">
        <f t="shared" si="486"/>
        <v>3.759999999999998</v>
      </c>
      <c r="I3474" s="9">
        <f t="shared" si="493"/>
        <v>8.4456424079065534E-2</v>
      </c>
      <c r="J3474" s="1">
        <f t="shared" si="494"/>
        <v>-3.3300000000000054</v>
      </c>
      <c r="K3474" s="9">
        <f t="shared" si="487"/>
        <v>-6.8986948415164812E-2</v>
      </c>
      <c r="L3474" s="1">
        <f t="shared" si="488"/>
        <v>1</v>
      </c>
      <c r="M3474" s="1">
        <f t="shared" si="489"/>
        <v>48.28</v>
      </c>
      <c r="N3474" s="1">
        <f t="shared" si="490"/>
        <v>44.52</v>
      </c>
      <c r="O3474" s="1">
        <f t="shared" si="491"/>
        <v>42.98</v>
      </c>
      <c r="P3474" s="1">
        <f t="shared" si="492"/>
        <v>21.928571428571427</v>
      </c>
    </row>
    <row r="3475" spans="1:16">
      <c r="A3475" s="2">
        <v>38019</v>
      </c>
      <c r="B3475" s="1">
        <v>50.65</v>
      </c>
      <c r="C3475" s="1">
        <v>50.65</v>
      </c>
      <c r="D3475" s="1">
        <v>47.95</v>
      </c>
      <c r="E3475" s="1">
        <v>48.27</v>
      </c>
      <c r="F3475" s="1">
        <v>11588900</v>
      </c>
      <c r="G3475" s="1">
        <v>48.27</v>
      </c>
      <c r="H3475" s="1">
        <f t="shared" si="486"/>
        <v>2.6999999999999957</v>
      </c>
      <c r="I3475" s="9">
        <f t="shared" si="493"/>
        <v>5.6308654848800745E-2</v>
      </c>
      <c r="J3475" s="1">
        <f t="shared" si="494"/>
        <v>-2.1299999999999955</v>
      </c>
      <c r="K3475" s="9">
        <f t="shared" si="487"/>
        <v>-4.2261904761904674E-2</v>
      </c>
      <c r="L3475" s="1">
        <f t="shared" si="488"/>
        <v>1</v>
      </c>
      <c r="M3475" s="1">
        <f t="shared" si="489"/>
        <v>50.65</v>
      </c>
      <c r="N3475" s="1">
        <f t="shared" si="490"/>
        <v>47.95</v>
      </c>
      <c r="O3475" s="1">
        <f t="shared" si="491"/>
        <v>46.31</v>
      </c>
      <c r="P3475" s="1">
        <f t="shared" si="492"/>
        <v>23.627551020408166</v>
      </c>
    </row>
    <row r="3476" spans="1:16">
      <c r="A3476" s="2">
        <v>38016</v>
      </c>
      <c r="B3476" s="1">
        <v>49.49</v>
      </c>
      <c r="C3476" s="1">
        <v>51.37</v>
      </c>
      <c r="D3476" s="1">
        <v>49.3</v>
      </c>
      <c r="E3476" s="1">
        <v>50.4</v>
      </c>
      <c r="F3476" s="1">
        <v>11404500</v>
      </c>
      <c r="G3476" s="1">
        <v>50.4</v>
      </c>
      <c r="H3476" s="1">
        <f t="shared" si="486"/>
        <v>2.0700000000000003</v>
      </c>
      <c r="I3476" s="9">
        <f t="shared" si="493"/>
        <v>4.1987829614604469E-2</v>
      </c>
      <c r="J3476" s="1">
        <f t="shared" si="494"/>
        <v>1.1799999999999997</v>
      </c>
      <c r="K3476" s="9">
        <f t="shared" si="487"/>
        <v>2.3973994311255582E-2</v>
      </c>
      <c r="L3476" s="1">
        <f t="shared" si="488"/>
        <v>1</v>
      </c>
      <c r="M3476" s="1">
        <f t="shared" si="489"/>
        <v>51.37</v>
      </c>
      <c r="N3476" s="1">
        <f t="shared" si="490"/>
        <v>49.3</v>
      </c>
      <c r="O3476" s="1">
        <f t="shared" si="491"/>
        <v>48.44</v>
      </c>
      <c r="P3476" s="1">
        <f t="shared" si="492"/>
        <v>24.714285714285715</v>
      </c>
    </row>
    <row r="3477" spans="1:16">
      <c r="A3477" s="2">
        <v>38015</v>
      </c>
      <c r="B3477" s="1">
        <v>52.04</v>
      </c>
      <c r="C3477" s="1">
        <v>52.06</v>
      </c>
      <c r="D3477" s="1">
        <v>48.6</v>
      </c>
      <c r="E3477" s="1">
        <v>49.22</v>
      </c>
      <c r="F3477" s="1">
        <v>22485100</v>
      </c>
      <c r="G3477" s="1">
        <v>49.22</v>
      </c>
      <c r="H3477" s="1">
        <f t="shared" si="486"/>
        <v>3.4600000000000009</v>
      </c>
      <c r="I3477" s="9">
        <f t="shared" si="493"/>
        <v>7.1193415637860094E-2</v>
      </c>
      <c r="J3477" s="1">
        <f t="shared" si="494"/>
        <v>-2.740000000000002</v>
      </c>
      <c r="K3477" s="9">
        <f t="shared" si="487"/>
        <v>-5.2732871439568937E-2</v>
      </c>
      <c r="L3477" s="1">
        <f t="shared" si="488"/>
        <v>1</v>
      </c>
      <c r="M3477" s="1">
        <f t="shared" si="489"/>
        <v>52.06</v>
      </c>
      <c r="N3477" s="1">
        <f t="shared" si="490"/>
        <v>48.6</v>
      </c>
      <c r="O3477" s="1">
        <f t="shared" si="491"/>
        <v>47.26</v>
      </c>
      <c r="P3477" s="1">
        <f t="shared" si="492"/>
        <v>24.112244897959183</v>
      </c>
    </row>
    <row r="3478" spans="1:16">
      <c r="A3478" s="2">
        <v>38014</v>
      </c>
      <c r="B3478" s="1">
        <v>53.64</v>
      </c>
      <c r="C3478" s="1">
        <v>54.45</v>
      </c>
      <c r="D3478" s="1">
        <v>51.62</v>
      </c>
      <c r="E3478" s="1">
        <v>51.96</v>
      </c>
      <c r="F3478" s="1">
        <v>21581300</v>
      </c>
      <c r="G3478" s="1">
        <v>51.96</v>
      </c>
      <c r="H3478" s="1">
        <f t="shared" si="486"/>
        <v>2.8300000000000054</v>
      </c>
      <c r="I3478" s="9">
        <f t="shared" si="493"/>
        <v>5.4823711739635905E-2</v>
      </c>
      <c r="J3478" s="1">
        <f t="shared" si="494"/>
        <v>-3.7800000000000011</v>
      </c>
      <c r="K3478" s="9">
        <f t="shared" si="487"/>
        <v>-6.7814854682454268E-2</v>
      </c>
      <c r="L3478" s="1">
        <f t="shared" si="488"/>
        <v>1</v>
      </c>
      <c r="M3478" s="1">
        <f t="shared" si="489"/>
        <v>54.45</v>
      </c>
      <c r="N3478" s="1">
        <f t="shared" si="490"/>
        <v>51.62</v>
      </c>
      <c r="O3478" s="1">
        <f t="shared" si="491"/>
        <v>50</v>
      </c>
      <c r="P3478" s="1">
        <f t="shared" si="492"/>
        <v>25.510204081632654</v>
      </c>
    </row>
    <row r="3479" spans="1:16">
      <c r="A3479" s="2">
        <v>38013</v>
      </c>
      <c r="B3479" s="1">
        <v>56.73</v>
      </c>
      <c r="C3479" s="1">
        <v>57.74</v>
      </c>
      <c r="D3479" s="1">
        <v>55.66</v>
      </c>
      <c r="E3479" s="1">
        <v>55.74</v>
      </c>
      <c r="F3479" s="1">
        <v>12964100</v>
      </c>
      <c r="G3479" s="1">
        <v>55.74</v>
      </c>
      <c r="H3479" s="1">
        <f t="shared" si="486"/>
        <v>2.0800000000000054</v>
      </c>
      <c r="I3479" s="9">
        <f t="shared" si="493"/>
        <v>3.7369744879626403E-2</v>
      </c>
      <c r="J3479" s="1">
        <f t="shared" si="494"/>
        <v>-1.2899999999999991</v>
      </c>
      <c r="K3479" s="9">
        <f t="shared" si="487"/>
        <v>-2.2619673855865319E-2</v>
      </c>
      <c r="L3479" s="1">
        <f t="shared" si="488"/>
        <v>1</v>
      </c>
      <c r="M3479" s="1">
        <f t="shared" si="489"/>
        <v>57.74</v>
      </c>
      <c r="N3479" s="1">
        <f t="shared" si="490"/>
        <v>55.66</v>
      </c>
      <c r="O3479" s="1">
        <f t="shared" si="491"/>
        <v>53.78</v>
      </c>
      <c r="P3479" s="1">
        <f t="shared" si="492"/>
        <v>27.438775510204081</v>
      </c>
    </row>
    <row r="3480" spans="1:16">
      <c r="A3480" s="2">
        <v>38012</v>
      </c>
      <c r="B3480" s="1">
        <v>56.8</v>
      </c>
      <c r="C3480" s="1">
        <v>57.2</v>
      </c>
      <c r="D3480" s="1">
        <v>56.3</v>
      </c>
      <c r="E3480" s="1">
        <v>57.03</v>
      </c>
      <c r="F3480" s="1">
        <v>5566000</v>
      </c>
      <c r="G3480" s="1">
        <v>57.03</v>
      </c>
      <c r="H3480" s="1">
        <f t="shared" si="486"/>
        <v>0.90000000000000568</v>
      </c>
      <c r="I3480" s="9">
        <f t="shared" si="493"/>
        <v>1.5985790408525855E-2</v>
      </c>
      <c r="J3480" s="1">
        <f t="shared" si="494"/>
        <v>-7.9999999999998295E-2</v>
      </c>
      <c r="K3480" s="9">
        <f t="shared" si="487"/>
        <v>-1.4008054631412764E-3</v>
      </c>
      <c r="L3480" s="1">
        <f t="shared" si="488"/>
        <v>1</v>
      </c>
      <c r="M3480" s="1">
        <f t="shared" si="489"/>
        <v>57.2</v>
      </c>
      <c r="N3480" s="1">
        <f t="shared" si="490"/>
        <v>56.3</v>
      </c>
      <c r="O3480" s="1">
        <f t="shared" si="491"/>
        <v>55.07</v>
      </c>
      <c r="P3480" s="1">
        <f t="shared" si="492"/>
        <v>28.096938775510203</v>
      </c>
    </row>
    <row r="3481" spans="1:16">
      <c r="A3481" s="2">
        <v>38009</v>
      </c>
      <c r="B3481" s="1">
        <v>57.1</v>
      </c>
      <c r="C3481" s="1">
        <v>57.61</v>
      </c>
      <c r="D3481" s="1">
        <v>56.62</v>
      </c>
      <c r="E3481" s="1">
        <v>57.11</v>
      </c>
      <c r="F3481" s="1">
        <v>6039000</v>
      </c>
      <c r="G3481" s="1">
        <v>57.11</v>
      </c>
      <c r="H3481" s="1">
        <f t="shared" si="486"/>
        <v>0.99000000000000199</v>
      </c>
      <c r="I3481" s="9">
        <f t="shared" si="493"/>
        <v>1.7484987636877464E-2</v>
      </c>
      <c r="J3481" s="1">
        <f t="shared" si="494"/>
        <v>-7.0000000000000284E-2</v>
      </c>
      <c r="K3481" s="9">
        <f t="shared" si="487"/>
        <v>-1.2242042672263079E-3</v>
      </c>
      <c r="L3481" s="1">
        <f t="shared" si="488"/>
        <v>1</v>
      </c>
      <c r="M3481" s="1">
        <f t="shared" si="489"/>
        <v>57.61</v>
      </c>
      <c r="N3481" s="1">
        <f t="shared" si="490"/>
        <v>56.62</v>
      </c>
      <c r="O3481" s="1">
        <f t="shared" si="491"/>
        <v>55.15</v>
      </c>
      <c r="P3481" s="1">
        <f t="shared" si="492"/>
        <v>28.137755102040817</v>
      </c>
    </row>
    <row r="3482" spans="1:16">
      <c r="A3482" s="2">
        <v>38008</v>
      </c>
      <c r="B3482" s="1">
        <v>56.81</v>
      </c>
      <c r="C3482" s="1">
        <v>57.82</v>
      </c>
      <c r="D3482" s="1">
        <v>56.24</v>
      </c>
      <c r="E3482" s="1">
        <v>57.18</v>
      </c>
      <c r="F3482" s="1">
        <v>10672200</v>
      </c>
      <c r="G3482" s="1">
        <v>57.18</v>
      </c>
      <c r="H3482" s="1">
        <f t="shared" si="486"/>
        <v>1.5799999999999983</v>
      </c>
      <c r="I3482" s="9">
        <f t="shared" si="493"/>
        <v>2.809388335704122E-2</v>
      </c>
      <c r="J3482" s="1">
        <f t="shared" si="494"/>
        <v>0.97999999999999687</v>
      </c>
      <c r="K3482" s="9">
        <f t="shared" si="487"/>
        <v>1.7437722419928768E-2</v>
      </c>
      <c r="L3482" s="1">
        <f t="shared" si="488"/>
        <v>1</v>
      </c>
      <c r="M3482" s="1">
        <f t="shared" si="489"/>
        <v>57.82</v>
      </c>
      <c r="N3482" s="1">
        <f t="shared" si="490"/>
        <v>56.24</v>
      </c>
      <c r="O3482" s="1">
        <f t="shared" si="491"/>
        <v>55.22</v>
      </c>
      <c r="P3482" s="1">
        <f t="shared" si="492"/>
        <v>28.173469387755102</v>
      </c>
    </row>
    <row r="3483" spans="1:16">
      <c r="A3483" s="2">
        <v>38007</v>
      </c>
      <c r="B3483" s="1">
        <v>56.16</v>
      </c>
      <c r="C3483" s="1">
        <v>56.94</v>
      </c>
      <c r="D3483" s="1">
        <v>55.64</v>
      </c>
      <c r="E3483" s="1">
        <v>56.2</v>
      </c>
      <c r="F3483" s="1">
        <v>6783600</v>
      </c>
      <c r="G3483" s="1">
        <v>56.2</v>
      </c>
      <c r="H3483" s="1">
        <f t="shared" si="486"/>
        <v>1.2999999999999972</v>
      </c>
      <c r="I3483" s="9">
        <f t="shared" si="493"/>
        <v>2.3364485981308358E-2</v>
      </c>
      <c r="J3483" s="1">
        <f t="shared" si="494"/>
        <v>-0.40999999999999659</v>
      </c>
      <c r="K3483" s="9">
        <f t="shared" si="487"/>
        <v>-7.2425366543012997E-3</v>
      </c>
      <c r="L3483" s="1">
        <f t="shared" si="488"/>
        <v>1</v>
      </c>
      <c r="M3483" s="1">
        <f t="shared" si="489"/>
        <v>56.94</v>
      </c>
      <c r="N3483" s="1">
        <f t="shared" si="490"/>
        <v>55.64</v>
      </c>
      <c r="O3483" s="1">
        <f t="shared" si="491"/>
        <v>54.24</v>
      </c>
      <c r="P3483" s="1">
        <f t="shared" si="492"/>
        <v>27.673469387755105</v>
      </c>
    </row>
    <row r="3484" spans="1:16">
      <c r="A3484" s="2">
        <v>38006</v>
      </c>
      <c r="B3484" s="1">
        <v>55.57</v>
      </c>
      <c r="C3484" s="1">
        <v>56.84</v>
      </c>
      <c r="D3484" s="1">
        <v>55.41</v>
      </c>
      <c r="E3484" s="1">
        <v>56.61</v>
      </c>
      <c r="F3484" s="1">
        <v>7748400</v>
      </c>
      <c r="G3484" s="1">
        <v>56.61</v>
      </c>
      <c r="H3484" s="1">
        <f t="shared" si="486"/>
        <v>1.4300000000000068</v>
      </c>
      <c r="I3484" s="9">
        <f t="shared" si="493"/>
        <v>2.5807615953799077E-2</v>
      </c>
      <c r="J3484" s="1">
        <f t="shared" si="494"/>
        <v>0.89000000000000057</v>
      </c>
      <c r="K3484" s="9">
        <f t="shared" si="487"/>
        <v>1.5972720746590105E-2</v>
      </c>
      <c r="L3484" s="1">
        <f t="shared" si="488"/>
        <v>1</v>
      </c>
      <c r="M3484" s="1">
        <f t="shared" si="489"/>
        <v>56.84</v>
      </c>
      <c r="N3484" s="1">
        <f t="shared" si="490"/>
        <v>55.41</v>
      </c>
      <c r="O3484" s="1">
        <f t="shared" si="491"/>
        <v>54.65</v>
      </c>
      <c r="P3484" s="1">
        <f t="shared" si="492"/>
        <v>27.882653061224488</v>
      </c>
    </row>
    <row r="3485" spans="1:16">
      <c r="A3485" s="2">
        <v>38002</v>
      </c>
      <c r="B3485" s="1">
        <v>56.27</v>
      </c>
      <c r="C3485" s="1">
        <v>56.37</v>
      </c>
      <c r="D3485" s="1">
        <v>55.27</v>
      </c>
      <c r="E3485" s="1">
        <v>55.72</v>
      </c>
      <c r="F3485" s="1">
        <v>9114200</v>
      </c>
      <c r="G3485" s="1">
        <v>55.72</v>
      </c>
      <c r="H3485" s="1">
        <f t="shared" si="486"/>
        <v>1.0999999999999943</v>
      </c>
      <c r="I3485" s="9">
        <f t="shared" si="493"/>
        <v>1.9902297810747135E-2</v>
      </c>
      <c r="J3485" s="1">
        <f t="shared" si="494"/>
        <v>-0.46000000000000085</v>
      </c>
      <c r="K3485" s="9">
        <f t="shared" si="487"/>
        <v>-8.1879672481310235E-3</v>
      </c>
      <c r="L3485" s="1">
        <f t="shared" si="488"/>
        <v>1</v>
      </c>
      <c r="M3485" s="1">
        <f t="shared" si="489"/>
        <v>56.37</v>
      </c>
      <c r="N3485" s="1">
        <f t="shared" si="490"/>
        <v>55.27</v>
      </c>
      <c r="O3485" s="1">
        <f t="shared" si="491"/>
        <v>53.76</v>
      </c>
      <c r="P3485" s="1">
        <f t="shared" si="492"/>
        <v>27.428571428571427</v>
      </c>
    </row>
    <row r="3486" spans="1:16">
      <c r="A3486" s="2">
        <v>38001</v>
      </c>
      <c r="B3486" s="1">
        <v>54.73</v>
      </c>
      <c r="C3486" s="1">
        <v>56.78</v>
      </c>
      <c r="D3486" s="1">
        <v>54.62</v>
      </c>
      <c r="E3486" s="1">
        <v>56.18</v>
      </c>
      <c r="F3486" s="1">
        <v>12217300</v>
      </c>
      <c r="G3486" s="1">
        <v>56.18</v>
      </c>
      <c r="H3486" s="1">
        <f t="shared" si="486"/>
        <v>2.1600000000000037</v>
      </c>
      <c r="I3486" s="9">
        <f t="shared" si="493"/>
        <v>3.9545953863053894E-2</v>
      </c>
      <c r="J3486" s="1">
        <f t="shared" si="494"/>
        <v>0.38000000000000256</v>
      </c>
      <c r="K3486" s="9">
        <f t="shared" si="487"/>
        <v>6.8100358422939532E-3</v>
      </c>
      <c r="L3486" s="1">
        <f t="shared" si="488"/>
        <v>1</v>
      </c>
      <c r="M3486" s="1">
        <f t="shared" si="489"/>
        <v>56.78</v>
      </c>
      <c r="N3486" s="1">
        <f t="shared" si="490"/>
        <v>54.62</v>
      </c>
      <c r="O3486" s="1">
        <f t="shared" si="491"/>
        <v>54.22</v>
      </c>
      <c r="P3486" s="1">
        <f t="shared" si="492"/>
        <v>27.663265306122447</v>
      </c>
    </row>
    <row r="3487" spans="1:16">
      <c r="A3487" s="2">
        <v>38000</v>
      </c>
      <c r="B3487" s="1">
        <v>54.62</v>
      </c>
      <c r="C3487" s="1">
        <v>55.99</v>
      </c>
      <c r="D3487" s="1">
        <v>54.15</v>
      </c>
      <c r="E3487" s="1">
        <v>55.8</v>
      </c>
      <c r="F3487" s="1">
        <v>11134100</v>
      </c>
      <c r="G3487" s="1">
        <v>55.8</v>
      </c>
      <c r="H3487" s="1">
        <f t="shared" si="486"/>
        <v>1.8400000000000034</v>
      </c>
      <c r="I3487" s="9">
        <f t="shared" si="493"/>
        <v>3.3979686057248451E-2</v>
      </c>
      <c r="J3487" s="1">
        <f t="shared" si="494"/>
        <v>0.89000000000000057</v>
      </c>
      <c r="K3487" s="9">
        <f t="shared" si="487"/>
        <v>1.6208340921507934E-2</v>
      </c>
      <c r="L3487" s="1">
        <f t="shared" si="488"/>
        <v>1</v>
      </c>
      <c r="M3487" s="1">
        <f t="shared" si="489"/>
        <v>55.99</v>
      </c>
      <c r="N3487" s="1">
        <f t="shared" si="490"/>
        <v>54.15</v>
      </c>
      <c r="O3487" s="1">
        <f t="shared" si="491"/>
        <v>53.839999999999996</v>
      </c>
      <c r="P3487" s="1">
        <f t="shared" si="492"/>
        <v>27.469387755102041</v>
      </c>
    </row>
    <row r="3488" spans="1:16">
      <c r="A3488" s="2">
        <v>37999</v>
      </c>
      <c r="B3488" s="1">
        <v>52.67</v>
      </c>
      <c r="C3488" s="1">
        <v>54.99</v>
      </c>
      <c r="D3488" s="1">
        <v>52.41</v>
      </c>
      <c r="E3488" s="1">
        <v>54.91</v>
      </c>
      <c r="F3488" s="1">
        <v>14522300</v>
      </c>
      <c r="G3488" s="1">
        <v>54.91</v>
      </c>
      <c r="H3488" s="1">
        <f t="shared" si="486"/>
        <v>2.5800000000000054</v>
      </c>
      <c r="I3488" s="9">
        <f t="shared" si="493"/>
        <v>4.9227246708643493E-2</v>
      </c>
      <c r="J3488" s="1">
        <f t="shared" si="494"/>
        <v>1.9599999999999937</v>
      </c>
      <c r="K3488" s="9">
        <f t="shared" si="487"/>
        <v>3.7016052880075423E-2</v>
      </c>
      <c r="L3488" s="1">
        <f t="shared" si="488"/>
        <v>1</v>
      </c>
      <c r="M3488" s="1">
        <f t="shared" si="489"/>
        <v>54.99</v>
      </c>
      <c r="N3488" s="1">
        <f t="shared" si="490"/>
        <v>52.41</v>
      </c>
      <c r="O3488" s="1">
        <f t="shared" si="491"/>
        <v>52.949999999999996</v>
      </c>
      <c r="P3488" s="1">
        <f t="shared" si="492"/>
        <v>27.01530612244898</v>
      </c>
    </row>
    <row r="3489" spans="1:16">
      <c r="A3489" s="2">
        <v>37998</v>
      </c>
      <c r="B3489" s="1">
        <v>51.61</v>
      </c>
      <c r="C3489" s="1">
        <v>53.03</v>
      </c>
      <c r="D3489" s="1">
        <v>50.8</v>
      </c>
      <c r="E3489" s="1">
        <v>52.95</v>
      </c>
      <c r="F3489" s="1">
        <v>9450900</v>
      </c>
      <c r="G3489" s="1">
        <v>52.95</v>
      </c>
      <c r="H3489" s="1">
        <f t="shared" si="486"/>
        <v>2.230000000000004</v>
      </c>
      <c r="I3489" s="9">
        <f t="shared" si="493"/>
        <v>4.3897637795275668E-2</v>
      </c>
      <c r="J3489" s="1">
        <f t="shared" si="494"/>
        <v>1.3599999999999994</v>
      </c>
      <c r="K3489" s="9">
        <f t="shared" si="487"/>
        <v>2.6361698003489035E-2</v>
      </c>
      <c r="L3489" s="1">
        <f t="shared" si="488"/>
        <v>1</v>
      </c>
      <c r="M3489" s="1">
        <f t="shared" si="489"/>
        <v>53.03</v>
      </c>
      <c r="N3489" s="1">
        <f t="shared" si="490"/>
        <v>50.8</v>
      </c>
      <c r="O3489" s="1">
        <f t="shared" si="491"/>
        <v>50.99</v>
      </c>
      <c r="P3489" s="1">
        <f t="shared" si="492"/>
        <v>26.01530612244898</v>
      </c>
    </row>
    <row r="3490" spans="1:16">
      <c r="A3490" s="2">
        <v>37995</v>
      </c>
      <c r="B3490" s="1">
        <v>49.77</v>
      </c>
      <c r="C3490" s="1">
        <v>52.15</v>
      </c>
      <c r="D3490" s="1">
        <v>49.1</v>
      </c>
      <c r="E3490" s="1">
        <v>51.59</v>
      </c>
      <c r="F3490" s="1">
        <v>12779200</v>
      </c>
      <c r="G3490" s="1">
        <v>51.59</v>
      </c>
      <c r="H3490" s="1">
        <f t="shared" si="486"/>
        <v>3.0499999999999972</v>
      </c>
      <c r="I3490" s="9">
        <f t="shared" si="493"/>
        <v>6.2118126272912362E-2</v>
      </c>
      <c r="J3490" s="1">
        <f t="shared" si="494"/>
        <v>1.3500000000000014</v>
      </c>
      <c r="K3490" s="9">
        <f t="shared" si="487"/>
        <v>2.6871019108280284E-2</v>
      </c>
      <c r="L3490" s="1">
        <f t="shared" si="488"/>
        <v>1</v>
      </c>
      <c r="M3490" s="1">
        <f t="shared" si="489"/>
        <v>52.15</v>
      </c>
      <c r="N3490" s="1">
        <f t="shared" si="490"/>
        <v>49.1</v>
      </c>
      <c r="O3490" s="1">
        <f t="shared" si="491"/>
        <v>49.63</v>
      </c>
      <c r="P3490" s="1">
        <f t="shared" si="492"/>
        <v>25.321428571428573</v>
      </c>
    </row>
    <row r="3491" spans="1:16">
      <c r="A3491" s="2">
        <v>37994</v>
      </c>
      <c r="B3491" s="1">
        <v>52.09</v>
      </c>
      <c r="C3491" s="1">
        <v>52.1</v>
      </c>
      <c r="D3491" s="1">
        <v>50.03</v>
      </c>
      <c r="E3491" s="1">
        <v>50.24</v>
      </c>
      <c r="F3491" s="1">
        <v>10320300</v>
      </c>
      <c r="G3491" s="1">
        <v>50.24</v>
      </c>
      <c r="H3491" s="1">
        <f t="shared" si="486"/>
        <v>2.0700000000000003</v>
      </c>
      <c r="I3491" s="9">
        <f t="shared" si="493"/>
        <v>4.1375174895062969E-2</v>
      </c>
      <c r="J3491" s="1">
        <f t="shared" si="494"/>
        <v>-1.6599999999999966</v>
      </c>
      <c r="K3491" s="9">
        <f t="shared" si="487"/>
        <v>-3.1984585741811108E-2</v>
      </c>
      <c r="L3491" s="1">
        <f t="shared" si="488"/>
        <v>1</v>
      </c>
      <c r="M3491" s="1">
        <f t="shared" si="489"/>
        <v>52.1</v>
      </c>
      <c r="N3491" s="1">
        <f t="shared" si="490"/>
        <v>50.03</v>
      </c>
      <c r="O3491" s="1">
        <f t="shared" si="491"/>
        <v>48.28</v>
      </c>
      <c r="P3491" s="1">
        <f t="shared" si="492"/>
        <v>24.632653061224492</v>
      </c>
    </row>
    <row r="3492" spans="1:16">
      <c r="A3492" s="2">
        <v>37993</v>
      </c>
      <c r="B3492" s="1">
        <v>52.18</v>
      </c>
      <c r="C3492" s="1">
        <v>52.66</v>
      </c>
      <c r="D3492" s="1">
        <v>50.94</v>
      </c>
      <c r="E3492" s="1">
        <v>51.9</v>
      </c>
      <c r="F3492" s="1">
        <v>9242700</v>
      </c>
      <c r="G3492" s="1">
        <v>51.9</v>
      </c>
      <c r="H3492" s="1">
        <f t="shared" si="486"/>
        <v>1.7199999999999989</v>
      </c>
      <c r="I3492" s="9">
        <f t="shared" si="493"/>
        <v>3.3765213977228092E-2</v>
      </c>
      <c r="J3492" s="1">
        <f t="shared" si="494"/>
        <v>-1.1300000000000026</v>
      </c>
      <c r="K3492" s="9">
        <f t="shared" si="487"/>
        <v>-2.1308693192532577E-2</v>
      </c>
      <c r="L3492" s="1">
        <f t="shared" si="488"/>
        <v>1</v>
      </c>
      <c r="M3492" s="1">
        <f t="shared" si="489"/>
        <v>52.66</v>
      </c>
      <c r="N3492" s="1">
        <f t="shared" si="490"/>
        <v>50.94</v>
      </c>
      <c r="O3492" s="1">
        <f t="shared" si="491"/>
        <v>49.94</v>
      </c>
      <c r="P3492" s="1">
        <f t="shared" si="492"/>
        <v>25.479591836734691</v>
      </c>
    </row>
    <row r="3493" spans="1:16">
      <c r="A3493" s="2">
        <v>37992</v>
      </c>
      <c r="B3493" s="1">
        <v>53.11</v>
      </c>
      <c r="C3493" s="1">
        <v>53.5</v>
      </c>
      <c r="D3493" s="1">
        <v>52.74</v>
      </c>
      <c r="E3493" s="1">
        <v>53.03</v>
      </c>
      <c r="F3493" s="1">
        <v>5985500</v>
      </c>
      <c r="G3493" s="1">
        <v>53.03</v>
      </c>
      <c r="H3493" s="1">
        <f t="shared" si="486"/>
        <v>0.75999999999999801</v>
      </c>
      <c r="I3493" s="9">
        <f t="shared" si="493"/>
        <v>1.4410314751611641E-2</v>
      </c>
      <c r="J3493" s="1">
        <f t="shared" si="494"/>
        <v>-0.24000000000000199</v>
      </c>
      <c r="K3493" s="9">
        <f t="shared" si="487"/>
        <v>-4.5053501032476439E-3</v>
      </c>
      <c r="L3493" s="1">
        <f t="shared" si="488"/>
        <v>1</v>
      </c>
      <c r="M3493" s="1">
        <f t="shared" si="489"/>
        <v>53.5</v>
      </c>
      <c r="N3493" s="1">
        <f t="shared" si="490"/>
        <v>52.74</v>
      </c>
      <c r="O3493" s="1">
        <f t="shared" si="491"/>
        <v>51.07</v>
      </c>
      <c r="P3493" s="1">
        <f t="shared" si="492"/>
        <v>26.056122448979593</v>
      </c>
    </row>
    <row r="3494" spans="1:16">
      <c r="A3494" s="2">
        <v>37991</v>
      </c>
      <c r="B3494" s="1">
        <v>52</v>
      </c>
      <c r="C3494" s="1">
        <v>53.6</v>
      </c>
      <c r="D3494" s="1">
        <v>51.37</v>
      </c>
      <c r="E3494" s="1">
        <v>53.27</v>
      </c>
      <c r="F3494" s="1">
        <v>11284100</v>
      </c>
      <c r="G3494" s="1">
        <v>53.27</v>
      </c>
      <c r="H3494" s="1">
        <f t="shared" si="486"/>
        <v>2.230000000000004</v>
      </c>
      <c r="I3494" s="9">
        <f t="shared" si="493"/>
        <v>4.3410550905197666E-2</v>
      </c>
      <c r="J3494" s="1">
        <f t="shared" si="494"/>
        <v>1.3700000000000045</v>
      </c>
      <c r="K3494" s="9">
        <f t="shared" si="487"/>
        <v>2.6396917148362325E-2</v>
      </c>
      <c r="L3494" s="1">
        <f t="shared" si="488"/>
        <v>1</v>
      </c>
      <c r="M3494" s="1">
        <f t="shared" si="489"/>
        <v>53.6</v>
      </c>
      <c r="N3494" s="1">
        <f t="shared" si="490"/>
        <v>51.37</v>
      </c>
      <c r="O3494" s="1">
        <f t="shared" si="491"/>
        <v>51.31</v>
      </c>
      <c r="P3494" s="1">
        <f t="shared" si="492"/>
        <v>26.178571428571431</v>
      </c>
    </row>
    <row r="3495" spans="1:16">
      <c r="A3495" s="2">
        <v>37988</v>
      </c>
      <c r="B3495" s="1">
        <v>52.76</v>
      </c>
      <c r="C3495" s="1">
        <v>53.13</v>
      </c>
      <c r="D3495" s="1">
        <v>51.43</v>
      </c>
      <c r="E3495" s="1">
        <v>51.9</v>
      </c>
      <c r="F3495" s="1">
        <v>6639900</v>
      </c>
      <c r="G3495" s="1">
        <v>51.9</v>
      </c>
      <c r="H3495" s="1">
        <f t="shared" si="486"/>
        <v>1.7000000000000028</v>
      </c>
      <c r="I3495" s="9">
        <f t="shared" si="493"/>
        <v>3.3054637371184192E-2</v>
      </c>
      <c r="J3495" s="1">
        <f t="shared" si="494"/>
        <v>-0.71999999999999886</v>
      </c>
      <c r="K3495" s="9">
        <f t="shared" si="487"/>
        <v>-1.3683010262257676E-2</v>
      </c>
      <c r="L3495" s="1">
        <f t="shared" si="488"/>
        <v>1</v>
      </c>
      <c r="M3495" s="1">
        <f t="shared" si="489"/>
        <v>53.13</v>
      </c>
      <c r="N3495" s="1">
        <f t="shared" si="490"/>
        <v>51.43</v>
      </c>
      <c r="O3495" s="1">
        <f t="shared" si="491"/>
        <v>49.94</v>
      </c>
      <c r="P3495" s="1">
        <f t="shared" si="492"/>
        <v>25.479591836734691</v>
      </c>
    </row>
    <row r="3496" spans="1:16">
      <c r="A3496" s="2">
        <v>37986</v>
      </c>
      <c r="B3496" s="1">
        <v>52.82</v>
      </c>
      <c r="C3496" s="1">
        <v>53.48</v>
      </c>
      <c r="D3496" s="1">
        <v>52.4</v>
      </c>
      <c r="E3496" s="1">
        <v>52.62</v>
      </c>
      <c r="F3496" s="1">
        <v>5307200</v>
      </c>
      <c r="G3496" s="1">
        <v>52.62</v>
      </c>
      <c r="H3496" s="1">
        <f t="shared" si="486"/>
        <v>1.0799999999999983</v>
      </c>
      <c r="I3496" s="9">
        <f t="shared" si="493"/>
        <v>2.0610687022900732E-2</v>
      </c>
      <c r="J3496" s="1">
        <f t="shared" si="494"/>
        <v>-0.21000000000000085</v>
      </c>
      <c r="K3496" s="9">
        <f t="shared" si="487"/>
        <v>-3.9750141964792892E-3</v>
      </c>
      <c r="L3496" s="1">
        <f t="shared" si="488"/>
        <v>1</v>
      </c>
      <c r="M3496" s="1">
        <f t="shared" si="489"/>
        <v>53.48</v>
      </c>
      <c r="N3496" s="1">
        <f t="shared" si="490"/>
        <v>52.4</v>
      </c>
      <c r="O3496" s="1">
        <f t="shared" si="491"/>
        <v>50.66</v>
      </c>
      <c r="P3496" s="1">
        <f t="shared" si="492"/>
        <v>25.846938775510203</v>
      </c>
    </row>
    <row r="3497" spans="1:16">
      <c r="A3497" s="2">
        <v>37985</v>
      </c>
      <c r="B3497" s="1">
        <v>53.18</v>
      </c>
      <c r="C3497" s="1">
        <v>53.5</v>
      </c>
      <c r="D3497" s="1">
        <v>52.6</v>
      </c>
      <c r="E3497" s="1">
        <v>52.83</v>
      </c>
      <c r="F3497" s="1">
        <v>5152400</v>
      </c>
      <c r="G3497" s="1">
        <v>52.83</v>
      </c>
      <c r="H3497" s="1">
        <f t="shared" si="486"/>
        <v>0.89999999999999858</v>
      </c>
      <c r="I3497" s="9">
        <f t="shared" si="493"/>
        <v>1.711026615969579E-2</v>
      </c>
      <c r="J3497" s="1">
        <f t="shared" si="494"/>
        <v>-0.64000000000000057</v>
      </c>
      <c r="K3497" s="9">
        <f t="shared" si="487"/>
        <v>-1.1969328595474109E-2</v>
      </c>
      <c r="L3497" s="1">
        <f t="shared" si="488"/>
        <v>1</v>
      </c>
      <c r="M3497" s="1">
        <f t="shared" si="489"/>
        <v>53.5</v>
      </c>
      <c r="N3497" s="1">
        <f t="shared" si="490"/>
        <v>52.6</v>
      </c>
      <c r="O3497" s="1">
        <f t="shared" si="491"/>
        <v>50.87</v>
      </c>
      <c r="P3497" s="1">
        <f t="shared" si="492"/>
        <v>25.954081632653061</v>
      </c>
    </row>
    <row r="3498" spans="1:16">
      <c r="A3498" s="2">
        <v>37984</v>
      </c>
      <c r="B3498" s="1">
        <v>53.79</v>
      </c>
      <c r="C3498" s="1">
        <v>53.84</v>
      </c>
      <c r="D3498" s="1">
        <v>52.13</v>
      </c>
      <c r="E3498" s="1">
        <v>53.47</v>
      </c>
      <c r="F3498" s="1">
        <v>8056900</v>
      </c>
      <c r="G3498" s="1">
        <v>53.47</v>
      </c>
      <c r="H3498" s="1">
        <f t="shared" si="486"/>
        <v>1.7100000000000009</v>
      </c>
      <c r="I3498" s="9">
        <f t="shared" si="493"/>
        <v>3.2802608862459254E-2</v>
      </c>
      <c r="J3498" s="1">
        <f t="shared" si="494"/>
        <v>0</v>
      </c>
      <c r="K3498" s="9">
        <f t="shared" si="487"/>
        <v>0</v>
      </c>
      <c r="L3498" s="1">
        <f t="shared" si="488"/>
        <v>1</v>
      </c>
      <c r="M3498" s="1">
        <f t="shared" si="489"/>
        <v>53.84</v>
      </c>
      <c r="N3498" s="1">
        <f t="shared" si="490"/>
        <v>52.13</v>
      </c>
      <c r="O3498" s="1">
        <f t="shared" si="491"/>
        <v>51.51</v>
      </c>
      <c r="P3498" s="1">
        <f t="shared" si="492"/>
        <v>26.280612244897959</v>
      </c>
    </row>
    <row r="3499" spans="1:16">
      <c r="A3499" s="2">
        <v>37981</v>
      </c>
      <c r="B3499" s="1">
        <v>54.14</v>
      </c>
      <c r="C3499" s="1">
        <v>54.94</v>
      </c>
      <c r="D3499" s="1">
        <v>53.14</v>
      </c>
      <c r="E3499" s="1">
        <v>53.47</v>
      </c>
      <c r="F3499" s="1">
        <v>7078400</v>
      </c>
      <c r="G3499" s="1">
        <v>53.47</v>
      </c>
      <c r="H3499" s="1">
        <f t="shared" si="486"/>
        <v>1.7999999999999972</v>
      </c>
      <c r="I3499" s="9">
        <f t="shared" si="493"/>
        <v>3.3872788859616053E-2</v>
      </c>
      <c r="J3499" s="1">
        <f t="shared" si="494"/>
        <v>0.14999999999999858</v>
      </c>
      <c r="K3499" s="9">
        <f t="shared" si="487"/>
        <v>2.8132033008251797E-3</v>
      </c>
      <c r="L3499" s="1">
        <f t="shared" si="488"/>
        <v>1</v>
      </c>
      <c r="M3499" s="1">
        <f t="shared" si="489"/>
        <v>54.94</v>
      </c>
      <c r="N3499" s="1">
        <f t="shared" si="490"/>
        <v>53.14</v>
      </c>
      <c r="O3499" s="1">
        <f t="shared" si="491"/>
        <v>51.51</v>
      </c>
      <c r="P3499" s="1">
        <f t="shared" si="492"/>
        <v>26.280612244897959</v>
      </c>
    </row>
    <row r="3500" spans="1:16">
      <c r="A3500" s="2">
        <v>37979</v>
      </c>
      <c r="B3500" s="1">
        <v>52.3</v>
      </c>
      <c r="C3500" s="1">
        <v>53.88</v>
      </c>
      <c r="D3500" s="1">
        <v>52.15</v>
      </c>
      <c r="E3500" s="1">
        <v>53.32</v>
      </c>
      <c r="F3500" s="1">
        <v>5659800</v>
      </c>
      <c r="G3500" s="1">
        <v>53.32</v>
      </c>
      <c r="H3500" s="1">
        <f t="shared" si="486"/>
        <v>1.730000000000004</v>
      </c>
      <c r="I3500" s="9">
        <f t="shared" si="493"/>
        <v>3.3173537871524529E-2</v>
      </c>
      <c r="J3500" s="1">
        <f t="shared" si="494"/>
        <v>0.84000000000000341</v>
      </c>
      <c r="K3500" s="9">
        <f t="shared" si="487"/>
        <v>1.6006097560975676E-2</v>
      </c>
      <c r="L3500" s="1">
        <f t="shared" si="488"/>
        <v>1</v>
      </c>
      <c r="M3500" s="1">
        <f t="shared" si="489"/>
        <v>53.88</v>
      </c>
      <c r="N3500" s="1">
        <f t="shared" si="490"/>
        <v>52.15</v>
      </c>
      <c r="O3500" s="1">
        <f t="shared" si="491"/>
        <v>51.36</v>
      </c>
      <c r="P3500" s="1">
        <f t="shared" si="492"/>
        <v>26.204081632653061</v>
      </c>
    </row>
    <row r="3501" spans="1:16">
      <c r="A3501" s="2">
        <v>37978</v>
      </c>
      <c r="B3501" s="1">
        <v>50.02</v>
      </c>
      <c r="C3501" s="1">
        <v>52.62</v>
      </c>
      <c r="D3501" s="1">
        <v>49.77</v>
      </c>
      <c r="E3501" s="1">
        <v>52.48</v>
      </c>
      <c r="F3501" s="1">
        <v>11004000</v>
      </c>
      <c r="G3501" s="1">
        <v>52.48</v>
      </c>
      <c r="H3501" s="1">
        <f t="shared" si="486"/>
        <v>2.8499999999999943</v>
      </c>
      <c r="I3501" s="9">
        <f t="shared" si="493"/>
        <v>5.7263411693791323E-2</v>
      </c>
      <c r="J3501" s="1">
        <f t="shared" si="494"/>
        <v>2.5899999999999963</v>
      </c>
      <c r="K3501" s="9">
        <f t="shared" si="487"/>
        <v>5.1914211264782448E-2</v>
      </c>
      <c r="L3501" s="1">
        <f t="shared" si="488"/>
        <v>1</v>
      </c>
      <c r="M3501" s="1">
        <f t="shared" si="489"/>
        <v>52.62</v>
      </c>
      <c r="N3501" s="1">
        <f t="shared" si="490"/>
        <v>49.77</v>
      </c>
      <c r="O3501" s="1">
        <f t="shared" si="491"/>
        <v>50.519999999999996</v>
      </c>
      <c r="P3501" s="1">
        <f t="shared" si="492"/>
        <v>25.77551020408163</v>
      </c>
    </row>
    <row r="3502" spans="1:16">
      <c r="A3502" s="2">
        <v>37977</v>
      </c>
      <c r="B3502" s="1">
        <v>48.98</v>
      </c>
      <c r="C3502" s="1">
        <v>50.1</v>
      </c>
      <c r="D3502" s="1">
        <v>48.7</v>
      </c>
      <c r="E3502" s="1">
        <v>49.89</v>
      </c>
      <c r="F3502" s="1">
        <v>7799700</v>
      </c>
      <c r="G3502" s="1">
        <v>49.89</v>
      </c>
      <c r="H3502" s="1">
        <f t="shared" si="486"/>
        <v>1.3999999999999986</v>
      </c>
      <c r="I3502" s="9">
        <f t="shared" si="493"/>
        <v>2.8747433264887032E-2</v>
      </c>
      <c r="J3502" s="1">
        <f t="shared" si="494"/>
        <v>0.64999999999999858</v>
      </c>
      <c r="K3502" s="9">
        <f t="shared" si="487"/>
        <v>1.3200649878147818E-2</v>
      </c>
      <c r="L3502" s="1">
        <f t="shared" si="488"/>
        <v>1</v>
      </c>
      <c r="M3502" s="1">
        <f t="shared" si="489"/>
        <v>50.1</v>
      </c>
      <c r="N3502" s="1">
        <f t="shared" si="490"/>
        <v>48.7</v>
      </c>
      <c r="O3502" s="1">
        <f t="shared" si="491"/>
        <v>47.93</v>
      </c>
      <c r="P3502" s="1">
        <f t="shared" si="492"/>
        <v>24.454081632653061</v>
      </c>
    </row>
    <row r="3503" spans="1:16">
      <c r="A3503" s="2">
        <v>37974</v>
      </c>
      <c r="B3503" s="1">
        <v>48.8</v>
      </c>
      <c r="C3503" s="1">
        <v>49.41</v>
      </c>
      <c r="D3503" s="1">
        <v>48.26</v>
      </c>
      <c r="E3503" s="1">
        <v>49.24</v>
      </c>
      <c r="F3503" s="1">
        <v>8045900</v>
      </c>
      <c r="G3503" s="1">
        <v>49.24</v>
      </c>
      <c r="H3503" s="1">
        <f t="shared" si="486"/>
        <v>1.1499999999999986</v>
      </c>
      <c r="I3503" s="9">
        <f t="shared" si="493"/>
        <v>2.3829258184832131E-2</v>
      </c>
      <c r="J3503" s="1">
        <f t="shared" si="494"/>
        <v>0.49000000000000199</v>
      </c>
      <c r="K3503" s="9">
        <f t="shared" si="487"/>
        <v>1.0051282051282091E-2</v>
      </c>
      <c r="L3503" s="1">
        <f t="shared" si="488"/>
        <v>1</v>
      </c>
      <c r="M3503" s="1">
        <f t="shared" si="489"/>
        <v>49.41</v>
      </c>
      <c r="N3503" s="1">
        <f t="shared" si="490"/>
        <v>48.26</v>
      </c>
      <c r="O3503" s="1">
        <f t="shared" si="491"/>
        <v>47.28</v>
      </c>
      <c r="P3503" s="1">
        <f t="shared" si="492"/>
        <v>24.122448979591837</v>
      </c>
    </row>
    <row r="3504" spans="1:16">
      <c r="A3504" s="2">
        <v>37973</v>
      </c>
      <c r="B3504" s="1">
        <v>47.61</v>
      </c>
      <c r="C3504" s="1">
        <v>48.89</v>
      </c>
      <c r="D3504" s="1">
        <v>47.45</v>
      </c>
      <c r="E3504" s="1">
        <v>48.75</v>
      </c>
      <c r="F3504" s="1">
        <v>10750700</v>
      </c>
      <c r="G3504" s="1">
        <v>48.75</v>
      </c>
      <c r="H3504" s="1">
        <f t="shared" si="486"/>
        <v>1.4399999999999977</v>
      </c>
      <c r="I3504" s="9">
        <f t="shared" si="493"/>
        <v>3.0347734457323448E-2</v>
      </c>
      <c r="J3504" s="1">
        <f t="shared" si="494"/>
        <v>1.1700000000000017</v>
      </c>
      <c r="K3504" s="9">
        <f t="shared" si="487"/>
        <v>2.4590163934426267E-2</v>
      </c>
      <c r="L3504" s="1">
        <f t="shared" si="488"/>
        <v>1</v>
      </c>
      <c r="M3504" s="1">
        <f t="shared" si="489"/>
        <v>48.89</v>
      </c>
      <c r="N3504" s="1">
        <f t="shared" si="490"/>
        <v>47.45</v>
      </c>
      <c r="O3504" s="1">
        <f t="shared" si="491"/>
        <v>46.79</v>
      </c>
      <c r="P3504" s="1">
        <f t="shared" si="492"/>
        <v>23.872448979591837</v>
      </c>
    </row>
    <row r="3505" spans="1:16">
      <c r="A3505" s="2">
        <v>37972</v>
      </c>
      <c r="B3505" s="1">
        <v>49.47</v>
      </c>
      <c r="C3505" s="1">
        <v>49.61</v>
      </c>
      <c r="D3505" s="1">
        <v>47</v>
      </c>
      <c r="E3505" s="1">
        <v>47.58</v>
      </c>
      <c r="F3505" s="1">
        <v>13856800</v>
      </c>
      <c r="G3505" s="1">
        <v>47.58</v>
      </c>
      <c r="H3505" s="1">
        <f t="shared" si="486"/>
        <v>2.6099999999999994</v>
      </c>
      <c r="I3505" s="9">
        <f t="shared" si="493"/>
        <v>5.5531914893617008E-2</v>
      </c>
      <c r="J3505" s="1">
        <f t="shared" si="494"/>
        <v>-1.9200000000000017</v>
      </c>
      <c r="K3505" s="9">
        <f t="shared" si="487"/>
        <v>-3.8787878787878823E-2</v>
      </c>
      <c r="L3505" s="1">
        <f t="shared" si="488"/>
        <v>1</v>
      </c>
      <c r="M3505" s="1">
        <f t="shared" si="489"/>
        <v>49.61</v>
      </c>
      <c r="N3505" s="1">
        <f t="shared" si="490"/>
        <v>47</v>
      </c>
      <c r="O3505" s="1">
        <f t="shared" si="491"/>
        <v>45.62</v>
      </c>
      <c r="P3505" s="1">
        <f t="shared" si="492"/>
        <v>23.27551020408163</v>
      </c>
    </row>
    <row r="3506" spans="1:16">
      <c r="A3506" s="2">
        <v>37971</v>
      </c>
      <c r="B3506" s="1">
        <v>49.6</v>
      </c>
      <c r="C3506" s="1">
        <v>49.8</v>
      </c>
      <c r="D3506" s="1">
        <v>48.63</v>
      </c>
      <c r="E3506" s="1">
        <v>49.5</v>
      </c>
      <c r="F3506" s="1">
        <v>10549800</v>
      </c>
      <c r="G3506" s="1">
        <v>49.5</v>
      </c>
      <c r="H3506" s="1">
        <f t="shared" si="486"/>
        <v>1.1699999999999946</v>
      </c>
      <c r="I3506" s="9">
        <f t="shared" si="493"/>
        <v>2.4059222702035667E-2</v>
      </c>
      <c r="J3506" s="1">
        <f t="shared" si="494"/>
        <v>-0.90999999999999659</v>
      </c>
      <c r="K3506" s="9">
        <f t="shared" si="487"/>
        <v>-1.8051973814719235E-2</v>
      </c>
      <c r="L3506" s="1">
        <f t="shared" si="488"/>
        <v>1</v>
      </c>
      <c r="M3506" s="1">
        <f t="shared" si="489"/>
        <v>49.8</v>
      </c>
      <c r="N3506" s="1">
        <f t="shared" si="490"/>
        <v>48.63</v>
      </c>
      <c r="O3506" s="1">
        <f t="shared" si="491"/>
        <v>47.54</v>
      </c>
      <c r="P3506" s="1">
        <f t="shared" si="492"/>
        <v>24.255102040816325</v>
      </c>
    </row>
    <row r="3507" spans="1:16">
      <c r="A3507" s="2">
        <v>37970</v>
      </c>
      <c r="B3507" s="1">
        <v>52.05</v>
      </c>
      <c r="C3507" s="1">
        <v>52.25</v>
      </c>
      <c r="D3507" s="1">
        <v>50.05</v>
      </c>
      <c r="E3507" s="1">
        <v>50.41</v>
      </c>
      <c r="F3507" s="1">
        <v>9676800</v>
      </c>
      <c r="G3507" s="1">
        <v>50.41</v>
      </c>
      <c r="H3507" s="1">
        <f t="shared" si="486"/>
        <v>2.2000000000000028</v>
      </c>
      <c r="I3507" s="9">
        <f t="shared" si="493"/>
        <v>4.3956043956044015E-2</v>
      </c>
      <c r="J3507" s="1">
        <f t="shared" si="494"/>
        <v>-0.5800000000000054</v>
      </c>
      <c r="K3507" s="9">
        <f t="shared" si="487"/>
        <v>-1.1374779368503734E-2</v>
      </c>
      <c r="L3507" s="1">
        <f t="shared" si="488"/>
        <v>1</v>
      </c>
      <c r="M3507" s="1">
        <f t="shared" si="489"/>
        <v>52.25</v>
      </c>
      <c r="N3507" s="1">
        <f t="shared" si="490"/>
        <v>50.05</v>
      </c>
      <c r="O3507" s="1">
        <f t="shared" si="491"/>
        <v>48.449999999999996</v>
      </c>
      <c r="P3507" s="1">
        <f t="shared" si="492"/>
        <v>24.719387755102041</v>
      </c>
    </row>
    <row r="3508" spans="1:16">
      <c r="A3508" s="2">
        <v>37967</v>
      </c>
      <c r="B3508" s="1">
        <v>50.99</v>
      </c>
      <c r="C3508" s="1">
        <v>51.31</v>
      </c>
      <c r="D3508" s="1">
        <v>49.92</v>
      </c>
      <c r="E3508" s="1">
        <v>50.99</v>
      </c>
      <c r="F3508" s="1">
        <v>6190600</v>
      </c>
      <c r="G3508" s="1">
        <v>50.99</v>
      </c>
      <c r="H3508" s="1">
        <f t="shared" si="486"/>
        <v>1.3900000000000006</v>
      </c>
      <c r="I3508" s="9">
        <f t="shared" si="493"/>
        <v>2.7844551282051294E-2</v>
      </c>
      <c r="J3508" s="1">
        <f t="shared" si="494"/>
        <v>0.19000000000000483</v>
      </c>
      <c r="K3508" s="9">
        <f t="shared" si="487"/>
        <v>3.740157480315056E-3</v>
      </c>
      <c r="L3508" s="1">
        <f t="shared" si="488"/>
        <v>1</v>
      </c>
      <c r="M3508" s="1">
        <f t="shared" si="489"/>
        <v>51.31</v>
      </c>
      <c r="N3508" s="1">
        <f t="shared" si="490"/>
        <v>49.92</v>
      </c>
      <c r="O3508" s="1">
        <f t="shared" si="491"/>
        <v>49.03</v>
      </c>
      <c r="P3508" s="1">
        <f t="shared" si="492"/>
        <v>25.01530612244898</v>
      </c>
    </row>
    <row r="3509" spans="1:16">
      <c r="A3509" s="2">
        <v>37966</v>
      </c>
      <c r="B3509" s="1">
        <v>49.26</v>
      </c>
      <c r="C3509" s="1">
        <v>51.15</v>
      </c>
      <c r="D3509" s="1">
        <v>49.19</v>
      </c>
      <c r="E3509" s="1">
        <v>50.8</v>
      </c>
      <c r="F3509" s="1">
        <v>9405500</v>
      </c>
      <c r="G3509" s="1">
        <v>50.8</v>
      </c>
      <c r="H3509" s="1">
        <f t="shared" si="486"/>
        <v>1.9600000000000009</v>
      </c>
      <c r="I3509" s="9">
        <f t="shared" si="493"/>
        <v>3.9845497052246409E-2</v>
      </c>
      <c r="J3509" s="1">
        <f t="shared" si="494"/>
        <v>1.5999999999999943</v>
      </c>
      <c r="K3509" s="9">
        <f t="shared" si="487"/>
        <v>3.2520325203251918E-2</v>
      </c>
      <c r="L3509" s="1">
        <f t="shared" si="488"/>
        <v>1</v>
      </c>
      <c r="M3509" s="1">
        <f t="shared" si="489"/>
        <v>51.15</v>
      </c>
      <c r="N3509" s="1">
        <f t="shared" si="490"/>
        <v>49.19</v>
      </c>
      <c r="O3509" s="1">
        <f t="shared" si="491"/>
        <v>48.839999999999996</v>
      </c>
      <c r="P3509" s="1">
        <f t="shared" si="492"/>
        <v>24.918367346938773</v>
      </c>
    </row>
    <row r="3510" spans="1:16">
      <c r="A3510" s="2">
        <v>37965</v>
      </c>
      <c r="B3510" s="1">
        <v>49.45</v>
      </c>
      <c r="C3510" s="1">
        <v>50.17</v>
      </c>
      <c r="D3510" s="1">
        <v>48.31</v>
      </c>
      <c r="E3510" s="1">
        <v>49.2</v>
      </c>
      <c r="F3510" s="1">
        <v>9254600</v>
      </c>
      <c r="G3510" s="1">
        <v>49.2</v>
      </c>
      <c r="H3510" s="1">
        <f t="shared" si="486"/>
        <v>1.8599999999999994</v>
      </c>
      <c r="I3510" s="9">
        <f t="shared" si="493"/>
        <v>3.8501345477126872E-2</v>
      </c>
      <c r="J3510" s="1">
        <f t="shared" si="494"/>
        <v>-0.14000000000000057</v>
      </c>
      <c r="K3510" s="9">
        <f t="shared" si="487"/>
        <v>-2.8374543980543283E-3</v>
      </c>
      <c r="L3510" s="1">
        <f t="shared" si="488"/>
        <v>1</v>
      </c>
      <c r="M3510" s="1">
        <f t="shared" si="489"/>
        <v>50.17</v>
      </c>
      <c r="N3510" s="1">
        <f t="shared" si="490"/>
        <v>48.31</v>
      </c>
      <c r="O3510" s="1">
        <f t="shared" si="491"/>
        <v>47.24</v>
      </c>
      <c r="P3510" s="1">
        <f t="shared" si="492"/>
        <v>24.102040816326532</v>
      </c>
    </row>
    <row r="3511" spans="1:16">
      <c r="A3511" s="2">
        <v>37964</v>
      </c>
      <c r="B3511" s="1">
        <v>51.17</v>
      </c>
      <c r="C3511" s="1">
        <v>51.65</v>
      </c>
      <c r="D3511" s="1">
        <v>49.3</v>
      </c>
      <c r="E3511" s="1">
        <v>49.34</v>
      </c>
      <c r="F3511" s="1">
        <v>10460500</v>
      </c>
      <c r="G3511" s="1">
        <v>49.34</v>
      </c>
      <c r="H3511" s="1">
        <f t="shared" si="486"/>
        <v>2.3500000000000014</v>
      </c>
      <c r="I3511" s="9">
        <f t="shared" si="493"/>
        <v>4.7667342799188675E-2</v>
      </c>
      <c r="J3511" s="1">
        <f t="shared" si="494"/>
        <v>-1.7399999999999949</v>
      </c>
      <c r="K3511" s="9">
        <f t="shared" si="487"/>
        <v>-3.4064212999216817E-2</v>
      </c>
      <c r="L3511" s="1">
        <f t="shared" si="488"/>
        <v>1</v>
      </c>
      <c r="M3511" s="1">
        <f t="shared" si="489"/>
        <v>51.65</v>
      </c>
      <c r="N3511" s="1">
        <f t="shared" si="490"/>
        <v>49.3</v>
      </c>
      <c r="O3511" s="1">
        <f t="shared" si="491"/>
        <v>47.38</v>
      </c>
      <c r="P3511" s="1">
        <f t="shared" si="492"/>
        <v>24.173469387755105</v>
      </c>
    </row>
    <row r="3512" spans="1:16">
      <c r="A3512" s="2">
        <v>37963</v>
      </c>
      <c r="B3512" s="1">
        <v>51.55</v>
      </c>
      <c r="C3512" s="1">
        <v>52.2</v>
      </c>
      <c r="D3512" s="1">
        <v>50.12</v>
      </c>
      <c r="E3512" s="1">
        <v>51.08</v>
      </c>
      <c r="F3512" s="1">
        <v>8376400</v>
      </c>
      <c r="G3512" s="1">
        <v>51.08</v>
      </c>
      <c r="H3512" s="1">
        <f t="shared" si="486"/>
        <v>2.0800000000000054</v>
      </c>
      <c r="I3512" s="9">
        <f t="shared" si="493"/>
        <v>4.1500399042298595E-2</v>
      </c>
      <c r="J3512" s="1">
        <f t="shared" si="494"/>
        <v>-0.48000000000000398</v>
      </c>
      <c r="K3512" s="9">
        <f t="shared" si="487"/>
        <v>-9.309542280837935E-3</v>
      </c>
      <c r="L3512" s="1">
        <f t="shared" si="488"/>
        <v>1</v>
      </c>
      <c r="M3512" s="1">
        <f t="shared" si="489"/>
        <v>52.2</v>
      </c>
      <c r="N3512" s="1">
        <f t="shared" si="490"/>
        <v>50.12</v>
      </c>
      <c r="O3512" s="1">
        <f t="shared" si="491"/>
        <v>49.12</v>
      </c>
      <c r="P3512" s="1">
        <f t="shared" si="492"/>
        <v>25.061224489795919</v>
      </c>
    </row>
    <row r="3513" spans="1:16">
      <c r="A3513" s="2">
        <v>37960</v>
      </c>
      <c r="B3513" s="1">
        <v>51.2</v>
      </c>
      <c r="C3513" s="1">
        <v>52.7</v>
      </c>
      <c r="D3513" s="1">
        <v>51.2</v>
      </c>
      <c r="E3513" s="1">
        <v>51.56</v>
      </c>
      <c r="F3513" s="1">
        <v>7501500</v>
      </c>
      <c r="G3513" s="1">
        <v>51.56</v>
      </c>
      <c r="H3513" s="1">
        <f t="shared" si="486"/>
        <v>1.5</v>
      </c>
      <c r="I3513" s="9">
        <f t="shared" si="493"/>
        <v>2.9296875E-2</v>
      </c>
      <c r="J3513" s="1">
        <f t="shared" si="494"/>
        <v>-0.23999999999999488</v>
      </c>
      <c r="K3513" s="9">
        <f t="shared" si="487"/>
        <v>-4.633204633204535E-3</v>
      </c>
      <c r="L3513" s="1">
        <f t="shared" si="488"/>
        <v>1</v>
      </c>
      <c r="M3513" s="1">
        <f t="shared" si="489"/>
        <v>52.7</v>
      </c>
      <c r="N3513" s="1">
        <f t="shared" si="490"/>
        <v>51.2</v>
      </c>
      <c r="O3513" s="1">
        <f t="shared" si="491"/>
        <v>49.6</v>
      </c>
      <c r="P3513" s="1">
        <f t="shared" si="492"/>
        <v>25.306122448979593</v>
      </c>
    </row>
    <row r="3514" spans="1:16">
      <c r="A3514" s="2">
        <v>37959</v>
      </c>
      <c r="B3514" s="1">
        <v>51.45</v>
      </c>
      <c r="C3514" s="1">
        <v>52.43</v>
      </c>
      <c r="D3514" s="1">
        <v>50.75</v>
      </c>
      <c r="E3514" s="1">
        <v>51.8</v>
      </c>
      <c r="F3514" s="1">
        <v>10216200</v>
      </c>
      <c r="G3514" s="1">
        <v>51.8</v>
      </c>
      <c r="H3514" s="1">
        <f t="shared" si="486"/>
        <v>1.6799999999999997</v>
      </c>
      <c r="I3514" s="9">
        <f t="shared" si="493"/>
        <v>3.3103448275862063E-2</v>
      </c>
      <c r="J3514" s="1">
        <f t="shared" si="494"/>
        <v>0.28999999999999915</v>
      </c>
      <c r="K3514" s="9">
        <f t="shared" si="487"/>
        <v>5.6299747621820842E-3</v>
      </c>
      <c r="L3514" s="1">
        <f t="shared" si="488"/>
        <v>1</v>
      </c>
      <c r="M3514" s="1">
        <f t="shared" si="489"/>
        <v>52.43</v>
      </c>
      <c r="N3514" s="1">
        <f t="shared" si="490"/>
        <v>50.75</v>
      </c>
      <c r="O3514" s="1">
        <f t="shared" si="491"/>
        <v>49.839999999999996</v>
      </c>
      <c r="P3514" s="1">
        <f t="shared" si="492"/>
        <v>25.428571428571427</v>
      </c>
    </row>
    <row r="3515" spans="1:16">
      <c r="A3515" s="2">
        <v>37958</v>
      </c>
      <c r="B3515" s="1">
        <v>54.1</v>
      </c>
      <c r="C3515" s="1">
        <v>54.25</v>
      </c>
      <c r="D3515" s="1">
        <v>51.36</v>
      </c>
      <c r="E3515" s="1">
        <v>51.51</v>
      </c>
      <c r="F3515" s="1">
        <v>11570800</v>
      </c>
      <c r="G3515" s="1">
        <v>51.51</v>
      </c>
      <c r="H3515" s="1">
        <f t="shared" si="486"/>
        <v>2.8900000000000006</v>
      </c>
      <c r="I3515" s="9">
        <f t="shared" si="493"/>
        <v>5.6269470404984437E-2</v>
      </c>
      <c r="J3515" s="1">
        <f t="shared" si="494"/>
        <v>-2.4200000000000017</v>
      </c>
      <c r="K3515" s="9">
        <f t="shared" si="487"/>
        <v>-4.4872983497125936E-2</v>
      </c>
      <c r="L3515" s="1">
        <f t="shared" si="488"/>
        <v>1</v>
      </c>
      <c r="M3515" s="1">
        <f t="shared" si="489"/>
        <v>54.25</v>
      </c>
      <c r="N3515" s="1">
        <f t="shared" si="490"/>
        <v>51.36</v>
      </c>
      <c r="O3515" s="1">
        <f t="shared" si="491"/>
        <v>49.55</v>
      </c>
      <c r="P3515" s="1">
        <f t="shared" si="492"/>
        <v>25.280612244897959</v>
      </c>
    </row>
    <row r="3516" spans="1:16">
      <c r="A3516" s="2">
        <v>37957</v>
      </c>
      <c r="B3516" s="1">
        <v>54.5</v>
      </c>
      <c r="C3516" s="1">
        <v>54.75</v>
      </c>
      <c r="D3516" s="1">
        <v>53.85</v>
      </c>
      <c r="E3516" s="1">
        <v>53.93</v>
      </c>
      <c r="F3516" s="1">
        <v>6237900</v>
      </c>
      <c r="G3516" s="1">
        <v>53.93</v>
      </c>
      <c r="H3516" s="1">
        <f t="shared" si="486"/>
        <v>0.89999999999999858</v>
      </c>
      <c r="I3516" s="9">
        <f t="shared" si="493"/>
        <v>1.6713091922005544E-2</v>
      </c>
      <c r="J3516" s="1">
        <f t="shared" si="494"/>
        <v>-0.71999999999999886</v>
      </c>
      <c r="K3516" s="9">
        <f t="shared" si="487"/>
        <v>-1.3174748398902083E-2</v>
      </c>
      <c r="L3516" s="1">
        <f t="shared" si="488"/>
        <v>1</v>
      </c>
      <c r="M3516" s="1">
        <f t="shared" si="489"/>
        <v>54.75</v>
      </c>
      <c r="N3516" s="1">
        <f t="shared" si="490"/>
        <v>53.85</v>
      </c>
      <c r="O3516" s="1">
        <f t="shared" si="491"/>
        <v>51.97</v>
      </c>
      <c r="P3516" s="1">
        <f t="shared" si="492"/>
        <v>26.51530612244898</v>
      </c>
    </row>
    <row r="3517" spans="1:16">
      <c r="A3517" s="2">
        <v>37956</v>
      </c>
      <c r="B3517" s="1">
        <v>54.4</v>
      </c>
      <c r="C3517" s="1">
        <v>54.75</v>
      </c>
      <c r="D3517" s="1">
        <v>53.05</v>
      </c>
      <c r="E3517" s="1">
        <v>54.65</v>
      </c>
      <c r="F3517" s="1">
        <v>11522800</v>
      </c>
      <c r="G3517" s="1">
        <v>54.65</v>
      </c>
      <c r="H3517" s="1">
        <f t="shared" si="486"/>
        <v>1.7000000000000028</v>
      </c>
      <c r="I3517" s="9">
        <f t="shared" si="493"/>
        <v>3.2045240339302603E-2</v>
      </c>
      <c r="J3517" s="1">
        <f t="shared" si="494"/>
        <v>0.67999999999999972</v>
      </c>
      <c r="K3517" s="9">
        <f t="shared" si="487"/>
        <v>1.2599592366129326E-2</v>
      </c>
      <c r="L3517" s="1">
        <f t="shared" si="488"/>
        <v>1</v>
      </c>
      <c r="M3517" s="1">
        <f t="shared" si="489"/>
        <v>54.75</v>
      </c>
      <c r="N3517" s="1">
        <f t="shared" si="490"/>
        <v>53.05</v>
      </c>
      <c r="O3517" s="1">
        <f t="shared" si="491"/>
        <v>52.69</v>
      </c>
      <c r="P3517" s="1">
        <f t="shared" si="492"/>
        <v>26.882653061224488</v>
      </c>
    </row>
    <row r="3518" spans="1:16">
      <c r="A3518" s="2">
        <v>37953</v>
      </c>
      <c r="B3518" s="1">
        <v>52.84</v>
      </c>
      <c r="C3518" s="1">
        <v>54.06</v>
      </c>
      <c r="D3518" s="1">
        <v>52.83</v>
      </c>
      <c r="E3518" s="1">
        <v>53.97</v>
      </c>
      <c r="F3518" s="1">
        <v>3983000</v>
      </c>
      <c r="G3518" s="1">
        <v>53.97</v>
      </c>
      <c r="H3518" s="1">
        <f t="shared" si="486"/>
        <v>1.230000000000004</v>
      </c>
      <c r="I3518" s="9">
        <f t="shared" si="493"/>
        <v>2.3282226007950105E-2</v>
      </c>
      <c r="J3518" s="1">
        <f t="shared" si="494"/>
        <v>1.009999999999998</v>
      </c>
      <c r="K3518" s="9">
        <f t="shared" si="487"/>
        <v>1.9070996978851926E-2</v>
      </c>
      <c r="L3518" s="1">
        <f t="shared" si="488"/>
        <v>1</v>
      </c>
      <c r="M3518" s="1">
        <f t="shared" si="489"/>
        <v>54.06</v>
      </c>
      <c r="N3518" s="1">
        <f t="shared" si="490"/>
        <v>52.83</v>
      </c>
      <c r="O3518" s="1">
        <f t="shared" si="491"/>
        <v>52.01</v>
      </c>
      <c r="P3518" s="1">
        <f t="shared" si="492"/>
        <v>26.535714285714285</v>
      </c>
    </row>
    <row r="3519" spans="1:16">
      <c r="A3519" s="2">
        <v>37951</v>
      </c>
      <c r="B3519" s="1">
        <v>52.83</v>
      </c>
      <c r="C3519" s="1">
        <v>53.54</v>
      </c>
      <c r="D3519" s="1">
        <v>51.87</v>
      </c>
      <c r="E3519" s="1">
        <v>52.96</v>
      </c>
      <c r="F3519" s="1">
        <v>8907700</v>
      </c>
      <c r="G3519" s="1">
        <v>52.96</v>
      </c>
      <c r="H3519" s="1">
        <f t="shared" si="486"/>
        <v>1.6700000000000017</v>
      </c>
      <c r="I3519" s="9">
        <f t="shared" si="493"/>
        <v>3.2195874301137496E-2</v>
      </c>
      <c r="J3519" s="1">
        <f t="shared" si="494"/>
        <v>0.49000000000000199</v>
      </c>
      <c r="K3519" s="9">
        <f t="shared" si="487"/>
        <v>9.3386697160282445E-3</v>
      </c>
      <c r="L3519" s="1">
        <f t="shared" si="488"/>
        <v>1</v>
      </c>
      <c r="M3519" s="1">
        <f t="shared" si="489"/>
        <v>53.54</v>
      </c>
      <c r="N3519" s="1">
        <f t="shared" si="490"/>
        <v>51.87</v>
      </c>
      <c r="O3519" s="1">
        <f t="shared" si="491"/>
        <v>51</v>
      </c>
      <c r="P3519" s="1">
        <f t="shared" si="492"/>
        <v>26.020408163265305</v>
      </c>
    </row>
    <row r="3520" spans="1:16">
      <c r="A3520" s="2">
        <v>37950</v>
      </c>
      <c r="B3520" s="1">
        <v>51.35</v>
      </c>
      <c r="C3520" s="1">
        <v>53.3</v>
      </c>
      <c r="D3520" s="1">
        <v>51.25</v>
      </c>
      <c r="E3520" s="1">
        <v>52.47</v>
      </c>
      <c r="F3520" s="1">
        <v>13771300</v>
      </c>
      <c r="G3520" s="1">
        <v>52.47</v>
      </c>
      <c r="H3520" s="1">
        <f t="shared" si="486"/>
        <v>2.0499999999999972</v>
      </c>
      <c r="I3520" s="9">
        <f t="shared" si="493"/>
        <v>3.9999999999999945E-2</v>
      </c>
      <c r="J3520" s="1">
        <f t="shared" si="494"/>
        <v>1.1400000000000006</v>
      </c>
      <c r="K3520" s="9">
        <f t="shared" si="487"/>
        <v>2.2209234365867924E-2</v>
      </c>
      <c r="L3520" s="1">
        <f t="shared" si="488"/>
        <v>1</v>
      </c>
      <c r="M3520" s="1">
        <f t="shared" si="489"/>
        <v>53.3</v>
      </c>
      <c r="N3520" s="1">
        <f t="shared" si="490"/>
        <v>51.25</v>
      </c>
      <c r="O3520" s="1">
        <f t="shared" si="491"/>
        <v>50.51</v>
      </c>
      <c r="P3520" s="1">
        <f t="shared" si="492"/>
        <v>25.770408163265305</v>
      </c>
    </row>
    <row r="3521" spans="1:16">
      <c r="A3521" s="2">
        <v>37949</v>
      </c>
      <c r="B3521" s="1">
        <v>49.28</v>
      </c>
      <c r="C3521" s="1">
        <v>51.45</v>
      </c>
      <c r="D3521" s="1">
        <v>48.65</v>
      </c>
      <c r="E3521" s="1">
        <v>51.33</v>
      </c>
      <c r="F3521" s="1">
        <v>10631500</v>
      </c>
      <c r="G3521" s="1">
        <v>51.33</v>
      </c>
      <c r="H3521" s="1">
        <f t="shared" si="486"/>
        <v>2.8000000000000043</v>
      </c>
      <c r="I3521" s="9">
        <f t="shared" si="493"/>
        <v>5.755395683453246E-2</v>
      </c>
      <c r="J3521" s="1">
        <f t="shared" si="494"/>
        <v>2.75</v>
      </c>
      <c r="K3521" s="9">
        <f t="shared" si="487"/>
        <v>5.660765747221079E-2</v>
      </c>
      <c r="L3521" s="1">
        <f t="shared" si="488"/>
        <v>1</v>
      </c>
      <c r="M3521" s="1">
        <f t="shared" si="489"/>
        <v>51.45</v>
      </c>
      <c r="N3521" s="1">
        <f t="shared" si="490"/>
        <v>48.65</v>
      </c>
      <c r="O3521" s="1">
        <f t="shared" si="491"/>
        <v>49.37</v>
      </c>
      <c r="P3521" s="1">
        <f t="shared" si="492"/>
        <v>25.188775510204081</v>
      </c>
    </row>
    <row r="3522" spans="1:16">
      <c r="A3522" s="2">
        <v>37946</v>
      </c>
      <c r="B3522" s="1">
        <v>49</v>
      </c>
      <c r="C3522" s="1">
        <v>49.2</v>
      </c>
      <c r="D3522" s="1">
        <v>47.76</v>
      </c>
      <c r="E3522" s="1">
        <v>48.58</v>
      </c>
      <c r="F3522" s="1">
        <v>9193400</v>
      </c>
      <c r="G3522" s="1">
        <v>48.58</v>
      </c>
      <c r="H3522" s="1">
        <f t="shared" si="486"/>
        <v>1.4400000000000048</v>
      </c>
      <c r="I3522" s="9">
        <f t="shared" si="493"/>
        <v>3.0150753768844324E-2</v>
      </c>
      <c r="J3522" s="1">
        <f t="shared" si="494"/>
        <v>-0.27000000000000313</v>
      </c>
      <c r="K3522" s="9">
        <f t="shared" si="487"/>
        <v>-5.5271238485159286E-3</v>
      </c>
      <c r="L3522" s="1">
        <f t="shared" si="488"/>
        <v>1</v>
      </c>
      <c r="M3522" s="1">
        <f t="shared" si="489"/>
        <v>49.2</v>
      </c>
      <c r="N3522" s="1">
        <f t="shared" si="490"/>
        <v>47.76</v>
      </c>
      <c r="O3522" s="1">
        <f t="shared" si="491"/>
        <v>46.62</v>
      </c>
      <c r="P3522" s="1">
        <f t="shared" si="492"/>
        <v>23.785714285714285</v>
      </c>
    </row>
    <row r="3523" spans="1:16">
      <c r="A3523" s="2">
        <v>37945</v>
      </c>
      <c r="B3523" s="1">
        <v>49.1</v>
      </c>
      <c r="C3523" s="1">
        <v>50.46</v>
      </c>
      <c r="D3523" s="1">
        <v>48.34</v>
      </c>
      <c r="E3523" s="1">
        <v>48.85</v>
      </c>
      <c r="F3523" s="1">
        <v>12337600</v>
      </c>
      <c r="G3523" s="1">
        <v>48.85</v>
      </c>
      <c r="H3523" s="1">
        <f t="shared" ref="H3523:H3586" si="495">C3523-D3523</f>
        <v>2.1199999999999974</v>
      </c>
      <c r="I3523" s="9">
        <f t="shared" si="493"/>
        <v>4.3856019859329694E-2</v>
      </c>
      <c r="J3523" s="1">
        <f t="shared" si="494"/>
        <v>-0.67999999999999972</v>
      </c>
      <c r="K3523" s="9">
        <f t="shared" ref="K3523:K3586" si="496">(G3523-G3524)/G3524</f>
        <v>-1.3729053099131833E-2</v>
      </c>
      <c r="L3523" s="1">
        <f t="shared" ref="L3523:L3586" si="497">G3523/E3523</f>
        <v>1</v>
      </c>
      <c r="M3523" s="1">
        <f t="shared" ref="M3523:M3586" si="498">L3523*C3523</f>
        <v>50.46</v>
      </c>
      <c r="N3523" s="1">
        <f t="shared" ref="N3523:N3586" si="499">L3523*D3523</f>
        <v>48.34</v>
      </c>
      <c r="O3523" s="1">
        <f t="shared" ref="O3523:O3586" si="500">G3523-$G$5163</f>
        <v>46.89</v>
      </c>
      <c r="P3523" s="1">
        <f t="shared" ref="P3523:P3586" si="501">(G3523-$G$5163)/$G$5163</f>
        <v>23.923469387755102</v>
      </c>
    </row>
    <row r="3524" spans="1:16">
      <c r="A3524" s="2">
        <v>37944</v>
      </c>
      <c r="B3524" s="1">
        <v>48.71</v>
      </c>
      <c r="C3524" s="1">
        <v>49.85</v>
      </c>
      <c r="D3524" s="1">
        <v>47.67</v>
      </c>
      <c r="E3524" s="1">
        <v>49.53</v>
      </c>
      <c r="F3524" s="1">
        <v>14079000</v>
      </c>
      <c r="G3524" s="1">
        <v>49.53</v>
      </c>
      <c r="H3524" s="1">
        <f t="shared" si="495"/>
        <v>2.1799999999999997</v>
      </c>
      <c r="I3524" s="9">
        <f t="shared" ref="I3524:I3587" si="502">(C3524-D3524)/D3524</f>
        <v>4.5731067757499466E-2</v>
      </c>
      <c r="J3524" s="1">
        <f t="shared" ref="J3524:J3587" si="503">G3524-G3525</f>
        <v>1.0300000000000011</v>
      </c>
      <c r="K3524" s="9">
        <f t="shared" si="496"/>
        <v>2.1237113402061879E-2</v>
      </c>
      <c r="L3524" s="1">
        <f t="shared" si="497"/>
        <v>1</v>
      </c>
      <c r="M3524" s="1">
        <f t="shared" si="498"/>
        <v>49.85</v>
      </c>
      <c r="N3524" s="1">
        <f t="shared" si="499"/>
        <v>47.67</v>
      </c>
      <c r="O3524" s="1">
        <f t="shared" si="500"/>
        <v>47.57</v>
      </c>
      <c r="P3524" s="1">
        <f t="shared" si="501"/>
        <v>24.270408163265305</v>
      </c>
    </row>
    <row r="3525" spans="1:16">
      <c r="A3525" s="2">
        <v>37943</v>
      </c>
      <c r="B3525" s="1">
        <v>50.73</v>
      </c>
      <c r="C3525" s="1">
        <v>50.98</v>
      </c>
      <c r="D3525" s="1">
        <v>48.45</v>
      </c>
      <c r="E3525" s="1">
        <v>48.5</v>
      </c>
      <c r="F3525" s="1">
        <v>12600200</v>
      </c>
      <c r="G3525" s="1">
        <v>48.5</v>
      </c>
      <c r="H3525" s="1">
        <f t="shared" si="495"/>
        <v>2.529999999999994</v>
      </c>
      <c r="I3525" s="9">
        <f t="shared" si="502"/>
        <v>5.2218782249741878E-2</v>
      </c>
      <c r="J3525" s="1">
        <f t="shared" si="503"/>
        <v>-1.8599999999999994</v>
      </c>
      <c r="K3525" s="9">
        <f t="shared" si="496"/>
        <v>-3.693407466243049E-2</v>
      </c>
      <c r="L3525" s="1">
        <f t="shared" si="497"/>
        <v>1</v>
      </c>
      <c r="M3525" s="1">
        <f t="shared" si="498"/>
        <v>50.98</v>
      </c>
      <c r="N3525" s="1">
        <f t="shared" si="499"/>
        <v>48.45</v>
      </c>
      <c r="O3525" s="1">
        <f t="shared" si="500"/>
        <v>46.54</v>
      </c>
      <c r="P3525" s="1">
        <f t="shared" si="501"/>
        <v>23.744897959183675</v>
      </c>
    </row>
    <row r="3526" spans="1:16">
      <c r="A3526" s="2">
        <v>37942</v>
      </c>
      <c r="B3526" s="1">
        <v>51.92</v>
      </c>
      <c r="C3526" s="1">
        <v>52.19</v>
      </c>
      <c r="D3526" s="1">
        <v>49.58</v>
      </c>
      <c r="E3526" s="1">
        <v>50.36</v>
      </c>
      <c r="F3526" s="1">
        <v>12996900</v>
      </c>
      <c r="G3526" s="1">
        <v>50.36</v>
      </c>
      <c r="H3526" s="1">
        <f t="shared" si="495"/>
        <v>2.6099999999999994</v>
      </c>
      <c r="I3526" s="9">
        <f t="shared" si="502"/>
        <v>5.2642194433239198E-2</v>
      </c>
      <c r="J3526" s="1">
        <f t="shared" si="503"/>
        <v>-2.0900000000000034</v>
      </c>
      <c r="K3526" s="9">
        <f t="shared" si="496"/>
        <v>-3.9847473784556782E-2</v>
      </c>
      <c r="L3526" s="1">
        <f t="shared" si="497"/>
        <v>1</v>
      </c>
      <c r="M3526" s="1">
        <f t="shared" si="498"/>
        <v>52.19</v>
      </c>
      <c r="N3526" s="1">
        <f t="shared" si="499"/>
        <v>49.58</v>
      </c>
      <c r="O3526" s="1">
        <f t="shared" si="500"/>
        <v>48.4</v>
      </c>
      <c r="P3526" s="1">
        <f t="shared" si="501"/>
        <v>24.693877551020407</v>
      </c>
    </row>
    <row r="3527" spans="1:16">
      <c r="A3527" s="2">
        <v>37939</v>
      </c>
      <c r="B3527" s="1">
        <v>54.43</v>
      </c>
      <c r="C3527" s="1">
        <v>54.78</v>
      </c>
      <c r="D3527" s="1">
        <v>52.21</v>
      </c>
      <c r="E3527" s="1">
        <v>52.45</v>
      </c>
      <c r="F3527" s="1">
        <v>8365300</v>
      </c>
      <c r="G3527" s="1">
        <v>52.45</v>
      </c>
      <c r="H3527" s="1">
        <f t="shared" si="495"/>
        <v>2.5700000000000003</v>
      </c>
      <c r="I3527" s="9">
        <f t="shared" si="502"/>
        <v>4.922428653514653E-2</v>
      </c>
      <c r="J3527" s="1">
        <f t="shared" si="503"/>
        <v>-2.3499999999999943</v>
      </c>
      <c r="K3527" s="9">
        <f t="shared" si="496"/>
        <v>-4.2883211678832016E-2</v>
      </c>
      <c r="L3527" s="1">
        <f t="shared" si="497"/>
        <v>1</v>
      </c>
      <c r="M3527" s="1">
        <f t="shared" si="498"/>
        <v>54.78</v>
      </c>
      <c r="N3527" s="1">
        <f t="shared" si="499"/>
        <v>52.21</v>
      </c>
      <c r="O3527" s="1">
        <f t="shared" si="500"/>
        <v>50.49</v>
      </c>
      <c r="P3527" s="1">
        <f t="shared" si="501"/>
        <v>25.760204081632654</v>
      </c>
    </row>
    <row r="3528" spans="1:16">
      <c r="A3528" s="2">
        <v>37938</v>
      </c>
      <c r="B3528" s="1">
        <v>54.04</v>
      </c>
      <c r="C3528" s="1">
        <v>55.13</v>
      </c>
      <c r="D3528" s="1">
        <v>53.57</v>
      </c>
      <c r="E3528" s="1">
        <v>54.8</v>
      </c>
      <c r="F3528" s="1">
        <v>7073000</v>
      </c>
      <c r="G3528" s="1">
        <v>54.8</v>
      </c>
      <c r="H3528" s="1">
        <f t="shared" si="495"/>
        <v>1.5600000000000023</v>
      </c>
      <c r="I3528" s="9">
        <f t="shared" si="502"/>
        <v>2.9120776554041484E-2</v>
      </c>
      <c r="J3528" s="1">
        <f t="shared" si="503"/>
        <v>0.6699999999999946</v>
      </c>
      <c r="K3528" s="9">
        <f t="shared" si="496"/>
        <v>1.2377609458710411E-2</v>
      </c>
      <c r="L3528" s="1">
        <f t="shared" si="497"/>
        <v>1</v>
      </c>
      <c r="M3528" s="1">
        <f t="shared" si="498"/>
        <v>55.13</v>
      </c>
      <c r="N3528" s="1">
        <f t="shared" si="499"/>
        <v>53.57</v>
      </c>
      <c r="O3528" s="1">
        <f t="shared" si="500"/>
        <v>52.839999999999996</v>
      </c>
      <c r="P3528" s="1">
        <f t="shared" si="501"/>
        <v>26.959183673469386</v>
      </c>
    </row>
    <row r="3529" spans="1:16">
      <c r="A3529" s="2">
        <v>37937</v>
      </c>
      <c r="B3529" s="1">
        <v>52.57</v>
      </c>
      <c r="C3529" s="1">
        <v>54.29</v>
      </c>
      <c r="D3529" s="1">
        <v>52.11</v>
      </c>
      <c r="E3529" s="1">
        <v>54.13</v>
      </c>
      <c r="F3529" s="1">
        <v>9259300</v>
      </c>
      <c r="G3529" s="1">
        <v>54.13</v>
      </c>
      <c r="H3529" s="1">
        <f t="shared" si="495"/>
        <v>2.1799999999999997</v>
      </c>
      <c r="I3529" s="9">
        <f t="shared" si="502"/>
        <v>4.1834580694684313E-2</v>
      </c>
      <c r="J3529" s="1">
        <f t="shared" si="503"/>
        <v>1.9000000000000057</v>
      </c>
      <c r="K3529" s="9">
        <f t="shared" si="496"/>
        <v>3.6377560788818798E-2</v>
      </c>
      <c r="L3529" s="1">
        <f t="shared" si="497"/>
        <v>1</v>
      </c>
      <c r="M3529" s="1">
        <f t="shared" si="498"/>
        <v>54.29</v>
      </c>
      <c r="N3529" s="1">
        <f t="shared" si="499"/>
        <v>52.11</v>
      </c>
      <c r="O3529" s="1">
        <f t="shared" si="500"/>
        <v>52.17</v>
      </c>
      <c r="P3529" s="1">
        <f t="shared" si="501"/>
        <v>26.617346938775512</v>
      </c>
    </row>
    <row r="3530" spans="1:16">
      <c r="A3530" s="2">
        <v>37936</v>
      </c>
      <c r="B3530" s="1">
        <v>51.84</v>
      </c>
      <c r="C3530" s="1">
        <v>52.75</v>
      </c>
      <c r="D3530" s="1">
        <v>50.76</v>
      </c>
      <c r="E3530" s="1">
        <v>52.23</v>
      </c>
      <c r="F3530" s="1">
        <v>10920100</v>
      </c>
      <c r="G3530" s="1">
        <v>52.23</v>
      </c>
      <c r="H3530" s="1">
        <f t="shared" si="495"/>
        <v>1.990000000000002</v>
      </c>
      <c r="I3530" s="9">
        <f t="shared" si="502"/>
        <v>3.9204097714736055E-2</v>
      </c>
      <c r="J3530" s="1">
        <f t="shared" si="503"/>
        <v>0.25</v>
      </c>
      <c r="K3530" s="9">
        <f t="shared" si="496"/>
        <v>4.809542131589073E-3</v>
      </c>
      <c r="L3530" s="1">
        <f t="shared" si="497"/>
        <v>1</v>
      </c>
      <c r="M3530" s="1">
        <f t="shared" si="498"/>
        <v>52.75</v>
      </c>
      <c r="N3530" s="1">
        <f t="shared" si="499"/>
        <v>50.76</v>
      </c>
      <c r="O3530" s="1">
        <f t="shared" si="500"/>
        <v>50.269999999999996</v>
      </c>
      <c r="P3530" s="1">
        <f t="shared" si="501"/>
        <v>25.647959183673468</v>
      </c>
    </row>
    <row r="3531" spans="1:16">
      <c r="A3531" s="2">
        <v>37935</v>
      </c>
      <c r="B3531" s="1">
        <v>53.95</v>
      </c>
      <c r="C3531" s="1">
        <v>54</v>
      </c>
      <c r="D3531" s="1">
        <v>51.74</v>
      </c>
      <c r="E3531" s="1">
        <v>51.98</v>
      </c>
      <c r="F3531" s="1">
        <v>9120500</v>
      </c>
      <c r="G3531" s="1">
        <v>51.98</v>
      </c>
      <c r="H3531" s="1">
        <f t="shared" si="495"/>
        <v>2.259999999999998</v>
      </c>
      <c r="I3531" s="9">
        <f t="shared" si="502"/>
        <v>4.3679938152299924E-2</v>
      </c>
      <c r="J3531" s="1">
        <f t="shared" si="503"/>
        <v>-2.3300000000000054</v>
      </c>
      <c r="K3531" s="9">
        <f t="shared" si="496"/>
        <v>-4.2901859694347365E-2</v>
      </c>
      <c r="L3531" s="1">
        <f t="shared" si="497"/>
        <v>1</v>
      </c>
      <c r="M3531" s="1">
        <f t="shared" si="498"/>
        <v>54</v>
      </c>
      <c r="N3531" s="1">
        <f t="shared" si="499"/>
        <v>51.74</v>
      </c>
      <c r="O3531" s="1">
        <f t="shared" si="500"/>
        <v>50.019999999999996</v>
      </c>
      <c r="P3531" s="1">
        <f t="shared" si="501"/>
        <v>25.520408163265305</v>
      </c>
    </row>
    <row r="3532" spans="1:16">
      <c r="A3532" s="2">
        <v>37932</v>
      </c>
      <c r="B3532" s="1">
        <v>55.61</v>
      </c>
      <c r="C3532" s="1">
        <v>55.7</v>
      </c>
      <c r="D3532" s="1">
        <v>54</v>
      </c>
      <c r="E3532" s="1">
        <v>54.31</v>
      </c>
      <c r="F3532" s="1">
        <v>8500400</v>
      </c>
      <c r="G3532" s="1">
        <v>54.31</v>
      </c>
      <c r="H3532" s="1">
        <f t="shared" si="495"/>
        <v>1.7000000000000028</v>
      </c>
      <c r="I3532" s="9">
        <f t="shared" si="502"/>
        <v>3.1481481481481534E-2</v>
      </c>
      <c r="J3532" s="1">
        <f t="shared" si="503"/>
        <v>-0.67999999999999972</v>
      </c>
      <c r="K3532" s="9">
        <f t="shared" si="496"/>
        <v>-1.2365884706310233E-2</v>
      </c>
      <c r="L3532" s="1">
        <f t="shared" si="497"/>
        <v>1</v>
      </c>
      <c r="M3532" s="1">
        <f t="shared" si="498"/>
        <v>55.7</v>
      </c>
      <c r="N3532" s="1">
        <f t="shared" si="499"/>
        <v>54</v>
      </c>
      <c r="O3532" s="1">
        <f t="shared" si="500"/>
        <v>52.35</v>
      </c>
      <c r="P3532" s="1">
        <f t="shared" si="501"/>
        <v>26.70918367346939</v>
      </c>
    </row>
    <row r="3533" spans="1:16">
      <c r="A3533" s="2">
        <v>37931</v>
      </c>
      <c r="B3533" s="1">
        <v>56.81</v>
      </c>
      <c r="C3533" s="1">
        <v>56.87</v>
      </c>
      <c r="D3533" s="1">
        <v>54.75</v>
      </c>
      <c r="E3533" s="1">
        <v>54.99</v>
      </c>
      <c r="F3533" s="1">
        <v>8791800</v>
      </c>
      <c r="G3533" s="1">
        <v>54.99</v>
      </c>
      <c r="H3533" s="1">
        <f t="shared" si="495"/>
        <v>2.1199999999999974</v>
      </c>
      <c r="I3533" s="9">
        <f t="shared" si="502"/>
        <v>3.8721461187214562E-2</v>
      </c>
      <c r="J3533" s="1">
        <f t="shared" si="503"/>
        <v>-1.75</v>
      </c>
      <c r="K3533" s="9">
        <f t="shared" si="496"/>
        <v>-3.0842439196334153E-2</v>
      </c>
      <c r="L3533" s="1">
        <f t="shared" si="497"/>
        <v>1</v>
      </c>
      <c r="M3533" s="1">
        <f t="shared" si="498"/>
        <v>56.87</v>
      </c>
      <c r="N3533" s="1">
        <f t="shared" si="499"/>
        <v>54.75</v>
      </c>
      <c r="O3533" s="1">
        <f t="shared" si="500"/>
        <v>53.03</v>
      </c>
      <c r="P3533" s="1">
        <f t="shared" si="501"/>
        <v>27.056122448979593</v>
      </c>
    </row>
    <row r="3534" spans="1:16">
      <c r="A3534" s="2">
        <v>37930</v>
      </c>
      <c r="B3534" s="1">
        <v>56.13</v>
      </c>
      <c r="C3534" s="1">
        <v>56.99</v>
      </c>
      <c r="D3534" s="1">
        <v>56.08</v>
      </c>
      <c r="E3534" s="1">
        <v>56.74</v>
      </c>
      <c r="F3534" s="1">
        <v>5307400</v>
      </c>
      <c r="G3534" s="1">
        <v>56.74</v>
      </c>
      <c r="H3534" s="1">
        <f t="shared" si="495"/>
        <v>0.91000000000000369</v>
      </c>
      <c r="I3534" s="9">
        <f t="shared" si="502"/>
        <v>1.6226818830242577E-2</v>
      </c>
      <c r="J3534" s="1">
        <f t="shared" si="503"/>
        <v>-0.11999999999999744</v>
      </c>
      <c r="K3534" s="9">
        <f t="shared" si="496"/>
        <v>-2.1104467112204968E-3</v>
      </c>
      <c r="L3534" s="1">
        <f t="shared" si="497"/>
        <v>1</v>
      </c>
      <c r="M3534" s="1">
        <f t="shared" si="498"/>
        <v>56.99</v>
      </c>
      <c r="N3534" s="1">
        <f t="shared" si="499"/>
        <v>56.08</v>
      </c>
      <c r="O3534" s="1">
        <f t="shared" si="500"/>
        <v>54.78</v>
      </c>
      <c r="P3534" s="1">
        <f t="shared" si="501"/>
        <v>27.948979591836736</v>
      </c>
    </row>
    <row r="3535" spans="1:16">
      <c r="A3535" s="2">
        <v>37929</v>
      </c>
      <c r="B3535" s="1">
        <v>56.7</v>
      </c>
      <c r="C3535" s="1">
        <v>57.49</v>
      </c>
      <c r="D3535" s="1">
        <v>56.06</v>
      </c>
      <c r="E3535" s="1">
        <v>56.86</v>
      </c>
      <c r="F3535" s="1">
        <v>7009500</v>
      </c>
      <c r="G3535" s="1">
        <v>56.86</v>
      </c>
      <c r="H3535" s="1">
        <f t="shared" si="495"/>
        <v>1.4299999999999997</v>
      </c>
      <c r="I3535" s="9">
        <f t="shared" si="502"/>
        <v>2.5508383874420257E-2</v>
      </c>
      <c r="J3535" s="1">
        <f t="shared" si="503"/>
        <v>0.11999999999999744</v>
      </c>
      <c r="K3535" s="9">
        <f t="shared" si="496"/>
        <v>2.1149101163200111E-3</v>
      </c>
      <c r="L3535" s="1">
        <f t="shared" si="497"/>
        <v>1</v>
      </c>
      <c r="M3535" s="1">
        <f t="shared" si="498"/>
        <v>57.49</v>
      </c>
      <c r="N3535" s="1">
        <f t="shared" si="499"/>
        <v>56.06</v>
      </c>
      <c r="O3535" s="1">
        <f t="shared" si="500"/>
        <v>54.9</v>
      </c>
      <c r="P3535" s="1">
        <f t="shared" si="501"/>
        <v>28.010204081632654</v>
      </c>
    </row>
    <row r="3536" spans="1:16">
      <c r="A3536" s="2">
        <v>37928</v>
      </c>
      <c r="B3536" s="1">
        <v>54.8</v>
      </c>
      <c r="C3536" s="1">
        <v>56.8</v>
      </c>
      <c r="D3536" s="1">
        <v>54.31</v>
      </c>
      <c r="E3536" s="1">
        <v>56.74</v>
      </c>
      <c r="F3536" s="1">
        <v>9131100</v>
      </c>
      <c r="G3536" s="1">
        <v>56.74</v>
      </c>
      <c r="H3536" s="1">
        <f t="shared" si="495"/>
        <v>2.4899999999999949</v>
      </c>
      <c r="I3536" s="9">
        <f t="shared" si="502"/>
        <v>4.5847910145461142E-2</v>
      </c>
      <c r="J3536" s="1">
        <f t="shared" si="503"/>
        <v>2.3100000000000023</v>
      </c>
      <c r="K3536" s="9">
        <f t="shared" si="496"/>
        <v>4.2439830975564988E-2</v>
      </c>
      <c r="L3536" s="1">
        <f t="shared" si="497"/>
        <v>1</v>
      </c>
      <c r="M3536" s="1">
        <f t="shared" si="498"/>
        <v>56.8</v>
      </c>
      <c r="N3536" s="1">
        <f t="shared" si="499"/>
        <v>54.31</v>
      </c>
      <c r="O3536" s="1">
        <f t="shared" si="500"/>
        <v>54.78</v>
      </c>
      <c r="P3536" s="1">
        <f t="shared" si="501"/>
        <v>27.948979591836736</v>
      </c>
    </row>
    <row r="3537" spans="1:16">
      <c r="A3537" s="2">
        <v>37925</v>
      </c>
      <c r="B3537" s="1">
        <v>55.9</v>
      </c>
      <c r="C3537" s="1">
        <v>56.13</v>
      </c>
      <c r="D3537" s="1">
        <v>54.38</v>
      </c>
      <c r="E3537" s="1">
        <v>54.43</v>
      </c>
      <c r="F3537" s="1">
        <v>7726700</v>
      </c>
      <c r="G3537" s="1">
        <v>54.43</v>
      </c>
      <c r="H3537" s="1">
        <f t="shared" si="495"/>
        <v>1.75</v>
      </c>
      <c r="I3537" s="9">
        <f t="shared" si="502"/>
        <v>3.2180948878264067E-2</v>
      </c>
      <c r="J3537" s="1">
        <f t="shared" si="503"/>
        <v>-1.3999999999999986</v>
      </c>
      <c r="K3537" s="9">
        <f t="shared" si="496"/>
        <v>-2.5076123947698346E-2</v>
      </c>
      <c r="L3537" s="1">
        <f t="shared" si="497"/>
        <v>1</v>
      </c>
      <c r="M3537" s="1">
        <f t="shared" si="498"/>
        <v>56.13</v>
      </c>
      <c r="N3537" s="1">
        <f t="shared" si="499"/>
        <v>54.38</v>
      </c>
      <c r="O3537" s="1">
        <f t="shared" si="500"/>
        <v>52.47</v>
      </c>
      <c r="P3537" s="1">
        <f t="shared" si="501"/>
        <v>26.770408163265305</v>
      </c>
    </row>
    <row r="3538" spans="1:16">
      <c r="A3538" s="2">
        <v>37924</v>
      </c>
      <c r="B3538" s="1">
        <v>57.4</v>
      </c>
      <c r="C3538" s="1">
        <v>57.52</v>
      </c>
      <c r="D3538" s="1">
        <v>55.57</v>
      </c>
      <c r="E3538" s="1">
        <v>55.83</v>
      </c>
      <c r="F3538" s="1">
        <v>9825400</v>
      </c>
      <c r="G3538" s="1">
        <v>55.83</v>
      </c>
      <c r="H3538" s="1">
        <f t="shared" si="495"/>
        <v>1.9500000000000028</v>
      </c>
      <c r="I3538" s="9">
        <f t="shared" si="502"/>
        <v>3.5090876372143295E-2</v>
      </c>
      <c r="J3538" s="1">
        <f t="shared" si="503"/>
        <v>-0.85999999999999943</v>
      </c>
      <c r="K3538" s="9">
        <f t="shared" si="496"/>
        <v>-1.5170224025401295E-2</v>
      </c>
      <c r="L3538" s="1">
        <f t="shared" si="497"/>
        <v>1</v>
      </c>
      <c r="M3538" s="1">
        <f t="shared" si="498"/>
        <v>57.52</v>
      </c>
      <c r="N3538" s="1">
        <f t="shared" si="499"/>
        <v>55.57</v>
      </c>
      <c r="O3538" s="1">
        <f t="shared" si="500"/>
        <v>53.87</v>
      </c>
      <c r="P3538" s="1">
        <f t="shared" si="501"/>
        <v>27.48469387755102</v>
      </c>
    </row>
    <row r="3539" spans="1:16">
      <c r="A3539" s="2">
        <v>37923</v>
      </c>
      <c r="B3539" s="1">
        <v>56.65</v>
      </c>
      <c r="C3539" s="1">
        <v>57.15</v>
      </c>
      <c r="D3539" s="1">
        <v>56</v>
      </c>
      <c r="E3539" s="1">
        <v>56.69</v>
      </c>
      <c r="F3539" s="1">
        <v>8776500</v>
      </c>
      <c r="G3539" s="1">
        <v>56.69</v>
      </c>
      <c r="H3539" s="1">
        <f t="shared" si="495"/>
        <v>1.1499999999999986</v>
      </c>
      <c r="I3539" s="9">
        <f t="shared" si="502"/>
        <v>2.0535714285714261E-2</v>
      </c>
      <c r="J3539" s="1">
        <f t="shared" si="503"/>
        <v>-3.9999999999999147E-2</v>
      </c>
      <c r="K3539" s="9">
        <f t="shared" si="496"/>
        <v>-7.0509430636346115E-4</v>
      </c>
      <c r="L3539" s="1">
        <f t="shared" si="497"/>
        <v>1</v>
      </c>
      <c r="M3539" s="1">
        <f t="shared" si="498"/>
        <v>57.15</v>
      </c>
      <c r="N3539" s="1">
        <f t="shared" si="499"/>
        <v>56</v>
      </c>
      <c r="O3539" s="1">
        <f t="shared" si="500"/>
        <v>54.73</v>
      </c>
      <c r="P3539" s="1">
        <f t="shared" si="501"/>
        <v>27.923469387755102</v>
      </c>
    </row>
    <row r="3540" spans="1:16">
      <c r="A3540" s="2">
        <v>37922</v>
      </c>
      <c r="B3540" s="1">
        <v>55.19</v>
      </c>
      <c r="C3540" s="1">
        <v>56.9</v>
      </c>
      <c r="D3540" s="1">
        <v>54.55</v>
      </c>
      <c r="E3540" s="1">
        <v>56.73</v>
      </c>
      <c r="F3540" s="1">
        <v>9230900</v>
      </c>
      <c r="G3540" s="1">
        <v>56.73</v>
      </c>
      <c r="H3540" s="1">
        <f t="shared" si="495"/>
        <v>2.3500000000000014</v>
      </c>
      <c r="I3540" s="9">
        <f t="shared" si="502"/>
        <v>4.3079743354720465E-2</v>
      </c>
      <c r="J3540" s="1">
        <f t="shared" si="503"/>
        <v>1.9099999999999966</v>
      </c>
      <c r="K3540" s="9">
        <f t="shared" si="496"/>
        <v>3.4841298796059766E-2</v>
      </c>
      <c r="L3540" s="1">
        <f t="shared" si="497"/>
        <v>1</v>
      </c>
      <c r="M3540" s="1">
        <f t="shared" si="498"/>
        <v>56.9</v>
      </c>
      <c r="N3540" s="1">
        <f t="shared" si="499"/>
        <v>54.55</v>
      </c>
      <c r="O3540" s="1">
        <f t="shared" si="500"/>
        <v>54.769999999999996</v>
      </c>
      <c r="P3540" s="1">
        <f t="shared" si="501"/>
        <v>27.943877551020407</v>
      </c>
    </row>
    <row r="3541" spans="1:16">
      <c r="A3541" s="2">
        <v>37921</v>
      </c>
      <c r="B3541" s="1">
        <v>54.9</v>
      </c>
      <c r="C3541" s="1">
        <v>55.25</v>
      </c>
      <c r="D3541" s="1">
        <v>54.5</v>
      </c>
      <c r="E3541" s="1">
        <v>54.82</v>
      </c>
      <c r="F3541" s="1">
        <v>6391900</v>
      </c>
      <c r="G3541" s="1">
        <v>54.82</v>
      </c>
      <c r="H3541" s="1">
        <f t="shared" si="495"/>
        <v>0.75</v>
      </c>
      <c r="I3541" s="9">
        <f t="shared" si="502"/>
        <v>1.3761467889908258E-2</v>
      </c>
      <c r="J3541" s="1">
        <f t="shared" si="503"/>
        <v>0.31000000000000227</v>
      </c>
      <c r="K3541" s="9">
        <f t="shared" si="496"/>
        <v>5.687029902770176E-3</v>
      </c>
      <c r="L3541" s="1">
        <f t="shared" si="497"/>
        <v>1</v>
      </c>
      <c r="M3541" s="1">
        <f t="shared" si="498"/>
        <v>55.25</v>
      </c>
      <c r="N3541" s="1">
        <f t="shared" si="499"/>
        <v>54.5</v>
      </c>
      <c r="O3541" s="1">
        <f t="shared" si="500"/>
        <v>52.86</v>
      </c>
      <c r="P3541" s="1">
        <f t="shared" si="501"/>
        <v>26.969387755102041</v>
      </c>
    </row>
    <row r="3542" spans="1:16">
      <c r="A3542" s="2">
        <v>37918</v>
      </c>
      <c r="B3542" s="1">
        <v>54.55</v>
      </c>
      <c r="C3542" s="1">
        <v>54.94</v>
      </c>
      <c r="D3542" s="1">
        <v>53</v>
      </c>
      <c r="E3542" s="1">
        <v>54.51</v>
      </c>
      <c r="F3542" s="1">
        <v>10438200</v>
      </c>
      <c r="G3542" s="1">
        <v>54.51</v>
      </c>
      <c r="H3542" s="1">
        <f t="shared" si="495"/>
        <v>1.9399999999999977</v>
      </c>
      <c r="I3542" s="9">
        <f t="shared" si="502"/>
        <v>3.6603773584905616E-2</v>
      </c>
      <c r="J3542" s="1">
        <f t="shared" si="503"/>
        <v>0.18999999999999773</v>
      </c>
      <c r="K3542" s="9">
        <f t="shared" si="496"/>
        <v>3.4977908689248476E-3</v>
      </c>
      <c r="L3542" s="1">
        <f t="shared" si="497"/>
        <v>1</v>
      </c>
      <c r="M3542" s="1">
        <f t="shared" si="498"/>
        <v>54.94</v>
      </c>
      <c r="N3542" s="1">
        <f t="shared" si="499"/>
        <v>53</v>
      </c>
      <c r="O3542" s="1">
        <f t="shared" si="500"/>
        <v>52.55</v>
      </c>
      <c r="P3542" s="1">
        <f t="shared" si="501"/>
        <v>26.811224489795919</v>
      </c>
    </row>
    <row r="3543" spans="1:16">
      <c r="A3543" s="2">
        <v>37917</v>
      </c>
      <c r="B3543" s="1">
        <v>52.98</v>
      </c>
      <c r="C3543" s="1">
        <v>54.52</v>
      </c>
      <c r="D3543" s="1">
        <v>52.91</v>
      </c>
      <c r="E3543" s="1">
        <v>54.32</v>
      </c>
      <c r="F3543" s="1">
        <v>14611700</v>
      </c>
      <c r="G3543" s="1">
        <v>54.32</v>
      </c>
      <c r="H3543" s="1">
        <f t="shared" si="495"/>
        <v>1.6100000000000065</v>
      </c>
      <c r="I3543" s="9">
        <f t="shared" si="502"/>
        <v>3.0429030429030553E-2</v>
      </c>
      <c r="J3543" s="1">
        <f t="shared" si="503"/>
        <v>0.28999999999999915</v>
      </c>
      <c r="K3543" s="9">
        <f t="shared" si="496"/>
        <v>5.3673884878770893E-3</v>
      </c>
      <c r="L3543" s="1">
        <f t="shared" si="497"/>
        <v>1</v>
      </c>
      <c r="M3543" s="1">
        <f t="shared" si="498"/>
        <v>54.52</v>
      </c>
      <c r="N3543" s="1">
        <f t="shared" si="499"/>
        <v>52.91</v>
      </c>
      <c r="O3543" s="1">
        <f t="shared" si="500"/>
        <v>52.36</v>
      </c>
      <c r="P3543" s="1">
        <f t="shared" si="501"/>
        <v>26.714285714285715</v>
      </c>
    </row>
    <row r="3544" spans="1:16">
      <c r="A3544" s="2">
        <v>37916</v>
      </c>
      <c r="B3544" s="1">
        <v>56.05</v>
      </c>
      <c r="C3544" s="1">
        <v>56.15</v>
      </c>
      <c r="D3544" s="1">
        <v>53.73</v>
      </c>
      <c r="E3544" s="1">
        <v>54.03</v>
      </c>
      <c r="F3544" s="1">
        <v>32701900</v>
      </c>
      <c r="G3544" s="1">
        <v>54.03</v>
      </c>
      <c r="H3544" s="1">
        <f t="shared" si="495"/>
        <v>2.4200000000000017</v>
      </c>
      <c r="I3544" s="9">
        <f t="shared" si="502"/>
        <v>4.5040014889261154E-2</v>
      </c>
      <c r="J3544" s="1">
        <f t="shared" si="503"/>
        <v>-5.32</v>
      </c>
      <c r="K3544" s="9">
        <f t="shared" si="496"/>
        <v>-8.9637742207245158E-2</v>
      </c>
      <c r="L3544" s="1">
        <f t="shared" si="497"/>
        <v>1</v>
      </c>
      <c r="M3544" s="1">
        <f t="shared" si="498"/>
        <v>56.15</v>
      </c>
      <c r="N3544" s="1">
        <f t="shared" si="499"/>
        <v>53.73</v>
      </c>
      <c r="O3544" s="1">
        <f t="shared" si="500"/>
        <v>52.07</v>
      </c>
      <c r="P3544" s="1">
        <f t="shared" si="501"/>
        <v>26.566326530612244</v>
      </c>
    </row>
    <row r="3545" spans="1:16">
      <c r="A3545" s="2">
        <v>37915</v>
      </c>
      <c r="B3545" s="1">
        <v>59.73</v>
      </c>
      <c r="C3545" s="1">
        <v>61.15</v>
      </c>
      <c r="D3545" s="1">
        <v>59.01</v>
      </c>
      <c r="E3545" s="1">
        <v>59.35</v>
      </c>
      <c r="F3545" s="1">
        <v>17114900</v>
      </c>
      <c r="G3545" s="1">
        <v>59.35</v>
      </c>
      <c r="H3545" s="1">
        <f t="shared" si="495"/>
        <v>2.1400000000000006</v>
      </c>
      <c r="I3545" s="9">
        <f t="shared" si="502"/>
        <v>3.6265039823758699E-2</v>
      </c>
      <c r="J3545" s="1">
        <f t="shared" si="503"/>
        <v>-0.24000000000000199</v>
      </c>
      <c r="K3545" s="9">
        <f t="shared" si="496"/>
        <v>-4.0275213962074506E-3</v>
      </c>
      <c r="L3545" s="1">
        <f t="shared" si="497"/>
        <v>1</v>
      </c>
      <c r="M3545" s="1">
        <f t="shared" si="498"/>
        <v>61.15</v>
      </c>
      <c r="N3545" s="1">
        <f t="shared" si="499"/>
        <v>59.01</v>
      </c>
      <c r="O3545" s="1">
        <f t="shared" si="500"/>
        <v>57.39</v>
      </c>
      <c r="P3545" s="1">
        <f t="shared" si="501"/>
        <v>29.280612244897959</v>
      </c>
    </row>
    <row r="3546" spans="1:16">
      <c r="A3546" s="2">
        <v>37914</v>
      </c>
      <c r="B3546" s="1">
        <v>59.56</v>
      </c>
      <c r="C3546" s="1">
        <v>60.24</v>
      </c>
      <c r="D3546" s="1">
        <v>58.92</v>
      </c>
      <c r="E3546" s="1">
        <v>59.59</v>
      </c>
      <c r="F3546" s="1">
        <v>11086100</v>
      </c>
      <c r="G3546" s="1">
        <v>59.59</v>
      </c>
      <c r="H3546" s="1">
        <f t="shared" si="495"/>
        <v>1.3200000000000003</v>
      </c>
      <c r="I3546" s="9">
        <f t="shared" si="502"/>
        <v>2.2403258655804486E-2</v>
      </c>
      <c r="J3546" s="1">
        <f t="shared" si="503"/>
        <v>-9.9999999999994316E-2</v>
      </c>
      <c r="K3546" s="9">
        <f t="shared" si="496"/>
        <v>-1.6753224995810741E-3</v>
      </c>
      <c r="L3546" s="1">
        <f t="shared" si="497"/>
        <v>1</v>
      </c>
      <c r="M3546" s="1">
        <f t="shared" si="498"/>
        <v>60.24</v>
      </c>
      <c r="N3546" s="1">
        <f t="shared" si="499"/>
        <v>58.92</v>
      </c>
      <c r="O3546" s="1">
        <f t="shared" si="500"/>
        <v>57.63</v>
      </c>
      <c r="P3546" s="1">
        <f t="shared" si="501"/>
        <v>29.403061224489797</v>
      </c>
    </row>
    <row r="3547" spans="1:16">
      <c r="A3547" s="2">
        <v>37911</v>
      </c>
      <c r="B3547" s="1">
        <v>59.3</v>
      </c>
      <c r="C3547" s="1">
        <v>59.9</v>
      </c>
      <c r="D3547" s="1">
        <v>58.65</v>
      </c>
      <c r="E3547" s="1">
        <v>59.69</v>
      </c>
      <c r="F3547" s="1">
        <v>11932900</v>
      </c>
      <c r="G3547" s="1">
        <v>59.69</v>
      </c>
      <c r="H3547" s="1">
        <f t="shared" si="495"/>
        <v>1.25</v>
      </c>
      <c r="I3547" s="9">
        <f t="shared" si="502"/>
        <v>2.1312872975277068E-2</v>
      </c>
      <c r="J3547" s="1">
        <f t="shared" si="503"/>
        <v>-0.21999999999999886</v>
      </c>
      <c r="K3547" s="9">
        <f t="shared" si="496"/>
        <v>-3.6721749290602383E-3</v>
      </c>
      <c r="L3547" s="1">
        <f t="shared" si="497"/>
        <v>1</v>
      </c>
      <c r="M3547" s="1">
        <f t="shared" si="498"/>
        <v>59.9</v>
      </c>
      <c r="N3547" s="1">
        <f t="shared" si="499"/>
        <v>58.65</v>
      </c>
      <c r="O3547" s="1">
        <f t="shared" si="500"/>
        <v>57.73</v>
      </c>
      <c r="P3547" s="1">
        <f t="shared" si="501"/>
        <v>29.454081632653061</v>
      </c>
    </row>
    <row r="3548" spans="1:16">
      <c r="A3548" s="2">
        <v>37910</v>
      </c>
      <c r="B3548" s="1">
        <v>58.16</v>
      </c>
      <c r="C3548" s="1">
        <v>59.91</v>
      </c>
      <c r="D3548" s="1">
        <v>58.09</v>
      </c>
      <c r="E3548" s="1">
        <v>59.91</v>
      </c>
      <c r="F3548" s="1">
        <v>10211100</v>
      </c>
      <c r="G3548" s="1">
        <v>59.91</v>
      </c>
      <c r="H3548" s="1">
        <f t="shared" si="495"/>
        <v>1.8199999999999932</v>
      </c>
      <c r="I3548" s="9">
        <f t="shared" si="502"/>
        <v>3.1330693751075799E-2</v>
      </c>
      <c r="J3548" s="1">
        <f t="shared" si="503"/>
        <v>1.3599999999999994</v>
      </c>
      <c r="K3548" s="9">
        <f t="shared" si="496"/>
        <v>2.322801024765157E-2</v>
      </c>
      <c r="L3548" s="1">
        <f t="shared" si="497"/>
        <v>1</v>
      </c>
      <c r="M3548" s="1">
        <f t="shared" si="498"/>
        <v>59.91</v>
      </c>
      <c r="N3548" s="1">
        <f t="shared" si="499"/>
        <v>58.09</v>
      </c>
      <c r="O3548" s="1">
        <f t="shared" si="500"/>
        <v>57.949999999999996</v>
      </c>
      <c r="P3548" s="1">
        <f t="shared" si="501"/>
        <v>29.566326530612244</v>
      </c>
    </row>
    <row r="3549" spans="1:16">
      <c r="A3549" s="2">
        <v>37909</v>
      </c>
      <c r="B3549" s="1">
        <v>60.39</v>
      </c>
      <c r="C3549" s="1">
        <v>60.41</v>
      </c>
      <c r="D3549" s="1">
        <v>58.43</v>
      </c>
      <c r="E3549" s="1">
        <v>58.55</v>
      </c>
      <c r="F3549" s="1">
        <v>10228900</v>
      </c>
      <c r="G3549" s="1">
        <v>58.55</v>
      </c>
      <c r="H3549" s="1">
        <f t="shared" si="495"/>
        <v>1.9799999999999969</v>
      </c>
      <c r="I3549" s="9">
        <f t="shared" si="502"/>
        <v>3.3886702036624965E-2</v>
      </c>
      <c r="J3549" s="1">
        <f t="shared" si="503"/>
        <v>-1.3599999999999994</v>
      </c>
      <c r="K3549" s="9">
        <f t="shared" si="496"/>
        <v>-2.2700717743281581E-2</v>
      </c>
      <c r="L3549" s="1">
        <f t="shared" si="497"/>
        <v>1</v>
      </c>
      <c r="M3549" s="1">
        <f t="shared" si="498"/>
        <v>60.41</v>
      </c>
      <c r="N3549" s="1">
        <f t="shared" si="499"/>
        <v>58.43</v>
      </c>
      <c r="O3549" s="1">
        <f t="shared" si="500"/>
        <v>56.589999999999996</v>
      </c>
      <c r="P3549" s="1">
        <f t="shared" si="501"/>
        <v>28.872448979591834</v>
      </c>
    </row>
    <row r="3550" spans="1:16">
      <c r="A3550" s="2">
        <v>37908</v>
      </c>
      <c r="B3550" s="1">
        <v>58.1</v>
      </c>
      <c r="C3550" s="1">
        <v>59.98</v>
      </c>
      <c r="D3550" s="1">
        <v>57.8</v>
      </c>
      <c r="E3550" s="1">
        <v>59.91</v>
      </c>
      <c r="F3550" s="1">
        <v>9986600</v>
      </c>
      <c r="G3550" s="1">
        <v>59.91</v>
      </c>
      <c r="H3550" s="1">
        <f t="shared" si="495"/>
        <v>2.1799999999999997</v>
      </c>
      <c r="I3550" s="9">
        <f t="shared" si="502"/>
        <v>3.7716262975778542E-2</v>
      </c>
      <c r="J3550" s="1">
        <f t="shared" si="503"/>
        <v>1.6099999999999994</v>
      </c>
      <c r="K3550" s="9">
        <f t="shared" si="496"/>
        <v>2.7615780445969115E-2</v>
      </c>
      <c r="L3550" s="1">
        <f t="shared" si="497"/>
        <v>1</v>
      </c>
      <c r="M3550" s="1">
        <f t="shared" si="498"/>
        <v>59.98</v>
      </c>
      <c r="N3550" s="1">
        <f t="shared" si="499"/>
        <v>57.8</v>
      </c>
      <c r="O3550" s="1">
        <f t="shared" si="500"/>
        <v>57.949999999999996</v>
      </c>
      <c r="P3550" s="1">
        <f t="shared" si="501"/>
        <v>29.566326530612244</v>
      </c>
    </row>
    <row r="3551" spans="1:16">
      <c r="A3551" s="2">
        <v>37907</v>
      </c>
      <c r="B3551" s="1">
        <v>57.94</v>
      </c>
      <c r="C3551" s="1">
        <v>58.69</v>
      </c>
      <c r="D3551" s="1">
        <v>57.44</v>
      </c>
      <c r="E3551" s="1">
        <v>58.3</v>
      </c>
      <c r="F3551" s="1">
        <v>8329000</v>
      </c>
      <c r="G3551" s="1">
        <v>58.3</v>
      </c>
      <c r="H3551" s="1">
        <f t="shared" si="495"/>
        <v>1.25</v>
      </c>
      <c r="I3551" s="9">
        <f t="shared" si="502"/>
        <v>2.1761838440111422E-2</v>
      </c>
      <c r="J3551" s="1">
        <f t="shared" si="503"/>
        <v>0.23999999999999488</v>
      </c>
      <c r="K3551" s="9">
        <f t="shared" si="496"/>
        <v>4.1336548398207863E-3</v>
      </c>
      <c r="L3551" s="1">
        <f t="shared" si="497"/>
        <v>1</v>
      </c>
      <c r="M3551" s="1">
        <f t="shared" si="498"/>
        <v>58.69</v>
      </c>
      <c r="N3551" s="1">
        <f t="shared" si="499"/>
        <v>57.44</v>
      </c>
      <c r="O3551" s="1">
        <f t="shared" si="500"/>
        <v>56.339999999999996</v>
      </c>
      <c r="P3551" s="1">
        <f t="shared" si="501"/>
        <v>28.744897959183671</v>
      </c>
    </row>
    <row r="3552" spans="1:16">
      <c r="A3552" s="2">
        <v>37904</v>
      </c>
      <c r="B3552" s="1">
        <v>57.7</v>
      </c>
      <c r="C3552" s="1">
        <v>58.33</v>
      </c>
      <c r="D3552" s="1">
        <v>57.44</v>
      </c>
      <c r="E3552" s="1">
        <v>58.06</v>
      </c>
      <c r="F3552" s="1">
        <v>11435400</v>
      </c>
      <c r="G3552" s="1">
        <v>58.06</v>
      </c>
      <c r="H3552" s="1">
        <f t="shared" si="495"/>
        <v>0.89000000000000057</v>
      </c>
      <c r="I3552" s="9">
        <f t="shared" si="502"/>
        <v>1.5494428969359342E-2</v>
      </c>
      <c r="J3552" s="1">
        <f t="shared" si="503"/>
        <v>0.20000000000000284</v>
      </c>
      <c r="K3552" s="9">
        <f t="shared" si="496"/>
        <v>3.4566194262012242E-3</v>
      </c>
      <c r="L3552" s="1">
        <f t="shared" si="497"/>
        <v>1</v>
      </c>
      <c r="M3552" s="1">
        <f t="shared" si="498"/>
        <v>58.33</v>
      </c>
      <c r="N3552" s="1">
        <f t="shared" si="499"/>
        <v>57.44</v>
      </c>
      <c r="O3552" s="1">
        <f t="shared" si="500"/>
        <v>56.1</v>
      </c>
      <c r="P3552" s="1">
        <f t="shared" si="501"/>
        <v>28.622448979591837</v>
      </c>
    </row>
    <row r="3553" spans="1:16">
      <c r="A3553" s="2">
        <v>37903</v>
      </c>
      <c r="B3553" s="1">
        <v>57.41</v>
      </c>
      <c r="C3553" s="1">
        <v>59.1</v>
      </c>
      <c r="D3553" s="1">
        <v>57.4</v>
      </c>
      <c r="E3553" s="1">
        <v>57.86</v>
      </c>
      <c r="F3553" s="1">
        <v>21606900</v>
      </c>
      <c r="G3553" s="1">
        <v>57.86</v>
      </c>
      <c r="H3553" s="1">
        <f t="shared" si="495"/>
        <v>1.7000000000000028</v>
      </c>
      <c r="I3553" s="9">
        <f t="shared" si="502"/>
        <v>2.961672473867601E-2</v>
      </c>
      <c r="J3553" s="1">
        <f t="shared" si="503"/>
        <v>2.1599999999999966</v>
      </c>
      <c r="K3553" s="9">
        <f t="shared" si="496"/>
        <v>3.8779174147217169E-2</v>
      </c>
      <c r="L3553" s="1">
        <f t="shared" si="497"/>
        <v>1</v>
      </c>
      <c r="M3553" s="1">
        <f t="shared" si="498"/>
        <v>59.1</v>
      </c>
      <c r="N3553" s="1">
        <f t="shared" si="499"/>
        <v>57.4</v>
      </c>
      <c r="O3553" s="1">
        <f t="shared" si="500"/>
        <v>55.9</v>
      </c>
      <c r="P3553" s="1">
        <f t="shared" si="501"/>
        <v>28.520408163265305</v>
      </c>
    </row>
    <row r="3554" spans="1:16">
      <c r="A3554" s="2">
        <v>37902</v>
      </c>
      <c r="B3554" s="1">
        <v>55.44</v>
      </c>
      <c r="C3554" s="1">
        <v>56.28</v>
      </c>
      <c r="D3554" s="1">
        <v>55.12</v>
      </c>
      <c r="E3554" s="1">
        <v>55.7</v>
      </c>
      <c r="F3554" s="1">
        <v>13558000</v>
      </c>
      <c r="G3554" s="1">
        <v>55.7</v>
      </c>
      <c r="H3554" s="1">
        <f t="shared" si="495"/>
        <v>1.1600000000000037</v>
      </c>
      <c r="I3554" s="9">
        <f t="shared" si="502"/>
        <v>2.104499274310602E-2</v>
      </c>
      <c r="J3554" s="1">
        <f t="shared" si="503"/>
        <v>0.79000000000000625</v>
      </c>
      <c r="K3554" s="9">
        <f t="shared" si="496"/>
        <v>1.4387179020215012E-2</v>
      </c>
      <c r="L3554" s="1">
        <f t="shared" si="497"/>
        <v>1</v>
      </c>
      <c r="M3554" s="1">
        <f t="shared" si="498"/>
        <v>56.28</v>
      </c>
      <c r="N3554" s="1">
        <f t="shared" si="499"/>
        <v>55.12</v>
      </c>
      <c r="O3554" s="1">
        <f t="shared" si="500"/>
        <v>53.74</v>
      </c>
      <c r="P3554" s="1">
        <f t="shared" si="501"/>
        <v>27.418367346938776</v>
      </c>
    </row>
    <row r="3555" spans="1:16">
      <c r="A3555" s="2">
        <v>37901</v>
      </c>
      <c r="B3555" s="1">
        <v>54</v>
      </c>
      <c r="C3555" s="1">
        <v>56.25</v>
      </c>
      <c r="D3555" s="1">
        <v>53.95</v>
      </c>
      <c r="E3555" s="1">
        <v>54.91</v>
      </c>
      <c r="F3555" s="1">
        <v>20299900</v>
      </c>
      <c r="G3555" s="1">
        <v>54.91</v>
      </c>
      <c r="H3555" s="1">
        <f t="shared" si="495"/>
        <v>2.2999999999999972</v>
      </c>
      <c r="I3555" s="9">
        <f t="shared" si="502"/>
        <v>4.2632066728452218E-2</v>
      </c>
      <c r="J3555" s="1">
        <f t="shared" si="503"/>
        <v>0.75999999999999801</v>
      </c>
      <c r="K3555" s="9">
        <f t="shared" si="496"/>
        <v>1.4035087719298209E-2</v>
      </c>
      <c r="L3555" s="1">
        <f t="shared" si="497"/>
        <v>1</v>
      </c>
      <c r="M3555" s="1">
        <f t="shared" si="498"/>
        <v>56.25</v>
      </c>
      <c r="N3555" s="1">
        <f t="shared" si="499"/>
        <v>53.95</v>
      </c>
      <c r="O3555" s="1">
        <f t="shared" si="500"/>
        <v>52.949999999999996</v>
      </c>
      <c r="P3555" s="1">
        <f t="shared" si="501"/>
        <v>27.01530612244898</v>
      </c>
    </row>
    <row r="3556" spans="1:16">
      <c r="A3556" s="2">
        <v>37900</v>
      </c>
      <c r="B3556" s="1">
        <v>52.89</v>
      </c>
      <c r="C3556" s="1">
        <v>54.24</v>
      </c>
      <c r="D3556" s="1">
        <v>52.59</v>
      </c>
      <c r="E3556" s="1">
        <v>54.15</v>
      </c>
      <c r="F3556" s="1">
        <v>7773100</v>
      </c>
      <c r="G3556" s="1">
        <v>54.15</v>
      </c>
      <c r="H3556" s="1">
        <f t="shared" si="495"/>
        <v>1.6499999999999986</v>
      </c>
      <c r="I3556" s="9">
        <f t="shared" si="502"/>
        <v>3.1374786081003962E-2</v>
      </c>
      <c r="J3556" s="1">
        <f t="shared" si="503"/>
        <v>1.259999999999998</v>
      </c>
      <c r="K3556" s="9">
        <f t="shared" si="496"/>
        <v>2.382302892796366E-2</v>
      </c>
      <c r="L3556" s="1">
        <f t="shared" si="497"/>
        <v>1</v>
      </c>
      <c r="M3556" s="1">
        <f t="shared" si="498"/>
        <v>54.24</v>
      </c>
      <c r="N3556" s="1">
        <f t="shared" si="499"/>
        <v>52.59</v>
      </c>
      <c r="O3556" s="1">
        <f t="shared" si="500"/>
        <v>52.19</v>
      </c>
      <c r="P3556" s="1">
        <f t="shared" si="501"/>
        <v>26.627551020408163</v>
      </c>
    </row>
    <row r="3557" spans="1:16">
      <c r="A3557" s="2">
        <v>37897</v>
      </c>
      <c r="B3557" s="1">
        <v>51.13</v>
      </c>
      <c r="C3557" s="1">
        <v>53.22</v>
      </c>
      <c r="D3557" s="1">
        <v>51.03</v>
      </c>
      <c r="E3557" s="1">
        <v>52.89</v>
      </c>
      <c r="F3557" s="1">
        <v>14175600</v>
      </c>
      <c r="G3557" s="1">
        <v>52.89</v>
      </c>
      <c r="H3557" s="1">
        <f t="shared" si="495"/>
        <v>2.1899999999999977</v>
      </c>
      <c r="I3557" s="9">
        <f t="shared" si="502"/>
        <v>4.2915931804820645E-2</v>
      </c>
      <c r="J3557" s="1">
        <f t="shared" si="503"/>
        <v>2.7999999999999972</v>
      </c>
      <c r="K3557" s="9">
        <f t="shared" si="496"/>
        <v>5.5899381113994749E-2</v>
      </c>
      <c r="L3557" s="1">
        <f t="shared" si="497"/>
        <v>1</v>
      </c>
      <c r="M3557" s="1">
        <f t="shared" si="498"/>
        <v>53.22</v>
      </c>
      <c r="N3557" s="1">
        <f t="shared" si="499"/>
        <v>51.03</v>
      </c>
      <c r="O3557" s="1">
        <f t="shared" si="500"/>
        <v>50.93</v>
      </c>
      <c r="P3557" s="1">
        <f t="shared" si="501"/>
        <v>25.98469387755102</v>
      </c>
    </row>
    <row r="3558" spans="1:16">
      <c r="A3558" s="2">
        <v>37896</v>
      </c>
      <c r="B3558" s="1">
        <v>48.94</v>
      </c>
      <c r="C3558" s="1">
        <v>50.2</v>
      </c>
      <c r="D3558" s="1">
        <v>48.68</v>
      </c>
      <c r="E3558" s="1">
        <v>50.09</v>
      </c>
      <c r="F3558" s="1">
        <v>8219900</v>
      </c>
      <c r="G3558" s="1">
        <v>50.09</v>
      </c>
      <c r="H3558" s="1">
        <f t="shared" si="495"/>
        <v>1.5200000000000031</v>
      </c>
      <c r="I3558" s="9">
        <f t="shared" si="502"/>
        <v>3.1224322103533344E-2</v>
      </c>
      <c r="J3558" s="1">
        <f t="shared" si="503"/>
        <v>0.97000000000000597</v>
      </c>
      <c r="K3558" s="9">
        <f t="shared" si="496"/>
        <v>1.9747557003257452E-2</v>
      </c>
      <c r="L3558" s="1">
        <f t="shared" si="497"/>
        <v>1</v>
      </c>
      <c r="M3558" s="1">
        <f t="shared" si="498"/>
        <v>50.2</v>
      </c>
      <c r="N3558" s="1">
        <f t="shared" si="499"/>
        <v>48.68</v>
      </c>
      <c r="O3558" s="1">
        <f t="shared" si="500"/>
        <v>48.13</v>
      </c>
      <c r="P3558" s="1">
        <f t="shared" si="501"/>
        <v>24.556122448979593</v>
      </c>
    </row>
    <row r="3559" spans="1:16">
      <c r="A3559" s="2">
        <v>37895</v>
      </c>
      <c r="B3559" s="1">
        <v>48.37</v>
      </c>
      <c r="C3559" s="1">
        <v>49.28</v>
      </c>
      <c r="D3559" s="1">
        <v>47.51</v>
      </c>
      <c r="E3559" s="1">
        <v>49.12</v>
      </c>
      <c r="F3559" s="1">
        <v>12563800</v>
      </c>
      <c r="G3559" s="1">
        <v>49.12</v>
      </c>
      <c r="H3559" s="1">
        <f t="shared" si="495"/>
        <v>1.7700000000000031</v>
      </c>
      <c r="I3559" s="9">
        <f t="shared" si="502"/>
        <v>3.7255314670595729E-2</v>
      </c>
      <c r="J3559" s="1">
        <f t="shared" si="503"/>
        <v>0.68999999999999773</v>
      </c>
      <c r="K3559" s="9">
        <f t="shared" si="496"/>
        <v>1.4247367334296877E-2</v>
      </c>
      <c r="L3559" s="1">
        <f t="shared" si="497"/>
        <v>1</v>
      </c>
      <c r="M3559" s="1">
        <f t="shared" si="498"/>
        <v>49.28</v>
      </c>
      <c r="N3559" s="1">
        <f t="shared" si="499"/>
        <v>47.51</v>
      </c>
      <c r="O3559" s="1">
        <f t="shared" si="500"/>
        <v>47.16</v>
      </c>
      <c r="P3559" s="1">
        <f t="shared" si="501"/>
        <v>24.061224489795919</v>
      </c>
    </row>
    <row r="3560" spans="1:16">
      <c r="A3560" s="2">
        <v>37894</v>
      </c>
      <c r="B3560" s="1">
        <v>49.65</v>
      </c>
      <c r="C3560" s="1">
        <v>49.76</v>
      </c>
      <c r="D3560" s="1">
        <v>48.35</v>
      </c>
      <c r="E3560" s="1">
        <v>48.43</v>
      </c>
      <c r="F3560" s="1">
        <v>9264600</v>
      </c>
      <c r="G3560" s="1">
        <v>48.43</v>
      </c>
      <c r="H3560" s="1">
        <f t="shared" si="495"/>
        <v>1.4099999999999966</v>
      </c>
      <c r="I3560" s="9">
        <f t="shared" si="502"/>
        <v>2.9162357807652462E-2</v>
      </c>
      <c r="J3560" s="1">
        <f t="shared" si="503"/>
        <v>-1.4299999999999997</v>
      </c>
      <c r="K3560" s="9">
        <f t="shared" si="496"/>
        <v>-2.8680304853590046E-2</v>
      </c>
      <c r="L3560" s="1">
        <f t="shared" si="497"/>
        <v>1</v>
      </c>
      <c r="M3560" s="1">
        <f t="shared" si="498"/>
        <v>49.76</v>
      </c>
      <c r="N3560" s="1">
        <f t="shared" si="499"/>
        <v>48.35</v>
      </c>
      <c r="O3560" s="1">
        <f t="shared" si="500"/>
        <v>46.47</v>
      </c>
      <c r="P3560" s="1">
        <f t="shared" si="501"/>
        <v>23.709183673469386</v>
      </c>
    </row>
    <row r="3561" spans="1:16">
      <c r="A3561" s="2">
        <v>37893</v>
      </c>
      <c r="B3561" s="1">
        <v>48.88</v>
      </c>
      <c r="C3561" s="1">
        <v>49.97</v>
      </c>
      <c r="D3561" s="1">
        <v>48.4</v>
      </c>
      <c r="E3561" s="1">
        <v>49.86</v>
      </c>
      <c r="F3561" s="1">
        <v>9039300</v>
      </c>
      <c r="G3561" s="1">
        <v>49.86</v>
      </c>
      <c r="H3561" s="1">
        <f t="shared" si="495"/>
        <v>1.5700000000000003</v>
      </c>
      <c r="I3561" s="9">
        <f t="shared" si="502"/>
        <v>3.2438016528925626E-2</v>
      </c>
      <c r="J3561" s="1">
        <f t="shared" si="503"/>
        <v>1.2999999999999972</v>
      </c>
      <c r="K3561" s="9">
        <f t="shared" si="496"/>
        <v>2.6771004942339315E-2</v>
      </c>
      <c r="L3561" s="1">
        <f t="shared" si="497"/>
        <v>1</v>
      </c>
      <c r="M3561" s="1">
        <f t="shared" si="498"/>
        <v>49.97</v>
      </c>
      <c r="N3561" s="1">
        <f t="shared" si="499"/>
        <v>48.4</v>
      </c>
      <c r="O3561" s="1">
        <f t="shared" si="500"/>
        <v>47.9</v>
      </c>
      <c r="P3561" s="1">
        <f t="shared" si="501"/>
        <v>24.438775510204081</v>
      </c>
    </row>
    <row r="3562" spans="1:16">
      <c r="A3562" s="2">
        <v>37890</v>
      </c>
      <c r="B3562" s="1">
        <v>49.9</v>
      </c>
      <c r="C3562" s="1">
        <v>50.46</v>
      </c>
      <c r="D3562" s="1">
        <v>48.3</v>
      </c>
      <c r="E3562" s="1">
        <v>48.56</v>
      </c>
      <c r="F3562" s="1">
        <v>13438500</v>
      </c>
      <c r="G3562" s="1">
        <v>48.56</v>
      </c>
      <c r="H3562" s="1">
        <f t="shared" si="495"/>
        <v>2.1600000000000037</v>
      </c>
      <c r="I3562" s="9">
        <f t="shared" si="502"/>
        <v>4.4720496894410017E-2</v>
      </c>
      <c r="J3562" s="1">
        <f t="shared" si="503"/>
        <v>-1.4899999999999949</v>
      </c>
      <c r="K3562" s="9">
        <f t="shared" si="496"/>
        <v>-2.977022977022967E-2</v>
      </c>
      <c r="L3562" s="1">
        <f t="shared" si="497"/>
        <v>1</v>
      </c>
      <c r="M3562" s="1">
        <f t="shared" si="498"/>
        <v>50.46</v>
      </c>
      <c r="N3562" s="1">
        <f t="shared" si="499"/>
        <v>48.3</v>
      </c>
      <c r="O3562" s="1">
        <f t="shared" si="500"/>
        <v>46.6</v>
      </c>
      <c r="P3562" s="1">
        <f t="shared" si="501"/>
        <v>23.775510204081634</v>
      </c>
    </row>
    <row r="3563" spans="1:16">
      <c r="A3563" s="2">
        <v>37889</v>
      </c>
      <c r="B3563" s="1">
        <v>49.66</v>
      </c>
      <c r="C3563" s="1">
        <v>50.95</v>
      </c>
      <c r="D3563" s="1">
        <v>49.28</v>
      </c>
      <c r="E3563" s="1">
        <v>50.05</v>
      </c>
      <c r="F3563" s="1">
        <v>11033300</v>
      </c>
      <c r="G3563" s="1">
        <v>50.05</v>
      </c>
      <c r="H3563" s="1">
        <f t="shared" si="495"/>
        <v>1.6700000000000017</v>
      </c>
      <c r="I3563" s="9">
        <f t="shared" si="502"/>
        <v>3.3887987012987043E-2</v>
      </c>
      <c r="J3563" s="1">
        <f t="shared" si="503"/>
        <v>0.43999999999999773</v>
      </c>
      <c r="K3563" s="9">
        <f t="shared" si="496"/>
        <v>8.8691796008868728E-3</v>
      </c>
      <c r="L3563" s="1">
        <f t="shared" si="497"/>
        <v>1</v>
      </c>
      <c r="M3563" s="1">
        <f t="shared" si="498"/>
        <v>50.95</v>
      </c>
      <c r="N3563" s="1">
        <f t="shared" si="499"/>
        <v>49.28</v>
      </c>
      <c r="O3563" s="1">
        <f t="shared" si="500"/>
        <v>48.089999999999996</v>
      </c>
      <c r="P3563" s="1">
        <f t="shared" si="501"/>
        <v>24.535714285714285</v>
      </c>
    </row>
    <row r="3564" spans="1:16">
      <c r="A3564" s="2">
        <v>37888</v>
      </c>
      <c r="B3564" s="1">
        <v>50.35</v>
      </c>
      <c r="C3564" s="1">
        <v>51.3</v>
      </c>
      <c r="D3564" s="1">
        <v>49.6</v>
      </c>
      <c r="E3564" s="1">
        <v>49.61</v>
      </c>
      <c r="F3564" s="1">
        <v>15330200</v>
      </c>
      <c r="G3564" s="1">
        <v>49.61</v>
      </c>
      <c r="H3564" s="1">
        <f t="shared" si="495"/>
        <v>1.6999999999999957</v>
      </c>
      <c r="I3564" s="9">
        <f t="shared" si="502"/>
        <v>3.4274193548387011E-2</v>
      </c>
      <c r="J3564" s="1">
        <f t="shared" si="503"/>
        <v>-0.82999999999999829</v>
      </c>
      <c r="K3564" s="9">
        <f t="shared" si="496"/>
        <v>-1.6455194290245802E-2</v>
      </c>
      <c r="L3564" s="1">
        <f t="shared" si="497"/>
        <v>1</v>
      </c>
      <c r="M3564" s="1">
        <f t="shared" si="498"/>
        <v>51.3</v>
      </c>
      <c r="N3564" s="1">
        <f t="shared" si="499"/>
        <v>49.6</v>
      </c>
      <c r="O3564" s="1">
        <f t="shared" si="500"/>
        <v>47.65</v>
      </c>
      <c r="P3564" s="1">
        <f t="shared" si="501"/>
        <v>24.311224489795919</v>
      </c>
    </row>
    <row r="3565" spans="1:16">
      <c r="A3565" s="2">
        <v>37887</v>
      </c>
      <c r="B3565" s="1">
        <v>47.41</v>
      </c>
      <c r="C3565" s="1">
        <v>50.92</v>
      </c>
      <c r="D3565" s="1">
        <v>47.35</v>
      </c>
      <c r="E3565" s="1">
        <v>50.44</v>
      </c>
      <c r="F3565" s="1">
        <v>20295900</v>
      </c>
      <c r="G3565" s="1">
        <v>50.44</v>
      </c>
      <c r="H3565" s="1">
        <f t="shared" si="495"/>
        <v>3.5700000000000003</v>
      </c>
      <c r="I3565" s="9">
        <f t="shared" si="502"/>
        <v>7.5395987328405495E-2</v>
      </c>
      <c r="J3565" s="1">
        <f t="shared" si="503"/>
        <v>2.9699999999999989</v>
      </c>
      <c r="K3565" s="9">
        <f t="shared" si="496"/>
        <v>6.2565831051190207E-2</v>
      </c>
      <c r="L3565" s="1">
        <f t="shared" si="497"/>
        <v>1</v>
      </c>
      <c r="M3565" s="1">
        <f t="shared" si="498"/>
        <v>50.92</v>
      </c>
      <c r="N3565" s="1">
        <f t="shared" si="499"/>
        <v>47.35</v>
      </c>
      <c r="O3565" s="1">
        <f t="shared" si="500"/>
        <v>48.48</v>
      </c>
      <c r="P3565" s="1">
        <f t="shared" si="501"/>
        <v>24.73469387755102</v>
      </c>
    </row>
    <row r="3566" spans="1:16">
      <c r="A3566" s="2">
        <v>37886</v>
      </c>
      <c r="B3566" s="1">
        <v>46.56</v>
      </c>
      <c r="C3566" s="1">
        <v>47.53</v>
      </c>
      <c r="D3566" s="1">
        <v>46.2</v>
      </c>
      <c r="E3566" s="1">
        <v>47.47</v>
      </c>
      <c r="F3566" s="1">
        <v>9240000</v>
      </c>
      <c r="G3566" s="1">
        <v>47.47</v>
      </c>
      <c r="H3566" s="1">
        <f t="shared" si="495"/>
        <v>1.3299999999999983</v>
      </c>
      <c r="I3566" s="9">
        <f t="shared" si="502"/>
        <v>2.8787878787878748E-2</v>
      </c>
      <c r="J3566" s="1">
        <f t="shared" si="503"/>
        <v>-0.10999999999999943</v>
      </c>
      <c r="K3566" s="9">
        <f t="shared" si="496"/>
        <v>-2.3118957545186936E-3</v>
      </c>
      <c r="L3566" s="1">
        <f t="shared" si="497"/>
        <v>1</v>
      </c>
      <c r="M3566" s="1">
        <f t="shared" si="498"/>
        <v>47.53</v>
      </c>
      <c r="N3566" s="1">
        <f t="shared" si="499"/>
        <v>46.2</v>
      </c>
      <c r="O3566" s="1">
        <f t="shared" si="500"/>
        <v>45.51</v>
      </c>
      <c r="P3566" s="1">
        <f t="shared" si="501"/>
        <v>23.219387755102041</v>
      </c>
    </row>
    <row r="3567" spans="1:16">
      <c r="A3567" s="2">
        <v>37883</v>
      </c>
      <c r="B3567" s="1">
        <v>47.87</v>
      </c>
      <c r="C3567" s="1">
        <v>47.97</v>
      </c>
      <c r="D3567" s="1">
        <v>47.35</v>
      </c>
      <c r="E3567" s="1">
        <v>47.58</v>
      </c>
      <c r="F3567" s="1">
        <v>6249500</v>
      </c>
      <c r="G3567" s="1">
        <v>47.58</v>
      </c>
      <c r="H3567" s="1">
        <f t="shared" si="495"/>
        <v>0.61999999999999744</v>
      </c>
      <c r="I3567" s="9">
        <f t="shared" si="502"/>
        <v>1.3093980992608181E-2</v>
      </c>
      <c r="J3567" s="1">
        <f t="shared" si="503"/>
        <v>-0.31000000000000227</v>
      </c>
      <c r="K3567" s="9">
        <f t="shared" si="496"/>
        <v>-6.47316767592404E-3</v>
      </c>
      <c r="L3567" s="1">
        <f t="shared" si="497"/>
        <v>1</v>
      </c>
      <c r="M3567" s="1">
        <f t="shared" si="498"/>
        <v>47.97</v>
      </c>
      <c r="N3567" s="1">
        <f t="shared" si="499"/>
        <v>47.35</v>
      </c>
      <c r="O3567" s="1">
        <f t="shared" si="500"/>
        <v>45.62</v>
      </c>
      <c r="P3567" s="1">
        <f t="shared" si="501"/>
        <v>23.27551020408163</v>
      </c>
    </row>
    <row r="3568" spans="1:16">
      <c r="A3568" s="2">
        <v>37882</v>
      </c>
      <c r="B3568" s="1">
        <v>46.16</v>
      </c>
      <c r="C3568" s="1">
        <v>48.24</v>
      </c>
      <c r="D3568" s="1">
        <v>45.94</v>
      </c>
      <c r="E3568" s="1">
        <v>47.89</v>
      </c>
      <c r="F3568" s="1">
        <v>9038500</v>
      </c>
      <c r="G3568" s="1">
        <v>47.89</v>
      </c>
      <c r="H3568" s="1">
        <f t="shared" si="495"/>
        <v>2.3000000000000043</v>
      </c>
      <c r="I3568" s="9">
        <f t="shared" si="502"/>
        <v>5.0065302568567789E-2</v>
      </c>
      <c r="J3568" s="1">
        <f t="shared" si="503"/>
        <v>1.730000000000004</v>
      </c>
      <c r="K3568" s="9">
        <f t="shared" si="496"/>
        <v>3.7478336221837175E-2</v>
      </c>
      <c r="L3568" s="1">
        <f t="shared" si="497"/>
        <v>1</v>
      </c>
      <c r="M3568" s="1">
        <f t="shared" si="498"/>
        <v>48.24</v>
      </c>
      <c r="N3568" s="1">
        <f t="shared" si="499"/>
        <v>45.94</v>
      </c>
      <c r="O3568" s="1">
        <f t="shared" si="500"/>
        <v>45.93</v>
      </c>
      <c r="P3568" s="1">
        <f t="shared" si="501"/>
        <v>23.433673469387756</v>
      </c>
    </row>
    <row r="3569" spans="1:16">
      <c r="A3569" s="2">
        <v>37881</v>
      </c>
      <c r="B3569" s="1">
        <v>46.21</v>
      </c>
      <c r="C3569" s="1">
        <v>46.86</v>
      </c>
      <c r="D3569" s="1">
        <v>45.54</v>
      </c>
      <c r="E3569" s="1">
        <v>46.16</v>
      </c>
      <c r="F3569" s="1">
        <v>7334100</v>
      </c>
      <c r="G3569" s="1">
        <v>46.16</v>
      </c>
      <c r="H3569" s="1">
        <f t="shared" si="495"/>
        <v>1.3200000000000003</v>
      </c>
      <c r="I3569" s="9">
        <f t="shared" si="502"/>
        <v>2.8985507246376819E-2</v>
      </c>
      <c r="J3569" s="1">
        <f t="shared" si="503"/>
        <v>-8.00000000000054E-2</v>
      </c>
      <c r="K3569" s="9">
        <f t="shared" si="496"/>
        <v>-1.7301038062284904E-3</v>
      </c>
      <c r="L3569" s="1">
        <f t="shared" si="497"/>
        <v>1</v>
      </c>
      <c r="M3569" s="1">
        <f t="shared" si="498"/>
        <v>46.86</v>
      </c>
      <c r="N3569" s="1">
        <f t="shared" si="499"/>
        <v>45.54</v>
      </c>
      <c r="O3569" s="1">
        <f t="shared" si="500"/>
        <v>44.199999999999996</v>
      </c>
      <c r="P3569" s="1">
        <f t="shared" si="501"/>
        <v>22.551020408163264</v>
      </c>
    </row>
    <row r="3570" spans="1:16">
      <c r="A3570" s="2">
        <v>37880</v>
      </c>
      <c r="B3570" s="1">
        <v>45.4</v>
      </c>
      <c r="C3570" s="1">
        <v>46.25</v>
      </c>
      <c r="D3570" s="1">
        <v>45.05</v>
      </c>
      <c r="E3570" s="1">
        <v>46.24</v>
      </c>
      <c r="F3570" s="1">
        <v>7755200</v>
      </c>
      <c r="G3570" s="1">
        <v>46.24</v>
      </c>
      <c r="H3570" s="1">
        <f t="shared" si="495"/>
        <v>1.2000000000000028</v>
      </c>
      <c r="I3570" s="9">
        <f t="shared" si="502"/>
        <v>2.6637069922308611E-2</v>
      </c>
      <c r="J3570" s="1">
        <f t="shared" si="503"/>
        <v>0.73000000000000398</v>
      </c>
      <c r="K3570" s="9">
        <f t="shared" si="496"/>
        <v>1.6040430674577104E-2</v>
      </c>
      <c r="L3570" s="1">
        <f t="shared" si="497"/>
        <v>1</v>
      </c>
      <c r="M3570" s="1">
        <f t="shared" si="498"/>
        <v>46.25</v>
      </c>
      <c r="N3570" s="1">
        <f t="shared" si="499"/>
        <v>45.05</v>
      </c>
      <c r="O3570" s="1">
        <f t="shared" si="500"/>
        <v>44.28</v>
      </c>
      <c r="P3570" s="1">
        <f t="shared" si="501"/>
        <v>22.591836734693878</v>
      </c>
    </row>
    <row r="3571" spans="1:16">
      <c r="A3571" s="2">
        <v>37879</v>
      </c>
      <c r="B3571" s="1">
        <v>45.36</v>
      </c>
      <c r="C3571" s="1">
        <v>45.77</v>
      </c>
      <c r="D3571" s="1">
        <v>45.23</v>
      </c>
      <c r="E3571" s="1">
        <v>45.51</v>
      </c>
      <c r="F3571" s="1">
        <v>4427000</v>
      </c>
      <c r="G3571" s="1">
        <v>45.51</v>
      </c>
      <c r="H3571" s="1">
        <f t="shared" si="495"/>
        <v>0.54000000000000625</v>
      </c>
      <c r="I3571" s="9">
        <f t="shared" si="502"/>
        <v>1.1938978554057181E-2</v>
      </c>
      <c r="J3571" s="1">
        <f t="shared" si="503"/>
        <v>-0.17000000000000171</v>
      </c>
      <c r="K3571" s="9">
        <f t="shared" si="496"/>
        <v>-3.7215411558669375E-3</v>
      </c>
      <c r="L3571" s="1">
        <f t="shared" si="497"/>
        <v>1</v>
      </c>
      <c r="M3571" s="1">
        <f t="shared" si="498"/>
        <v>45.77</v>
      </c>
      <c r="N3571" s="1">
        <f t="shared" si="499"/>
        <v>45.23</v>
      </c>
      <c r="O3571" s="1">
        <f t="shared" si="500"/>
        <v>43.55</v>
      </c>
      <c r="P3571" s="1">
        <f t="shared" si="501"/>
        <v>22.219387755102041</v>
      </c>
    </row>
    <row r="3572" spans="1:16">
      <c r="A3572" s="2">
        <v>37876</v>
      </c>
      <c r="B3572" s="1">
        <v>44.85</v>
      </c>
      <c r="C3572" s="1">
        <v>45.78</v>
      </c>
      <c r="D3572" s="1">
        <v>44.73</v>
      </c>
      <c r="E3572" s="1">
        <v>45.68</v>
      </c>
      <c r="F3572" s="1">
        <v>6750100</v>
      </c>
      <c r="G3572" s="1">
        <v>45.68</v>
      </c>
      <c r="H3572" s="1">
        <f t="shared" si="495"/>
        <v>1.0500000000000043</v>
      </c>
      <c r="I3572" s="9">
        <f t="shared" si="502"/>
        <v>2.3474178403755964E-2</v>
      </c>
      <c r="J3572" s="1">
        <f t="shared" si="503"/>
        <v>0.49000000000000199</v>
      </c>
      <c r="K3572" s="9">
        <f t="shared" si="496"/>
        <v>1.0843106882053597E-2</v>
      </c>
      <c r="L3572" s="1">
        <f t="shared" si="497"/>
        <v>1</v>
      </c>
      <c r="M3572" s="1">
        <f t="shared" si="498"/>
        <v>45.78</v>
      </c>
      <c r="N3572" s="1">
        <f t="shared" si="499"/>
        <v>44.73</v>
      </c>
      <c r="O3572" s="1">
        <f t="shared" si="500"/>
        <v>43.72</v>
      </c>
      <c r="P3572" s="1">
        <f t="shared" si="501"/>
        <v>22.306122448979593</v>
      </c>
    </row>
    <row r="3573" spans="1:16">
      <c r="A3573" s="2">
        <v>37875</v>
      </c>
      <c r="B3573" s="1">
        <v>46.2</v>
      </c>
      <c r="C3573" s="1">
        <v>46.35</v>
      </c>
      <c r="D3573" s="1">
        <v>44.77</v>
      </c>
      <c r="E3573" s="1">
        <v>45.19</v>
      </c>
      <c r="F3573" s="1">
        <v>11613100</v>
      </c>
      <c r="G3573" s="1">
        <v>45.19</v>
      </c>
      <c r="H3573" s="1">
        <f t="shared" si="495"/>
        <v>1.5799999999999983</v>
      </c>
      <c r="I3573" s="9">
        <f t="shared" si="502"/>
        <v>3.5291489836944342E-2</v>
      </c>
      <c r="J3573" s="1">
        <f t="shared" si="503"/>
        <v>-1.0300000000000011</v>
      </c>
      <c r="K3573" s="9">
        <f t="shared" si="496"/>
        <v>-2.228472522717441E-2</v>
      </c>
      <c r="L3573" s="1">
        <f t="shared" si="497"/>
        <v>1</v>
      </c>
      <c r="M3573" s="1">
        <f t="shared" si="498"/>
        <v>46.35</v>
      </c>
      <c r="N3573" s="1">
        <f t="shared" si="499"/>
        <v>44.77</v>
      </c>
      <c r="O3573" s="1">
        <f t="shared" si="500"/>
        <v>43.23</v>
      </c>
      <c r="P3573" s="1">
        <f t="shared" si="501"/>
        <v>22.05612244897959</v>
      </c>
    </row>
    <row r="3574" spans="1:16">
      <c r="A3574" s="2">
        <v>37874</v>
      </c>
      <c r="B3574" s="1">
        <v>46.26</v>
      </c>
      <c r="C3574" s="1">
        <v>47.23</v>
      </c>
      <c r="D3574" s="1">
        <v>46.06</v>
      </c>
      <c r="E3574" s="1">
        <v>46.22</v>
      </c>
      <c r="F3574" s="1">
        <v>8002900</v>
      </c>
      <c r="G3574" s="1">
        <v>46.22</v>
      </c>
      <c r="H3574" s="1">
        <f t="shared" si="495"/>
        <v>1.1699999999999946</v>
      </c>
      <c r="I3574" s="9">
        <f t="shared" si="502"/>
        <v>2.5401650021710694E-2</v>
      </c>
      <c r="J3574" s="1">
        <f t="shared" si="503"/>
        <v>-0.46000000000000085</v>
      </c>
      <c r="K3574" s="9">
        <f t="shared" si="496"/>
        <v>-9.8543273350471475E-3</v>
      </c>
      <c r="L3574" s="1">
        <f t="shared" si="497"/>
        <v>1</v>
      </c>
      <c r="M3574" s="1">
        <f t="shared" si="498"/>
        <v>47.23</v>
      </c>
      <c r="N3574" s="1">
        <f t="shared" si="499"/>
        <v>46.06</v>
      </c>
      <c r="O3574" s="1">
        <f t="shared" si="500"/>
        <v>44.26</v>
      </c>
      <c r="P3574" s="1">
        <f t="shared" si="501"/>
        <v>22.581632653061224</v>
      </c>
    </row>
    <row r="3575" spans="1:16">
      <c r="A3575" s="2">
        <v>37873</v>
      </c>
      <c r="B3575" s="1">
        <v>47.1</v>
      </c>
      <c r="C3575" s="1">
        <v>47.38</v>
      </c>
      <c r="D3575" s="1">
        <v>46.3</v>
      </c>
      <c r="E3575" s="1">
        <v>46.68</v>
      </c>
      <c r="F3575" s="1">
        <v>8100800</v>
      </c>
      <c r="G3575" s="1">
        <v>46.68</v>
      </c>
      <c r="H3575" s="1">
        <f t="shared" si="495"/>
        <v>1.0800000000000054</v>
      </c>
      <c r="I3575" s="9">
        <f t="shared" si="502"/>
        <v>2.3326133909287373E-2</v>
      </c>
      <c r="J3575" s="1">
        <f t="shared" si="503"/>
        <v>-0.60000000000000142</v>
      </c>
      <c r="K3575" s="9">
        <f t="shared" si="496"/>
        <v>-1.2690355329949268E-2</v>
      </c>
      <c r="L3575" s="1">
        <f t="shared" si="497"/>
        <v>1</v>
      </c>
      <c r="M3575" s="1">
        <f t="shared" si="498"/>
        <v>47.38</v>
      </c>
      <c r="N3575" s="1">
        <f t="shared" si="499"/>
        <v>46.3</v>
      </c>
      <c r="O3575" s="1">
        <f t="shared" si="500"/>
        <v>44.72</v>
      </c>
      <c r="P3575" s="1">
        <f t="shared" si="501"/>
        <v>22.816326530612244</v>
      </c>
    </row>
    <row r="3576" spans="1:16">
      <c r="A3576" s="2">
        <v>37872</v>
      </c>
      <c r="B3576" s="1">
        <v>46.5</v>
      </c>
      <c r="C3576" s="1">
        <v>47.35</v>
      </c>
      <c r="D3576" s="1">
        <v>46.06</v>
      </c>
      <c r="E3576" s="1">
        <v>47.28</v>
      </c>
      <c r="F3576" s="1">
        <v>7408200</v>
      </c>
      <c r="G3576" s="1">
        <v>47.28</v>
      </c>
      <c r="H3576" s="1">
        <f t="shared" si="495"/>
        <v>1.2899999999999991</v>
      </c>
      <c r="I3576" s="9">
        <f t="shared" si="502"/>
        <v>2.8006947459834976E-2</v>
      </c>
      <c r="J3576" s="1">
        <f t="shared" si="503"/>
        <v>0.75999999999999801</v>
      </c>
      <c r="K3576" s="9">
        <f t="shared" si="496"/>
        <v>1.6337059329320679E-2</v>
      </c>
      <c r="L3576" s="1">
        <f t="shared" si="497"/>
        <v>1</v>
      </c>
      <c r="M3576" s="1">
        <f t="shared" si="498"/>
        <v>47.35</v>
      </c>
      <c r="N3576" s="1">
        <f t="shared" si="499"/>
        <v>46.06</v>
      </c>
      <c r="O3576" s="1">
        <f t="shared" si="500"/>
        <v>45.32</v>
      </c>
      <c r="P3576" s="1">
        <f t="shared" si="501"/>
        <v>23.122448979591837</v>
      </c>
    </row>
    <row r="3577" spans="1:16">
      <c r="A3577" s="2">
        <v>37869</v>
      </c>
      <c r="B3577" s="1">
        <v>46.95</v>
      </c>
      <c r="C3577" s="1">
        <v>47.48</v>
      </c>
      <c r="D3577" s="1">
        <v>46.1</v>
      </c>
      <c r="E3577" s="1">
        <v>46.52</v>
      </c>
      <c r="F3577" s="1">
        <v>8102900</v>
      </c>
      <c r="G3577" s="1">
        <v>46.52</v>
      </c>
      <c r="H3577" s="1">
        <f t="shared" si="495"/>
        <v>1.3799999999999955</v>
      </c>
      <c r="I3577" s="9">
        <f t="shared" si="502"/>
        <v>2.9934924078091008E-2</v>
      </c>
      <c r="J3577" s="1">
        <f t="shared" si="503"/>
        <v>-0.76999999999999602</v>
      </c>
      <c r="K3577" s="9">
        <f t="shared" si="496"/>
        <v>-1.6282512159018735E-2</v>
      </c>
      <c r="L3577" s="1">
        <f t="shared" si="497"/>
        <v>1</v>
      </c>
      <c r="M3577" s="1">
        <f t="shared" si="498"/>
        <v>47.48</v>
      </c>
      <c r="N3577" s="1">
        <f t="shared" si="499"/>
        <v>46.1</v>
      </c>
      <c r="O3577" s="1">
        <f t="shared" si="500"/>
        <v>44.56</v>
      </c>
      <c r="P3577" s="1">
        <f t="shared" si="501"/>
        <v>22.73469387755102</v>
      </c>
    </row>
    <row r="3578" spans="1:16">
      <c r="A3578" s="2">
        <v>37868</v>
      </c>
      <c r="B3578" s="1">
        <v>46.2</v>
      </c>
      <c r="C3578" s="1">
        <v>47.39</v>
      </c>
      <c r="D3578" s="1">
        <v>46.04</v>
      </c>
      <c r="E3578" s="1">
        <v>47.29</v>
      </c>
      <c r="F3578" s="1">
        <v>10255000</v>
      </c>
      <c r="G3578" s="1">
        <v>47.29</v>
      </c>
      <c r="H3578" s="1">
        <f t="shared" si="495"/>
        <v>1.3500000000000014</v>
      </c>
      <c r="I3578" s="9">
        <f t="shared" si="502"/>
        <v>2.9322328410078223E-2</v>
      </c>
      <c r="J3578" s="1">
        <f t="shared" si="503"/>
        <v>1.1000000000000014</v>
      </c>
      <c r="K3578" s="9">
        <f t="shared" si="496"/>
        <v>2.3814678501840256E-2</v>
      </c>
      <c r="L3578" s="1">
        <f t="shared" si="497"/>
        <v>1</v>
      </c>
      <c r="M3578" s="1">
        <f t="shared" si="498"/>
        <v>47.39</v>
      </c>
      <c r="N3578" s="1">
        <f t="shared" si="499"/>
        <v>46.04</v>
      </c>
      <c r="O3578" s="1">
        <f t="shared" si="500"/>
        <v>45.33</v>
      </c>
      <c r="P3578" s="1">
        <f t="shared" si="501"/>
        <v>23.127551020408163</v>
      </c>
    </row>
    <row r="3579" spans="1:16">
      <c r="A3579" s="2">
        <v>37867</v>
      </c>
      <c r="B3579" s="1">
        <v>47.58</v>
      </c>
      <c r="C3579" s="1">
        <v>47.75</v>
      </c>
      <c r="D3579" s="1">
        <v>45.86</v>
      </c>
      <c r="E3579" s="1">
        <v>46.19</v>
      </c>
      <c r="F3579" s="1">
        <v>10697900</v>
      </c>
      <c r="G3579" s="1">
        <v>46.19</v>
      </c>
      <c r="H3579" s="1">
        <f t="shared" si="495"/>
        <v>1.8900000000000006</v>
      </c>
      <c r="I3579" s="9">
        <f t="shared" si="502"/>
        <v>4.1212385521151342E-2</v>
      </c>
      <c r="J3579" s="1">
        <f t="shared" si="503"/>
        <v>-1.1400000000000006</v>
      </c>
      <c r="K3579" s="9">
        <f t="shared" si="496"/>
        <v>-2.4086203253750278E-2</v>
      </c>
      <c r="L3579" s="1">
        <f t="shared" si="497"/>
        <v>1</v>
      </c>
      <c r="M3579" s="1">
        <f t="shared" si="498"/>
        <v>47.75</v>
      </c>
      <c r="N3579" s="1">
        <f t="shared" si="499"/>
        <v>45.86</v>
      </c>
      <c r="O3579" s="1">
        <f t="shared" si="500"/>
        <v>44.23</v>
      </c>
      <c r="P3579" s="1">
        <f t="shared" si="501"/>
        <v>22.566326530612244</v>
      </c>
    </row>
    <row r="3580" spans="1:16">
      <c r="A3580" s="2">
        <v>37866</v>
      </c>
      <c r="B3580" s="1">
        <v>46.52</v>
      </c>
      <c r="C3580" s="1">
        <v>47.45</v>
      </c>
      <c r="D3580" s="1">
        <v>46.01</v>
      </c>
      <c r="E3580" s="1">
        <v>47.33</v>
      </c>
      <c r="F3580" s="1">
        <v>9459400</v>
      </c>
      <c r="G3580" s="1">
        <v>47.33</v>
      </c>
      <c r="H3580" s="1">
        <f t="shared" si="495"/>
        <v>1.4400000000000048</v>
      </c>
      <c r="I3580" s="9">
        <f t="shared" si="502"/>
        <v>3.1297544012171372E-2</v>
      </c>
      <c r="J3580" s="1">
        <f t="shared" si="503"/>
        <v>1.009999999999998</v>
      </c>
      <c r="K3580" s="9">
        <f t="shared" si="496"/>
        <v>2.1804835924006866E-2</v>
      </c>
      <c r="L3580" s="1">
        <f t="shared" si="497"/>
        <v>1</v>
      </c>
      <c r="M3580" s="1">
        <f t="shared" si="498"/>
        <v>47.45</v>
      </c>
      <c r="N3580" s="1">
        <f t="shared" si="499"/>
        <v>46.01</v>
      </c>
      <c r="O3580" s="1">
        <f t="shared" si="500"/>
        <v>45.37</v>
      </c>
      <c r="P3580" s="1">
        <f t="shared" si="501"/>
        <v>23.147959183673468</v>
      </c>
    </row>
    <row r="3581" spans="1:16">
      <c r="A3581" s="2">
        <v>37862</v>
      </c>
      <c r="B3581" s="1">
        <v>45.82</v>
      </c>
      <c r="C3581" s="1">
        <v>46.44</v>
      </c>
      <c r="D3581" s="1">
        <v>45.72</v>
      </c>
      <c r="E3581" s="1">
        <v>46.32</v>
      </c>
      <c r="F3581" s="1">
        <v>6158400</v>
      </c>
      <c r="G3581" s="1">
        <v>46.32</v>
      </c>
      <c r="H3581" s="1">
        <f t="shared" si="495"/>
        <v>0.71999999999999886</v>
      </c>
      <c r="I3581" s="9">
        <f t="shared" si="502"/>
        <v>1.5748031496062968E-2</v>
      </c>
      <c r="J3581" s="1">
        <f t="shared" si="503"/>
        <v>0.38000000000000256</v>
      </c>
      <c r="K3581" s="9">
        <f t="shared" si="496"/>
        <v>8.2716586852416753E-3</v>
      </c>
      <c r="L3581" s="1">
        <f t="shared" si="497"/>
        <v>1</v>
      </c>
      <c r="M3581" s="1">
        <f t="shared" si="498"/>
        <v>46.44</v>
      </c>
      <c r="N3581" s="1">
        <f t="shared" si="499"/>
        <v>45.72</v>
      </c>
      <c r="O3581" s="1">
        <f t="shared" si="500"/>
        <v>44.36</v>
      </c>
      <c r="P3581" s="1">
        <f t="shared" si="501"/>
        <v>22.632653061224492</v>
      </c>
    </row>
    <row r="3582" spans="1:16">
      <c r="A3582" s="2">
        <v>37861</v>
      </c>
      <c r="B3582" s="1">
        <v>45.94</v>
      </c>
      <c r="C3582" s="1">
        <v>46</v>
      </c>
      <c r="D3582" s="1">
        <v>44.81</v>
      </c>
      <c r="E3582" s="1">
        <v>45.94</v>
      </c>
      <c r="F3582" s="1">
        <v>6987500</v>
      </c>
      <c r="G3582" s="1">
        <v>45.94</v>
      </c>
      <c r="H3582" s="1">
        <f t="shared" si="495"/>
        <v>1.1899999999999977</v>
      </c>
      <c r="I3582" s="9">
        <f t="shared" si="502"/>
        <v>2.6556572193706711E-2</v>
      </c>
      <c r="J3582" s="1">
        <f t="shared" si="503"/>
        <v>5.9999999999995168E-2</v>
      </c>
      <c r="K3582" s="9">
        <f t="shared" si="496"/>
        <v>1.307759372275396E-3</v>
      </c>
      <c r="L3582" s="1">
        <f t="shared" si="497"/>
        <v>1</v>
      </c>
      <c r="M3582" s="1">
        <f t="shared" si="498"/>
        <v>46</v>
      </c>
      <c r="N3582" s="1">
        <f t="shared" si="499"/>
        <v>44.81</v>
      </c>
      <c r="O3582" s="1">
        <f t="shared" si="500"/>
        <v>43.98</v>
      </c>
      <c r="P3582" s="1">
        <f t="shared" si="501"/>
        <v>22.438775510204081</v>
      </c>
    </row>
    <row r="3583" spans="1:16">
      <c r="A3583" s="2">
        <v>37860</v>
      </c>
      <c r="B3583" s="1">
        <v>45.77</v>
      </c>
      <c r="C3583" s="1">
        <v>46.07</v>
      </c>
      <c r="D3583" s="1">
        <v>45.26</v>
      </c>
      <c r="E3583" s="1">
        <v>45.88</v>
      </c>
      <c r="F3583" s="1">
        <v>4539400</v>
      </c>
      <c r="G3583" s="1">
        <v>45.88</v>
      </c>
      <c r="H3583" s="1">
        <f t="shared" si="495"/>
        <v>0.81000000000000227</v>
      </c>
      <c r="I3583" s="9">
        <f t="shared" si="502"/>
        <v>1.789659743703054E-2</v>
      </c>
      <c r="J3583" s="1">
        <f t="shared" si="503"/>
        <v>-4.9999999999997158E-2</v>
      </c>
      <c r="K3583" s="9">
        <f t="shared" si="496"/>
        <v>-1.0886131069017453E-3</v>
      </c>
      <c r="L3583" s="1">
        <f t="shared" si="497"/>
        <v>1</v>
      </c>
      <c r="M3583" s="1">
        <f t="shared" si="498"/>
        <v>46.07</v>
      </c>
      <c r="N3583" s="1">
        <f t="shared" si="499"/>
        <v>45.26</v>
      </c>
      <c r="O3583" s="1">
        <f t="shared" si="500"/>
        <v>43.92</v>
      </c>
      <c r="P3583" s="1">
        <f t="shared" si="501"/>
        <v>22.408163265306122</v>
      </c>
    </row>
    <row r="3584" spans="1:16">
      <c r="A3584" s="2">
        <v>37859</v>
      </c>
      <c r="B3584" s="1">
        <v>45.65</v>
      </c>
      <c r="C3584" s="1">
        <v>46.14</v>
      </c>
      <c r="D3584" s="1">
        <v>45.11</v>
      </c>
      <c r="E3584" s="1">
        <v>45.93</v>
      </c>
      <c r="F3584" s="1">
        <v>6542400</v>
      </c>
      <c r="G3584" s="1">
        <v>45.93</v>
      </c>
      <c r="H3584" s="1">
        <f t="shared" si="495"/>
        <v>1.0300000000000011</v>
      </c>
      <c r="I3584" s="9">
        <f t="shared" si="502"/>
        <v>2.283307470627358E-2</v>
      </c>
      <c r="J3584" s="1">
        <f t="shared" si="503"/>
        <v>7.9999999999998295E-2</v>
      </c>
      <c r="K3584" s="9">
        <f t="shared" si="496"/>
        <v>1.7448200654307151E-3</v>
      </c>
      <c r="L3584" s="1">
        <f t="shared" si="497"/>
        <v>1</v>
      </c>
      <c r="M3584" s="1">
        <f t="shared" si="498"/>
        <v>46.14</v>
      </c>
      <c r="N3584" s="1">
        <f t="shared" si="499"/>
        <v>45.11</v>
      </c>
      <c r="O3584" s="1">
        <f t="shared" si="500"/>
        <v>43.97</v>
      </c>
      <c r="P3584" s="1">
        <f t="shared" si="501"/>
        <v>22.433673469387756</v>
      </c>
    </row>
    <row r="3585" spans="1:16">
      <c r="A3585" s="2">
        <v>37858</v>
      </c>
      <c r="B3585" s="1">
        <v>44.85</v>
      </c>
      <c r="C3585" s="1">
        <v>46.16</v>
      </c>
      <c r="D3585" s="1">
        <v>44.53</v>
      </c>
      <c r="E3585" s="1">
        <v>45.85</v>
      </c>
      <c r="F3585" s="1">
        <v>7103500</v>
      </c>
      <c r="G3585" s="1">
        <v>45.85</v>
      </c>
      <c r="H3585" s="1">
        <f t="shared" si="495"/>
        <v>1.6299999999999955</v>
      </c>
      <c r="I3585" s="9">
        <f t="shared" si="502"/>
        <v>3.6604536267684604E-2</v>
      </c>
      <c r="J3585" s="1">
        <f t="shared" si="503"/>
        <v>0.63000000000000256</v>
      </c>
      <c r="K3585" s="9">
        <f t="shared" si="496"/>
        <v>1.3931888544891698E-2</v>
      </c>
      <c r="L3585" s="1">
        <f t="shared" si="497"/>
        <v>1</v>
      </c>
      <c r="M3585" s="1">
        <f t="shared" si="498"/>
        <v>46.16</v>
      </c>
      <c r="N3585" s="1">
        <f t="shared" si="499"/>
        <v>44.53</v>
      </c>
      <c r="O3585" s="1">
        <f t="shared" si="500"/>
        <v>43.89</v>
      </c>
      <c r="P3585" s="1">
        <f t="shared" si="501"/>
        <v>22.392857142857142</v>
      </c>
    </row>
    <row r="3586" spans="1:16">
      <c r="A3586" s="2">
        <v>37855</v>
      </c>
      <c r="B3586" s="1">
        <v>46.36</v>
      </c>
      <c r="C3586" s="1">
        <v>46.95</v>
      </c>
      <c r="D3586" s="1">
        <v>44.81</v>
      </c>
      <c r="E3586" s="1">
        <v>45.22</v>
      </c>
      <c r="F3586" s="1">
        <v>10473300</v>
      </c>
      <c r="G3586" s="1">
        <v>45.22</v>
      </c>
      <c r="H3586" s="1">
        <f t="shared" si="495"/>
        <v>2.1400000000000006</v>
      </c>
      <c r="I3586" s="9">
        <f t="shared" si="502"/>
        <v>4.7757197054228977E-2</v>
      </c>
      <c r="J3586" s="1">
        <f t="shared" si="503"/>
        <v>-0.48000000000000398</v>
      </c>
      <c r="K3586" s="9">
        <f t="shared" si="496"/>
        <v>-1.0503282275711246E-2</v>
      </c>
      <c r="L3586" s="1">
        <f t="shared" si="497"/>
        <v>1</v>
      </c>
      <c r="M3586" s="1">
        <f t="shared" si="498"/>
        <v>46.95</v>
      </c>
      <c r="N3586" s="1">
        <f t="shared" si="499"/>
        <v>44.81</v>
      </c>
      <c r="O3586" s="1">
        <f t="shared" si="500"/>
        <v>43.26</v>
      </c>
      <c r="P3586" s="1">
        <f t="shared" si="501"/>
        <v>22.071428571428569</v>
      </c>
    </row>
    <row r="3587" spans="1:16">
      <c r="A3587" s="2">
        <v>37854</v>
      </c>
      <c r="B3587" s="1">
        <v>44.22</v>
      </c>
      <c r="C3587" s="1">
        <v>45.91</v>
      </c>
      <c r="D3587" s="1">
        <v>43.87</v>
      </c>
      <c r="E3587" s="1">
        <v>45.7</v>
      </c>
      <c r="F3587" s="1">
        <v>11592500</v>
      </c>
      <c r="G3587" s="1">
        <v>45.7</v>
      </c>
      <c r="H3587" s="1">
        <f t="shared" ref="H3587:H3650" si="504">C3587-D3587</f>
        <v>2.0399999999999991</v>
      </c>
      <c r="I3587" s="9">
        <f t="shared" si="502"/>
        <v>4.6501025757921116E-2</v>
      </c>
      <c r="J3587" s="1">
        <f t="shared" si="503"/>
        <v>1.9400000000000048</v>
      </c>
      <c r="K3587" s="9">
        <f t="shared" ref="K3587:K3650" si="505">(G3587-G3588)/G3588</f>
        <v>4.4332723948811811E-2</v>
      </c>
      <c r="L3587" s="1">
        <f t="shared" ref="L3587:L3650" si="506">G3587/E3587</f>
        <v>1</v>
      </c>
      <c r="M3587" s="1">
        <f t="shared" ref="M3587:M3650" si="507">L3587*C3587</f>
        <v>45.91</v>
      </c>
      <c r="N3587" s="1">
        <f t="shared" ref="N3587:N3650" si="508">L3587*D3587</f>
        <v>43.87</v>
      </c>
      <c r="O3587" s="1">
        <f t="shared" ref="O3587:O3650" si="509">G3587-$G$5163</f>
        <v>43.74</v>
      </c>
      <c r="P3587" s="1">
        <f t="shared" ref="P3587:P3650" si="510">(G3587-$G$5163)/$G$5163</f>
        <v>22.316326530612248</v>
      </c>
    </row>
    <row r="3588" spans="1:16">
      <c r="A3588" s="2">
        <v>37853</v>
      </c>
      <c r="B3588" s="1">
        <v>43.06</v>
      </c>
      <c r="C3588" s="1">
        <v>43.94</v>
      </c>
      <c r="D3588" s="1">
        <v>43.01</v>
      </c>
      <c r="E3588" s="1">
        <v>43.76</v>
      </c>
      <c r="F3588" s="1">
        <v>6724700</v>
      </c>
      <c r="G3588" s="1">
        <v>43.76</v>
      </c>
      <c r="H3588" s="1">
        <f t="shared" si="504"/>
        <v>0.92999999999999972</v>
      </c>
      <c r="I3588" s="9">
        <f t="shared" ref="I3588:I3651" si="511">(C3588-D3588)/D3588</f>
        <v>2.1622878400372001E-2</v>
      </c>
      <c r="J3588" s="1">
        <f t="shared" ref="J3588:J3651" si="512">G3588-G3589</f>
        <v>0.18999999999999773</v>
      </c>
      <c r="K3588" s="9">
        <f t="shared" si="505"/>
        <v>4.3607987147119059E-3</v>
      </c>
      <c r="L3588" s="1">
        <f t="shared" si="506"/>
        <v>1</v>
      </c>
      <c r="M3588" s="1">
        <f t="shared" si="507"/>
        <v>43.94</v>
      </c>
      <c r="N3588" s="1">
        <f t="shared" si="508"/>
        <v>43.01</v>
      </c>
      <c r="O3588" s="1">
        <f t="shared" si="509"/>
        <v>41.8</v>
      </c>
      <c r="P3588" s="1">
        <f t="shared" si="510"/>
        <v>21.326530612244898</v>
      </c>
    </row>
    <row r="3589" spans="1:16">
      <c r="A3589" s="2">
        <v>37852</v>
      </c>
      <c r="B3589" s="1">
        <v>43.45</v>
      </c>
      <c r="C3589" s="1">
        <v>44.19</v>
      </c>
      <c r="D3589" s="1">
        <v>42.92</v>
      </c>
      <c r="E3589" s="1">
        <v>43.57</v>
      </c>
      <c r="F3589" s="1">
        <v>10489300</v>
      </c>
      <c r="G3589" s="1">
        <v>43.57</v>
      </c>
      <c r="H3589" s="1">
        <f t="shared" si="504"/>
        <v>1.269999999999996</v>
      </c>
      <c r="I3589" s="9">
        <f t="shared" si="511"/>
        <v>2.958993476234846E-2</v>
      </c>
      <c r="J3589" s="1">
        <f t="shared" si="512"/>
        <v>0.54999999999999716</v>
      </c>
      <c r="K3589" s="9">
        <f t="shared" si="505"/>
        <v>1.2784751278475061E-2</v>
      </c>
      <c r="L3589" s="1">
        <f t="shared" si="506"/>
        <v>1</v>
      </c>
      <c r="M3589" s="1">
        <f t="shared" si="507"/>
        <v>44.19</v>
      </c>
      <c r="N3589" s="1">
        <f t="shared" si="508"/>
        <v>42.92</v>
      </c>
      <c r="O3589" s="1">
        <f t="shared" si="509"/>
        <v>41.61</v>
      </c>
      <c r="P3589" s="1">
        <f t="shared" si="510"/>
        <v>21.229591836734695</v>
      </c>
    </row>
    <row r="3590" spans="1:16">
      <c r="A3590" s="2">
        <v>37851</v>
      </c>
      <c r="B3590" s="1">
        <v>40.479999999999997</v>
      </c>
      <c r="C3590" s="1">
        <v>43.24</v>
      </c>
      <c r="D3590" s="1">
        <v>40.380000000000003</v>
      </c>
      <c r="E3590" s="1">
        <v>43.02</v>
      </c>
      <c r="F3590" s="1">
        <v>11174200</v>
      </c>
      <c r="G3590" s="1">
        <v>43.02</v>
      </c>
      <c r="H3590" s="1">
        <f t="shared" si="504"/>
        <v>2.8599999999999994</v>
      </c>
      <c r="I3590" s="9">
        <f t="shared" si="511"/>
        <v>7.0827142149578984E-2</v>
      </c>
      <c r="J3590" s="1">
        <f t="shared" si="512"/>
        <v>2.9200000000000017</v>
      </c>
      <c r="K3590" s="9">
        <f t="shared" si="505"/>
        <v>7.2817955112219487E-2</v>
      </c>
      <c r="L3590" s="1">
        <f t="shared" si="506"/>
        <v>1</v>
      </c>
      <c r="M3590" s="1">
        <f t="shared" si="507"/>
        <v>43.24</v>
      </c>
      <c r="N3590" s="1">
        <f t="shared" si="508"/>
        <v>40.380000000000003</v>
      </c>
      <c r="O3590" s="1">
        <f t="shared" si="509"/>
        <v>41.06</v>
      </c>
      <c r="P3590" s="1">
        <f t="shared" si="510"/>
        <v>20.948979591836736</v>
      </c>
    </row>
    <row r="3591" spans="1:16">
      <c r="A3591" s="2">
        <v>37848</v>
      </c>
      <c r="B3591" s="1">
        <v>40.229999999999997</v>
      </c>
      <c r="C3591" s="1">
        <v>40.380000000000003</v>
      </c>
      <c r="D3591" s="1">
        <v>39.97</v>
      </c>
      <c r="E3591" s="1">
        <v>40.1</v>
      </c>
      <c r="F3591" s="1">
        <v>2486500</v>
      </c>
      <c r="G3591" s="1">
        <v>40.1</v>
      </c>
      <c r="H3591" s="1">
        <f t="shared" si="504"/>
        <v>0.41000000000000369</v>
      </c>
      <c r="I3591" s="9">
        <f t="shared" si="511"/>
        <v>1.0257693269952557E-2</v>
      </c>
      <c r="J3591" s="1">
        <f t="shared" si="512"/>
        <v>-0.19999999999999574</v>
      </c>
      <c r="K3591" s="9">
        <f t="shared" si="505"/>
        <v>-4.9627791563274376E-3</v>
      </c>
      <c r="L3591" s="1">
        <f t="shared" si="506"/>
        <v>1</v>
      </c>
      <c r="M3591" s="1">
        <f t="shared" si="507"/>
        <v>40.380000000000003</v>
      </c>
      <c r="N3591" s="1">
        <f t="shared" si="508"/>
        <v>39.97</v>
      </c>
      <c r="O3591" s="1">
        <f t="shared" si="509"/>
        <v>38.14</v>
      </c>
      <c r="P3591" s="1">
        <f t="shared" si="510"/>
        <v>19.45918367346939</v>
      </c>
    </row>
    <row r="3592" spans="1:16">
      <c r="A3592" s="2">
        <v>37847</v>
      </c>
      <c r="B3592" s="1">
        <v>39.92</v>
      </c>
      <c r="C3592" s="1">
        <v>40.369999999999997</v>
      </c>
      <c r="D3592" s="1">
        <v>39.65</v>
      </c>
      <c r="E3592" s="1">
        <v>40.299999999999997</v>
      </c>
      <c r="F3592" s="1">
        <v>4850300</v>
      </c>
      <c r="G3592" s="1">
        <v>40.299999999999997</v>
      </c>
      <c r="H3592" s="1">
        <f t="shared" si="504"/>
        <v>0.71999999999999886</v>
      </c>
      <c r="I3592" s="9">
        <f t="shared" si="511"/>
        <v>1.8158890290037803E-2</v>
      </c>
      <c r="J3592" s="1">
        <f t="shared" si="512"/>
        <v>8.9999999999996305E-2</v>
      </c>
      <c r="K3592" s="9">
        <f t="shared" si="505"/>
        <v>2.2382491917432557E-3</v>
      </c>
      <c r="L3592" s="1">
        <f t="shared" si="506"/>
        <v>1</v>
      </c>
      <c r="M3592" s="1">
        <f t="shared" si="507"/>
        <v>40.369999999999997</v>
      </c>
      <c r="N3592" s="1">
        <f t="shared" si="508"/>
        <v>39.65</v>
      </c>
      <c r="O3592" s="1">
        <f t="shared" si="509"/>
        <v>38.339999999999996</v>
      </c>
      <c r="P3592" s="1">
        <f t="shared" si="510"/>
        <v>19.561224489795915</v>
      </c>
    </row>
    <row r="3593" spans="1:16">
      <c r="A3593" s="2">
        <v>37846</v>
      </c>
      <c r="B3593" s="1">
        <v>40.25</v>
      </c>
      <c r="C3593" s="1">
        <v>40.47</v>
      </c>
      <c r="D3593" s="1">
        <v>39.71</v>
      </c>
      <c r="E3593" s="1">
        <v>40.21</v>
      </c>
      <c r="F3593" s="1">
        <v>7154500</v>
      </c>
      <c r="G3593" s="1">
        <v>40.21</v>
      </c>
      <c r="H3593" s="1">
        <f t="shared" si="504"/>
        <v>0.75999999999999801</v>
      </c>
      <c r="I3593" s="9">
        <f t="shared" si="511"/>
        <v>1.9138755980861195E-2</v>
      </c>
      <c r="J3593" s="1">
        <f t="shared" si="512"/>
        <v>0.35999999999999943</v>
      </c>
      <c r="K3593" s="9">
        <f t="shared" si="505"/>
        <v>9.0338770388958441E-3</v>
      </c>
      <c r="L3593" s="1">
        <f t="shared" si="506"/>
        <v>1</v>
      </c>
      <c r="M3593" s="1">
        <f t="shared" si="507"/>
        <v>40.47</v>
      </c>
      <c r="N3593" s="1">
        <f t="shared" si="508"/>
        <v>39.71</v>
      </c>
      <c r="O3593" s="1">
        <f t="shared" si="509"/>
        <v>38.25</v>
      </c>
      <c r="P3593" s="1">
        <f t="shared" si="510"/>
        <v>19.51530612244898</v>
      </c>
    </row>
    <row r="3594" spans="1:16">
      <c r="A3594" s="2">
        <v>37845</v>
      </c>
      <c r="B3594" s="1">
        <v>38.950000000000003</v>
      </c>
      <c r="C3594" s="1">
        <v>39.96</v>
      </c>
      <c r="D3594" s="1">
        <v>38.31</v>
      </c>
      <c r="E3594" s="1">
        <v>39.85</v>
      </c>
      <c r="F3594" s="1">
        <v>6128500</v>
      </c>
      <c r="G3594" s="1">
        <v>39.85</v>
      </c>
      <c r="H3594" s="1">
        <f t="shared" si="504"/>
        <v>1.6499999999999986</v>
      </c>
      <c r="I3594" s="9">
        <f t="shared" si="511"/>
        <v>4.3069694596710999E-2</v>
      </c>
      <c r="J3594" s="1">
        <f t="shared" si="512"/>
        <v>0.92000000000000171</v>
      </c>
      <c r="K3594" s="9">
        <f t="shared" si="505"/>
        <v>2.3632160287695908E-2</v>
      </c>
      <c r="L3594" s="1">
        <f t="shared" si="506"/>
        <v>1</v>
      </c>
      <c r="M3594" s="1">
        <f t="shared" si="507"/>
        <v>39.96</v>
      </c>
      <c r="N3594" s="1">
        <f t="shared" si="508"/>
        <v>38.31</v>
      </c>
      <c r="O3594" s="1">
        <f t="shared" si="509"/>
        <v>37.89</v>
      </c>
      <c r="P3594" s="1">
        <f t="shared" si="510"/>
        <v>19.331632653061224</v>
      </c>
    </row>
    <row r="3595" spans="1:16">
      <c r="A3595" s="2">
        <v>37844</v>
      </c>
      <c r="B3595" s="1">
        <v>38.99</v>
      </c>
      <c r="C3595" s="1">
        <v>39.04</v>
      </c>
      <c r="D3595" s="1">
        <v>38.35</v>
      </c>
      <c r="E3595" s="1">
        <v>38.93</v>
      </c>
      <c r="F3595" s="1">
        <v>5239100</v>
      </c>
      <c r="G3595" s="1">
        <v>38.93</v>
      </c>
      <c r="H3595" s="1">
        <f t="shared" si="504"/>
        <v>0.68999999999999773</v>
      </c>
      <c r="I3595" s="9">
        <f t="shared" si="511"/>
        <v>1.7992177314211152E-2</v>
      </c>
      <c r="J3595" s="1">
        <f t="shared" si="512"/>
        <v>-0.21999999999999886</v>
      </c>
      <c r="K3595" s="9">
        <f t="shared" si="505"/>
        <v>-5.6194125159642113E-3</v>
      </c>
      <c r="L3595" s="1">
        <f t="shared" si="506"/>
        <v>1</v>
      </c>
      <c r="M3595" s="1">
        <f t="shared" si="507"/>
        <v>39.04</v>
      </c>
      <c r="N3595" s="1">
        <f t="shared" si="508"/>
        <v>38.35</v>
      </c>
      <c r="O3595" s="1">
        <f t="shared" si="509"/>
        <v>36.97</v>
      </c>
      <c r="P3595" s="1">
        <f t="shared" si="510"/>
        <v>18.862244897959183</v>
      </c>
    </row>
    <row r="3596" spans="1:16">
      <c r="A3596" s="2">
        <v>37841</v>
      </c>
      <c r="B3596" s="1">
        <v>39.130000000000003</v>
      </c>
      <c r="C3596" s="1">
        <v>39.4</v>
      </c>
      <c r="D3596" s="1">
        <v>38.630000000000003</v>
      </c>
      <c r="E3596" s="1">
        <v>39.15</v>
      </c>
      <c r="F3596" s="1">
        <v>4810900</v>
      </c>
      <c r="G3596" s="1">
        <v>39.15</v>
      </c>
      <c r="H3596" s="1">
        <f t="shared" si="504"/>
        <v>0.76999999999999602</v>
      </c>
      <c r="I3596" s="9">
        <f t="shared" si="511"/>
        <v>1.9932694796789954E-2</v>
      </c>
      <c r="J3596" s="1">
        <f t="shared" si="512"/>
        <v>0.14000000000000057</v>
      </c>
      <c r="K3596" s="9">
        <f t="shared" si="505"/>
        <v>3.5888233786208813E-3</v>
      </c>
      <c r="L3596" s="1">
        <f t="shared" si="506"/>
        <v>1</v>
      </c>
      <c r="M3596" s="1">
        <f t="shared" si="507"/>
        <v>39.4</v>
      </c>
      <c r="N3596" s="1">
        <f t="shared" si="508"/>
        <v>38.630000000000003</v>
      </c>
      <c r="O3596" s="1">
        <f t="shared" si="509"/>
        <v>37.19</v>
      </c>
      <c r="P3596" s="1">
        <f t="shared" si="510"/>
        <v>18.974489795918366</v>
      </c>
    </row>
    <row r="3597" spans="1:16">
      <c r="A3597" s="2">
        <v>37840</v>
      </c>
      <c r="B3597" s="1">
        <v>39</v>
      </c>
      <c r="C3597" s="1">
        <v>39.340000000000003</v>
      </c>
      <c r="D3597" s="1">
        <v>38.590000000000003</v>
      </c>
      <c r="E3597" s="1">
        <v>39.01</v>
      </c>
      <c r="F3597" s="1">
        <v>6395500</v>
      </c>
      <c r="G3597" s="1">
        <v>39.01</v>
      </c>
      <c r="H3597" s="1">
        <f t="shared" si="504"/>
        <v>0.75</v>
      </c>
      <c r="I3597" s="9">
        <f t="shared" si="511"/>
        <v>1.9435086810054417E-2</v>
      </c>
      <c r="J3597" s="1">
        <f t="shared" si="512"/>
        <v>7.0000000000000284E-2</v>
      </c>
      <c r="K3597" s="9">
        <f t="shared" si="505"/>
        <v>1.7976373908577372E-3</v>
      </c>
      <c r="L3597" s="1">
        <f t="shared" si="506"/>
        <v>1</v>
      </c>
      <c r="M3597" s="1">
        <f t="shared" si="507"/>
        <v>39.340000000000003</v>
      </c>
      <c r="N3597" s="1">
        <f t="shared" si="508"/>
        <v>38.590000000000003</v>
      </c>
      <c r="O3597" s="1">
        <f t="shared" si="509"/>
        <v>37.049999999999997</v>
      </c>
      <c r="P3597" s="1">
        <f t="shared" si="510"/>
        <v>18.903061224489793</v>
      </c>
    </row>
    <row r="3598" spans="1:16">
      <c r="A3598" s="2">
        <v>37839</v>
      </c>
      <c r="B3598" s="1">
        <v>38.619999999999997</v>
      </c>
      <c r="C3598" s="1">
        <v>39.950000000000003</v>
      </c>
      <c r="D3598" s="1">
        <v>38.28</v>
      </c>
      <c r="E3598" s="1">
        <v>38.94</v>
      </c>
      <c r="F3598" s="1">
        <v>9192600</v>
      </c>
      <c r="G3598" s="1">
        <v>38.94</v>
      </c>
      <c r="H3598" s="1">
        <f t="shared" si="504"/>
        <v>1.6700000000000017</v>
      </c>
      <c r="I3598" s="9">
        <f t="shared" si="511"/>
        <v>4.3625914315569531E-2</v>
      </c>
      <c r="J3598" s="1">
        <f t="shared" si="512"/>
        <v>0.26999999999999602</v>
      </c>
      <c r="K3598" s="9">
        <f t="shared" si="505"/>
        <v>6.9821567106282912E-3</v>
      </c>
      <c r="L3598" s="1">
        <f t="shared" si="506"/>
        <v>1</v>
      </c>
      <c r="M3598" s="1">
        <f t="shared" si="507"/>
        <v>39.950000000000003</v>
      </c>
      <c r="N3598" s="1">
        <f t="shared" si="508"/>
        <v>38.28</v>
      </c>
      <c r="O3598" s="1">
        <f t="shared" si="509"/>
        <v>36.979999999999997</v>
      </c>
      <c r="P3598" s="1">
        <f t="shared" si="510"/>
        <v>18.867346938775508</v>
      </c>
    </row>
    <row r="3599" spans="1:16">
      <c r="A3599" s="2">
        <v>37838</v>
      </c>
      <c r="B3599" s="1">
        <v>39.24</v>
      </c>
      <c r="C3599" s="1">
        <v>39.85</v>
      </c>
      <c r="D3599" s="1">
        <v>38.630000000000003</v>
      </c>
      <c r="E3599" s="1">
        <v>38.67</v>
      </c>
      <c r="F3599" s="1">
        <v>6816200</v>
      </c>
      <c r="G3599" s="1">
        <v>38.67</v>
      </c>
      <c r="H3599" s="1">
        <f t="shared" si="504"/>
        <v>1.2199999999999989</v>
      </c>
      <c r="I3599" s="9">
        <f t="shared" si="511"/>
        <v>3.158167227543357E-2</v>
      </c>
      <c r="J3599" s="1">
        <f t="shared" si="512"/>
        <v>-0.97999999999999687</v>
      </c>
      <c r="K3599" s="9">
        <f t="shared" si="505"/>
        <v>-2.4716267339218081E-2</v>
      </c>
      <c r="L3599" s="1">
        <f t="shared" si="506"/>
        <v>1</v>
      </c>
      <c r="M3599" s="1">
        <f t="shared" si="507"/>
        <v>39.85</v>
      </c>
      <c r="N3599" s="1">
        <f t="shared" si="508"/>
        <v>38.630000000000003</v>
      </c>
      <c r="O3599" s="1">
        <f t="shared" si="509"/>
        <v>36.71</v>
      </c>
      <c r="P3599" s="1">
        <f t="shared" si="510"/>
        <v>18.729591836734695</v>
      </c>
    </row>
    <row r="3600" spans="1:16">
      <c r="A3600" s="2">
        <v>37837</v>
      </c>
      <c r="B3600" s="1">
        <v>39.700000000000003</v>
      </c>
      <c r="C3600" s="1">
        <v>40.29</v>
      </c>
      <c r="D3600" s="1">
        <v>38.950000000000003</v>
      </c>
      <c r="E3600" s="1">
        <v>39.65</v>
      </c>
      <c r="F3600" s="1">
        <v>7054400</v>
      </c>
      <c r="G3600" s="1">
        <v>39.65</v>
      </c>
      <c r="H3600" s="1">
        <f t="shared" si="504"/>
        <v>1.3399999999999963</v>
      </c>
      <c r="I3600" s="9">
        <f t="shared" si="511"/>
        <v>3.4403080872913896E-2</v>
      </c>
      <c r="J3600" s="1">
        <f t="shared" si="512"/>
        <v>-0.38000000000000256</v>
      </c>
      <c r="K3600" s="9">
        <f t="shared" si="505"/>
        <v>-9.4928803397452549E-3</v>
      </c>
      <c r="L3600" s="1">
        <f t="shared" si="506"/>
        <v>1</v>
      </c>
      <c r="M3600" s="1">
        <f t="shared" si="507"/>
        <v>40.29</v>
      </c>
      <c r="N3600" s="1">
        <f t="shared" si="508"/>
        <v>38.950000000000003</v>
      </c>
      <c r="O3600" s="1">
        <f t="shared" si="509"/>
        <v>37.69</v>
      </c>
      <c r="P3600" s="1">
        <f t="shared" si="510"/>
        <v>19.229591836734691</v>
      </c>
    </row>
    <row r="3601" spans="1:16">
      <c r="A3601" s="2">
        <v>37834</v>
      </c>
      <c r="B3601" s="1">
        <v>41.41</v>
      </c>
      <c r="C3601" s="1">
        <v>41.63</v>
      </c>
      <c r="D3601" s="1">
        <v>39.78</v>
      </c>
      <c r="E3601" s="1">
        <v>40.03</v>
      </c>
      <c r="F3601" s="1">
        <v>8805200</v>
      </c>
      <c r="G3601" s="1">
        <v>40.03</v>
      </c>
      <c r="H3601" s="1">
        <f t="shared" si="504"/>
        <v>1.8500000000000014</v>
      </c>
      <c r="I3601" s="9">
        <f t="shared" si="511"/>
        <v>4.6505781799899483E-2</v>
      </c>
      <c r="J3601" s="1">
        <f t="shared" si="512"/>
        <v>-1.6099999999999994</v>
      </c>
      <c r="K3601" s="9">
        <f t="shared" si="505"/>
        <v>-3.866474543707972E-2</v>
      </c>
      <c r="L3601" s="1">
        <f t="shared" si="506"/>
        <v>1</v>
      </c>
      <c r="M3601" s="1">
        <f t="shared" si="507"/>
        <v>41.63</v>
      </c>
      <c r="N3601" s="1">
        <f t="shared" si="508"/>
        <v>39.78</v>
      </c>
      <c r="O3601" s="1">
        <f t="shared" si="509"/>
        <v>38.07</v>
      </c>
      <c r="P3601" s="1">
        <f t="shared" si="510"/>
        <v>19.423469387755102</v>
      </c>
    </row>
    <row r="3602" spans="1:16">
      <c r="A3602" s="2">
        <v>37833</v>
      </c>
      <c r="B3602" s="1">
        <v>41.35</v>
      </c>
      <c r="C3602" s="1">
        <v>41.97</v>
      </c>
      <c r="D3602" s="1">
        <v>40.67</v>
      </c>
      <c r="E3602" s="1">
        <v>41.64</v>
      </c>
      <c r="F3602" s="1">
        <v>8970700</v>
      </c>
      <c r="G3602" s="1">
        <v>41.64</v>
      </c>
      <c r="H3602" s="1">
        <f t="shared" si="504"/>
        <v>1.2999999999999972</v>
      </c>
      <c r="I3602" s="9">
        <f t="shared" si="511"/>
        <v>3.196459306614205E-2</v>
      </c>
      <c r="J3602" s="1">
        <f t="shared" si="512"/>
        <v>0.98000000000000398</v>
      </c>
      <c r="K3602" s="9">
        <f t="shared" si="505"/>
        <v>2.410231185440246E-2</v>
      </c>
      <c r="L3602" s="1">
        <f t="shared" si="506"/>
        <v>1</v>
      </c>
      <c r="M3602" s="1">
        <f t="shared" si="507"/>
        <v>41.97</v>
      </c>
      <c r="N3602" s="1">
        <f t="shared" si="508"/>
        <v>40.67</v>
      </c>
      <c r="O3602" s="1">
        <f t="shared" si="509"/>
        <v>39.68</v>
      </c>
      <c r="P3602" s="1">
        <f t="shared" si="510"/>
        <v>20.244897959183675</v>
      </c>
    </row>
    <row r="3603" spans="1:16">
      <c r="A3603" s="2">
        <v>37832</v>
      </c>
      <c r="B3603" s="1">
        <v>41.15</v>
      </c>
      <c r="C3603" s="1">
        <v>41.27</v>
      </c>
      <c r="D3603" s="1">
        <v>40.450000000000003</v>
      </c>
      <c r="E3603" s="1">
        <v>40.659999999999997</v>
      </c>
      <c r="F3603" s="1">
        <v>7166300</v>
      </c>
      <c r="G3603" s="1">
        <v>40.659999999999997</v>
      </c>
      <c r="H3603" s="1">
        <f t="shared" si="504"/>
        <v>0.82000000000000028</v>
      </c>
      <c r="I3603" s="9">
        <f t="shared" si="511"/>
        <v>2.0271940667490735E-2</v>
      </c>
      <c r="J3603" s="1">
        <f t="shared" si="512"/>
        <v>-0.73000000000000398</v>
      </c>
      <c r="K3603" s="9">
        <f t="shared" si="505"/>
        <v>-1.7637110413143368E-2</v>
      </c>
      <c r="L3603" s="1">
        <f t="shared" si="506"/>
        <v>1</v>
      </c>
      <c r="M3603" s="1">
        <f t="shared" si="507"/>
        <v>41.27</v>
      </c>
      <c r="N3603" s="1">
        <f t="shared" si="508"/>
        <v>40.450000000000003</v>
      </c>
      <c r="O3603" s="1">
        <f t="shared" si="509"/>
        <v>38.699999999999996</v>
      </c>
      <c r="P3603" s="1">
        <f t="shared" si="510"/>
        <v>19.744897959183671</v>
      </c>
    </row>
    <row r="3604" spans="1:16">
      <c r="A3604" s="2">
        <v>37831</v>
      </c>
      <c r="B3604" s="1">
        <v>41.99</v>
      </c>
      <c r="C3604" s="1">
        <v>42.5</v>
      </c>
      <c r="D3604" s="1">
        <v>41.06</v>
      </c>
      <c r="E3604" s="1">
        <v>41.39</v>
      </c>
      <c r="F3604" s="1">
        <v>7825500</v>
      </c>
      <c r="G3604" s="1">
        <v>41.39</v>
      </c>
      <c r="H3604" s="1">
        <f t="shared" si="504"/>
        <v>1.4399999999999977</v>
      </c>
      <c r="I3604" s="9">
        <f t="shared" si="511"/>
        <v>3.5070628348757855E-2</v>
      </c>
      <c r="J3604" s="1">
        <f t="shared" si="512"/>
        <v>-0.68999999999999773</v>
      </c>
      <c r="K3604" s="9">
        <f t="shared" si="505"/>
        <v>-1.6397338403041771E-2</v>
      </c>
      <c r="L3604" s="1">
        <f t="shared" si="506"/>
        <v>1</v>
      </c>
      <c r="M3604" s="1">
        <f t="shared" si="507"/>
        <v>42.5</v>
      </c>
      <c r="N3604" s="1">
        <f t="shared" si="508"/>
        <v>41.06</v>
      </c>
      <c r="O3604" s="1">
        <f t="shared" si="509"/>
        <v>39.43</v>
      </c>
      <c r="P3604" s="1">
        <f t="shared" si="510"/>
        <v>20.117346938775512</v>
      </c>
    </row>
    <row r="3605" spans="1:16">
      <c r="A3605" s="2">
        <v>37830</v>
      </c>
      <c r="B3605" s="1">
        <v>41.49</v>
      </c>
      <c r="C3605" s="1">
        <v>42.18</v>
      </c>
      <c r="D3605" s="1">
        <v>40.869999999999997</v>
      </c>
      <c r="E3605" s="1">
        <v>42.08</v>
      </c>
      <c r="F3605" s="1">
        <v>7453200</v>
      </c>
      <c r="G3605" s="1">
        <v>42.08</v>
      </c>
      <c r="H3605" s="1">
        <f t="shared" si="504"/>
        <v>1.3100000000000023</v>
      </c>
      <c r="I3605" s="9">
        <f t="shared" si="511"/>
        <v>3.2052850501590464E-2</v>
      </c>
      <c r="J3605" s="1">
        <f t="shared" si="512"/>
        <v>0.47999999999999687</v>
      </c>
      <c r="K3605" s="9">
        <f t="shared" si="505"/>
        <v>1.1538461538461463E-2</v>
      </c>
      <c r="L3605" s="1">
        <f t="shared" si="506"/>
        <v>1</v>
      </c>
      <c r="M3605" s="1">
        <f t="shared" si="507"/>
        <v>42.18</v>
      </c>
      <c r="N3605" s="1">
        <f t="shared" si="508"/>
        <v>40.869999999999997</v>
      </c>
      <c r="O3605" s="1">
        <f t="shared" si="509"/>
        <v>40.119999999999997</v>
      </c>
      <c r="P3605" s="1">
        <f t="shared" si="510"/>
        <v>20.469387755102041</v>
      </c>
    </row>
    <row r="3606" spans="1:16">
      <c r="A3606" s="2">
        <v>37827</v>
      </c>
      <c r="B3606" s="1">
        <v>40.74</v>
      </c>
      <c r="C3606" s="1">
        <v>41.65</v>
      </c>
      <c r="D3606" s="1">
        <v>39.75</v>
      </c>
      <c r="E3606" s="1">
        <v>41.6</v>
      </c>
      <c r="F3606" s="1">
        <v>10647600</v>
      </c>
      <c r="G3606" s="1">
        <v>41.6</v>
      </c>
      <c r="H3606" s="1">
        <f t="shared" si="504"/>
        <v>1.8999999999999986</v>
      </c>
      <c r="I3606" s="9">
        <f t="shared" si="511"/>
        <v>4.7798742138364742E-2</v>
      </c>
      <c r="J3606" s="1">
        <f t="shared" si="512"/>
        <v>0.28999999999999915</v>
      </c>
      <c r="K3606" s="9">
        <f t="shared" si="505"/>
        <v>7.0200919874122275E-3</v>
      </c>
      <c r="L3606" s="1">
        <f t="shared" si="506"/>
        <v>1</v>
      </c>
      <c r="M3606" s="1">
        <f t="shared" si="507"/>
        <v>41.65</v>
      </c>
      <c r="N3606" s="1">
        <f t="shared" si="508"/>
        <v>39.75</v>
      </c>
      <c r="O3606" s="1">
        <f t="shared" si="509"/>
        <v>39.64</v>
      </c>
      <c r="P3606" s="1">
        <f t="shared" si="510"/>
        <v>20.22448979591837</v>
      </c>
    </row>
    <row r="3607" spans="1:16">
      <c r="A3607" s="2">
        <v>37826</v>
      </c>
      <c r="B3607" s="1">
        <v>41.05</v>
      </c>
      <c r="C3607" s="1">
        <v>43.1</v>
      </c>
      <c r="D3607" s="1">
        <v>40.58</v>
      </c>
      <c r="E3607" s="1">
        <v>41.31</v>
      </c>
      <c r="F3607" s="1">
        <v>23828000</v>
      </c>
      <c r="G3607" s="1">
        <v>41.31</v>
      </c>
      <c r="H3607" s="1">
        <f t="shared" si="504"/>
        <v>2.5200000000000031</v>
      </c>
      <c r="I3607" s="9">
        <f t="shared" si="511"/>
        <v>6.2099556431739852E-2</v>
      </c>
      <c r="J3607" s="1">
        <f t="shared" si="512"/>
        <v>1.2000000000000028</v>
      </c>
      <c r="K3607" s="9">
        <f t="shared" si="505"/>
        <v>2.9917726252804859E-2</v>
      </c>
      <c r="L3607" s="1">
        <f t="shared" si="506"/>
        <v>1</v>
      </c>
      <c r="M3607" s="1">
        <f t="shared" si="507"/>
        <v>43.1</v>
      </c>
      <c r="N3607" s="1">
        <f t="shared" si="508"/>
        <v>40.58</v>
      </c>
      <c r="O3607" s="1">
        <f t="shared" si="509"/>
        <v>39.35</v>
      </c>
      <c r="P3607" s="1">
        <f t="shared" si="510"/>
        <v>20.076530612244898</v>
      </c>
    </row>
    <row r="3608" spans="1:16">
      <c r="A3608" s="2">
        <v>37825</v>
      </c>
      <c r="B3608" s="1">
        <v>37.75</v>
      </c>
      <c r="C3608" s="1">
        <v>40.25</v>
      </c>
      <c r="D3608" s="1">
        <v>37.35</v>
      </c>
      <c r="E3608" s="1">
        <v>40.11</v>
      </c>
      <c r="F3608" s="1">
        <v>32178100</v>
      </c>
      <c r="G3608" s="1">
        <v>40.11</v>
      </c>
      <c r="H3608" s="1">
        <f t="shared" si="504"/>
        <v>2.8999999999999986</v>
      </c>
      <c r="I3608" s="9">
        <f t="shared" si="511"/>
        <v>7.7643908969210126E-2</v>
      </c>
      <c r="J3608" s="1">
        <f t="shared" si="512"/>
        <v>5.240000000000002</v>
      </c>
      <c r="K3608" s="9">
        <f t="shared" si="505"/>
        <v>0.15027244049326074</v>
      </c>
      <c r="L3608" s="1">
        <f t="shared" si="506"/>
        <v>1</v>
      </c>
      <c r="M3608" s="1">
        <f t="shared" si="507"/>
        <v>40.25</v>
      </c>
      <c r="N3608" s="1">
        <f t="shared" si="508"/>
        <v>37.35</v>
      </c>
      <c r="O3608" s="1">
        <f t="shared" si="509"/>
        <v>38.15</v>
      </c>
      <c r="P3608" s="1">
        <f t="shared" si="510"/>
        <v>19.464285714285715</v>
      </c>
    </row>
    <row r="3609" spans="1:16">
      <c r="A3609" s="2">
        <v>37824</v>
      </c>
      <c r="B3609" s="1">
        <v>35.700000000000003</v>
      </c>
      <c r="C3609" s="1">
        <v>36</v>
      </c>
      <c r="D3609" s="1">
        <v>34</v>
      </c>
      <c r="E3609" s="1">
        <v>34.869999999999997</v>
      </c>
      <c r="F3609" s="1">
        <v>15896800</v>
      </c>
      <c r="G3609" s="1">
        <v>34.869999999999997</v>
      </c>
      <c r="H3609" s="1">
        <f t="shared" si="504"/>
        <v>2</v>
      </c>
      <c r="I3609" s="9">
        <f t="shared" si="511"/>
        <v>5.8823529411764705E-2</v>
      </c>
      <c r="J3609" s="1">
        <f t="shared" si="512"/>
        <v>-0.46000000000000085</v>
      </c>
      <c r="K3609" s="9">
        <f t="shared" si="505"/>
        <v>-1.3020096235493939E-2</v>
      </c>
      <c r="L3609" s="1">
        <f t="shared" si="506"/>
        <v>1</v>
      </c>
      <c r="M3609" s="1">
        <f t="shared" si="507"/>
        <v>36</v>
      </c>
      <c r="N3609" s="1">
        <f t="shared" si="508"/>
        <v>34</v>
      </c>
      <c r="O3609" s="1">
        <f t="shared" si="509"/>
        <v>32.909999999999997</v>
      </c>
      <c r="P3609" s="1">
        <f t="shared" si="510"/>
        <v>16.79081632653061</v>
      </c>
    </row>
    <row r="3610" spans="1:16">
      <c r="A3610" s="2">
        <v>37823</v>
      </c>
      <c r="B3610" s="1">
        <v>34.71</v>
      </c>
      <c r="C3610" s="1">
        <v>36</v>
      </c>
      <c r="D3610" s="1">
        <v>34.6</v>
      </c>
      <c r="E3610" s="1">
        <v>35.33</v>
      </c>
      <c r="F3610" s="1">
        <v>9825700</v>
      </c>
      <c r="G3610" s="1">
        <v>35.33</v>
      </c>
      <c r="H3610" s="1">
        <f t="shared" si="504"/>
        <v>1.3999999999999986</v>
      </c>
      <c r="I3610" s="9">
        <f t="shared" si="511"/>
        <v>4.0462427745664699E-2</v>
      </c>
      <c r="J3610" s="1">
        <f t="shared" si="512"/>
        <v>0.35000000000000142</v>
      </c>
      <c r="K3610" s="9">
        <f t="shared" si="505"/>
        <v>1.0005717552887405E-2</v>
      </c>
      <c r="L3610" s="1">
        <f t="shared" si="506"/>
        <v>1</v>
      </c>
      <c r="M3610" s="1">
        <f t="shared" si="507"/>
        <v>36</v>
      </c>
      <c r="N3610" s="1">
        <f t="shared" si="508"/>
        <v>34.6</v>
      </c>
      <c r="O3610" s="1">
        <f t="shared" si="509"/>
        <v>33.369999999999997</v>
      </c>
      <c r="P3610" s="1">
        <f t="shared" si="510"/>
        <v>17.02551020408163</v>
      </c>
    </row>
    <row r="3611" spans="1:16">
      <c r="A3611" s="2">
        <v>37820</v>
      </c>
      <c r="B3611" s="1">
        <v>36.32</v>
      </c>
      <c r="C3611" s="1">
        <v>36.85</v>
      </c>
      <c r="D3611" s="1">
        <v>34.79</v>
      </c>
      <c r="E3611" s="1">
        <v>34.979999999999997</v>
      </c>
      <c r="F3611" s="1">
        <v>13402900</v>
      </c>
      <c r="G3611" s="1">
        <v>34.979999999999997</v>
      </c>
      <c r="H3611" s="1">
        <f t="shared" si="504"/>
        <v>2.0600000000000023</v>
      </c>
      <c r="I3611" s="9">
        <f t="shared" si="511"/>
        <v>5.921241736131079E-2</v>
      </c>
      <c r="J3611" s="1">
        <f t="shared" si="512"/>
        <v>-1.3400000000000034</v>
      </c>
      <c r="K3611" s="9">
        <f t="shared" si="505"/>
        <v>-3.6894273127753396E-2</v>
      </c>
      <c r="L3611" s="1">
        <f t="shared" si="506"/>
        <v>1</v>
      </c>
      <c r="M3611" s="1">
        <f t="shared" si="507"/>
        <v>36.85</v>
      </c>
      <c r="N3611" s="1">
        <f t="shared" si="508"/>
        <v>34.79</v>
      </c>
      <c r="O3611" s="1">
        <f t="shared" si="509"/>
        <v>33.019999999999996</v>
      </c>
      <c r="P3611" s="1">
        <f t="shared" si="510"/>
        <v>16.846938775510203</v>
      </c>
    </row>
    <row r="3612" spans="1:16">
      <c r="A3612" s="2">
        <v>37819</v>
      </c>
      <c r="B3612" s="1">
        <v>37.15</v>
      </c>
      <c r="C3612" s="1">
        <v>37.299999999999997</v>
      </c>
      <c r="D3612" s="1">
        <v>36.04</v>
      </c>
      <c r="E3612" s="1">
        <v>36.32</v>
      </c>
      <c r="F3612" s="1">
        <v>7642000</v>
      </c>
      <c r="G3612" s="1">
        <v>36.32</v>
      </c>
      <c r="H3612" s="1">
        <f t="shared" si="504"/>
        <v>1.259999999999998</v>
      </c>
      <c r="I3612" s="9">
        <f t="shared" si="511"/>
        <v>3.4961154273029912E-2</v>
      </c>
      <c r="J3612" s="1">
        <f t="shared" si="512"/>
        <v>-1.3599999999999994</v>
      </c>
      <c r="K3612" s="9">
        <f t="shared" si="505"/>
        <v>-3.609341825902334E-2</v>
      </c>
      <c r="L3612" s="1">
        <f t="shared" si="506"/>
        <v>1</v>
      </c>
      <c r="M3612" s="1">
        <f t="shared" si="507"/>
        <v>37.299999999999997</v>
      </c>
      <c r="N3612" s="1">
        <f t="shared" si="508"/>
        <v>36.04</v>
      </c>
      <c r="O3612" s="1">
        <f t="shared" si="509"/>
        <v>34.36</v>
      </c>
      <c r="P3612" s="1">
        <f t="shared" si="510"/>
        <v>17.530612244897959</v>
      </c>
    </row>
    <row r="3613" spans="1:16">
      <c r="A3613" s="2">
        <v>37818</v>
      </c>
      <c r="B3613" s="1">
        <v>38.520000000000003</v>
      </c>
      <c r="C3613" s="1">
        <v>38.520000000000003</v>
      </c>
      <c r="D3613" s="1">
        <v>37.32</v>
      </c>
      <c r="E3613" s="1">
        <v>37.68</v>
      </c>
      <c r="F3613" s="1">
        <v>5625600</v>
      </c>
      <c r="G3613" s="1">
        <v>37.68</v>
      </c>
      <c r="H3613" s="1">
        <f t="shared" si="504"/>
        <v>1.2000000000000028</v>
      </c>
      <c r="I3613" s="9">
        <f t="shared" si="511"/>
        <v>3.2154340836012936E-2</v>
      </c>
      <c r="J3613" s="1">
        <f t="shared" si="512"/>
        <v>-0.75</v>
      </c>
      <c r="K3613" s="9">
        <f t="shared" si="505"/>
        <v>-1.95160031225605E-2</v>
      </c>
      <c r="L3613" s="1">
        <f t="shared" si="506"/>
        <v>1</v>
      </c>
      <c r="M3613" s="1">
        <f t="shared" si="507"/>
        <v>38.520000000000003</v>
      </c>
      <c r="N3613" s="1">
        <f t="shared" si="508"/>
        <v>37.32</v>
      </c>
      <c r="O3613" s="1">
        <f t="shared" si="509"/>
        <v>35.72</v>
      </c>
      <c r="P3613" s="1">
        <f t="shared" si="510"/>
        <v>18.224489795918366</v>
      </c>
    </row>
    <row r="3614" spans="1:16">
      <c r="A3614" s="2">
        <v>37817</v>
      </c>
      <c r="B3614" s="1">
        <v>39.61</v>
      </c>
      <c r="C3614" s="1">
        <v>39.61</v>
      </c>
      <c r="D3614" s="1">
        <v>37.619999999999997</v>
      </c>
      <c r="E3614" s="1">
        <v>38.43</v>
      </c>
      <c r="F3614" s="1">
        <v>5851500</v>
      </c>
      <c r="G3614" s="1">
        <v>38.43</v>
      </c>
      <c r="H3614" s="1">
        <f t="shared" si="504"/>
        <v>1.990000000000002</v>
      </c>
      <c r="I3614" s="9">
        <f t="shared" si="511"/>
        <v>5.2897395002658214E-2</v>
      </c>
      <c r="J3614" s="1">
        <f t="shared" si="512"/>
        <v>-0.84000000000000341</v>
      </c>
      <c r="K3614" s="9">
        <f t="shared" si="505"/>
        <v>-2.1390374331550888E-2</v>
      </c>
      <c r="L3614" s="1">
        <f t="shared" si="506"/>
        <v>1</v>
      </c>
      <c r="M3614" s="1">
        <f t="shared" si="507"/>
        <v>39.61</v>
      </c>
      <c r="N3614" s="1">
        <f t="shared" si="508"/>
        <v>37.619999999999997</v>
      </c>
      <c r="O3614" s="1">
        <f t="shared" si="509"/>
        <v>36.47</v>
      </c>
      <c r="P3614" s="1">
        <f t="shared" si="510"/>
        <v>18.607142857142858</v>
      </c>
    </row>
    <row r="3615" spans="1:16">
      <c r="A3615" s="2">
        <v>37816</v>
      </c>
      <c r="B3615" s="1">
        <v>38.5</v>
      </c>
      <c r="C3615" s="1">
        <v>39.61</v>
      </c>
      <c r="D3615" s="1">
        <v>38.24</v>
      </c>
      <c r="E3615" s="1">
        <v>39.270000000000003</v>
      </c>
      <c r="F3615" s="1">
        <v>8690300</v>
      </c>
      <c r="G3615" s="1">
        <v>39.270000000000003</v>
      </c>
      <c r="H3615" s="1">
        <f t="shared" si="504"/>
        <v>1.3699999999999974</v>
      </c>
      <c r="I3615" s="9">
        <f t="shared" si="511"/>
        <v>3.5826359832635914E-2</v>
      </c>
      <c r="J3615" s="1">
        <f t="shared" si="512"/>
        <v>1.6200000000000045</v>
      </c>
      <c r="K3615" s="9">
        <f t="shared" si="505"/>
        <v>4.3027888446215259E-2</v>
      </c>
      <c r="L3615" s="1">
        <f t="shared" si="506"/>
        <v>1</v>
      </c>
      <c r="M3615" s="1">
        <f t="shared" si="507"/>
        <v>39.61</v>
      </c>
      <c r="N3615" s="1">
        <f t="shared" si="508"/>
        <v>38.24</v>
      </c>
      <c r="O3615" s="1">
        <f t="shared" si="509"/>
        <v>37.31</v>
      </c>
      <c r="P3615" s="1">
        <f t="shared" si="510"/>
        <v>19.035714285714288</v>
      </c>
    </row>
    <row r="3616" spans="1:16">
      <c r="A3616" s="2">
        <v>37813</v>
      </c>
      <c r="B3616" s="1">
        <v>38.299999999999997</v>
      </c>
      <c r="C3616" s="1">
        <v>38.299999999999997</v>
      </c>
      <c r="D3616" s="1">
        <v>37.1</v>
      </c>
      <c r="E3616" s="1">
        <v>37.65</v>
      </c>
      <c r="F3616" s="1">
        <v>11559900</v>
      </c>
      <c r="G3616" s="1">
        <v>37.65</v>
      </c>
      <c r="H3616" s="1">
        <f t="shared" si="504"/>
        <v>1.1999999999999957</v>
      </c>
      <c r="I3616" s="9">
        <f t="shared" si="511"/>
        <v>3.2345013477088833E-2</v>
      </c>
      <c r="J3616" s="1">
        <f t="shared" si="512"/>
        <v>-0.60000000000000142</v>
      </c>
      <c r="K3616" s="9">
        <f t="shared" si="505"/>
        <v>-1.568627450980396E-2</v>
      </c>
      <c r="L3616" s="1">
        <f t="shared" si="506"/>
        <v>1</v>
      </c>
      <c r="M3616" s="1">
        <f t="shared" si="507"/>
        <v>38.299999999999997</v>
      </c>
      <c r="N3616" s="1">
        <f t="shared" si="508"/>
        <v>37.1</v>
      </c>
      <c r="O3616" s="1">
        <f t="shared" si="509"/>
        <v>35.69</v>
      </c>
      <c r="P3616" s="1">
        <f t="shared" si="510"/>
        <v>18.209183673469386</v>
      </c>
    </row>
    <row r="3617" spans="1:16">
      <c r="A3617" s="2">
        <v>37812</v>
      </c>
      <c r="B3617" s="1">
        <v>39.119999999999997</v>
      </c>
      <c r="C3617" s="1">
        <v>39.5</v>
      </c>
      <c r="D3617" s="1">
        <v>38.200000000000003</v>
      </c>
      <c r="E3617" s="1">
        <v>38.25</v>
      </c>
      <c r="F3617" s="1">
        <v>8825600</v>
      </c>
      <c r="G3617" s="1">
        <v>38.25</v>
      </c>
      <c r="H3617" s="1">
        <f t="shared" si="504"/>
        <v>1.2999999999999972</v>
      </c>
      <c r="I3617" s="9">
        <f t="shared" si="511"/>
        <v>3.403141361256537E-2</v>
      </c>
      <c r="J3617" s="1">
        <f t="shared" si="512"/>
        <v>-2.25</v>
      </c>
      <c r="K3617" s="9">
        <f t="shared" si="505"/>
        <v>-5.5555555555555552E-2</v>
      </c>
      <c r="L3617" s="1">
        <f t="shared" si="506"/>
        <v>1</v>
      </c>
      <c r="M3617" s="1">
        <f t="shared" si="507"/>
        <v>39.5</v>
      </c>
      <c r="N3617" s="1">
        <f t="shared" si="508"/>
        <v>38.200000000000003</v>
      </c>
      <c r="O3617" s="1">
        <f t="shared" si="509"/>
        <v>36.29</v>
      </c>
      <c r="P3617" s="1">
        <f t="shared" si="510"/>
        <v>18.51530612244898</v>
      </c>
    </row>
    <row r="3618" spans="1:16">
      <c r="A3618" s="2">
        <v>37811</v>
      </c>
      <c r="B3618" s="1">
        <v>40.54</v>
      </c>
      <c r="C3618" s="1">
        <v>40.729999999999997</v>
      </c>
      <c r="D3618" s="1">
        <v>39.869999999999997</v>
      </c>
      <c r="E3618" s="1">
        <v>40.5</v>
      </c>
      <c r="F3618" s="1">
        <v>7832200</v>
      </c>
      <c r="G3618" s="1">
        <v>40.5</v>
      </c>
      <c r="H3618" s="1">
        <f t="shared" si="504"/>
        <v>0.85999999999999943</v>
      </c>
      <c r="I3618" s="9">
        <f t="shared" si="511"/>
        <v>2.1570102834211173E-2</v>
      </c>
      <c r="J3618" s="1">
        <f t="shared" si="512"/>
        <v>-9.9999999999980105E-3</v>
      </c>
      <c r="K3618" s="9">
        <f t="shared" si="505"/>
        <v>-2.4685262898044953E-4</v>
      </c>
      <c r="L3618" s="1">
        <f t="shared" si="506"/>
        <v>1</v>
      </c>
      <c r="M3618" s="1">
        <f t="shared" si="507"/>
        <v>40.729999999999997</v>
      </c>
      <c r="N3618" s="1">
        <f t="shared" si="508"/>
        <v>39.869999999999997</v>
      </c>
      <c r="O3618" s="1">
        <f t="shared" si="509"/>
        <v>38.54</v>
      </c>
      <c r="P3618" s="1">
        <f t="shared" si="510"/>
        <v>19.663265306122447</v>
      </c>
    </row>
    <row r="3619" spans="1:16">
      <c r="A3619" s="2">
        <v>37810</v>
      </c>
      <c r="B3619" s="1">
        <v>38.76</v>
      </c>
      <c r="C3619" s="1">
        <v>40.83</v>
      </c>
      <c r="D3619" s="1">
        <v>38.75</v>
      </c>
      <c r="E3619" s="1">
        <v>40.51</v>
      </c>
      <c r="F3619" s="1">
        <v>12145400</v>
      </c>
      <c r="G3619" s="1">
        <v>40.51</v>
      </c>
      <c r="H3619" s="1">
        <f t="shared" si="504"/>
        <v>2.0799999999999983</v>
      </c>
      <c r="I3619" s="9">
        <f t="shared" si="511"/>
        <v>5.3677419354838662E-2</v>
      </c>
      <c r="J3619" s="1">
        <f t="shared" si="512"/>
        <v>1.4600000000000009</v>
      </c>
      <c r="K3619" s="9">
        <f t="shared" si="505"/>
        <v>3.7387964148527554E-2</v>
      </c>
      <c r="L3619" s="1">
        <f t="shared" si="506"/>
        <v>1</v>
      </c>
      <c r="M3619" s="1">
        <f t="shared" si="507"/>
        <v>40.83</v>
      </c>
      <c r="N3619" s="1">
        <f t="shared" si="508"/>
        <v>38.75</v>
      </c>
      <c r="O3619" s="1">
        <f t="shared" si="509"/>
        <v>38.549999999999997</v>
      </c>
      <c r="P3619" s="1">
        <f t="shared" si="510"/>
        <v>19.668367346938773</v>
      </c>
    </row>
    <row r="3620" spans="1:16">
      <c r="A3620" s="2">
        <v>37809</v>
      </c>
      <c r="B3620" s="1">
        <v>38.299999999999997</v>
      </c>
      <c r="C3620" s="1">
        <v>39.1</v>
      </c>
      <c r="D3620" s="1">
        <v>37.950000000000003</v>
      </c>
      <c r="E3620" s="1">
        <v>39.049999999999997</v>
      </c>
      <c r="F3620" s="1">
        <v>6697300</v>
      </c>
      <c r="G3620" s="1">
        <v>39.049999999999997</v>
      </c>
      <c r="H3620" s="1">
        <f t="shared" si="504"/>
        <v>1.1499999999999986</v>
      </c>
      <c r="I3620" s="9">
        <f t="shared" si="511"/>
        <v>3.0303030303030262E-2</v>
      </c>
      <c r="J3620" s="1">
        <f t="shared" si="512"/>
        <v>1.1299999999999955</v>
      </c>
      <c r="K3620" s="9">
        <f t="shared" si="505"/>
        <v>2.9799578059071609E-2</v>
      </c>
      <c r="L3620" s="1">
        <f t="shared" si="506"/>
        <v>1</v>
      </c>
      <c r="M3620" s="1">
        <f t="shared" si="507"/>
        <v>39.1</v>
      </c>
      <c r="N3620" s="1">
        <f t="shared" si="508"/>
        <v>37.950000000000003</v>
      </c>
      <c r="O3620" s="1">
        <f t="shared" si="509"/>
        <v>37.089999999999996</v>
      </c>
      <c r="P3620" s="1">
        <f t="shared" si="510"/>
        <v>18.923469387755102</v>
      </c>
    </row>
    <row r="3621" spans="1:16">
      <c r="A3621" s="2">
        <v>37805</v>
      </c>
      <c r="B3621" s="1">
        <v>37.020000000000003</v>
      </c>
      <c r="C3621" s="1">
        <v>38.159999999999997</v>
      </c>
      <c r="D3621" s="1">
        <v>37.020000000000003</v>
      </c>
      <c r="E3621" s="1">
        <v>37.92</v>
      </c>
      <c r="F3621" s="1">
        <v>3846000</v>
      </c>
      <c r="G3621" s="1">
        <v>37.92</v>
      </c>
      <c r="H3621" s="1">
        <f t="shared" si="504"/>
        <v>1.1399999999999935</v>
      </c>
      <c r="I3621" s="9">
        <f t="shared" si="511"/>
        <v>3.0794165316045202E-2</v>
      </c>
      <c r="J3621" s="1">
        <f t="shared" si="512"/>
        <v>7.0000000000000284E-2</v>
      </c>
      <c r="K3621" s="9">
        <f t="shared" si="505"/>
        <v>1.8494055482166521E-3</v>
      </c>
      <c r="L3621" s="1">
        <f t="shared" si="506"/>
        <v>1</v>
      </c>
      <c r="M3621" s="1">
        <f t="shared" si="507"/>
        <v>38.159999999999997</v>
      </c>
      <c r="N3621" s="1">
        <f t="shared" si="508"/>
        <v>37.020000000000003</v>
      </c>
      <c r="O3621" s="1">
        <f t="shared" si="509"/>
        <v>35.96</v>
      </c>
      <c r="P3621" s="1">
        <f t="shared" si="510"/>
        <v>18.346938775510203</v>
      </c>
    </row>
    <row r="3622" spans="1:16">
      <c r="A3622" s="2">
        <v>37804</v>
      </c>
      <c r="B3622" s="1">
        <v>37.6</v>
      </c>
      <c r="C3622" s="1">
        <v>37.89</v>
      </c>
      <c r="D3622" s="1">
        <v>37.14</v>
      </c>
      <c r="E3622" s="1">
        <v>37.85</v>
      </c>
      <c r="F3622" s="1">
        <v>6086100</v>
      </c>
      <c r="G3622" s="1">
        <v>37.85</v>
      </c>
      <c r="H3622" s="1">
        <f t="shared" si="504"/>
        <v>0.75</v>
      </c>
      <c r="I3622" s="9">
        <f t="shared" si="511"/>
        <v>2.0193861066235864E-2</v>
      </c>
      <c r="J3622" s="1">
        <f t="shared" si="512"/>
        <v>0.60000000000000142</v>
      </c>
      <c r="K3622" s="9">
        <f t="shared" si="505"/>
        <v>1.6107382550335607E-2</v>
      </c>
      <c r="L3622" s="1">
        <f t="shared" si="506"/>
        <v>1</v>
      </c>
      <c r="M3622" s="1">
        <f t="shared" si="507"/>
        <v>37.89</v>
      </c>
      <c r="N3622" s="1">
        <f t="shared" si="508"/>
        <v>37.14</v>
      </c>
      <c r="O3622" s="1">
        <f t="shared" si="509"/>
        <v>35.89</v>
      </c>
      <c r="P3622" s="1">
        <f t="shared" si="510"/>
        <v>18.311224489795919</v>
      </c>
    </row>
    <row r="3623" spans="1:16">
      <c r="A3623" s="2">
        <v>37803</v>
      </c>
      <c r="B3623" s="1">
        <v>36.33</v>
      </c>
      <c r="C3623" s="1">
        <v>37.29</v>
      </c>
      <c r="D3623" s="1">
        <v>35.700000000000003</v>
      </c>
      <c r="E3623" s="1">
        <v>37.25</v>
      </c>
      <c r="F3623" s="1">
        <v>7242800</v>
      </c>
      <c r="G3623" s="1">
        <v>37.25</v>
      </c>
      <c r="H3623" s="1">
        <f t="shared" si="504"/>
        <v>1.5899999999999963</v>
      </c>
      <c r="I3623" s="9">
        <f t="shared" si="511"/>
        <v>4.4537815126050311E-2</v>
      </c>
      <c r="J3623" s="1">
        <f t="shared" si="512"/>
        <v>0.92999999999999972</v>
      </c>
      <c r="K3623" s="9">
        <f t="shared" si="505"/>
        <v>2.5605726872246687E-2</v>
      </c>
      <c r="L3623" s="1">
        <f t="shared" si="506"/>
        <v>1</v>
      </c>
      <c r="M3623" s="1">
        <f t="shared" si="507"/>
        <v>37.29</v>
      </c>
      <c r="N3623" s="1">
        <f t="shared" si="508"/>
        <v>35.700000000000003</v>
      </c>
      <c r="O3623" s="1">
        <f t="shared" si="509"/>
        <v>35.29</v>
      </c>
      <c r="P3623" s="1">
        <f t="shared" si="510"/>
        <v>18.005102040816325</v>
      </c>
    </row>
    <row r="3624" spans="1:16">
      <c r="A3624" s="2">
        <v>37802</v>
      </c>
      <c r="B3624" s="1">
        <v>36.630000000000003</v>
      </c>
      <c r="C3624" s="1">
        <v>36.82</v>
      </c>
      <c r="D3624" s="1">
        <v>36.020000000000003</v>
      </c>
      <c r="E3624" s="1">
        <v>36.32</v>
      </c>
      <c r="F3624" s="1">
        <v>5143900</v>
      </c>
      <c r="G3624" s="1">
        <v>36.32</v>
      </c>
      <c r="H3624" s="1">
        <f t="shared" si="504"/>
        <v>0.79999999999999716</v>
      </c>
      <c r="I3624" s="9">
        <f t="shared" si="511"/>
        <v>2.2209883398112078E-2</v>
      </c>
      <c r="J3624" s="1">
        <f t="shared" si="512"/>
        <v>2.0000000000003126E-2</v>
      </c>
      <c r="K3624" s="9">
        <f t="shared" si="505"/>
        <v>5.5096418732790984E-4</v>
      </c>
      <c r="L3624" s="1">
        <f t="shared" si="506"/>
        <v>1</v>
      </c>
      <c r="M3624" s="1">
        <f t="shared" si="507"/>
        <v>36.82</v>
      </c>
      <c r="N3624" s="1">
        <f t="shared" si="508"/>
        <v>36.020000000000003</v>
      </c>
      <c r="O3624" s="1">
        <f t="shared" si="509"/>
        <v>34.36</v>
      </c>
      <c r="P3624" s="1">
        <f t="shared" si="510"/>
        <v>17.530612244897959</v>
      </c>
    </row>
    <row r="3625" spans="1:16">
      <c r="A3625" s="2">
        <v>37799</v>
      </c>
      <c r="B3625" s="1">
        <v>36.69</v>
      </c>
      <c r="C3625" s="1">
        <v>37.090000000000003</v>
      </c>
      <c r="D3625" s="1">
        <v>36.18</v>
      </c>
      <c r="E3625" s="1">
        <v>36.299999999999997</v>
      </c>
      <c r="F3625" s="1">
        <v>6756500</v>
      </c>
      <c r="G3625" s="1">
        <v>36.299999999999997</v>
      </c>
      <c r="H3625" s="1">
        <f t="shared" si="504"/>
        <v>0.91000000000000369</v>
      </c>
      <c r="I3625" s="9">
        <f t="shared" si="511"/>
        <v>2.5152017689331223E-2</v>
      </c>
      <c r="J3625" s="1">
        <f t="shared" si="512"/>
        <v>-0.42000000000000171</v>
      </c>
      <c r="K3625" s="9">
        <f t="shared" si="505"/>
        <v>-1.1437908496732072E-2</v>
      </c>
      <c r="L3625" s="1">
        <f t="shared" si="506"/>
        <v>1</v>
      </c>
      <c r="M3625" s="1">
        <f t="shared" si="507"/>
        <v>37.090000000000003</v>
      </c>
      <c r="N3625" s="1">
        <f t="shared" si="508"/>
        <v>36.18</v>
      </c>
      <c r="O3625" s="1">
        <f t="shared" si="509"/>
        <v>34.339999999999996</v>
      </c>
      <c r="P3625" s="1">
        <f t="shared" si="510"/>
        <v>17.520408163265305</v>
      </c>
    </row>
    <row r="3626" spans="1:16">
      <c r="A3626" s="2">
        <v>37798</v>
      </c>
      <c r="B3626" s="1">
        <v>35.21</v>
      </c>
      <c r="C3626" s="1">
        <v>36.840000000000003</v>
      </c>
      <c r="D3626" s="1">
        <v>35.06</v>
      </c>
      <c r="E3626" s="1">
        <v>36.72</v>
      </c>
      <c r="F3626" s="1">
        <v>10292400</v>
      </c>
      <c r="G3626" s="1">
        <v>36.72</v>
      </c>
      <c r="H3626" s="1">
        <f t="shared" si="504"/>
        <v>1.7800000000000011</v>
      </c>
      <c r="I3626" s="9">
        <f t="shared" si="511"/>
        <v>5.0770108385624672E-2</v>
      </c>
      <c r="J3626" s="1">
        <f t="shared" si="512"/>
        <v>1.3299999999999983</v>
      </c>
      <c r="K3626" s="9">
        <f t="shared" si="505"/>
        <v>3.7581237637750731E-2</v>
      </c>
      <c r="L3626" s="1">
        <f t="shared" si="506"/>
        <v>1</v>
      </c>
      <c r="M3626" s="1">
        <f t="shared" si="507"/>
        <v>36.840000000000003</v>
      </c>
      <c r="N3626" s="1">
        <f t="shared" si="508"/>
        <v>35.06</v>
      </c>
      <c r="O3626" s="1">
        <f t="shared" si="509"/>
        <v>34.76</v>
      </c>
      <c r="P3626" s="1">
        <f t="shared" si="510"/>
        <v>17.73469387755102</v>
      </c>
    </row>
    <row r="3627" spans="1:16">
      <c r="A3627" s="2">
        <v>37797</v>
      </c>
      <c r="B3627" s="1">
        <v>35.299999999999997</v>
      </c>
      <c r="C3627" s="1">
        <v>36.130000000000003</v>
      </c>
      <c r="D3627" s="1">
        <v>35.15</v>
      </c>
      <c r="E3627" s="1">
        <v>35.39</v>
      </c>
      <c r="F3627" s="1">
        <v>6659000</v>
      </c>
      <c r="G3627" s="1">
        <v>35.39</v>
      </c>
      <c r="H3627" s="1">
        <f t="shared" si="504"/>
        <v>0.98000000000000398</v>
      </c>
      <c r="I3627" s="9">
        <f t="shared" si="511"/>
        <v>2.788051209103852E-2</v>
      </c>
      <c r="J3627" s="1">
        <f t="shared" si="512"/>
        <v>-9.9999999999980105E-3</v>
      </c>
      <c r="K3627" s="9">
        <f t="shared" si="505"/>
        <v>-2.8248587570615848E-4</v>
      </c>
      <c r="L3627" s="1">
        <f t="shared" si="506"/>
        <v>1</v>
      </c>
      <c r="M3627" s="1">
        <f t="shared" si="507"/>
        <v>36.130000000000003</v>
      </c>
      <c r="N3627" s="1">
        <f t="shared" si="508"/>
        <v>35.15</v>
      </c>
      <c r="O3627" s="1">
        <f t="shared" si="509"/>
        <v>33.43</v>
      </c>
      <c r="P3627" s="1">
        <f t="shared" si="510"/>
        <v>17.056122448979593</v>
      </c>
    </row>
    <row r="3628" spans="1:16">
      <c r="A3628" s="2">
        <v>37796</v>
      </c>
      <c r="B3628" s="1">
        <v>35.369999999999997</v>
      </c>
      <c r="C3628" s="1">
        <v>35.82</v>
      </c>
      <c r="D3628" s="1">
        <v>34.54</v>
      </c>
      <c r="E3628" s="1">
        <v>35.4</v>
      </c>
      <c r="F3628" s="1">
        <v>8177200</v>
      </c>
      <c r="G3628" s="1">
        <v>35.4</v>
      </c>
      <c r="H3628" s="1">
        <f t="shared" si="504"/>
        <v>1.2800000000000011</v>
      </c>
      <c r="I3628" s="9">
        <f t="shared" si="511"/>
        <v>3.7058482918355562E-2</v>
      </c>
      <c r="J3628" s="1">
        <f t="shared" si="512"/>
        <v>-0.17999999999999972</v>
      </c>
      <c r="K3628" s="9">
        <f t="shared" si="505"/>
        <v>-5.0590219224283224E-3</v>
      </c>
      <c r="L3628" s="1">
        <f t="shared" si="506"/>
        <v>1</v>
      </c>
      <c r="M3628" s="1">
        <f t="shared" si="507"/>
        <v>35.82</v>
      </c>
      <c r="N3628" s="1">
        <f t="shared" si="508"/>
        <v>34.54</v>
      </c>
      <c r="O3628" s="1">
        <f t="shared" si="509"/>
        <v>33.44</v>
      </c>
      <c r="P3628" s="1">
        <f t="shared" si="510"/>
        <v>17.061224489795919</v>
      </c>
    </row>
    <row r="3629" spans="1:16">
      <c r="A3629" s="2">
        <v>37795</v>
      </c>
      <c r="B3629" s="1">
        <v>35.479999999999997</v>
      </c>
      <c r="C3629" s="1">
        <v>35.86</v>
      </c>
      <c r="D3629" s="1">
        <v>35.03</v>
      </c>
      <c r="E3629" s="1">
        <v>35.58</v>
      </c>
      <c r="F3629" s="1">
        <v>8407300</v>
      </c>
      <c r="G3629" s="1">
        <v>35.58</v>
      </c>
      <c r="H3629" s="1">
        <f t="shared" si="504"/>
        <v>0.82999999999999829</v>
      </c>
      <c r="I3629" s="9">
        <f t="shared" si="511"/>
        <v>2.3693976591492957E-2</v>
      </c>
      <c r="J3629" s="1">
        <f t="shared" si="512"/>
        <v>0.53999999999999915</v>
      </c>
      <c r="K3629" s="9">
        <f t="shared" si="505"/>
        <v>1.5410958904109566E-2</v>
      </c>
      <c r="L3629" s="1">
        <f t="shared" si="506"/>
        <v>1</v>
      </c>
      <c r="M3629" s="1">
        <f t="shared" si="507"/>
        <v>35.86</v>
      </c>
      <c r="N3629" s="1">
        <f t="shared" si="508"/>
        <v>35.03</v>
      </c>
      <c r="O3629" s="1">
        <f t="shared" si="509"/>
        <v>33.619999999999997</v>
      </c>
      <c r="P3629" s="1">
        <f t="shared" si="510"/>
        <v>17.153061224489797</v>
      </c>
    </row>
    <row r="3630" spans="1:16">
      <c r="A3630" s="2">
        <v>37792</v>
      </c>
      <c r="B3630" s="1">
        <v>35.799999999999997</v>
      </c>
      <c r="C3630" s="1">
        <v>35.880000000000003</v>
      </c>
      <c r="D3630" s="1">
        <v>34.840000000000003</v>
      </c>
      <c r="E3630" s="1">
        <v>35.04</v>
      </c>
      <c r="F3630" s="1">
        <v>7012500</v>
      </c>
      <c r="G3630" s="1">
        <v>35.04</v>
      </c>
      <c r="H3630" s="1">
        <f t="shared" si="504"/>
        <v>1.0399999999999991</v>
      </c>
      <c r="I3630" s="9">
        <f t="shared" si="511"/>
        <v>2.9850746268656688E-2</v>
      </c>
      <c r="J3630" s="1">
        <f t="shared" si="512"/>
        <v>-0.46000000000000085</v>
      </c>
      <c r="K3630" s="9">
        <f t="shared" si="505"/>
        <v>-1.2957746478873263E-2</v>
      </c>
      <c r="L3630" s="1">
        <f t="shared" si="506"/>
        <v>1</v>
      </c>
      <c r="M3630" s="1">
        <f t="shared" si="507"/>
        <v>35.880000000000003</v>
      </c>
      <c r="N3630" s="1">
        <f t="shared" si="508"/>
        <v>34.840000000000003</v>
      </c>
      <c r="O3630" s="1">
        <f t="shared" si="509"/>
        <v>33.08</v>
      </c>
      <c r="P3630" s="1">
        <f t="shared" si="510"/>
        <v>16.877551020408163</v>
      </c>
    </row>
    <row r="3631" spans="1:16">
      <c r="A3631" s="2">
        <v>37791</v>
      </c>
      <c r="B3631" s="1">
        <v>35.799999999999997</v>
      </c>
      <c r="C3631" s="1">
        <v>36.75</v>
      </c>
      <c r="D3631" s="1">
        <v>35.380000000000003</v>
      </c>
      <c r="E3631" s="1">
        <v>35.5</v>
      </c>
      <c r="F3631" s="1">
        <v>5988100</v>
      </c>
      <c r="G3631" s="1">
        <v>35.5</v>
      </c>
      <c r="H3631" s="1">
        <f t="shared" si="504"/>
        <v>1.3699999999999974</v>
      </c>
      <c r="I3631" s="9">
        <f t="shared" si="511"/>
        <v>3.8722442057659623E-2</v>
      </c>
      <c r="J3631" s="1">
        <f t="shared" si="512"/>
        <v>-0.35000000000000142</v>
      </c>
      <c r="K3631" s="9">
        <f t="shared" si="505"/>
        <v>-9.762900976290137E-3</v>
      </c>
      <c r="L3631" s="1">
        <f t="shared" si="506"/>
        <v>1</v>
      </c>
      <c r="M3631" s="1">
        <f t="shared" si="507"/>
        <v>36.75</v>
      </c>
      <c r="N3631" s="1">
        <f t="shared" si="508"/>
        <v>35.380000000000003</v>
      </c>
      <c r="O3631" s="1">
        <f t="shared" si="509"/>
        <v>33.54</v>
      </c>
      <c r="P3631" s="1">
        <f t="shared" si="510"/>
        <v>17.112244897959183</v>
      </c>
    </row>
    <row r="3632" spans="1:16">
      <c r="A3632" s="2">
        <v>37790</v>
      </c>
      <c r="B3632" s="1">
        <v>35.5</v>
      </c>
      <c r="C3632" s="1">
        <v>37.24</v>
      </c>
      <c r="D3632" s="1">
        <v>35.35</v>
      </c>
      <c r="E3632" s="1">
        <v>35.85</v>
      </c>
      <c r="F3632" s="1">
        <v>11206800</v>
      </c>
      <c r="G3632" s="1">
        <v>35.85</v>
      </c>
      <c r="H3632" s="1">
        <f t="shared" si="504"/>
        <v>1.8900000000000006</v>
      </c>
      <c r="I3632" s="9">
        <f t="shared" si="511"/>
        <v>5.3465346534653478E-2</v>
      </c>
      <c r="J3632" s="1">
        <f t="shared" si="512"/>
        <v>9.9999999999980105E-3</v>
      </c>
      <c r="K3632" s="9">
        <f t="shared" si="505"/>
        <v>2.7901785714280162E-4</v>
      </c>
      <c r="L3632" s="1">
        <f t="shared" si="506"/>
        <v>1</v>
      </c>
      <c r="M3632" s="1">
        <f t="shared" si="507"/>
        <v>37.24</v>
      </c>
      <c r="N3632" s="1">
        <f t="shared" si="508"/>
        <v>35.35</v>
      </c>
      <c r="O3632" s="1">
        <f t="shared" si="509"/>
        <v>33.89</v>
      </c>
      <c r="P3632" s="1">
        <f t="shared" si="510"/>
        <v>17.290816326530614</v>
      </c>
    </row>
    <row r="3633" spans="1:16">
      <c r="A3633" s="2">
        <v>37789</v>
      </c>
      <c r="B3633" s="1">
        <v>35.93</v>
      </c>
      <c r="C3633" s="1">
        <v>36.369999999999997</v>
      </c>
      <c r="D3633" s="1">
        <v>35.25</v>
      </c>
      <c r="E3633" s="1">
        <v>35.840000000000003</v>
      </c>
      <c r="F3633" s="1">
        <v>8249900</v>
      </c>
      <c r="G3633" s="1">
        <v>35.840000000000003</v>
      </c>
      <c r="H3633" s="1">
        <f t="shared" si="504"/>
        <v>1.1199999999999974</v>
      </c>
      <c r="I3633" s="9">
        <f t="shared" si="511"/>
        <v>3.1773049645389996E-2</v>
      </c>
      <c r="J3633" s="1">
        <f t="shared" si="512"/>
        <v>0</v>
      </c>
      <c r="K3633" s="9">
        <f t="shared" si="505"/>
        <v>0</v>
      </c>
      <c r="L3633" s="1">
        <f t="shared" si="506"/>
        <v>1</v>
      </c>
      <c r="M3633" s="1">
        <f t="shared" si="507"/>
        <v>36.369999999999997</v>
      </c>
      <c r="N3633" s="1">
        <f t="shared" si="508"/>
        <v>35.25</v>
      </c>
      <c r="O3633" s="1">
        <f t="shared" si="509"/>
        <v>33.880000000000003</v>
      </c>
      <c r="P3633" s="1">
        <f t="shared" si="510"/>
        <v>17.285714285714288</v>
      </c>
    </row>
    <row r="3634" spans="1:16">
      <c r="A3634" s="2">
        <v>37788</v>
      </c>
      <c r="B3634" s="1">
        <v>34.57</v>
      </c>
      <c r="C3634" s="1">
        <v>35.85</v>
      </c>
      <c r="D3634" s="1">
        <v>34.08</v>
      </c>
      <c r="E3634" s="1">
        <v>35.840000000000003</v>
      </c>
      <c r="F3634" s="1">
        <v>7127900</v>
      </c>
      <c r="G3634" s="1">
        <v>35.840000000000003</v>
      </c>
      <c r="H3634" s="1">
        <f t="shared" si="504"/>
        <v>1.7700000000000031</v>
      </c>
      <c r="I3634" s="9">
        <f t="shared" si="511"/>
        <v>5.1936619718309956E-2</v>
      </c>
      <c r="J3634" s="1">
        <f t="shared" si="512"/>
        <v>1.7100000000000009</v>
      </c>
      <c r="K3634" s="9">
        <f t="shared" si="505"/>
        <v>5.0102549077058328E-2</v>
      </c>
      <c r="L3634" s="1">
        <f t="shared" si="506"/>
        <v>1</v>
      </c>
      <c r="M3634" s="1">
        <f t="shared" si="507"/>
        <v>35.85</v>
      </c>
      <c r="N3634" s="1">
        <f t="shared" si="508"/>
        <v>34.08</v>
      </c>
      <c r="O3634" s="1">
        <f t="shared" si="509"/>
        <v>33.880000000000003</v>
      </c>
      <c r="P3634" s="1">
        <f t="shared" si="510"/>
        <v>17.285714285714288</v>
      </c>
    </row>
    <row r="3635" spans="1:16">
      <c r="A3635" s="2">
        <v>37785</v>
      </c>
      <c r="B3635" s="1">
        <v>35.4</v>
      </c>
      <c r="C3635" s="1">
        <v>35.450000000000003</v>
      </c>
      <c r="D3635" s="1">
        <v>34.049999999999997</v>
      </c>
      <c r="E3635" s="1">
        <v>34.130000000000003</v>
      </c>
      <c r="F3635" s="1">
        <v>6011800</v>
      </c>
      <c r="G3635" s="1">
        <v>34.130000000000003</v>
      </c>
      <c r="H3635" s="1">
        <f t="shared" si="504"/>
        <v>1.4000000000000057</v>
      </c>
      <c r="I3635" s="9">
        <f t="shared" si="511"/>
        <v>4.1116005873715299E-2</v>
      </c>
      <c r="J3635" s="1">
        <f t="shared" si="512"/>
        <v>-1.0700000000000003</v>
      </c>
      <c r="K3635" s="9">
        <f t="shared" si="505"/>
        <v>-3.0397727272727278E-2</v>
      </c>
      <c r="L3635" s="1">
        <f t="shared" si="506"/>
        <v>1</v>
      </c>
      <c r="M3635" s="1">
        <f t="shared" si="507"/>
        <v>35.450000000000003</v>
      </c>
      <c r="N3635" s="1">
        <f t="shared" si="508"/>
        <v>34.049999999999997</v>
      </c>
      <c r="O3635" s="1">
        <f t="shared" si="509"/>
        <v>32.17</v>
      </c>
      <c r="P3635" s="1">
        <f t="shared" si="510"/>
        <v>16.413265306122451</v>
      </c>
    </row>
    <row r="3636" spans="1:16">
      <c r="A3636" s="2">
        <v>37784</v>
      </c>
      <c r="B3636" s="1">
        <v>35.299999999999997</v>
      </c>
      <c r="C3636" s="1">
        <v>35.4</v>
      </c>
      <c r="D3636" s="1">
        <v>34.71</v>
      </c>
      <c r="E3636" s="1">
        <v>35.200000000000003</v>
      </c>
      <c r="F3636" s="1">
        <v>7032500</v>
      </c>
      <c r="G3636" s="1">
        <v>35.200000000000003</v>
      </c>
      <c r="H3636" s="1">
        <f t="shared" si="504"/>
        <v>0.68999999999999773</v>
      </c>
      <c r="I3636" s="9">
        <f t="shared" si="511"/>
        <v>1.9878997407087227E-2</v>
      </c>
      <c r="J3636" s="1">
        <f t="shared" si="512"/>
        <v>0.55000000000000426</v>
      </c>
      <c r="K3636" s="9">
        <f t="shared" si="505"/>
        <v>1.5873015873015997E-2</v>
      </c>
      <c r="L3636" s="1">
        <f t="shared" si="506"/>
        <v>1</v>
      </c>
      <c r="M3636" s="1">
        <f t="shared" si="507"/>
        <v>35.4</v>
      </c>
      <c r="N3636" s="1">
        <f t="shared" si="508"/>
        <v>34.71</v>
      </c>
      <c r="O3636" s="1">
        <f t="shared" si="509"/>
        <v>33.24</v>
      </c>
      <c r="P3636" s="1">
        <f t="shared" si="510"/>
        <v>16.95918367346939</v>
      </c>
    </row>
    <row r="3637" spans="1:16">
      <c r="A3637" s="2">
        <v>37783</v>
      </c>
      <c r="B3637" s="1">
        <v>33.97</v>
      </c>
      <c r="C3637" s="1">
        <v>34.81</v>
      </c>
      <c r="D3637" s="1">
        <v>33.6</v>
      </c>
      <c r="E3637" s="1">
        <v>34.65</v>
      </c>
      <c r="F3637" s="1">
        <v>7746400</v>
      </c>
      <c r="G3637" s="1">
        <v>34.65</v>
      </c>
      <c r="H3637" s="1">
        <f t="shared" si="504"/>
        <v>1.2100000000000009</v>
      </c>
      <c r="I3637" s="9">
        <f t="shared" si="511"/>
        <v>3.6011904761904787E-2</v>
      </c>
      <c r="J3637" s="1">
        <f t="shared" si="512"/>
        <v>0.57999999999999829</v>
      </c>
      <c r="K3637" s="9">
        <f t="shared" si="505"/>
        <v>1.7023774581743419E-2</v>
      </c>
      <c r="L3637" s="1">
        <f t="shared" si="506"/>
        <v>1</v>
      </c>
      <c r="M3637" s="1">
        <f t="shared" si="507"/>
        <v>34.81</v>
      </c>
      <c r="N3637" s="1">
        <f t="shared" si="508"/>
        <v>33.6</v>
      </c>
      <c r="O3637" s="1">
        <f t="shared" si="509"/>
        <v>32.69</v>
      </c>
      <c r="P3637" s="1">
        <f t="shared" si="510"/>
        <v>16.678571428571427</v>
      </c>
    </row>
    <row r="3638" spans="1:16">
      <c r="A3638" s="2">
        <v>37782</v>
      </c>
      <c r="B3638" s="1">
        <v>34.020000000000003</v>
      </c>
      <c r="C3638" s="1">
        <v>34.380000000000003</v>
      </c>
      <c r="D3638" s="1">
        <v>32.83</v>
      </c>
      <c r="E3638" s="1">
        <v>34.07</v>
      </c>
      <c r="F3638" s="1">
        <v>9663600</v>
      </c>
      <c r="G3638" s="1">
        <v>34.07</v>
      </c>
      <c r="H3638" s="1">
        <f t="shared" si="504"/>
        <v>1.5500000000000043</v>
      </c>
      <c r="I3638" s="9">
        <f t="shared" si="511"/>
        <v>4.72129150167531E-2</v>
      </c>
      <c r="J3638" s="1">
        <f t="shared" si="512"/>
        <v>0.39000000000000057</v>
      </c>
      <c r="K3638" s="9">
        <f t="shared" si="505"/>
        <v>1.1579572446555837E-2</v>
      </c>
      <c r="L3638" s="1">
        <f t="shared" si="506"/>
        <v>1</v>
      </c>
      <c r="M3638" s="1">
        <f t="shared" si="507"/>
        <v>34.380000000000003</v>
      </c>
      <c r="N3638" s="1">
        <f t="shared" si="508"/>
        <v>32.83</v>
      </c>
      <c r="O3638" s="1">
        <f t="shared" si="509"/>
        <v>32.11</v>
      </c>
      <c r="P3638" s="1">
        <f t="shared" si="510"/>
        <v>16.382653061224488</v>
      </c>
    </row>
    <row r="3639" spans="1:16">
      <c r="A3639" s="2">
        <v>37781</v>
      </c>
      <c r="B3639" s="1">
        <v>34.47</v>
      </c>
      <c r="C3639" s="1">
        <v>34.47</v>
      </c>
      <c r="D3639" s="1">
        <v>33.08</v>
      </c>
      <c r="E3639" s="1">
        <v>33.68</v>
      </c>
      <c r="F3639" s="1">
        <v>8438400</v>
      </c>
      <c r="G3639" s="1">
        <v>33.68</v>
      </c>
      <c r="H3639" s="1">
        <f t="shared" si="504"/>
        <v>1.3900000000000006</v>
      </c>
      <c r="I3639" s="9">
        <f t="shared" si="511"/>
        <v>4.2019347037484903E-2</v>
      </c>
      <c r="J3639" s="1">
        <f t="shared" si="512"/>
        <v>0.32999999999999829</v>
      </c>
      <c r="K3639" s="9">
        <f t="shared" si="505"/>
        <v>9.8950524737630666E-3</v>
      </c>
      <c r="L3639" s="1">
        <f t="shared" si="506"/>
        <v>1</v>
      </c>
      <c r="M3639" s="1">
        <f t="shared" si="507"/>
        <v>34.47</v>
      </c>
      <c r="N3639" s="1">
        <f t="shared" si="508"/>
        <v>33.08</v>
      </c>
      <c r="O3639" s="1">
        <f t="shared" si="509"/>
        <v>31.72</v>
      </c>
      <c r="P3639" s="1">
        <f t="shared" si="510"/>
        <v>16.183673469387756</v>
      </c>
    </row>
    <row r="3640" spans="1:16">
      <c r="A3640" s="2">
        <v>37778</v>
      </c>
      <c r="B3640" s="1">
        <v>36.04</v>
      </c>
      <c r="C3640" s="1">
        <v>36.26</v>
      </c>
      <c r="D3640" s="1">
        <v>33.25</v>
      </c>
      <c r="E3640" s="1">
        <v>33.35</v>
      </c>
      <c r="F3640" s="1">
        <v>11380900</v>
      </c>
      <c r="G3640" s="1">
        <v>33.35</v>
      </c>
      <c r="H3640" s="1">
        <f t="shared" si="504"/>
        <v>3.009999999999998</v>
      </c>
      <c r="I3640" s="9">
        <f t="shared" si="511"/>
        <v>9.0526315789473621E-2</v>
      </c>
      <c r="J3640" s="1">
        <f t="shared" si="512"/>
        <v>-2.1700000000000017</v>
      </c>
      <c r="K3640" s="9">
        <f t="shared" si="505"/>
        <v>-6.1092342342342384E-2</v>
      </c>
      <c r="L3640" s="1">
        <f t="shared" si="506"/>
        <v>1</v>
      </c>
      <c r="M3640" s="1">
        <f t="shared" si="507"/>
        <v>36.26</v>
      </c>
      <c r="N3640" s="1">
        <f t="shared" si="508"/>
        <v>33.25</v>
      </c>
      <c r="O3640" s="1">
        <f t="shared" si="509"/>
        <v>31.39</v>
      </c>
      <c r="P3640" s="1">
        <f t="shared" si="510"/>
        <v>16.01530612244898</v>
      </c>
    </row>
    <row r="3641" spans="1:16">
      <c r="A3641" s="2">
        <v>37777</v>
      </c>
      <c r="B3641" s="1">
        <v>35.159999999999997</v>
      </c>
      <c r="C3641" s="1">
        <v>35.840000000000003</v>
      </c>
      <c r="D3641" s="1">
        <v>34.61</v>
      </c>
      <c r="E3641" s="1">
        <v>35.520000000000003</v>
      </c>
      <c r="F3641" s="1">
        <v>7193700</v>
      </c>
      <c r="G3641" s="1">
        <v>35.520000000000003</v>
      </c>
      <c r="H3641" s="1">
        <f t="shared" si="504"/>
        <v>1.230000000000004</v>
      </c>
      <c r="I3641" s="9">
        <f t="shared" si="511"/>
        <v>3.5538861600693555E-2</v>
      </c>
      <c r="J3641" s="1">
        <f t="shared" si="512"/>
        <v>0.13000000000000256</v>
      </c>
      <c r="K3641" s="9">
        <f t="shared" si="505"/>
        <v>3.6733540548178172E-3</v>
      </c>
      <c r="L3641" s="1">
        <f t="shared" si="506"/>
        <v>1</v>
      </c>
      <c r="M3641" s="1">
        <f t="shared" si="507"/>
        <v>35.840000000000003</v>
      </c>
      <c r="N3641" s="1">
        <f t="shared" si="508"/>
        <v>34.61</v>
      </c>
      <c r="O3641" s="1">
        <f t="shared" si="509"/>
        <v>33.56</v>
      </c>
      <c r="P3641" s="1">
        <f t="shared" si="510"/>
        <v>17.122448979591837</v>
      </c>
    </row>
    <row r="3642" spans="1:16">
      <c r="A3642" s="2">
        <v>37776</v>
      </c>
      <c r="B3642" s="1">
        <v>35</v>
      </c>
      <c r="C3642" s="1">
        <v>35.6</v>
      </c>
      <c r="D3642" s="1">
        <v>34.700000000000003</v>
      </c>
      <c r="E3642" s="1">
        <v>35.39</v>
      </c>
      <c r="F3642" s="1">
        <v>9333400</v>
      </c>
      <c r="G3642" s="1">
        <v>35.39</v>
      </c>
      <c r="H3642" s="1">
        <f t="shared" si="504"/>
        <v>0.89999999999999858</v>
      </c>
      <c r="I3642" s="9">
        <f t="shared" si="511"/>
        <v>2.5936599423631079E-2</v>
      </c>
      <c r="J3642" s="1">
        <f t="shared" si="512"/>
        <v>0.16000000000000369</v>
      </c>
      <c r="K3642" s="9">
        <f t="shared" si="505"/>
        <v>4.541583877377341E-3</v>
      </c>
      <c r="L3642" s="1">
        <f t="shared" si="506"/>
        <v>1</v>
      </c>
      <c r="M3642" s="1">
        <f t="shared" si="507"/>
        <v>35.6</v>
      </c>
      <c r="N3642" s="1">
        <f t="shared" si="508"/>
        <v>34.700000000000003</v>
      </c>
      <c r="O3642" s="1">
        <f t="shared" si="509"/>
        <v>33.43</v>
      </c>
      <c r="P3642" s="1">
        <f t="shared" si="510"/>
        <v>17.056122448979593</v>
      </c>
    </row>
    <row r="3643" spans="1:16">
      <c r="A3643" s="2">
        <v>37775</v>
      </c>
      <c r="B3643" s="1">
        <v>34.71</v>
      </c>
      <c r="C3643" s="1">
        <v>35.31</v>
      </c>
      <c r="D3643" s="1">
        <v>34.68</v>
      </c>
      <c r="E3643" s="1">
        <v>35.229999999999997</v>
      </c>
      <c r="F3643" s="1">
        <v>10095900</v>
      </c>
      <c r="G3643" s="1">
        <v>35.229999999999997</v>
      </c>
      <c r="H3643" s="1">
        <f t="shared" si="504"/>
        <v>0.63000000000000256</v>
      </c>
      <c r="I3643" s="9">
        <f t="shared" si="511"/>
        <v>1.8166089965397998E-2</v>
      </c>
      <c r="J3643" s="1">
        <f t="shared" si="512"/>
        <v>-0.17000000000000171</v>
      </c>
      <c r="K3643" s="9">
        <f t="shared" si="505"/>
        <v>-4.8022598870056978E-3</v>
      </c>
      <c r="L3643" s="1">
        <f t="shared" si="506"/>
        <v>1</v>
      </c>
      <c r="M3643" s="1">
        <f t="shared" si="507"/>
        <v>35.31</v>
      </c>
      <c r="N3643" s="1">
        <f t="shared" si="508"/>
        <v>34.68</v>
      </c>
      <c r="O3643" s="1">
        <f t="shared" si="509"/>
        <v>33.269999999999996</v>
      </c>
      <c r="P3643" s="1">
        <f t="shared" si="510"/>
        <v>16.974489795918366</v>
      </c>
    </row>
    <row r="3644" spans="1:16">
      <c r="A3644" s="2">
        <v>37774</v>
      </c>
      <c r="B3644" s="1">
        <v>36.5</v>
      </c>
      <c r="C3644" s="1">
        <v>36.68</v>
      </c>
      <c r="D3644" s="1">
        <v>35.35</v>
      </c>
      <c r="E3644" s="1">
        <v>35.4</v>
      </c>
      <c r="F3644" s="1">
        <v>9552700</v>
      </c>
      <c r="G3644" s="1">
        <v>35.4</v>
      </c>
      <c r="H3644" s="1">
        <f t="shared" si="504"/>
        <v>1.3299999999999983</v>
      </c>
      <c r="I3644" s="9">
        <f t="shared" si="511"/>
        <v>3.7623762376237574E-2</v>
      </c>
      <c r="J3644" s="1">
        <f t="shared" si="512"/>
        <v>-0.49000000000000199</v>
      </c>
      <c r="K3644" s="9">
        <f t="shared" si="505"/>
        <v>-1.3652828085817833E-2</v>
      </c>
      <c r="L3644" s="1">
        <f t="shared" si="506"/>
        <v>1</v>
      </c>
      <c r="M3644" s="1">
        <f t="shared" si="507"/>
        <v>36.68</v>
      </c>
      <c r="N3644" s="1">
        <f t="shared" si="508"/>
        <v>35.35</v>
      </c>
      <c r="O3644" s="1">
        <f t="shared" si="509"/>
        <v>33.44</v>
      </c>
      <c r="P3644" s="1">
        <f t="shared" si="510"/>
        <v>17.061224489795919</v>
      </c>
    </row>
    <row r="3645" spans="1:16">
      <c r="A3645" s="2">
        <v>37771</v>
      </c>
      <c r="B3645" s="1">
        <v>35.61</v>
      </c>
      <c r="C3645" s="1">
        <v>36.090000000000003</v>
      </c>
      <c r="D3645" s="1">
        <v>35</v>
      </c>
      <c r="E3645" s="1">
        <v>35.89</v>
      </c>
      <c r="F3645" s="1">
        <v>10190300</v>
      </c>
      <c r="G3645" s="1">
        <v>35.89</v>
      </c>
      <c r="H3645" s="1">
        <f t="shared" si="504"/>
        <v>1.0900000000000034</v>
      </c>
      <c r="I3645" s="9">
        <f t="shared" si="511"/>
        <v>3.1142857142857239E-2</v>
      </c>
      <c r="J3645" s="1">
        <f t="shared" si="512"/>
        <v>0.34000000000000341</v>
      </c>
      <c r="K3645" s="9">
        <f t="shared" si="505"/>
        <v>9.5639943741210529E-3</v>
      </c>
      <c r="L3645" s="1">
        <f t="shared" si="506"/>
        <v>1</v>
      </c>
      <c r="M3645" s="1">
        <f t="shared" si="507"/>
        <v>36.090000000000003</v>
      </c>
      <c r="N3645" s="1">
        <f t="shared" si="508"/>
        <v>35</v>
      </c>
      <c r="O3645" s="1">
        <f t="shared" si="509"/>
        <v>33.93</v>
      </c>
      <c r="P3645" s="1">
        <f t="shared" si="510"/>
        <v>17.311224489795919</v>
      </c>
    </row>
    <row r="3646" spans="1:16">
      <c r="A3646" s="2">
        <v>37770</v>
      </c>
      <c r="B3646" s="1">
        <v>34.89</v>
      </c>
      <c r="C3646" s="1">
        <v>35.97</v>
      </c>
      <c r="D3646" s="1">
        <v>34.700000000000003</v>
      </c>
      <c r="E3646" s="1">
        <v>35.549999999999997</v>
      </c>
      <c r="F3646" s="1">
        <v>9341600</v>
      </c>
      <c r="G3646" s="1">
        <v>35.549999999999997</v>
      </c>
      <c r="H3646" s="1">
        <f t="shared" si="504"/>
        <v>1.269999999999996</v>
      </c>
      <c r="I3646" s="9">
        <f t="shared" si="511"/>
        <v>3.6599423631123805E-2</v>
      </c>
      <c r="J3646" s="1">
        <f t="shared" si="512"/>
        <v>0.68999999999999773</v>
      </c>
      <c r="K3646" s="9">
        <f t="shared" si="505"/>
        <v>1.9793459552495632E-2</v>
      </c>
      <c r="L3646" s="1">
        <f t="shared" si="506"/>
        <v>1</v>
      </c>
      <c r="M3646" s="1">
        <f t="shared" si="507"/>
        <v>35.97</v>
      </c>
      <c r="N3646" s="1">
        <f t="shared" si="508"/>
        <v>34.700000000000003</v>
      </c>
      <c r="O3646" s="1">
        <f t="shared" si="509"/>
        <v>33.589999999999996</v>
      </c>
      <c r="P3646" s="1">
        <f t="shared" si="510"/>
        <v>17.137755102040813</v>
      </c>
    </row>
    <row r="3647" spans="1:16">
      <c r="A3647" s="2">
        <v>37769</v>
      </c>
      <c r="B3647" s="1">
        <v>34.880000000000003</v>
      </c>
      <c r="C3647" s="1">
        <v>35.729999999999997</v>
      </c>
      <c r="D3647" s="1">
        <v>34.65</v>
      </c>
      <c r="E3647" s="1">
        <v>34.86</v>
      </c>
      <c r="F3647" s="1">
        <v>9053100</v>
      </c>
      <c r="G3647" s="1">
        <v>34.86</v>
      </c>
      <c r="H3647" s="1">
        <f t="shared" si="504"/>
        <v>1.0799999999999983</v>
      </c>
      <c r="I3647" s="9">
        <f t="shared" si="511"/>
        <v>3.116883116883112E-2</v>
      </c>
      <c r="J3647" s="1">
        <f t="shared" si="512"/>
        <v>9.9999999999980105E-3</v>
      </c>
      <c r="K3647" s="9">
        <f t="shared" si="505"/>
        <v>2.8694404591099026E-4</v>
      </c>
      <c r="L3647" s="1">
        <f t="shared" si="506"/>
        <v>1</v>
      </c>
      <c r="M3647" s="1">
        <f t="shared" si="507"/>
        <v>35.729999999999997</v>
      </c>
      <c r="N3647" s="1">
        <f t="shared" si="508"/>
        <v>34.65</v>
      </c>
      <c r="O3647" s="1">
        <f t="shared" si="509"/>
        <v>32.9</v>
      </c>
      <c r="P3647" s="1">
        <f t="shared" si="510"/>
        <v>16.785714285714285</v>
      </c>
    </row>
    <row r="3648" spans="1:16">
      <c r="A3648" s="2">
        <v>37768</v>
      </c>
      <c r="B3648" s="1">
        <v>32.549999999999997</v>
      </c>
      <c r="C3648" s="1">
        <v>35.03</v>
      </c>
      <c r="D3648" s="1">
        <v>32.450000000000003</v>
      </c>
      <c r="E3648" s="1">
        <v>34.85</v>
      </c>
      <c r="F3648" s="1">
        <v>12225400</v>
      </c>
      <c r="G3648" s="1">
        <v>34.85</v>
      </c>
      <c r="H3648" s="1">
        <f t="shared" si="504"/>
        <v>2.5799999999999983</v>
      </c>
      <c r="I3648" s="9">
        <f t="shared" si="511"/>
        <v>7.9506933744221825E-2</v>
      </c>
      <c r="J3648" s="1">
        <f t="shared" si="512"/>
        <v>2.1300000000000026</v>
      </c>
      <c r="K3648" s="9">
        <f t="shared" si="505"/>
        <v>6.509779951100253E-2</v>
      </c>
      <c r="L3648" s="1">
        <f t="shared" si="506"/>
        <v>1</v>
      </c>
      <c r="M3648" s="1">
        <f t="shared" si="507"/>
        <v>35.03</v>
      </c>
      <c r="N3648" s="1">
        <f t="shared" si="508"/>
        <v>32.450000000000003</v>
      </c>
      <c r="O3648" s="1">
        <f t="shared" si="509"/>
        <v>32.89</v>
      </c>
      <c r="P3648" s="1">
        <f t="shared" si="510"/>
        <v>16.780612244897959</v>
      </c>
    </row>
    <row r="3649" spans="1:16">
      <c r="A3649" s="2">
        <v>37764</v>
      </c>
      <c r="B3649" s="1">
        <v>33.03</v>
      </c>
      <c r="C3649" s="1">
        <v>33.049999999999997</v>
      </c>
      <c r="D3649" s="1">
        <v>32.47</v>
      </c>
      <c r="E3649" s="1">
        <v>32.72</v>
      </c>
      <c r="F3649" s="1">
        <v>7063200</v>
      </c>
      <c r="G3649" s="1">
        <v>32.72</v>
      </c>
      <c r="H3649" s="1">
        <f t="shared" si="504"/>
        <v>0.57999999999999829</v>
      </c>
      <c r="I3649" s="9">
        <f t="shared" si="511"/>
        <v>1.786264243917457E-2</v>
      </c>
      <c r="J3649" s="1">
        <f t="shared" si="512"/>
        <v>-0.28000000000000114</v>
      </c>
      <c r="K3649" s="9">
        <f t="shared" si="505"/>
        <v>-8.4848484848485187E-3</v>
      </c>
      <c r="L3649" s="1">
        <f t="shared" si="506"/>
        <v>1</v>
      </c>
      <c r="M3649" s="1">
        <f t="shared" si="507"/>
        <v>33.049999999999997</v>
      </c>
      <c r="N3649" s="1">
        <f t="shared" si="508"/>
        <v>32.47</v>
      </c>
      <c r="O3649" s="1">
        <f t="shared" si="509"/>
        <v>30.759999999999998</v>
      </c>
      <c r="P3649" s="1">
        <f t="shared" si="510"/>
        <v>15.693877551020407</v>
      </c>
    </row>
    <row r="3650" spans="1:16">
      <c r="A3650" s="2">
        <v>37763</v>
      </c>
      <c r="B3650" s="1">
        <v>31.75</v>
      </c>
      <c r="C3650" s="1">
        <v>33.29</v>
      </c>
      <c r="D3650" s="1">
        <v>31.29</v>
      </c>
      <c r="E3650" s="1">
        <v>33</v>
      </c>
      <c r="F3650" s="1">
        <v>8489900</v>
      </c>
      <c r="G3650" s="1">
        <v>33</v>
      </c>
      <c r="H3650" s="1">
        <f t="shared" si="504"/>
        <v>2</v>
      </c>
      <c r="I3650" s="9">
        <f t="shared" si="511"/>
        <v>6.3918184723553859E-2</v>
      </c>
      <c r="J3650" s="1">
        <f t="shared" si="512"/>
        <v>1.25</v>
      </c>
      <c r="K3650" s="9">
        <f t="shared" si="505"/>
        <v>3.937007874015748E-2</v>
      </c>
      <c r="L3650" s="1">
        <f t="shared" si="506"/>
        <v>1</v>
      </c>
      <c r="M3650" s="1">
        <f t="shared" si="507"/>
        <v>33.29</v>
      </c>
      <c r="N3650" s="1">
        <f t="shared" si="508"/>
        <v>31.29</v>
      </c>
      <c r="O3650" s="1">
        <f t="shared" si="509"/>
        <v>31.04</v>
      </c>
      <c r="P3650" s="1">
        <f t="shared" si="510"/>
        <v>15.836734693877551</v>
      </c>
    </row>
    <row r="3651" spans="1:16">
      <c r="A3651" s="2">
        <v>37762</v>
      </c>
      <c r="B3651" s="1">
        <v>31.34</v>
      </c>
      <c r="C3651" s="1">
        <v>31.84</v>
      </c>
      <c r="D3651" s="1">
        <v>31.16</v>
      </c>
      <c r="E3651" s="1">
        <v>31.75</v>
      </c>
      <c r="F3651" s="1">
        <v>5200300</v>
      </c>
      <c r="G3651" s="1">
        <v>31.75</v>
      </c>
      <c r="H3651" s="1">
        <f t="shared" ref="H3651:H3714" si="513">C3651-D3651</f>
        <v>0.67999999999999972</v>
      </c>
      <c r="I3651" s="9">
        <f t="shared" si="511"/>
        <v>2.1822849807445435E-2</v>
      </c>
      <c r="J3651" s="1">
        <f t="shared" si="512"/>
        <v>0.26999999999999957</v>
      </c>
      <c r="K3651" s="9">
        <f t="shared" ref="K3651:K3714" si="514">(G3651-G3652)/G3652</f>
        <v>8.5768742058449678E-3</v>
      </c>
      <c r="L3651" s="1">
        <f t="shared" ref="L3651:L3714" si="515">G3651/E3651</f>
        <v>1</v>
      </c>
      <c r="M3651" s="1">
        <f t="shared" ref="M3651:M3714" si="516">L3651*C3651</f>
        <v>31.84</v>
      </c>
      <c r="N3651" s="1">
        <f t="shared" ref="N3651:N3714" si="517">L3651*D3651</f>
        <v>31.16</v>
      </c>
      <c r="O3651" s="1">
        <f t="shared" ref="O3651:O3714" si="518">G3651-$G$5163</f>
        <v>29.79</v>
      </c>
      <c r="P3651" s="1">
        <f t="shared" ref="P3651:P3714" si="519">(G3651-$G$5163)/$G$5163</f>
        <v>15.198979591836734</v>
      </c>
    </row>
    <row r="3652" spans="1:16">
      <c r="A3652" s="2">
        <v>37761</v>
      </c>
      <c r="B3652" s="1">
        <v>31.56</v>
      </c>
      <c r="C3652" s="1">
        <v>32.130000000000003</v>
      </c>
      <c r="D3652" s="1">
        <v>31.17</v>
      </c>
      <c r="E3652" s="1">
        <v>31.48</v>
      </c>
      <c r="F3652" s="1">
        <v>8066200</v>
      </c>
      <c r="G3652" s="1">
        <v>31.48</v>
      </c>
      <c r="H3652" s="1">
        <f t="shared" si="513"/>
        <v>0.96000000000000085</v>
      </c>
      <c r="I3652" s="9">
        <f t="shared" ref="I3652:I3715" si="520">(C3652-D3652)/D3652</f>
        <v>3.0798845043310902E-2</v>
      </c>
      <c r="J3652" s="1">
        <f t="shared" ref="J3652:J3715" si="521">G3652-G3653</f>
        <v>-7.9999999999998295E-2</v>
      </c>
      <c r="K3652" s="9">
        <f t="shared" si="514"/>
        <v>-2.5348542458808079E-3</v>
      </c>
      <c r="L3652" s="1">
        <f t="shared" si="515"/>
        <v>1</v>
      </c>
      <c r="M3652" s="1">
        <f t="shared" si="516"/>
        <v>32.130000000000003</v>
      </c>
      <c r="N3652" s="1">
        <f t="shared" si="517"/>
        <v>31.17</v>
      </c>
      <c r="O3652" s="1">
        <f t="shared" si="518"/>
        <v>29.52</v>
      </c>
      <c r="P3652" s="1">
        <f t="shared" si="519"/>
        <v>15.061224489795919</v>
      </c>
    </row>
    <row r="3653" spans="1:16">
      <c r="A3653" s="2">
        <v>37760</v>
      </c>
      <c r="B3653" s="1">
        <v>32.700000000000003</v>
      </c>
      <c r="C3653" s="1">
        <v>32.97</v>
      </c>
      <c r="D3653" s="1">
        <v>31.4</v>
      </c>
      <c r="E3653" s="1">
        <v>31.56</v>
      </c>
      <c r="F3653" s="1">
        <v>9763500</v>
      </c>
      <c r="G3653" s="1">
        <v>31.56</v>
      </c>
      <c r="H3653" s="1">
        <f t="shared" si="513"/>
        <v>1.5700000000000003</v>
      </c>
      <c r="I3653" s="9">
        <f t="shared" si="520"/>
        <v>5.000000000000001E-2</v>
      </c>
      <c r="J3653" s="1">
        <f t="shared" si="521"/>
        <v>-1.4899999999999984</v>
      </c>
      <c r="K3653" s="9">
        <f t="shared" si="514"/>
        <v>-4.5083207261724614E-2</v>
      </c>
      <c r="L3653" s="1">
        <f t="shared" si="515"/>
        <v>1</v>
      </c>
      <c r="M3653" s="1">
        <f t="shared" si="516"/>
        <v>32.97</v>
      </c>
      <c r="N3653" s="1">
        <f t="shared" si="517"/>
        <v>31.4</v>
      </c>
      <c r="O3653" s="1">
        <f t="shared" si="518"/>
        <v>29.599999999999998</v>
      </c>
      <c r="P3653" s="1">
        <f t="shared" si="519"/>
        <v>15.102040816326531</v>
      </c>
    </row>
    <row r="3654" spans="1:16">
      <c r="A3654" s="2">
        <v>37757</v>
      </c>
      <c r="B3654" s="1">
        <v>32.51</v>
      </c>
      <c r="C3654" s="1">
        <v>33.159999999999997</v>
      </c>
      <c r="D3654" s="1">
        <v>32.380000000000003</v>
      </c>
      <c r="E3654" s="1">
        <v>33.049999999999997</v>
      </c>
      <c r="F3654" s="1">
        <v>7644100</v>
      </c>
      <c r="G3654" s="1">
        <v>33.049999999999997</v>
      </c>
      <c r="H3654" s="1">
        <f t="shared" si="513"/>
        <v>0.77999999999999403</v>
      </c>
      <c r="I3654" s="9">
        <f t="shared" si="520"/>
        <v>2.4088943792464297E-2</v>
      </c>
      <c r="J3654" s="1">
        <f t="shared" si="521"/>
        <v>0.4199999999999946</v>
      </c>
      <c r="K3654" s="9">
        <f t="shared" si="514"/>
        <v>1.2871590560833422E-2</v>
      </c>
      <c r="L3654" s="1">
        <f t="shared" si="515"/>
        <v>1</v>
      </c>
      <c r="M3654" s="1">
        <f t="shared" si="516"/>
        <v>33.159999999999997</v>
      </c>
      <c r="N3654" s="1">
        <f t="shared" si="517"/>
        <v>32.380000000000003</v>
      </c>
      <c r="O3654" s="1">
        <f t="shared" si="518"/>
        <v>31.089999999999996</v>
      </c>
      <c r="P3654" s="1">
        <f t="shared" si="519"/>
        <v>15.862244897959181</v>
      </c>
    </row>
    <row r="3655" spans="1:16">
      <c r="A3655" s="2">
        <v>37756</v>
      </c>
      <c r="B3655" s="1">
        <v>32.64</v>
      </c>
      <c r="C3655" s="1">
        <v>32.75</v>
      </c>
      <c r="D3655" s="1">
        <v>32.200000000000003</v>
      </c>
      <c r="E3655" s="1">
        <v>32.630000000000003</v>
      </c>
      <c r="F3655" s="1">
        <v>5192300</v>
      </c>
      <c r="G3655" s="1">
        <v>32.630000000000003</v>
      </c>
      <c r="H3655" s="1">
        <f t="shared" si="513"/>
        <v>0.54999999999999716</v>
      </c>
      <c r="I3655" s="9">
        <f t="shared" si="520"/>
        <v>1.7080745341614818E-2</v>
      </c>
      <c r="J3655" s="1">
        <f t="shared" si="521"/>
        <v>3.0000000000001137E-2</v>
      </c>
      <c r="K3655" s="9">
        <f t="shared" si="514"/>
        <v>9.2024539877304094E-4</v>
      </c>
      <c r="L3655" s="1">
        <f t="shared" si="515"/>
        <v>1</v>
      </c>
      <c r="M3655" s="1">
        <f t="shared" si="516"/>
        <v>32.75</v>
      </c>
      <c r="N3655" s="1">
        <f t="shared" si="517"/>
        <v>32.200000000000003</v>
      </c>
      <c r="O3655" s="1">
        <f t="shared" si="518"/>
        <v>30.67</v>
      </c>
      <c r="P3655" s="1">
        <f t="shared" si="519"/>
        <v>15.647959183673471</v>
      </c>
    </row>
    <row r="3656" spans="1:16">
      <c r="A3656" s="2">
        <v>37755</v>
      </c>
      <c r="B3656" s="1">
        <v>33.14</v>
      </c>
      <c r="C3656" s="1">
        <v>33.19</v>
      </c>
      <c r="D3656" s="1">
        <v>32.44</v>
      </c>
      <c r="E3656" s="1">
        <v>32.6</v>
      </c>
      <c r="F3656" s="1">
        <v>7993200</v>
      </c>
      <c r="G3656" s="1">
        <v>32.6</v>
      </c>
      <c r="H3656" s="1">
        <f t="shared" si="513"/>
        <v>0.75</v>
      </c>
      <c r="I3656" s="9">
        <f t="shared" si="520"/>
        <v>2.311960542540074E-2</v>
      </c>
      <c r="J3656" s="1">
        <f t="shared" si="521"/>
        <v>-0.35000000000000142</v>
      </c>
      <c r="K3656" s="9">
        <f t="shared" si="514"/>
        <v>-1.0622154779969693E-2</v>
      </c>
      <c r="L3656" s="1">
        <f t="shared" si="515"/>
        <v>1</v>
      </c>
      <c r="M3656" s="1">
        <f t="shared" si="516"/>
        <v>33.19</v>
      </c>
      <c r="N3656" s="1">
        <f t="shared" si="517"/>
        <v>32.44</v>
      </c>
      <c r="O3656" s="1">
        <f t="shared" si="518"/>
        <v>30.64</v>
      </c>
      <c r="P3656" s="1">
        <f t="shared" si="519"/>
        <v>15.63265306122449</v>
      </c>
    </row>
    <row r="3657" spans="1:16">
      <c r="A3657" s="2">
        <v>37754</v>
      </c>
      <c r="B3657" s="1">
        <v>31.55</v>
      </c>
      <c r="C3657" s="1">
        <v>33.49</v>
      </c>
      <c r="D3657" s="1">
        <v>31.44</v>
      </c>
      <c r="E3657" s="1">
        <v>32.950000000000003</v>
      </c>
      <c r="F3657" s="1">
        <v>15844500</v>
      </c>
      <c r="G3657" s="1">
        <v>32.950000000000003</v>
      </c>
      <c r="H3657" s="1">
        <f t="shared" si="513"/>
        <v>2.0500000000000007</v>
      </c>
      <c r="I3657" s="9">
        <f t="shared" si="520"/>
        <v>6.5203562340966942E-2</v>
      </c>
      <c r="J3657" s="1">
        <f t="shared" si="521"/>
        <v>1.2500000000000036</v>
      </c>
      <c r="K3657" s="9">
        <f t="shared" si="514"/>
        <v>3.9432176656151535E-2</v>
      </c>
      <c r="L3657" s="1">
        <f t="shared" si="515"/>
        <v>1</v>
      </c>
      <c r="M3657" s="1">
        <f t="shared" si="516"/>
        <v>33.49</v>
      </c>
      <c r="N3657" s="1">
        <f t="shared" si="517"/>
        <v>31.44</v>
      </c>
      <c r="O3657" s="1">
        <f t="shared" si="518"/>
        <v>30.990000000000002</v>
      </c>
      <c r="P3657" s="1">
        <f t="shared" si="519"/>
        <v>15.81122448979592</v>
      </c>
    </row>
    <row r="3658" spans="1:16">
      <c r="A3658" s="2">
        <v>37753</v>
      </c>
      <c r="B3658" s="1">
        <v>30.83</v>
      </c>
      <c r="C3658" s="1">
        <v>31.8</v>
      </c>
      <c r="D3658" s="1">
        <v>30.67</v>
      </c>
      <c r="E3658" s="1">
        <v>31.7</v>
      </c>
      <c r="F3658" s="1">
        <v>7246900</v>
      </c>
      <c r="G3658" s="1">
        <v>31.7</v>
      </c>
      <c r="H3658" s="1">
        <f t="shared" si="513"/>
        <v>1.129999999999999</v>
      </c>
      <c r="I3658" s="9">
        <f t="shared" si="520"/>
        <v>3.6843821323769121E-2</v>
      </c>
      <c r="J3658" s="1">
        <f t="shared" si="521"/>
        <v>0.73999999999999844</v>
      </c>
      <c r="K3658" s="9">
        <f t="shared" si="514"/>
        <v>2.3901808785529666E-2</v>
      </c>
      <c r="L3658" s="1">
        <f t="shared" si="515"/>
        <v>1</v>
      </c>
      <c r="M3658" s="1">
        <f t="shared" si="516"/>
        <v>31.8</v>
      </c>
      <c r="N3658" s="1">
        <f t="shared" si="517"/>
        <v>30.67</v>
      </c>
      <c r="O3658" s="1">
        <f t="shared" si="518"/>
        <v>29.74</v>
      </c>
      <c r="P3658" s="1">
        <f t="shared" si="519"/>
        <v>15.173469387755102</v>
      </c>
    </row>
    <row r="3659" spans="1:16">
      <c r="A3659" s="2">
        <v>37750</v>
      </c>
      <c r="B3659" s="1">
        <v>30.46</v>
      </c>
      <c r="C3659" s="1">
        <v>30.99</v>
      </c>
      <c r="D3659" s="1">
        <v>30.2</v>
      </c>
      <c r="E3659" s="1">
        <v>30.96</v>
      </c>
      <c r="F3659" s="1">
        <v>5981700</v>
      </c>
      <c r="G3659" s="1">
        <v>30.96</v>
      </c>
      <c r="H3659" s="1">
        <f t="shared" si="513"/>
        <v>0.78999999999999915</v>
      </c>
      <c r="I3659" s="9">
        <f t="shared" si="520"/>
        <v>2.6158940397350967E-2</v>
      </c>
      <c r="J3659" s="1">
        <f t="shared" si="521"/>
        <v>0.51000000000000156</v>
      </c>
      <c r="K3659" s="9">
        <f t="shared" si="514"/>
        <v>1.6748768472906454E-2</v>
      </c>
      <c r="L3659" s="1">
        <f t="shared" si="515"/>
        <v>1</v>
      </c>
      <c r="M3659" s="1">
        <f t="shared" si="516"/>
        <v>30.99</v>
      </c>
      <c r="N3659" s="1">
        <f t="shared" si="517"/>
        <v>30.2</v>
      </c>
      <c r="O3659" s="1">
        <f t="shared" si="518"/>
        <v>29</v>
      </c>
      <c r="P3659" s="1">
        <f t="shared" si="519"/>
        <v>14.795918367346939</v>
      </c>
    </row>
    <row r="3660" spans="1:16">
      <c r="A3660" s="2">
        <v>37749</v>
      </c>
      <c r="B3660" s="1">
        <v>30.36</v>
      </c>
      <c r="C3660" s="1">
        <v>30.76</v>
      </c>
      <c r="D3660" s="1">
        <v>30.22</v>
      </c>
      <c r="E3660" s="1">
        <v>30.45</v>
      </c>
      <c r="F3660" s="1">
        <v>8513500</v>
      </c>
      <c r="G3660" s="1">
        <v>30.45</v>
      </c>
      <c r="H3660" s="1">
        <f t="shared" si="513"/>
        <v>0.5400000000000027</v>
      </c>
      <c r="I3660" s="9">
        <f t="shared" si="520"/>
        <v>1.786896095301134E-2</v>
      </c>
      <c r="J3660" s="1">
        <f t="shared" si="521"/>
        <v>-0.25</v>
      </c>
      <c r="K3660" s="9">
        <f t="shared" si="514"/>
        <v>-8.1433224755700327E-3</v>
      </c>
      <c r="L3660" s="1">
        <f t="shared" si="515"/>
        <v>1</v>
      </c>
      <c r="M3660" s="1">
        <f t="shared" si="516"/>
        <v>30.76</v>
      </c>
      <c r="N3660" s="1">
        <f t="shared" si="517"/>
        <v>30.22</v>
      </c>
      <c r="O3660" s="1">
        <f t="shared" si="518"/>
        <v>28.49</v>
      </c>
      <c r="P3660" s="1">
        <f t="shared" si="519"/>
        <v>14.535714285714285</v>
      </c>
    </row>
    <row r="3661" spans="1:16">
      <c r="A3661" s="2">
        <v>37748</v>
      </c>
      <c r="B3661" s="1">
        <v>30.66</v>
      </c>
      <c r="C3661" s="1">
        <v>30.86</v>
      </c>
      <c r="D3661" s="1">
        <v>30.03</v>
      </c>
      <c r="E3661" s="1">
        <v>30.7</v>
      </c>
      <c r="F3661" s="1">
        <v>10351800</v>
      </c>
      <c r="G3661" s="1">
        <v>30.7</v>
      </c>
      <c r="H3661" s="1">
        <f t="shared" si="513"/>
        <v>0.82999999999999829</v>
      </c>
      <c r="I3661" s="9">
        <f t="shared" si="520"/>
        <v>2.7639027639027581E-2</v>
      </c>
      <c r="J3661" s="1">
        <f t="shared" si="521"/>
        <v>-0.17999999999999972</v>
      </c>
      <c r="K3661" s="9">
        <f t="shared" si="514"/>
        <v>-5.829015544041442E-3</v>
      </c>
      <c r="L3661" s="1">
        <f t="shared" si="515"/>
        <v>1</v>
      </c>
      <c r="M3661" s="1">
        <f t="shared" si="516"/>
        <v>30.86</v>
      </c>
      <c r="N3661" s="1">
        <f t="shared" si="517"/>
        <v>30.03</v>
      </c>
      <c r="O3661" s="1">
        <f t="shared" si="518"/>
        <v>28.74</v>
      </c>
      <c r="P3661" s="1">
        <f t="shared" si="519"/>
        <v>14.663265306122449</v>
      </c>
    </row>
    <row r="3662" spans="1:16">
      <c r="A3662" s="2">
        <v>37747</v>
      </c>
      <c r="B3662" s="1">
        <v>29.87</v>
      </c>
      <c r="C3662" s="1">
        <v>31.18</v>
      </c>
      <c r="D3662" s="1">
        <v>29.8</v>
      </c>
      <c r="E3662" s="1">
        <v>30.88</v>
      </c>
      <c r="F3662" s="1">
        <v>13962400</v>
      </c>
      <c r="G3662" s="1">
        <v>30.88</v>
      </c>
      <c r="H3662" s="1">
        <f t="shared" si="513"/>
        <v>1.379999999999999</v>
      </c>
      <c r="I3662" s="9">
        <f t="shared" si="520"/>
        <v>4.630872483221473E-2</v>
      </c>
      <c r="J3662" s="1">
        <f t="shared" si="521"/>
        <v>0.91999999999999815</v>
      </c>
      <c r="K3662" s="9">
        <f t="shared" si="514"/>
        <v>3.0707610146862421E-2</v>
      </c>
      <c r="L3662" s="1">
        <f t="shared" si="515"/>
        <v>1</v>
      </c>
      <c r="M3662" s="1">
        <f t="shared" si="516"/>
        <v>31.18</v>
      </c>
      <c r="N3662" s="1">
        <f t="shared" si="517"/>
        <v>29.8</v>
      </c>
      <c r="O3662" s="1">
        <f t="shared" si="518"/>
        <v>28.919999999999998</v>
      </c>
      <c r="P3662" s="1">
        <f t="shared" si="519"/>
        <v>14.755102040816325</v>
      </c>
    </row>
    <row r="3663" spans="1:16">
      <c r="A3663" s="2">
        <v>37746</v>
      </c>
      <c r="B3663" s="1">
        <v>29.47</v>
      </c>
      <c r="C3663" s="1">
        <v>30.05</v>
      </c>
      <c r="D3663" s="1">
        <v>29.01</v>
      </c>
      <c r="E3663" s="1">
        <v>29.96</v>
      </c>
      <c r="F3663" s="1">
        <v>11136300</v>
      </c>
      <c r="G3663" s="1">
        <v>29.96</v>
      </c>
      <c r="H3663" s="1">
        <f t="shared" si="513"/>
        <v>1.0399999999999991</v>
      </c>
      <c r="I3663" s="9">
        <f t="shared" si="520"/>
        <v>3.5849706997587008E-2</v>
      </c>
      <c r="J3663" s="1">
        <f t="shared" si="521"/>
        <v>0.53000000000000114</v>
      </c>
      <c r="K3663" s="9">
        <f t="shared" si="514"/>
        <v>1.800883452259603E-2</v>
      </c>
      <c r="L3663" s="1">
        <f t="shared" si="515"/>
        <v>1</v>
      </c>
      <c r="M3663" s="1">
        <f t="shared" si="516"/>
        <v>30.05</v>
      </c>
      <c r="N3663" s="1">
        <f t="shared" si="517"/>
        <v>29.01</v>
      </c>
      <c r="O3663" s="1">
        <f t="shared" si="518"/>
        <v>28</v>
      </c>
      <c r="P3663" s="1">
        <f t="shared" si="519"/>
        <v>14.285714285714286</v>
      </c>
    </row>
    <row r="3664" spans="1:16">
      <c r="A3664" s="2">
        <v>37743</v>
      </c>
      <c r="B3664" s="1">
        <v>28.63</v>
      </c>
      <c r="C3664" s="1">
        <v>29.45</v>
      </c>
      <c r="D3664" s="1">
        <v>28.55</v>
      </c>
      <c r="E3664" s="1">
        <v>29.43</v>
      </c>
      <c r="F3664" s="1">
        <v>9884400</v>
      </c>
      <c r="G3664" s="1">
        <v>29.43</v>
      </c>
      <c r="H3664" s="1">
        <f t="shared" si="513"/>
        <v>0.89999999999999858</v>
      </c>
      <c r="I3664" s="9">
        <f t="shared" si="520"/>
        <v>3.1523642732048988E-2</v>
      </c>
      <c r="J3664" s="1">
        <f t="shared" si="521"/>
        <v>0.76999999999999957</v>
      </c>
      <c r="K3664" s="9">
        <f t="shared" si="514"/>
        <v>2.6866713189113732E-2</v>
      </c>
      <c r="L3664" s="1">
        <f t="shared" si="515"/>
        <v>1</v>
      </c>
      <c r="M3664" s="1">
        <f t="shared" si="516"/>
        <v>29.45</v>
      </c>
      <c r="N3664" s="1">
        <f t="shared" si="517"/>
        <v>28.55</v>
      </c>
      <c r="O3664" s="1">
        <f t="shared" si="518"/>
        <v>27.47</v>
      </c>
      <c r="P3664" s="1">
        <f t="shared" si="519"/>
        <v>14.01530612244898</v>
      </c>
    </row>
    <row r="3665" spans="1:16">
      <c r="A3665" s="2">
        <v>37742</v>
      </c>
      <c r="B3665" s="1">
        <v>28.68</v>
      </c>
      <c r="C3665" s="1">
        <v>28.7</v>
      </c>
      <c r="D3665" s="1">
        <v>28.15</v>
      </c>
      <c r="E3665" s="1">
        <v>28.66</v>
      </c>
      <c r="F3665" s="1">
        <v>7689200</v>
      </c>
      <c r="G3665" s="1">
        <v>28.66</v>
      </c>
      <c r="H3665" s="1">
        <f t="shared" si="513"/>
        <v>0.55000000000000071</v>
      </c>
      <c r="I3665" s="9">
        <f t="shared" si="520"/>
        <v>1.953818827708706E-2</v>
      </c>
      <c r="J3665" s="1">
        <f t="shared" si="521"/>
        <v>-3.0000000000001137E-2</v>
      </c>
      <c r="K3665" s="9">
        <f t="shared" si="514"/>
        <v>-1.045660508888154E-3</v>
      </c>
      <c r="L3665" s="1">
        <f t="shared" si="515"/>
        <v>1</v>
      </c>
      <c r="M3665" s="1">
        <f t="shared" si="516"/>
        <v>28.7</v>
      </c>
      <c r="N3665" s="1">
        <f t="shared" si="517"/>
        <v>28.15</v>
      </c>
      <c r="O3665" s="1">
        <f t="shared" si="518"/>
        <v>26.7</v>
      </c>
      <c r="P3665" s="1">
        <f t="shared" si="519"/>
        <v>13.622448979591837</v>
      </c>
    </row>
    <row r="3666" spans="1:16">
      <c r="A3666" s="2">
        <v>37741</v>
      </c>
      <c r="B3666" s="1">
        <v>28.6</v>
      </c>
      <c r="C3666" s="1">
        <v>29</v>
      </c>
      <c r="D3666" s="1">
        <v>28.38</v>
      </c>
      <c r="E3666" s="1">
        <v>28.69</v>
      </c>
      <c r="F3666" s="1">
        <v>9450000</v>
      </c>
      <c r="G3666" s="1">
        <v>28.69</v>
      </c>
      <c r="H3666" s="1">
        <f t="shared" si="513"/>
        <v>0.62000000000000099</v>
      </c>
      <c r="I3666" s="9">
        <f t="shared" si="520"/>
        <v>2.1846370683580023E-2</v>
      </c>
      <c r="J3666" s="1">
        <f t="shared" si="521"/>
        <v>-0.19999999999999929</v>
      </c>
      <c r="K3666" s="9">
        <f t="shared" si="514"/>
        <v>-6.9228106611283931E-3</v>
      </c>
      <c r="L3666" s="1">
        <f t="shared" si="515"/>
        <v>1</v>
      </c>
      <c r="M3666" s="1">
        <f t="shared" si="516"/>
        <v>29</v>
      </c>
      <c r="N3666" s="1">
        <f t="shared" si="517"/>
        <v>28.38</v>
      </c>
      <c r="O3666" s="1">
        <f t="shared" si="518"/>
        <v>26.73</v>
      </c>
      <c r="P3666" s="1">
        <f t="shared" si="519"/>
        <v>13.637755102040817</v>
      </c>
    </row>
    <row r="3667" spans="1:16">
      <c r="A3667" s="2">
        <v>37740</v>
      </c>
      <c r="B3667" s="1">
        <v>28.91</v>
      </c>
      <c r="C3667" s="1">
        <v>29.04</v>
      </c>
      <c r="D3667" s="1">
        <v>28.61</v>
      </c>
      <c r="E3667" s="1">
        <v>28.89</v>
      </c>
      <c r="F3667" s="1">
        <v>10526400</v>
      </c>
      <c r="G3667" s="1">
        <v>28.89</v>
      </c>
      <c r="H3667" s="1">
        <f t="shared" si="513"/>
        <v>0.42999999999999972</v>
      </c>
      <c r="I3667" s="9">
        <f t="shared" si="520"/>
        <v>1.5029709891646268E-2</v>
      </c>
      <c r="J3667" s="1">
        <f t="shared" si="521"/>
        <v>-0.21999999999999886</v>
      </c>
      <c r="K3667" s="9">
        <f t="shared" si="514"/>
        <v>-7.5575403641359971E-3</v>
      </c>
      <c r="L3667" s="1">
        <f t="shared" si="515"/>
        <v>1</v>
      </c>
      <c r="M3667" s="1">
        <f t="shared" si="516"/>
        <v>29.04</v>
      </c>
      <c r="N3667" s="1">
        <f t="shared" si="517"/>
        <v>28.61</v>
      </c>
      <c r="O3667" s="1">
        <f t="shared" si="518"/>
        <v>26.93</v>
      </c>
      <c r="P3667" s="1">
        <f t="shared" si="519"/>
        <v>13.739795918367347</v>
      </c>
    </row>
    <row r="3668" spans="1:16">
      <c r="A3668" s="2">
        <v>37739</v>
      </c>
      <c r="B3668" s="1">
        <v>28.64</v>
      </c>
      <c r="C3668" s="1">
        <v>29.19</v>
      </c>
      <c r="D3668" s="1">
        <v>28.6</v>
      </c>
      <c r="E3668" s="1">
        <v>29.11</v>
      </c>
      <c r="F3668" s="1">
        <v>15801000</v>
      </c>
      <c r="G3668" s="1">
        <v>29.11</v>
      </c>
      <c r="H3668" s="1">
        <f t="shared" si="513"/>
        <v>0.58999999999999986</v>
      </c>
      <c r="I3668" s="9">
        <f t="shared" si="520"/>
        <v>2.0629370629370623E-2</v>
      </c>
      <c r="J3668" s="1">
        <f t="shared" si="521"/>
        <v>0.14000000000000057</v>
      </c>
      <c r="K3668" s="9">
        <f t="shared" si="514"/>
        <v>4.832585433206785E-3</v>
      </c>
      <c r="L3668" s="1">
        <f t="shared" si="515"/>
        <v>1</v>
      </c>
      <c r="M3668" s="1">
        <f t="shared" si="516"/>
        <v>29.19</v>
      </c>
      <c r="N3668" s="1">
        <f t="shared" si="517"/>
        <v>28.6</v>
      </c>
      <c r="O3668" s="1">
        <f t="shared" si="518"/>
        <v>27.15</v>
      </c>
      <c r="P3668" s="1">
        <f t="shared" si="519"/>
        <v>13.852040816326531</v>
      </c>
    </row>
    <row r="3669" spans="1:16">
      <c r="A3669" s="2">
        <v>37736</v>
      </c>
      <c r="B3669" s="1">
        <v>28</v>
      </c>
      <c r="C3669" s="1">
        <v>29</v>
      </c>
      <c r="D3669" s="1">
        <v>27.82</v>
      </c>
      <c r="E3669" s="1">
        <v>28.97</v>
      </c>
      <c r="F3669" s="1">
        <v>39972400</v>
      </c>
      <c r="G3669" s="1">
        <v>28.97</v>
      </c>
      <c r="H3669" s="1">
        <f t="shared" si="513"/>
        <v>1.1799999999999997</v>
      </c>
      <c r="I3669" s="9">
        <f t="shared" si="520"/>
        <v>4.24155283968368E-2</v>
      </c>
      <c r="J3669" s="1">
        <f t="shared" si="521"/>
        <v>3.8499999999999979</v>
      </c>
      <c r="K3669" s="9">
        <f t="shared" si="514"/>
        <v>0.15326433121019098</v>
      </c>
      <c r="L3669" s="1">
        <f t="shared" si="515"/>
        <v>1</v>
      </c>
      <c r="M3669" s="1">
        <f t="shared" si="516"/>
        <v>29</v>
      </c>
      <c r="N3669" s="1">
        <f t="shared" si="517"/>
        <v>27.82</v>
      </c>
      <c r="O3669" s="1">
        <f t="shared" si="518"/>
        <v>27.009999999999998</v>
      </c>
      <c r="P3669" s="1">
        <f t="shared" si="519"/>
        <v>13.780612244897958</v>
      </c>
    </row>
    <row r="3670" spans="1:16">
      <c r="A3670" s="2">
        <v>37735</v>
      </c>
      <c r="B3670" s="1">
        <v>25.4</v>
      </c>
      <c r="C3670" s="1">
        <v>26.72</v>
      </c>
      <c r="D3670" s="1">
        <v>24.77</v>
      </c>
      <c r="E3670" s="1">
        <v>25.12</v>
      </c>
      <c r="F3670" s="1">
        <v>17603300</v>
      </c>
      <c r="G3670" s="1">
        <v>25.12</v>
      </c>
      <c r="H3670" s="1">
        <f t="shared" si="513"/>
        <v>1.9499999999999993</v>
      </c>
      <c r="I3670" s="9">
        <f t="shared" si="520"/>
        <v>7.8724263221639057E-2</v>
      </c>
      <c r="J3670" s="1">
        <f t="shared" si="521"/>
        <v>-0.30999999999999872</v>
      </c>
      <c r="K3670" s="9">
        <f t="shared" si="514"/>
        <v>-1.219032638615803E-2</v>
      </c>
      <c r="L3670" s="1">
        <f t="shared" si="515"/>
        <v>1</v>
      </c>
      <c r="M3670" s="1">
        <f t="shared" si="516"/>
        <v>26.72</v>
      </c>
      <c r="N3670" s="1">
        <f t="shared" si="517"/>
        <v>24.77</v>
      </c>
      <c r="O3670" s="1">
        <f t="shared" si="518"/>
        <v>23.16</v>
      </c>
      <c r="P3670" s="1">
        <f t="shared" si="519"/>
        <v>11.816326530612246</v>
      </c>
    </row>
    <row r="3671" spans="1:16">
      <c r="A3671" s="2">
        <v>37734</v>
      </c>
      <c r="B3671" s="1">
        <v>26.4</v>
      </c>
      <c r="C3671" s="1">
        <v>26.55</v>
      </c>
      <c r="D3671" s="1">
        <v>25.36</v>
      </c>
      <c r="E3671" s="1">
        <v>25.43</v>
      </c>
      <c r="F3671" s="1">
        <v>8850100</v>
      </c>
      <c r="G3671" s="1">
        <v>25.43</v>
      </c>
      <c r="H3671" s="1">
        <f t="shared" si="513"/>
        <v>1.1900000000000013</v>
      </c>
      <c r="I3671" s="9">
        <f t="shared" si="520"/>
        <v>4.6924290220820238E-2</v>
      </c>
      <c r="J3671" s="1">
        <f t="shared" si="521"/>
        <v>-0.14999999999999858</v>
      </c>
      <c r="K3671" s="9">
        <f t="shared" si="514"/>
        <v>-5.8639562157935332E-3</v>
      </c>
      <c r="L3671" s="1">
        <f t="shared" si="515"/>
        <v>1</v>
      </c>
      <c r="M3671" s="1">
        <f t="shared" si="516"/>
        <v>26.55</v>
      </c>
      <c r="N3671" s="1">
        <f t="shared" si="517"/>
        <v>25.36</v>
      </c>
      <c r="O3671" s="1">
        <f t="shared" si="518"/>
        <v>23.47</v>
      </c>
      <c r="P3671" s="1">
        <f t="shared" si="519"/>
        <v>11.974489795918368</v>
      </c>
    </row>
    <row r="3672" spans="1:16">
      <c r="A3672" s="2">
        <v>37733</v>
      </c>
      <c r="B3672" s="1">
        <v>25.09</v>
      </c>
      <c r="C3672" s="1">
        <v>25.69</v>
      </c>
      <c r="D3672" s="1">
        <v>24.82</v>
      </c>
      <c r="E3672" s="1">
        <v>25.58</v>
      </c>
      <c r="F3672" s="1">
        <v>6868600</v>
      </c>
      <c r="G3672" s="1">
        <v>25.58</v>
      </c>
      <c r="H3672" s="1">
        <f t="shared" si="513"/>
        <v>0.87000000000000099</v>
      </c>
      <c r="I3672" s="9">
        <f t="shared" si="520"/>
        <v>3.5052377115229696E-2</v>
      </c>
      <c r="J3672" s="1">
        <f t="shared" si="521"/>
        <v>0.32999999999999829</v>
      </c>
      <c r="K3672" s="9">
        <f t="shared" si="514"/>
        <v>1.3069306930693001E-2</v>
      </c>
      <c r="L3672" s="1">
        <f t="shared" si="515"/>
        <v>1</v>
      </c>
      <c r="M3672" s="1">
        <f t="shared" si="516"/>
        <v>25.69</v>
      </c>
      <c r="N3672" s="1">
        <f t="shared" si="517"/>
        <v>24.82</v>
      </c>
      <c r="O3672" s="1">
        <f t="shared" si="518"/>
        <v>23.619999999999997</v>
      </c>
      <c r="P3672" s="1">
        <f t="shared" si="519"/>
        <v>12.051020408163264</v>
      </c>
    </row>
    <row r="3673" spans="1:16">
      <c r="A3673" s="2">
        <v>37732</v>
      </c>
      <c r="B3673" s="1">
        <v>25.03</v>
      </c>
      <c r="C3673" s="1">
        <v>26.17</v>
      </c>
      <c r="D3673" s="1">
        <v>24.9</v>
      </c>
      <c r="E3673" s="1">
        <v>25.25</v>
      </c>
      <c r="F3673" s="1">
        <v>7132300</v>
      </c>
      <c r="G3673" s="1">
        <v>25.25</v>
      </c>
      <c r="H3673" s="1">
        <f t="shared" si="513"/>
        <v>1.2700000000000031</v>
      </c>
      <c r="I3673" s="9">
        <f t="shared" si="520"/>
        <v>5.1004016064257154E-2</v>
      </c>
      <c r="J3673" s="1">
        <f t="shared" si="521"/>
        <v>0.26000000000000156</v>
      </c>
      <c r="K3673" s="9">
        <f t="shared" si="514"/>
        <v>1.040416166466593E-2</v>
      </c>
      <c r="L3673" s="1">
        <f t="shared" si="515"/>
        <v>1</v>
      </c>
      <c r="M3673" s="1">
        <f t="shared" si="516"/>
        <v>26.17</v>
      </c>
      <c r="N3673" s="1">
        <f t="shared" si="517"/>
        <v>24.9</v>
      </c>
      <c r="O3673" s="1">
        <f t="shared" si="518"/>
        <v>23.29</v>
      </c>
      <c r="P3673" s="1">
        <f t="shared" si="519"/>
        <v>11.88265306122449</v>
      </c>
    </row>
    <row r="3674" spans="1:16">
      <c r="A3674" s="2">
        <v>37728</v>
      </c>
      <c r="B3674" s="1">
        <v>24.47</v>
      </c>
      <c r="C3674" s="1">
        <v>25.01</v>
      </c>
      <c r="D3674" s="1">
        <v>24.35</v>
      </c>
      <c r="E3674" s="1">
        <v>24.99</v>
      </c>
      <c r="F3674" s="1">
        <v>6789900</v>
      </c>
      <c r="G3674" s="1">
        <v>24.99</v>
      </c>
      <c r="H3674" s="1">
        <f t="shared" si="513"/>
        <v>0.66000000000000014</v>
      </c>
      <c r="I3674" s="9">
        <f t="shared" si="520"/>
        <v>2.7104722792607807E-2</v>
      </c>
      <c r="J3674" s="1">
        <f t="shared" si="521"/>
        <v>0.60999999999999943</v>
      </c>
      <c r="K3674" s="9">
        <f t="shared" si="514"/>
        <v>2.5020508613617699E-2</v>
      </c>
      <c r="L3674" s="1">
        <f t="shared" si="515"/>
        <v>1</v>
      </c>
      <c r="M3674" s="1">
        <f t="shared" si="516"/>
        <v>25.01</v>
      </c>
      <c r="N3674" s="1">
        <f t="shared" si="517"/>
        <v>24.35</v>
      </c>
      <c r="O3674" s="1">
        <f t="shared" si="518"/>
        <v>23.029999999999998</v>
      </c>
      <c r="P3674" s="1">
        <f t="shared" si="519"/>
        <v>11.749999999999998</v>
      </c>
    </row>
    <row r="3675" spans="1:16">
      <c r="A3675" s="2">
        <v>37727</v>
      </c>
      <c r="B3675" s="1">
        <v>25.3</v>
      </c>
      <c r="C3675" s="1">
        <v>25.5</v>
      </c>
      <c r="D3675" s="1">
        <v>24.13</v>
      </c>
      <c r="E3675" s="1">
        <v>24.38</v>
      </c>
      <c r="F3675" s="1">
        <v>9294500</v>
      </c>
      <c r="G3675" s="1">
        <v>24.38</v>
      </c>
      <c r="H3675" s="1">
        <f t="shared" si="513"/>
        <v>1.370000000000001</v>
      </c>
      <c r="I3675" s="9">
        <f t="shared" si="520"/>
        <v>5.6775797762121882E-2</v>
      </c>
      <c r="J3675" s="1">
        <f t="shared" si="521"/>
        <v>-0.75</v>
      </c>
      <c r="K3675" s="9">
        <f t="shared" si="514"/>
        <v>-2.9844807003581379E-2</v>
      </c>
      <c r="L3675" s="1">
        <f t="shared" si="515"/>
        <v>1</v>
      </c>
      <c r="M3675" s="1">
        <f t="shared" si="516"/>
        <v>25.5</v>
      </c>
      <c r="N3675" s="1">
        <f t="shared" si="517"/>
        <v>24.13</v>
      </c>
      <c r="O3675" s="1">
        <f t="shared" si="518"/>
        <v>22.419999999999998</v>
      </c>
      <c r="P3675" s="1">
        <f t="shared" si="519"/>
        <v>11.438775510204081</v>
      </c>
    </row>
    <row r="3676" spans="1:16">
      <c r="A3676" s="2">
        <v>37726</v>
      </c>
      <c r="B3676" s="1">
        <v>24.89</v>
      </c>
      <c r="C3676" s="1">
        <v>25.43</v>
      </c>
      <c r="D3676" s="1">
        <v>24.82</v>
      </c>
      <c r="E3676" s="1">
        <v>25.13</v>
      </c>
      <c r="F3676" s="1">
        <v>6341400</v>
      </c>
      <c r="G3676" s="1">
        <v>25.13</v>
      </c>
      <c r="H3676" s="1">
        <f t="shared" si="513"/>
        <v>0.60999999999999943</v>
      </c>
      <c r="I3676" s="9">
        <f t="shared" si="520"/>
        <v>2.4576954069298929E-2</v>
      </c>
      <c r="J3676" s="1">
        <f t="shared" si="521"/>
        <v>7.9999999999998295E-2</v>
      </c>
      <c r="K3676" s="9">
        <f t="shared" si="514"/>
        <v>3.1936127744510295E-3</v>
      </c>
      <c r="L3676" s="1">
        <f t="shared" si="515"/>
        <v>1</v>
      </c>
      <c r="M3676" s="1">
        <f t="shared" si="516"/>
        <v>25.43</v>
      </c>
      <c r="N3676" s="1">
        <f t="shared" si="517"/>
        <v>24.82</v>
      </c>
      <c r="O3676" s="1">
        <f t="shared" si="518"/>
        <v>23.169999999999998</v>
      </c>
      <c r="P3676" s="1">
        <f t="shared" si="519"/>
        <v>11.821428571428571</v>
      </c>
    </row>
    <row r="3677" spans="1:16">
      <c r="A3677" s="2">
        <v>37725</v>
      </c>
      <c r="B3677" s="1">
        <v>24.8</v>
      </c>
      <c r="C3677" s="1">
        <v>25.15</v>
      </c>
      <c r="D3677" s="1">
        <v>24.5</v>
      </c>
      <c r="E3677" s="1">
        <v>25.05</v>
      </c>
      <c r="F3677" s="1">
        <v>10417100</v>
      </c>
      <c r="G3677" s="1">
        <v>25.05</v>
      </c>
      <c r="H3677" s="1">
        <f t="shared" si="513"/>
        <v>0.64999999999999858</v>
      </c>
      <c r="I3677" s="9">
        <f t="shared" si="520"/>
        <v>2.6530612244897903E-2</v>
      </c>
      <c r="J3677" s="1">
        <f t="shared" si="521"/>
        <v>-0.69999999999999929</v>
      </c>
      <c r="K3677" s="9">
        <f t="shared" si="514"/>
        <v>-2.7184466019417448E-2</v>
      </c>
      <c r="L3677" s="1">
        <f t="shared" si="515"/>
        <v>1</v>
      </c>
      <c r="M3677" s="1">
        <f t="shared" si="516"/>
        <v>25.15</v>
      </c>
      <c r="N3677" s="1">
        <f t="shared" si="517"/>
        <v>24.5</v>
      </c>
      <c r="O3677" s="1">
        <f t="shared" si="518"/>
        <v>23.09</v>
      </c>
      <c r="P3677" s="1">
        <f t="shared" si="519"/>
        <v>11.780612244897959</v>
      </c>
    </row>
    <row r="3678" spans="1:16">
      <c r="A3678" s="2">
        <v>37722</v>
      </c>
      <c r="B3678" s="1">
        <v>25.85</v>
      </c>
      <c r="C3678" s="1">
        <v>26.24</v>
      </c>
      <c r="D3678" s="1">
        <v>25.42</v>
      </c>
      <c r="E3678" s="1">
        <v>25.75</v>
      </c>
      <c r="F3678" s="1">
        <v>6899000</v>
      </c>
      <c r="G3678" s="1">
        <v>25.75</v>
      </c>
      <c r="H3678" s="1">
        <f t="shared" si="513"/>
        <v>0.81999999999999673</v>
      </c>
      <c r="I3678" s="9">
        <f t="shared" si="520"/>
        <v>3.22580645161289E-2</v>
      </c>
      <c r="J3678" s="1">
        <f t="shared" si="521"/>
        <v>7.9999999999998295E-2</v>
      </c>
      <c r="K3678" s="9">
        <f t="shared" si="514"/>
        <v>3.1164783794311759E-3</v>
      </c>
      <c r="L3678" s="1">
        <f t="shared" si="515"/>
        <v>1</v>
      </c>
      <c r="M3678" s="1">
        <f t="shared" si="516"/>
        <v>26.24</v>
      </c>
      <c r="N3678" s="1">
        <f t="shared" si="517"/>
        <v>25.42</v>
      </c>
      <c r="O3678" s="1">
        <f t="shared" si="518"/>
        <v>23.79</v>
      </c>
      <c r="P3678" s="1">
        <f t="shared" si="519"/>
        <v>12.137755102040817</v>
      </c>
    </row>
    <row r="3679" spans="1:16">
      <c r="A3679" s="2">
        <v>37721</v>
      </c>
      <c r="B3679" s="1">
        <v>25.43</v>
      </c>
      <c r="C3679" s="1">
        <v>25.94</v>
      </c>
      <c r="D3679" s="1">
        <v>24.78</v>
      </c>
      <c r="E3679" s="1">
        <v>25.67</v>
      </c>
      <c r="F3679" s="1">
        <v>9311200</v>
      </c>
      <c r="G3679" s="1">
        <v>25.67</v>
      </c>
      <c r="H3679" s="1">
        <f t="shared" si="513"/>
        <v>1.1600000000000001</v>
      </c>
      <c r="I3679" s="9">
        <f t="shared" si="520"/>
        <v>4.6811945117029866E-2</v>
      </c>
      <c r="J3679" s="1">
        <f t="shared" si="521"/>
        <v>0.61000000000000298</v>
      </c>
      <c r="K3679" s="9">
        <f t="shared" si="514"/>
        <v>2.4341580207502114E-2</v>
      </c>
      <c r="L3679" s="1">
        <f t="shared" si="515"/>
        <v>1</v>
      </c>
      <c r="M3679" s="1">
        <f t="shared" si="516"/>
        <v>25.94</v>
      </c>
      <c r="N3679" s="1">
        <f t="shared" si="517"/>
        <v>24.78</v>
      </c>
      <c r="O3679" s="1">
        <f t="shared" si="518"/>
        <v>23.71</v>
      </c>
      <c r="P3679" s="1">
        <f t="shared" si="519"/>
        <v>12.096938775510205</v>
      </c>
    </row>
    <row r="3680" spans="1:16">
      <c r="A3680" s="2">
        <v>37720</v>
      </c>
      <c r="B3680" s="1">
        <v>26.35</v>
      </c>
      <c r="C3680" s="1">
        <v>26.37</v>
      </c>
      <c r="D3680" s="1">
        <v>24.84</v>
      </c>
      <c r="E3680" s="1">
        <v>25.06</v>
      </c>
      <c r="F3680" s="1">
        <v>11958900</v>
      </c>
      <c r="G3680" s="1">
        <v>25.06</v>
      </c>
      <c r="H3680" s="1">
        <f t="shared" si="513"/>
        <v>1.5300000000000011</v>
      </c>
      <c r="I3680" s="9">
        <f t="shared" si="520"/>
        <v>6.1594202898550769E-2</v>
      </c>
      <c r="J3680" s="1">
        <f t="shared" si="521"/>
        <v>-1.4600000000000009</v>
      </c>
      <c r="K3680" s="9">
        <f t="shared" si="514"/>
        <v>-5.5052790346908027E-2</v>
      </c>
      <c r="L3680" s="1">
        <f t="shared" si="515"/>
        <v>1</v>
      </c>
      <c r="M3680" s="1">
        <f t="shared" si="516"/>
        <v>26.37</v>
      </c>
      <c r="N3680" s="1">
        <f t="shared" si="517"/>
        <v>24.84</v>
      </c>
      <c r="O3680" s="1">
        <f t="shared" si="518"/>
        <v>23.099999999999998</v>
      </c>
      <c r="P3680" s="1">
        <f t="shared" si="519"/>
        <v>11.785714285714285</v>
      </c>
    </row>
    <row r="3681" spans="1:16">
      <c r="A3681" s="2">
        <v>37719</v>
      </c>
      <c r="B3681" s="1">
        <v>26.79</v>
      </c>
      <c r="C3681" s="1">
        <v>26.8</v>
      </c>
      <c r="D3681" s="1">
        <v>26.45</v>
      </c>
      <c r="E3681" s="1">
        <v>26.52</v>
      </c>
      <c r="F3681" s="1">
        <v>5403600</v>
      </c>
      <c r="G3681" s="1">
        <v>26.52</v>
      </c>
      <c r="H3681" s="1">
        <f t="shared" si="513"/>
        <v>0.35000000000000142</v>
      </c>
      <c r="I3681" s="9">
        <f t="shared" si="520"/>
        <v>1.3232514177693815E-2</v>
      </c>
      <c r="J3681" s="1">
        <f t="shared" si="521"/>
        <v>-0.30000000000000071</v>
      </c>
      <c r="K3681" s="9">
        <f t="shared" si="514"/>
        <v>-1.1185682326621951E-2</v>
      </c>
      <c r="L3681" s="1">
        <f t="shared" si="515"/>
        <v>1</v>
      </c>
      <c r="M3681" s="1">
        <f t="shared" si="516"/>
        <v>26.8</v>
      </c>
      <c r="N3681" s="1">
        <f t="shared" si="517"/>
        <v>26.45</v>
      </c>
      <c r="O3681" s="1">
        <f t="shared" si="518"/>
        <v>24.56</v>
      </c>
      <c r="P3681" s="1">
        <f t="shared" si="519"/>
        <v>12.530612244897959</v>
      </c>
    </row>
    <row r="3682" spans="1:16">
      <c r="A3682" s="2">
        <v>37718</v>
      </c>
      <c r="B3682" s="1">
        <v>27.21</v>
      </c>
      <c r="C3682" s="1">
        <v>27.56</v>
      </c>
      <c r="D3682" s="1">
        <v>26.75</v>
      </c>
      <c r="E3682" s="1">
        <v>26.82</v>
      </c>
      <c r="F3682" s="1">
        <v>7230400</v>
      </c>
      <c r="G3682" s="1">
        <v>26.82</v>
      </c>
      <c r="H3682" s="1">
        <f t="shared" si="513"/>
        <v>0.80999999999999872</v>
      </c>
      <c r="I3682" s="9">
        <f t="shared" si="520"/>
        <v>3.0280373831775655E-2</v>
      </c>
      <c r="J3682" s="1">
        <f t="shared" si="521"/>
        <v>0.60000000000000142</v>
      </c>
      <c r="K3682" s="9">
        <f t="shared" si="514"/>
        <v>2.2883295194508064E-2</v>
      </c>
      <c r="L3682" s="1">
        <f t="shared" si="515"/>
        <v>1</v>
      </c>
      <c r="M3682" s="1">
        <f t="shared" si="516"/>
        <v>27.56</v>
      </c>
      <c r="N3682" s="1">
        <f t="shared" si="517"/>
        <v>26.75</v>
      </c>
      <c r="O3682" s="1">
        <f t="shared" si="518"/>
        <v>24.86</v>
      </c>
      <c r="P3682" s="1">
        <f t="shared" si="519"/>
        <v>12.683673469387754</v>
      </c>
    </row>
    <row r="3683" spans="1:16">
      <c r="A3683" s="2">
        <v>37715</v>
      </c>
      <c r="B3683" s="1">
        <v>26.71</v>
      </c>
      <c r="C3683" s="1">
        <v>26.83</v>
      </c>
      <c r="D3683" s="1">
        <v>25.95</v>
      </c>
      <c r="E3683" s="1">
        <v>26.22</v>
      </c>
      <c r="F3683" s="1">
        <v>6072800</v>
      </c>
      <c r="G3683" s="1">
        <v>26.22</v>
      </c>
      <c r="H3683" s="1">
        <f t="shared" si="513"/>
        <v>0.87999999999999901</v>
      </c>
      <c r="I3683" s="9">
        <f t="shared" si="520"/>
        <v>3.3911368015414223E-2</v>
      </c>
      <c r="J3683" s="1">
        <f t="shared" si="521"/>
        <v>-0.42999999999999972</v>
      </c>
      <c r="K3683" s="9">
        <f t="shared" si="514"/>
        <v>-1.6135084427767343E-2</v>
      </c>
      <c r="L3683" s="1">
        <f t="shared" si="515"/>
        <v>1</v>
      </c>
      <c r="M3683" s="1">
        <f t="shared" si="516"/>
        <v>26.83</v>
      </c>
      <c r="N3683" s="1">
        <f t="shared" si="517"/>
        <v>25.95</v>
      </c>
      <c r="O3683" s="1">
        <f t="shared" si="518"/>
        <v>24.259999999999998</v>
      </c>
      <c r="P3683" s="1">
        <f t="shared" si="519"/>
        <v>12.377551020408163</v>
      </c>
    </row>
    <row r="3684" spans="1:16">
      <c r="A3684" s="2">
        <v>37714</v>
      </c>
      <c r="B3684" s="1">
        <v>26.51</v>
      </c>
      <c r="C3684" s="1">
        <v>27.09</v>
      </c>
      <c r="D3684" s="1">
        <v>26.02</v>
      </c>
      <c r="E3684" s="1">
        <v>26.65</v>
      </c>
      <c r="F3684" s="1">
        <v>7324400</v>
      </c>
      <c r="G3684" s="1">
        <v>26.65</v>
      </c>
      <c r="H3684" s="1">
        <f t="shared" si="513"/>
        <v>1.0700000000000003</v>
      </c>
      <c r="I3684" s="9">
        <f t="shared" si="520"/>
        <v>4.1122213681783253E-2</v>
      </c>
      <c r="J3684" s="1">
        <f t="shared" si="521"/>
        <v>0.26999999999999957</v>
      </c>
      <c r="K3684" s="9">
        <f t="shared" si="514"/>
        <v>1.0235026535253964E-2</v>
      </c>
      <c r="L3684" s="1">
        <f t="shared" si="515"/>
        <v>1</v>
      </c>
      <c r="M3684" s="1">
        <f t="shared" si="516"/>
        <v>27.09</v>
      </c>
      <c r="N3684" s="1">
        <f t="shared" si="517"/>
        <v>26.02</v>
      </c>
      <c r="O3684" s="1">
        <f t="shared" si="518"/>
        <v>24.689999999999998</v>
      </c>
      <c r="P3684" s="1">
        <f t="shared" si="519"/>
        <v>12.596938775510203</v>
      </c>
    </row>
    <row r="3685" spans="1:16">
      <c r="A3685" s="2">
        <v>37713</v>
      </c>
      <c r="B3685" s="1">
        <v>25.98</v>
      </c>
      <c r="C3685" s="1">
        <v>26.48</v>
      </c>
      <c r="D3685" s="1">
        <v>25.84</v>
      </c>
      <c r="E3685" s="1">
        <v>26.38</v>
      </c>
      <c r="F3685" s="1">
        <v>6623000</v>
      </c>
      <c r="G3685" s="1">
        <v>26.38</v>
      </c>
      <c r="H3685" s="1">
        <f t="shared" si="513"/>
        <v>0.64000000000000057</v>
      </c>
      <c r="I3685" s="9">
        <f t="shared" si="520"/>
        <v>2.4767801857585162E-2</v>
      </c>
      <c r="J3685" s="1">
        <f t="shared" si="521"/>
        <v>0.83999999999999986</v>
      </c>
      <c r="K3685" s="9">
        <f t="shared" si="514"/>
        <v>3.2889584964761152E-2</v>
      </c>
      <c r="L3685" s="1">
        <f t="shared" si="515"/>
        <v>1</v>
      </c>
      <c r="M3685" s="1">
        <f t="shared" si="516"/>
        <v>26.48</v>
      </c>
      <c r="N3685" s="1">
        <f t="shared" si="517"/>
        <v>25.84</v>
      </c>
      <c r="O3685" s="1">
        <f t="shared" si="518"/>
        <v>24.419999999999998</v>
      </c>
      <c r="P3685" s="1">
        <f t="shared" si="519"/>
        <v>12.459183673469386</v>
      </c>
    </row>
    <row r="3686" spans="1:16">
      <c r="A3686" s="2">
        <v>37712</v>
      </c>
      <c r="B3686" s="1">
        <v>25.55</v>
      </c>
      <c r="C3686" s="1">
        <v>25.59</v>
      </c>
      <c r="D3686" s="1">
        <v>25.06</v>
      </c>
      <c r="E3686" s="1">
        <v>25.54</v>
      </c>
      <c r="F3686" s="1">
        <v>9774000</v>
      </c>
      <c r="G3686" s="1">
        <v>25.54</v>
      </c>
      <c r="H3686" s="1">
        <f t="shared" si="513"/>
        <v>0.53000000000000114</v>
      </c>
      <c r="I3686" s="9">
        <f t="shared" si="520"/>
        <v>2.1149241819632927E-2</v>
      </c>
      <c r="J3686" s="1">
        <f t="shared" si="521"/>
        <v>-0.49000000000000199</v>
      </c>
      <c r="K3686" s="9">
        <f t="shared" si="514"/>
        <v>-1.8824433346139147E-2</v>
      </c>
      <c r="L3686" s="1">
        <f t="shared" si="515"/>
        <v>1</v>
      </c>
      <c r="M3686" s="1">
        <f t="shared" si="516"/>
        <v>25.59</v>
      </c>
      <c r="N3686" s="1">
        <f t="shared" si="517"/>
        <v>25.06</v>
      </c>
      <c r="O3686" s="1">
        <f t="shared" si="518"/>
        <v>23.58</v>
      </c>
      <c r="P3686" s="1">
        <f t="shared" si="519"/>
        <v>12.030612244897959</v>
      </c>
    </row>
    <row r="3687" spans="1:16">
      <c r="A3687" s="2">
        <v>37711</v>
      </c>
      <c r="B3687" s="1">
        <v>26.57</v>
      </c>
      <c r="C3687" s="1">
        <v>26.74</v>
      </c>
      <c r="D3687" s="1">
        <v>25.96</v>
      </c>
      <c r="E3687" s="1">
        <v>26.03</v>
      </c>
      <c r="F3687" s="1">
        <v>9214800</v>
      </c>
      <c r="G3687" s="1">
        <v>26.03</v>
      </c>
      <c r="H3687" s="1">
        <f t="shared" si="513"/>
        <v>0.77999999999999758</v>
      </c>
      <c r="I3687" s="9">
        <f t="shared" si="520"/>
        <v>3.0046224961479105E-2</v>
      </c>
      <c r="J3687" s="1">
        <f t="shared" si="521"/>
        <v>-1.1499999999999986</v>
      </c>
      <c r="K3687" s="9">
        <f t="shared" si="514"/>
        <v>-4.2310522442972724E-2</v>
      </c>
      <c r="L3687" s="1">
        <f t="shared" si="515"/>
        <v>1</v>
      </c>
      <c r="M3687" s="1">
        <f t="shared" si="516"/>
        <v>26.74</v>
      </c>
      <c r="N3687" s="1">
        <f t="shared" si="517"/>
        <v>25.96</v>
      </c>
      <c r="O3687" s="1">
        <f t="shared" si="518"/>
        <v>24.07</v>
      </c>
      <c r="P3687" s="1">
        <f t="shared" si="519"/>
        <v>12.280612244897959</v>
      </c>
    </row>
    <row r="3688" spans="1:16">
      <c r="A3688" s="2">
        <v>37708</v>
      </c>
      <c r="B3688" s="1">
        <v>27.59</v>
      </c>
      <c r="C3688" s="1">
        <v>27.95</v>
      </c>
      <c r="D3688" s="1">
        <v>27.1</v>
      </c>
      <c r="E3688" s="1">
        <v>27.18</v>
      </c>
      <c r="F3688" s="1">
        <v>6437000</v>
      </c>
      <c r="G3688" s="1">
        <v>27.18</v>
      </c>
      <c r="H3688" s="1">
        <f t="shared" si="513"/>
        <v>0.84999999999999787</v>
      </c>
      <c r="I3688" s="9">
        <f t="shared" si="520"/>
        <v>3.1365313653136453E-2</v>
      </c>
      <c r="J3688" s="1">
        <f t="shared" si="521"/>
        <v>-0.58999999999999986</v>
      </c>
      <c r="K3688" s="9">
        <f t="shared" si="514"/>
        <v>-2.1245948865682387E-2</v>
      </c>
      <c r="L3688" s="1">
        <f t="shared" si="515"/>
        <v>1</v>
      </c>
      <c r="M3688" s="1">
        <f t="shared" si="516"/>
        <v>27.95</v>
      </c>
      <c r="N3688" s="1">
        <f t="shared" si="517"/>
        <v>27.1</v>
      </c>
      <c r="O3688" s="1">
        <f t="shared" si="518"/>
        <v>25.22</v>
      </c>
      <c r="P3688" s="1">
        <f t="shared" si="519"/>
        <v>12.86734693877551</v>
      </c>
    </row>
    <row r="3689" spans="1:16">
      <c r="A3689" s="2">
        <v>37707</v>
      </c>
      <c r="B3689" s="1">
        <v>27.59</v>
      </c>
      <c r="C3689" s="1">
        <v>28.04</v>
      </c>
      <c r="D3689" s="1">
        <v>27.45</v>
      </c>
      <c r="E3689" s="1">
        <v>27.77</v>
      </c>
      <c r="F3689" s="1">
        <v>10642100</v>
      </c>
      <c r="G3689" s="1">
        <v>27.77</v>
      </c>
      <c r="H3689" s="1">
        <f t="shared" si="513"/>
        <v>0.58999999999999986</v>
      </c>
      <c r="I3689" s="9">
        <f t="shared" si="520"/>
        <v>2.1493624772313293E-2</v>
      </c>
      <c r="J3689" s="1">
        <f t="shared" si="521"/>
        <v>9.9999999999980105E-3</v>
      </c>
      <c r="K3689" s="9">
        <f t="shared" si="514"/>
        <v>3.6023054755036059E-4</v>
      </c>
      <c r="L3689" s="1">
        <f t="shared" si="515"/>
        <v>1</v>
      </c>
      <c r="M3689" s="1">
        <f t="shared" si="516"/>
        <v>28.04</v>
      </c>
      <c r="N3689" s="1">
        <f t="shared" si="517"/>
        <v>27.45</v>
      </c>
      <c r="O3689" s="1">
        <f t="shared" si="518"/>
        <v>25.81</v>
      </c>
      <c r="P3689" s="1">
        <f t="shared" si="519"/>
        <v>13.168367346938775</v>
      </c>
    </row>
    <row r="3690" spans="1:16">
      <c r="A3690" s="2">
        <v>37706</v>
      </c>
      <c r="B3690" s="1">
        <v>26.88</v>
      </c>
      <c r="C3690" s="1">
        <v>27.87</v>
      </c>
      <c r="D3690" s="1">
        <v>26.71</v>
      </c>
      <c r="E3690" s="1">
        <v>27.76</v>
      </c>
      <c r="F3690" s="1">
        <v>7375700</v>
      </c>
      <c r="G3690" s="1">
        <v>27.76</v>
      </c>
      <c r="H3690" s="1">
        <f t="shared" si="513"/>
        <v>1.1600000000000001</v>
      </c>
      <c r="I3690" s="9">
        <f t="shared" si="520"/>
        <v>4.3429427180831155E-2</v>
      </c>
      <c r="J3690" s="1">
        <f t="shared" si="521"/>
        <v>0.86000000000000298</v>
      </c>
      <c r="K3690" s="9">
        <f t="shared" si="514"/>
        <v>3.1970260223048441E-2</v>
      </c>
      <c r="L3690" s="1">
        <f t="shared" si="515"/>
        <v>1</v>
      </c>
      <c r="M3690" s="1">
        <f t="shared" si="516"/>
        <v>27.87</v>
      </c>
      <c r="N3690" s="1">
        <f t="shared" si="517"/>
        <v>26.71</v>
      </c>
      <c r="O3690" s="1">
        <f t="shared" si="518"/>
        <v>25.8</v>
      </c>
      <c r="P3690" s="1">
        <f t="shared" si="519"/>
        <v>13.163265306122449</v>
      </c>
    </row>
    <row r="3691" spans="1:16">
      <c r="A3691" s="2">
        <v>37705</v>
      </c>
      <c r="B3691" s="1">
        <v>26.25</v>
      </c>
      <c r="C3691" s="1">
        <v>27.09</v>
      </c>
      <c r="D3691" s="1">
        <v>26.21</v>
      </c>
      <c r="E3691" s="1">
        <v>26.9</v>
      </c>
      <c r="F3691" s="1">
        <v>7213200</v>
      </c>
      <c r="G3691" s="1">
        <v>26.9</v>
      </c>
      <c r="H3691" s="1">
        <f t="shared" si="513"/>
        <v>0.87999999999999901</v>
      </c>
      <c r="I3691" s="9">
        <f t="shared" si="520"/>
        <v>3.3574971384967532E-2</v>
      </c>
      <c r="J3691" s="1">
        <f t="shared" si="521"/>
        <v>0.66999999999999815</v>
      </c>
      <c r="K3691" s="9">
        <f t="shared" si="514"/>
        <v>2.5543271063667484E-2</v>
      </c>
      <c r="L3691" s="1">
        <f t="shared" si="515"/>
        <v>1</v>
      </c>
      <c r="M3691" s="1">
        <f t="shared" si="516"/>
        <v>27.09</v>
      </c>
      <c r="N3691" s="1">
        <f t="shared" si="517"/>
        <v>26.21</v>
      </c>
      <c r="O3691" s="1">
        <f t="shared" si="518"/>
        <v>24.939999999999998</v>
      </c>
      <c r="P3691" s="1">
        <f t="shared" si="519"/>
        <v>12.724489795918366</v>
      </c>
    </row>
    <row r="3692" spans="1:16">
      <c r="A3692" s="2">
        <v>37704</v>
      </c>
      <c r="B3692" s="1">
        <v>27.08</v>
      </c>
      <c r="C3692" s="1">
        <v>27.26</v>
      </c>
      <c r="D3692" s="1">
        <v>26.2</v>
      </c>
      <c r="E3692" s="1">
        <v>26.23</v>
      </c>
      <c r="F3692" s="1">
        <v>10340500</v>
      </c>
      <c r="G3692" s="1">
        <v>26.23</v>
      </c>
      <c r="H3692" s="1">
        <f t="shared" si="513"/>
        <v>1.0600000000000023</v>
      </c>
      <c r="I3692" s="9">
        <f t="shared" si="520"/>
        <v>4.0458015267175663E-2</v>
      </c>
      <c r="J3692" s="1">
        <f t="shared" si="521"/>
        <v>-1.6999999999999993</v>
      </c>
      <c r="K3692" s="9">
        <f t="shared" si="514"/>
        <v>-6.0866451843895428E-2</v>
      </c>
      <c r="L3692" s="1">
        <f t="shared" si="515"/>
        <v>1</v>
      </c>
      <c r="M3692" s="1">
        <f t="shared" si="516"/>
        <v>27.26</v>
      </c>
      <c r="N3692" s="1">
        <f t="shared" si="517"/>
        <v>26.2</v>
      </c>
      <c r="O3692" s="1">
        <f t="shared" si="518"/>
        <v>24.27</v>
      </c>
      <c r="P3692" s="1">
        <f t="shared" si="519"/>
        <v>12.38265306122449</v>
      </c>
    </row>
    <row r="3693" spans="1:16">
      <c r="A3693" s="2">
        <v>37701</v>
      </c>
      <c r="B3693" s="1">
        <v>27.71</v>
      </c>
      <c r="C3693" s="1">
        <v>27.95</v>
      </c>
      <c r="D3693" s="1">
        <v>27.04</v>
      </c>
      <c r="E3693" s="1">
        <v>27.93</v>
      </c>
      <c r="F3693" s="1">
        <v>10657700</v>
      </c>
      <c r="G3693" s="1">
        <v>27.93</v>
      </c>
      <c r="H3693" s="1">
        <f t="shared" si="513"/>
        <v>0.91000000000000014</v>
      </c>
      <c r="I3693" s="9">
        <f t="shared" si="520"/>
        <v>3.3653846153846159E-2</v>
      </c>
      <c r="J3693" s="1">
        <f t="shared" si="521"/>
        <v>0.48000000000000043</v>
      </c>
      <c r="K3693" s="9">
        <f t="shared" si="514"/>
        <v>1.7486338797814225E-2</v>
      </c>
      <c r="L3693" s="1">
        <f t="shared" si="515"/>
        <v>1</v>
      </c>
      <c r="M3693" s="1">
        <f t="shared" si="516"/>
        <v>27.95</v>
      </c>
      <c r="N3693" s="1">
        <f t="shared" si="517"/>
        <v>27.04</v>
      </c>
      <c r="O3693" s="1">
        <f t="shared" si="518"/>
        <v>25.97</v>
      </c>
      <c r="P3693" s="1">
        <f t="shared" si="519"/>
        <v>13.25</v>
      </c>
    </row>
    <row r="3694" spans="1:16">
      <c r="A3694" s="2">
        <v>37700</v>
      </c>
      <c r="B3694" s="1">
        <v>26.34</v>
      </c>
      <c r="C3694" s="1">
        <v>27.63</v>
      </c>
      <c r="D3694" s="1">
        <v>26.13</v>
      </c>
      <c r="E3694" s="1">
        <v>27.45</v>
      </c>
      <c r="F3694" s="1">
        <v>9376200</v>
      </c>
      <c r="G3694" s="1">
        <v>27.45</v>
      </c>
      <c r="H3694" s="1">
        <f t="shared" si="513"/>
        <v>1.5</v>
      </c>
      <c r="I3694" s="9">
        <f t="shared" si="520"/>
        <v>5.7405281285878303E-2</v>
      </c>
      <c r="J3694" s="1">
        <f t="shared" si="521"/>
        <v>0.91000000000000014</v>
      </c>
      <c r="K3694" s="9">
        <f t="shared" si="514"/>
        <v>3.4287867370007545E-2</v>
      </c>
      <c r="L3694" s="1">
        <f t="shared" si="515"/>
        <v>1</v>
      </c>
      <c r="M3694" s="1">
        <f t="shared" si="516"/>
        <v>27.63</v>
      </c>
      <c r="N3694" s="1">
        <f t="shared" si="517"/>
        <v>26.13</v>
      </c>
      <c r="O3694" s="1">
        <f t="shared" si="518"/>
        <v>25.49</v>
      </c>
      <c r="P3694" s="1">
        <f t="shared" si="519"/>
        <v>13.005102040816325</v>
      </c>
    </row>
    <row r="3695" spans="1:16">
      <c r="A3695" s="2">
        <v>37699</v>
      </c>
      <c r="B3695" s="1">
        <v>26.33</v>
      </c>
      <c r="C3695" s="1">
        <v>26.69</v>
      </c>
      <c r="D3695" s="1">
        <v>26.16</v>
      </c>
      <c r="E3695" s="1">
        <v>26.54</v>
      </c>
      <c r="F3695" s="1">
        <v>8481000</v>
      </c>
      <c r="G3695" s="1">
        <v>26.54</v>
      </c>
      <c r="H3695" s="1">
        <f t="shared" si="513"/>
        <v>0.53000000000000114</v>
      </c>
      <c r="I3695" s="9">
        <f t="shared" si="520"/>
        <v>2.0259938837920533E-2</v>
      </c>
      <c r="J3695" s="1">
        <f t="shared" si="521"/>
        <v>-0.24000000000000199</v>
      </c>
      <c r="K3695" s="9">
        <f t="shared" si="514"/>
        <v>-8.9619118745333081E-3</v>
      </c>
      <c r="L3695" s="1">
        <f t="shared" si="515"/>
        <v>1</v>
      </c>
      <c r="M3695" s="1">
        <f t="shared" si="516"/>
        <v>26.69</v>
      </c>
      <c r="N3695" s="1">
        <f t="shared" si="517"/>
        <v>26.16</v>
      </c>
      <c r="O3695" s="1">
        <f t="shared" si="518"/>
        <v>24.58</v>
      </c>
      <c r="P3695" s="1">
        <f t="shared" si="519"/>
        <v>12.540816326530612</v>
      </c>
    </row>
    <row r="3696" spans="1:16">
      <c r="A3696" s="2">
        <v>37698</v>
      </c>
      <c r="B3696" s="1">
        <v>26.46</v>
      </c>
      <c r="C3696" s="1">
        <v>26.84</v>
      </c>
      <c r="D3696" s="1">
        <v>26.1</v>
      </c>
      <c r="E3696" s="1">
        <v>26.78</v>
      </c>
      <c r="F3696" s="1">
        <v>8749800</v>
      </c>
      <c r="G3696" s="1">
        <v>26.78</v>
      </c>
      <c r="H3696" s="1">
        <f t="shared" si="513"/>
        <v>0.73999999999999844</v>
      </c>
      <c r="I3696" s="9">
        <f t="shared" si="520"/>
        <v>2.8352490421455878E-2</v>
      </c>
      <c r="J3696" s="1">
        <f t="shared" si="521"/>
        <v>0.23000000000000043</v>
      </c>
      <c r="K3696" s="9">
        <f t="shared" si="514"/>
        <v>8.6629001883239323E-3</v>
      </c>
      <c r="L3696" s="1">
        <f t="shared" si="515"/>
        <v>1</v>
      </c>
      <c r="M3696" s="1">
        <f t="shared" si="516"/>
        <v>26.84</v>
      </c>
      <c r="N3696" s="1">
        <f t="shared" si="517"/>
        <v>26.1</v>
      </c>
      <c r="O3696" s="1">
        <f t="shared" si="518"/>
        <v>24.82</v>
      </c>
      <c r="P3696" s="1">
        <f t="shared" si="519"/>
        <v>12.663265306122449</v>
      </c>
    </row>
    <row r="3697" spans="1:16">
      <c r="A3697" s="2">
        <v>37697</v>
      </c>
      <c r="B3697" s="1">
        <v>24.47</v>
      </c>
      <c r="C3697" s="1">
        <v>26.84</v>
      </c>
      <c r="D3697" s="1">
        <v>24.4</v>
      </c>
      <c r="E3697" s="1">
        <v>26.55</v>
      </c>
      <c r="F3697" s="1">
        <v>15124900</v>
      </c>
      <c r="G3697" s="1">
        <v>26.55</v>
      </c>
      <c r="H3697" s="1">
        <f t="shared" si="513"/>
        <v>2.4400000000000013</v>
      </c>
      <c r="I3697" s="9">
        <f t="shared" si="520"/>
        <v>0.10000000000000006</v>
      </c>
      <c r="J3697" s="1">
        <f t="shared" si="521"/>
        <v>1.8399999999999999</v>
      </c>
      <c r="K3697" s="9">
        <f t="shared" si="514"/>
        <v>7.4463779846216105E-2</v>
      </c>
      <c r="L3697" s="1">
        <f t="shared" si="515"/>
        <v>1</v>
      </c>
      <c r="M3697" s="1">
        <f t="shared" si="516"/>
        <v>26.84</v>
      </c>
      <c r="N3697" s="1">
        <f t="shared" si="517"/>
        <v>24.4</v>
      </c>
      <c r="O3697" s="1">
        <f t="shared" si="518"/>
        <v>24.59</v>
      </c>
      <c r="P3697" s="1">
        <f t="shared" si="519"/>
        <v>12.545918367346939</v>
      </c>
    </row>
    <row r="3698" spans="1:16">
      <c r="A3698" s="2">
        <v>37694</v>
      </c>
      <c r="B3698" s="1">
        <v>24.54</v>
      </c>
      <c r="C3698" s="1">
        <v>24.9</v>
      </c>
      <c r="D3698" s="1">
        <v>24.2</v>
      </c>
      <c r="E3698" s="1">
        <v>24.71</v>
      </c>
      <c r="F3698" s="1">
        <v>8907800</v>
      </c>
      <c r="G3698" s="1">
        <v>24.71</v>
      </c>
      <c r="H3698" s="1">
        <f t="shared" si="513"/>
        <v>0.69999999999999929</v>
      </c>
      <c r="I3698" s="9">
        <f t="shared" si="520"/>
        <v>2.8925619834710717E-2</v>
      </c>
      <c r="J3698" s="1">
        <f t="shared" si="521"/>
        <v>0.28999999999999915</v>
      </c>
      <c r="K3698" s="9">
        <f t="shared" si="514"/>
        <v>1.187551187551184E-2</v>
      </c>
      <c r="L3698" s="1">
        <f t="shared" si="515"/>
        <v>1</v>
      </c>
      <c r="M3698" s="1">
        <f t="shared" si="516"/>
        <v>24.9</v>
      </c>
      <c r="N3698" s="1">
        <f t="shared" si="517"/>
        <v>24.2</v>
      </c>
      <c r="O3698" s="1">
        <f t="shared" si="518"/>
        <v>22.75</v>
      </c>
      <c r="P3698" s="1">
        <f t="shared" si="519"/>
        <v>11.607142857142858</v>
      </c>
    </row>
    <row r="3699" spans="1:16">
      <c r="A3699" s="2">
        <v>37693</v>
      </c>
      <c r="B3699" s="1">
        <v>23.68</v>
      </c>
      <c r="C3699" s="1">
        <v>24.59</v>
      </c>
      <c r="D3699" s="1">
        <v>23.13</v>
      </c>
      <c r="E3699" s="1">
        <v>24.42</v>
      </c>
      <c r="F3699" s="1">
        <v>11208900</v>
      </c>
      <c r="G3699" s="1">
        <v>24.42</v>
      </c>
      <c r="H3699" s="1">
        <f t="shared" si="513"/>
        <v>1.4600000000000009</v>
      </c>
      <c r="I3699" s="9">
        <f t="shared" si="520"/>
        <v>6.3121487246000904E-2</v>
      </c>
      <c r="J3699" s="1">
        <f t="shared" si="521"/>
        <v>1.0600000000000023</v>
      </c>
      <c r="K3699" s="9">
        <f t="shared" si="514"/>
        <v>4.5376712328767221E-2</v>
      </c>
      <c r="L3699" s="1">
        <f t="shared" si="515"/>
        <v>1</v>
      </c>
      <c r="M3699" s="1">
        <f t="shared" si="516"/>
        <v>24.59</v>
      </c>
      <c r="N3699" s="1">
        <f t="shared" si="517"/>
        <v>23.13</v>
      </c>
      <c r="O3699" s="1">
        <f t="shared" si="518"/>
        <v>22.46</v>
      </c>
      <c r="P3699" s="1">
        <f t="shared" si="519"/>
        <v>11.459183673469388</v>
      </c>
    </row>
    <row r="3700" spans="1:16">
      <c r="A3700" s="2">
        <v>37692</v>
      </c>
      <c r="B3700" s="1">
        <v>22.51</v>
      </c>
      <c r="C3700" s="1">
        <v>23.38</v>
      </c>
      <c r="D3700" s="1">
        <v>22.49</v>
      </c>
      <c r="E3700" s="1">
        <v>23.36</v>
      </c>
      <c r="F3700" s="1">
        <v>5573100</v>
      </c>
      <c r="G3700" s="1">
        <v>23.36</v>
      </c>
      <c r="H3700" s="1">
        <f t="shared" si="513"/>
        <v>0.89000000000000057</v>
      </c>
      <c r="I3700" s="9">
        <f t="shared" si="520"/>
        <v>3.9573143619386422E-2</v>
      </c>
      <c r="J3700" s="1">
        <f t="shared" si="521"/>
        <v>0.57999999999999829</v>
      </c>
      <c r="K3700" s="9">
        <f t="shared" si="514"/>
        <v>2.5460930640913006E-2</v>
      </c>
      <c r="L3700" s="1">
        <f t="shared" si="515"/>
        <v>1</v>
      </c>
      <c r="M3700" s="1">
        <f t="shared" si="516"/>
        <v>23.38</v>
      </c>
      <c r="N3700" s="1">
        <f t="shared" si="517"/>
        <v>22.49</v>
      </c>
      <c r="O3700" s="1">
        <f t="shared" si="518"/>
        <v>21.4</v>
      </c>
      <c r="P3700" s="1">
        <f t="shared" si="519"/>
        <v>10.918367346938775</v>
      </c>
    </row>
    <row r="3701" spans="1:16">
      <c r="A3701" s="2">
        <v>37691</v>
      </c>
      <c r="B3701" s="1">
        <v>22.75</v>
      </c>
      <c r="C3701" s="1">
        <v>22.92</v>
      </c>
      <c r="D3701" s="1">
        <v>22.51</v>
      </c>
      <c r="E3701" s="1">
        <v>22.78</v>
      </c>
      <c r="F3701" s="1">
        <v>4034100</v>
      </c>
      <c r="G3701" s="1">
        <v>22.78</v>
      </c>
      <c r="H3701" s="1">
        <f t="shared" si="513"/>
        <v>0.41000000000000014</v>
      </c>
      <c r="I3701" s="9">
        <f t="shared" si="520"/>
        <v>1.8214127054642388E-2</v>
      </c>
      <c r="J3701" s="1">
        <f t="shared" si="521"/>
        <v>-9.9999999999997868E-2</v>
      </c>
      <c r="K3701" s="9">
        <f t="shared" si="514"/>
        <v>-4.3706293706292773E-3</v>
      </c>
      <c r="L3701" s="1">
        <f t="shared" si="515"/>
        <v>1</v>
      </c>
      <c r="M3701" s="1">
        <f t="shared" si="516"/>
        <v>22.92</v>
      </c>
      <c r="N3701" s="1">
        <f t="shared" si="517"/>
        <v>22.51</v>
      </c>
      <c r="O3701" s="1">
        <f t="shared" si="518"/>
        <v>20.82</v>
      </c>
      <c r="P3701" s="1">
        <f t="shared" si="519"/>
        <v>10.622448979591837</v>
      </c>
    </row>
    <row r="3702" spans="1:16">
      <c r="A3702" s="2">
        <v>37690</v>
      </c>
      <c r="B3702" s="1">
        <v>22.6</v>
      </c>
      <c r="C3702" s="1">
        <v>22.96</v>
      </c>
      <c r="D3702" s="1">
        <v>22.55</v>
      </c>
      <c r="E3702" s="1">
        <v>22.88</v>
      </c>
      <c r="F3702" s="1">
        <v>4406000</v>
      </c>
      <c r="G3702" s="1">
        <v>22.88</v>
      </c>
      <c r="H3702" s="1">
        <f t="shared" si="513"/>
        <v>0.41000000000000014</v>
      </c>
      <c r="I3702" s="9">
        <f t="shared" si="520"/>
        <v>1.8181818181818188E-2</v>
      </c>
      <c r="J3702" s="1">
        <f t="shared" si="521"/>
        <v>-8.9999999999999858E-2</v>
      </c>
      <c r="K3702" s="9">
        <f t="shared" si="514"/>
        <v>-3.9181541140618139E-3</v>
      </c>
      <c r="L3702" s="1">
        <f t="shared" si="515"/>
        <v>1</v>
      </c>
      <c r="M3702" s="1">
        <f t="shared" si="516"/>
        <v>22.96</v>
      </c>
      <c r="N3702" s="1">
        <f t="shared" si="517"/>
        <v>22.55</v>
      </c>
      <c r="O3702" s="1">
        <f t="shared" si="518"/>
        <v>20.919999999999998</v>
      </c>
      <c r="P3702" s="1">
        <f t="shared" si="519"/>
        <v>10.673469387755102</v>
      </c>
    </row>
    <row r="3703" spans="1:16">
      <c r="A3703" s="2">
        <v>37687</v>
      </c>
      <c r="B3703" s="1">
        <v>22.32</v>
      </c>
      <c r="C3703" s="1">
        <v>23.04</v>
      </c>
      <c r="D3703" s="1">
        <v>22.26</v>
      </c>
      <c r="E3703" s="1">
        <v>22.97</v>
      </c>
      <c r="F3703" s="1">
        <v>5848400</v>
      </c>
      <c r="G3703" s="1">
        <v>22.97</v>
      </c>
      <c r="H3703" s="1">
        <f t="shared" si="513"/>
        <v>0.77999999999999758</v>
      </c>
      <c r="I3703" s="9">
        <f t="shared" si="520"/>
        <v>3.504043126684625E-2</v>
      </c>
      <c r="J3703" s="1">
        <f t="shared" si="521"/>
        <v>0.27999999999999758</v>
      </c>
      <c r="K3703" s="9">
        <f t="shared" si="514"/>
        <v>1.2340237990303992E-2</v>
      </c>
      <c r="L3703" s="1">
        <f t="shared" si="515"/>
        <v>1</v>
      </c>
      <c r="M3703" s="1">
        <f t="shared" si="516"/>
        <v>23.04</v>
      </c>
      <c r="N3703" s="1">
        <f t="shared" si="517"/>
        <v>22.26</v>
      </c>
      <c r="O3703" s="1">
        <f t="shared" si="518"/>
        <v>21.009999999999998</v>
      </c>
      <c r="P3703" s="1">
        <f t="shared" si="519"/>
        <v>10.719387755102041</v>
      </c>
    </row>
    <row r="3704" spans="1:16">
      <c r="A3704" s="2">
        <v>37686</v>
      </c>
      <c r="B3704" s="1">
        <v>22.32</v>
      </c>
      <c r="C3704" s="1">
        <v>22.85</v>
      </c>
      <c r="D3704" s="1">
        <v>22.12</v>
      </c>
      <c r="E3704" s="1">
        <v>22.69</v>
      </c>
      <c r="F3704" s="1">
        <v>5427400</v>
      </c>
      <c r="G3704" s="1">
        <v>22.69</v>
      </c>
      <c r="H3704" s="1">
        <f t="shared" si="513"/>
        <v>0.73000000000000043</v>
      </c>
      <c r="I3704" s="9">
        <f t="shared" si="520"/>
        <v>3.3001808318264034E-2</v>
      </c>
      <c r="J3704" s="1">
        <f t="shared" si="521"/>
        <v>0.26999999999999957</v>
      </c>
      <c r="K3704" s="9">
        <f t="shared" si="514"/>
        <v>1.2042818911685975E-2</v>
      </c>
      <c r="L3704" s="1">
        <f t="shared" si="515"/>
        <v>1</v>
      </c>
      <c r="M3704" s="1">
        <f t="shared" si="516"/>
        <v>22.85</v>
      </c>
      <c r="N3704" s="1">
        <f t="shared" si="517"/>
        <v>22.12</v>
      </c>
      <c r="O3704" s="1">
        <f t="shared" si="518"/>
        <v>20.73</v>
      </c>
      <c r="P3704" s="1">
        <f t="shared" si="519"/>
        <v>10.576530612244898</v>
      </c>
    </row>
    <row r="3705" spans="1:16">
      <c r="A3705" s="2">
        <v>37685</v>
      </c>
      <c r="B3705" s="1">
        <v>22.08</v>
      </c>
      <c r="C3705" s="1">
        <v>22.62</v>
      </c>
      <c r="D3705" s="1">
        <v>22.02</v>
      </c>
      <c r="E3705" s="1">
        <v>22.42</v>
      </c>
      <c r="F3705" s="1">
        <v>5160400</v>
      </c>
      <c r="G3705" s="1">
        <v>22.42</v>
      </c>
      <c r="H3705" s="1">
        <f t="shared" si="513"/>
        <v>0.60000000000000142</v>
      </c>
      <c r="I3705" s="9">
        <f t="shared" si="520"/>
        <v>2.7247956403269821E-2</v>
      </c>
      <c r="J3705" s="1">
        <f t="shared" si="521"/>
        <v>0.15000000000000213</v>
      </c>
      <c r="K3705" s="9">
        <f t="shared" si="514"/>
        <v>6.7355186349349859E-3</v>
      </c>
      <c r="L3705" s="1">
        <f t="shared" si="515"/>
        <v>1</v>
      </c>
      <c r="M3705" s="1">
        <f t="shared" si="516"/>
        <v>22.62</v>
      </c>
      <c r="N3705" s="1">
        <f t="shared" si="517"/>
        <v>22.02</v>
      </c>
      <c r="O3705" s="1">
        <f t="shared" si="518"/>
        <v>20.46</v>
      </c>
      <c r="P3705" s="1">
        <f t="shared" si="519"/>
        <v>10.438775510204083</v>
      </c>
    </row>
    <row r="3706" spans="1:16">
      <c r="A3706" s="2">
        <v>37684</v>
      </c>
      <c r="B3706" s="1">
        <v>21.7</v>
      </c>
      <c r="C3706" s="1">
        <v>22.35</v>
      </c>
      <c r="D3706" s="1">
        <v>21.36</v>
      </c>
      <c r="E3706" s="1">
        <v>22.27</v>
      </c>
      <c r="F3706" s="1">
        <v>5434300</v>
      </c>
      <c r="G3706" s="1">
        <v>22.27</v>
      </c>
      <c r="H3706" s="1">
        <f t="shared" si="513"/>
        <v>0.99000000000000199</v>
      </c>
      <c r="I3706" s="9">
        <f t="shared" si="520"/>
        <v>4.6348314606741665E-2</v>
      </c>
      <c r="J3706" s="1">
        <f t="shared" si="521"/>
        <v>0.46000000000000085</v>
      </c>
      <c r="K3706" s="9">
        <f t="shared" si="514"/>
        <v>2.1091242549289357E-2</v>
      </c>
      <c r="L3706" s="1">
        <f t="shared" si="515"/>
        <v>1</v>
      </c>
      <c r="M3706" s="1">
        <f t="shared" si="516"/>
        <v>22.35</v>
      </c>
      <c r="N3706" s="1">
        <f t="shared" si="517"/>
        <v>21.36</v>
      </c>
      <c r="O3706" s="1">
        <f t="shared" si="518"/>
        <v>20.309999999999999</v>
      </c>
      <c r="P3706" s="1">
        <f t="shared" si="519"/>
        <v>10.362244897959183</v>
      </c>
    </row>
    <row r="3707" spans="1:16">
      <c r="A3707" s="2">
        <v>37683</v>
      </c>
      <c r="B3707" s="1">
        <v>22.15</v>
      </c>
      <c r="C3707" s="1">
        <v>22.61</v>
      </c>
      <c r="D3707" s="1">
        <v>21.74</v>
      </c>
      <c r="E3707" s="1">
        <v>21.81</v>
      </c>
      <c r="F3707" s="1">
        <v>4480300</v>
      </c>
      <c r="G3707" s="1">
        <v>21.81</v>
      </c>
      <c r="H3707" s="1">
        <f t="shared" si="513"/>
        <v>0.87000000000000099</v>
      </c>
      <c r="I3707" s="9">
        <f t="shared" si="520"/>
        <v>4.0018399264029489E-2</v>
      </c>
      <c r="J3707" s="1">
        <f t="shared" si="521"/>
        <v>-0.20000000000000284</v>
      </c>
      <c r="K3707" s="9">
        <f t="shared" si="514"/>
        <v>-9.0867787369378842E-3</v>
      </c>
      <c r="L3707" s="1">
        <f t="shared" si="515"/>
        <v>1</v>
      </c>
      <c r="M3707" s="1">
        <f t="shared" si="516"/>
        <v>22.61</v>
      </c>
      <c r="N3707" s="1">
        <f t="shared" si="517"/>
        <v>21.74</v>
      </c>
      <c r="O3707" s="1">
        <f t="shared" si="518"/>
        <v>19.849999999999998</v>
      </c>
      <c r="P3707" s="1">
        <f t="shared" si="519"/>
        <v>10.127551020408163</v>
      </c>
    </row>
    <row r="3708" spans="1:16">
      <c r="A3708" s="2">
        <v>37680</v>
      </c>
      <c r="B3708" s="1">
        <v>21.57</v>
      </c>
      <c r="C3708" s="1">
        <v>22.02</v>
      </c>
      <c r="D3708" s="1">
        <v>21.43</v>
      </c>
      <c r="E3708" s="1">
        <v>22.01</v>
      </c>
      <c r="F3708" s="1">
        <v>4687100</v>
      </c>
      <c r="G3708" s="1">
        <v>22.01</v>
      </c>
      <c r="H3708" s="1">
        <f t="shared" si="513"/>
        <v>0.58999999999999986</v>
      </c>
      <c r="I3708" s="9">
        <f t="shared" si="520"/>
        <v>2.7531497900139985E-2</v>
      </c>
      <c r="J3708" s="1">
        <f t="shared" si="521"/>
        <v>0.39000000000000057</v>
      </c>
      <c r="K3708" s="9">
        <f t="shared" si="514"/>
        <v>1.8038852913968572E-2</v>
      </c>
      <c r="L3708" s="1">
        <f t="shared" si="515"/>
        <v>1</v>
      </c>
      <c r="M3708" s="1">
        <f t="shared" si="516"/>
        <v>22.02</v>
      </c>
      <c r="N3708" s="1">
        <f t="shared" si="517"/>
        <v>21.43</v>
      </c>
      <c r="O3708" s="1">
        <f t="shared" si="518"/>
        <v>20.05</v>
      </c>
      <c r="P3708" s="1">
        <f t="shared" si="519"/>
        <v>10.229591836734695</v>
      </c>
    </row>
    <row r="3709" spans="1:16">
      <c r="A3709" s="2">
        <v>37679</v>
      </c>
      <c r="B3709" s="1">
        <v>21.66</v>
      </c>
      <c r="C3709" s="1">
        <v>21.77</v>
      </c>
      <c r="D3709" s="1">
        <v>20.25</v>
      </c>
      <c r="E3709" s="1">
        <v>21.62</v>
      </c>
      <c r="F3709" s="1">
        <v>5076300</v>
      </c>
      <c r="G3709" s="1">
        <v>21.62</v>
      </c>
      <c r="H3709" s="1">
        <f t="shared" si="513"/>
        <v>1.5199999999999996</v>
      </c>
      <c r="I3709" s="9">
        <f t="shared" si="520"/>
        <v>7.5061728395061714E-2</v>
      </c>
      <c r="J3709" s="1">
        <f t="shared" si="521"/>
        <v>-1.9999999999999574E-2</v>
      </c>
      <c r="K3709" s="9">
        <f t="shared" si="514"/>
        <v>-9.2421441774489708E-4</v>
      </c>
      <c r="L3709" s="1">
        <f t="shared" si="515"/>
        <v>1</v>
      </c>
      <c r="M3709" s="1">
        <f t="shared" si="516"/>
        <v>21.77</v>
      </c>
      <c r="N3709" s="1">
        <f t="shared" si="517"/>
        <v>20.25</v>
      </c>
      <c r="O3709" s="1">
        <f t="shared" si="518"/>
        <v>19.66</v>
      </c>
      <c r="P3709" s="1">
        <f t="shared" si="519"/>
        <v>10.030612244897959</v>
      </c>
    </row>
    <row r="3710" spans="1:16">
      <c r="A3710" s="2">
        <v>37678</v>
      </c>
      <c r="B3710" s="1">
        <v>21.63</v>
      </c>
      <c r="C3710" s="1">
        <v>21.98</v>
      </c>
      <c r="D3710" s="1">
        <v>21.62</v>
      </c>
      <c r="E3710" s="1">
        <v>21.64</v>
      </c>
      <c r="F3710" s="1">
        <v>4121300</v>
      </c>
      <c r="G3710" s="1">
        <v>21.64</v>
      </c>
      <c r="H3710" s="1">
        <f t="shared" si="513"/>
        <v>0.35999999999999943</v>
      </c>
      <c r="I3710" s="9">
        <f t="shared" si="520"/>
        <v>1.6651248843663247E-2</v>
      </c>
      <c r="J3710" s="1">
        <f t="shared" si="521"/>
        <v>-0.23999999999999844</v>
      </c>
      <c r="K3710" s="9">
        <f t="shared" si="514"/>
        <v>-1.0968921389396638E-2</v>
      </c>
      <c r="L3710" s="1">
        <f t="shared" si="515"/>
        <v>1</v>
      </c>
      <c r="M3710" s="1">
        <f t="shared" si="516"/>
        <v>21.98</v>
      </c>
      <c r="N3710" s="1">
        <f t="shared" si="517"/>
        <v>21.62</v>
      </c>
      <c r="O3710" s="1">
        <f t="shared" si="518"/>
        <v>19.68</v>
      </c>
      <c r="P3710" s="1">
        <f t="shared" si="519"/>
        <v>10.040816326530612</v>
      </c>
    </row>
    <row r="3711" spans="1:16">
      <c r="A3711" s="2">
        <v>37677</v>
      </c>
      <c r="B3711" s="1">
        <v>21.5</v>
      </c>
      <c r="C3711" s="1">
        <v>22</v>
      </c>
      <c r="D3711" s="1">
        <v>21.4</v>
      </c>
      <c r="E3711" s="1">
        <v>21.88</v>
      </c>
      <c r="F3711" s="1">
        <v>5624000</v>
      </c>
      <c r="G3711" s="1">
        <v>21.88</v>
      </c>
      <c r="H3711" s="1">
        <f t="shared" si="513"/>
        <v>0.60000000000000142</v>
      </c>
      <c r="I3711" s="9">
        <f t="shared" si="520"/>
        <v>2.8037383177570162E-2</v>
      </c>
      <c r="J3711" s="1">
        <f t="shared" si="521"/>
        <v>9.9999999999997868E-2</v>
      </c>
      <c r="K3711" s="9">
        <f t="shared" si="514"/>
        <v>4.5913682277317659E-3</v>
      </c>
      <c r="L3711" s="1">
        <f t="shared" si="515"/>
        <v>1</v>
      </c>
      <c r="M3711" s="1">
        <f t="shared" si="516"/>
        <v>22</v>
      </c>
      <c r="N3711" s="1">
        <f t="shared" si="517"/>
        <v>21.4</v>
      </c>
      <c r="O3711" s="1">
        <f t="shared" si="518"/>
        <v>19.919999999999998</v>
      </c>
      <c r="P3711" s="1">
        <f t="shared" si="519"/>
        <v>10.163265306122447</v>
      </c>
    </row>
    <row r="3712" spans="1:16">
      <c r="A3712" s="2">
        <v>37676</v>
      </c>
      <c r="B3712" s="1">
        <v>21.64</v>
      </c>
      <c r="C3712" s="1">
        <v>22.18</v>
      </c>
      <c r="D3712" s="1">
        <v>21.64</v>
      </c>
      <c r="E3712" s="1">
        <v>21.78</v>
      </c>
      <c r="F3712" s="1">
        <v>6936600</v>
      </c>
      <c r="G3712" s="1">
        <v>21.78</v>
      </c>
      <c r="H3712" s="1">
        <f t="shared" si="513"/>
        <v>0.53999999999999915</v>
      </c>
      <c r="I3712" s="9">
        <f t="shared" si="520"/>
        <v>2.4953789279112713E-2</v>
      </c>
      <c r="J3712" s="1">
        <f t="shared" si="521"/>
        <v>0</v>
      </c>
      <c r="K3712" s="9">
        <f t="shared" si="514"/>
        <v>0</v>
      </c>
      <c r="L3712" s="1">
        <f t="shared" si="515"/>
        <v>1</v>
      </c>
      <c r="M3712" s="1">
        <f t="shared" si="516"/>
        <v>22.18</v>
      </c>
      <c r="N3712" s="1">
        <f t="shared" si="517"/>
        <v>21.64</v>
      </c>
      <c r="O3712" s="1">
        <f t="shared" si="518"/>
        <v>19.82</v>
      </c>
      <c r="P3712" s="1">
        <f t="shared" si="519"/>
        <v>10.112244897959185</v>
      </c>
    </row>
    <row r="3713" spans="1:16">
      <c r="A3713" s="2">
        <v>37673</v>
      </c>
      <c r="B3713" s="1">
        <v>21.35</v>
      </c>
      <c r="C3713" s="1">
        <v>21.83</v>
      </c>
      <c r="D3713" s="1">
        <v>21.04</v>
      </c>
      <c r="E3713" s="1">
        <v>21.78</v>
      </c>
      <c r="F3713" s="1">
        <v>7207800</v>
      </c>
      <c r="G3713" s="1">
        <v>21.78</v>
      </c>
      <c r="H3713" s="1">
        <f t="shared" si="513"/>
        <v>0.78999999999999915</v>
      </c>
      <c r="I3713" s="9">
        <f t="shared" si="520"/>
        <v>3.7547528517110226E-2</v>
      </c>
      <c r="J3713" s="1">
        <f t="shared" si="521"/>
        <v>0.42000000000000171</v>
      </c>
      <c r="K3713" s="9">
        <f t="shared" si="514"/>
        <v>1.9662921348314686E-2</v>
      </c>
      <c r="L3713" s="1">
        <f t="shared" si="515"/>
        <v>1</v>
      </c>
      <c r="M3713" s="1">
        <f t="shared" si="516"/>
        <v>21.83</v>
      </c>
      <c r="N3713" s="1">
        <f t="shared" si="517"/>
        <v>21.04</v>
      </c>
      <c r="O3713" s="1">
        <f t="shared" si="518"/>
        <v>19.82</v>
      </c>
      <c r="P3713" s="1">
        <f t="shared" si="519"/>
        <v>10.112244897959185</v>
      </c>
    </row>
    <row r="3714" spans="1:16">
      <c r="A3714" s="2">
        <v>37672</v>
      </c>
      <c r="B3714" s="1">
        <v>21.19</v>
      </c>
      <c r="C3714" s="1">
        <v>21.5</v>
      </c>
      <c r="D3714" s="1">
        <v>21.09</v>
      </c>
      <c r="E3714" s="1">
        <v>21.36</v>
      </c>
      <c r="F3714" s="1">
        <v>4169800</v>
      </c>
      <c r="G3714" s="1">
        <v>21.36</v>
      </c>
      <c r="H3714" s="1">
        <f t="shared" si="513"/>
        <v>0.41000000000000014</v>
      </c>
      <c r="I3714" s="9">
        <f t="shared" si="520"/>
        <v>1.9440493124703657E-2</v>
      </c>
      <c r="J3714" s="1">
        <f t="shared" si="521"/>
        <v>0.16999999999999815</v>
      </c>
      <c r="K3714" s="9">
        <f t="shared" si="514"/>
        <v>8.0226521944312471E-3</v>
      </c>
      <c r="L3714" s="1">
        <f t="shared" si="515"/>
        <v>1</v>
      </c>
      <c r="M3714" s="1">
        <f t="shared" si="516"/>
        <v>21.5</v>
      </c>
      <c r="N3714" s="1">
        <f t="shared" si="517"/>
        <v>21.09</v>
      </c>
      <c r="O3714" s="1">
        <f t="shared" si="518"/>
        <v>19.399999999999999</v>
      </c>
      <c r="P3714" s="1">
        <f t="shared" si="519"/>
        <v>9.8979591836734695</v>
      </c>
    </row>
    <row r="3715" spans="1:16">
      <c r="A3715" s="2">
        <v>37671</v>
      </c>
      <c r="B3715" s="1">
        <v>21.15</v>
      </c>
      <c r="C3715" s="1">
        <v>21.25</v>
      </c>
      <c r="D3715" s="1">
        <v>21.02</v>
      </c>
      <c r="E3715" s="1">
        <v>21.19</v>
      </c>
      <c r="F3715" s="1">
        <v>5470800</v>
      </c>
      <c r="G3715" s="1">
        <v>21.19</v>
      </c>
      <c r="H3715" s="1">
        <f t="shared" ref="H3715:H3778" si="522">C3715-D3715</f>
        <v>0.23000000000000043</v>
      </c>
      <c r="I3715" s="9">
        <f t="shared" si="520"/>
        <v>1.0941960038059011E-2</v>
      </c>
      <c r="J3715" s="1">
        <f t="shared" si="521"/>
        <v>-0.19999999999999929</v>
      </c>
      <c r="K3715" s="9">
        <f t="shared" ref="K3715:K3778" si="523">(G3715-G3716)/G3716</f>
        <v>-9.3501636278634538E-3</v>
      </c>
      <c r="L3715" s="1">
        <f t="shared" ref="L3715:L3778" si="524">G3715/E3715</f>
        <v>1</v>
      </c>
      <c r="M3715" s="1">
        <f t="shared" ref="M3715:M3778" si="525">L3715*C3715</f>
        <v>21.25</v>
      </c>
      <c r="N3715" s="1">
        <f t="shared" ref="N3715:N3778" si="526">L3715*D3715</f>
        <v>21.02</v>
      </c>
      <c r="O3715" s="1">
        <f t="shared" ref="O3715:O3778" si="527">G3715-$G$5163</f>
        <v>19.23</v>
      </c>
      <c r="P3715" s="1">
        <f t="shared" ref="P3715:P3778" si="528">(G3715-$G$5163)/$G$5163</f>
        <v>9.8112244897959187</v>
      </c>
    </row>
    <row r="3716" spans="1:16">
      <c r="A3716" s="2">
        <v>37670</v>
      </c>
      <c r="B3716" s="1">
        <v>20.149999999999999</v>
      </c>
      <c r="C3716" s="1">
        <v>21.41</v>
      </c>
      <c r="D3716" s="1">
        <v>20.149999999999999</v>
      </c>
      <c r="E3716" s="1">
        <v>21.39</v>
      </c>
      <c r="F3716" s="1">
        <v>7899900</v>
      </c>
      <c r="G3716" s="1">
        <v>21.39</v>
      </c>
      <c r="H3716" s="1">
        <f t="shared" si="522"/>
        <v>1.2600000000000016</v>
      </c>
      <c r="I3716" s="9">
        <f t="shared" ref="I3716:I3779" si="529">(C3716-D3716)/D3716</f>
        <v>6.2531017369727132E-2</v>
      </c>
      <c r="J3716" s="1">
        <f t="shared" ref="J3716:J3779" si="530">G3716-G3717</f>
        <v>1.3300000000000018</v>
      </c>
      <c r="K3716" s="9">
        <f t="shared" si="523"/>
        <v>6.6301096709870486E-2</v>
      </c>
      <c r="L3716" s="1">
        <f t="shared" si="524"/>
        <v>1</v>
      </c>
      <c r="M3716" s="1">
        <f t="shared" si="525"/>
        <v>21.41</v>
      </c>
      <c r="N3716" s="1">
        <f t="shared" si="526"/>
        <v>20.149999999999999</v>
      </c>
      <c r="O3716" s="1">
        <f t="shared" si="527"/>
        <v>19.43</v>
      </c>
      <c r="P3716" s="1">
        <f t="shared" si="528"/>
        <v>9.9132653061224492</v>
      </c>
    </row>
    <row r="3717" spans="1:16">
      <c r="A3717" s="2">
        <v>37666</v>
      </c>
      <c r="B3717" s="1">
        <v>19.989999999999998</v>
      </c>
      <c r="C3717" s="1">
        <v>20.23</v>
      </c>
      <c r="D3717" s="1">
        <v>19.71</v>
      </c>
      <c r="E3717" s="1">
        <v>20.059999999999999</v>
      </c>
      <c r="F3717" s="1">
        <v>6625300</v>
      </c>
      <c r="G3717" s="1">
        <v>20.059999999999999</v>
      </c>
      <c r="H3717" s="1">
        <f t="shared" si="522"/>
        <v>0.51999999999999957</v>
      </c>
      <c r="I3717" s="9">
        <f t="shared" si="529"/>
        <v>2.6382546930492114E-2</v>
      </c>
      <c r="J3717" s="1">
        <f t="shared" si="530"/>
        <v>0</v>
      </c>
      <c r="K3717" s="9">
        <f t="shared" si="523"/>
        <v>0</v>
      </c>
      <c r="L3717" s="1">
        <f t="shared" si="524"/>
        <v>1</v>
      </c>
      <c r="M3717" s="1">
        <f t="shared" si="525"/>
        <v>20.23</v>
      </c>
      <c r="N3717" s="1">
        <f t="shared" si="526"/>
        <v>19.71</v>
      </c>
      <c r="O3717" s="1">
        <f t="shared" si="527"/>
        <v>18.099999999999998</v>
      </c>
      <c r="P3717" s="1">
        <f t="shared" si="528"/>
        <v>9.2346938775510203</v>
      </c>
    </row>
    <row r="3718" spans="1:16">
      <c r="A3718" s="2">
        <v>37665</v>
      </c>
      <c r="B3718" s="1">
        <v>20.95</v>
      </c>
      <c r="C3718" s="1">
        <v>21</v>
      </c>
      <c r="D3718" s="1">
        <v>19.61</v>
      </c>
      <c r="E3718" s="1">
        <v>20.059999999999999</v>
      </c>
      <c r="F3718" s="1">
        <v>11576800</v>
      </c>
      <c r="G3718" s="1">
        <v>20.059999999999999</v>
      </c>
      <c r="H3718" s="1">
        <f t="shared" si="522"/>
        <v>1.3900000000000006</v>
      </c>
      <c r="I3718" s="9">
        <f t="shared" si="529"/>
        <v>7.0882202957674681E-2</v>
      </c>
      <c r="J3718" s="1">
        <f t="shared" si="530"/>
        <v>-1.0700000000000003</v>
      </c>
      <c r="K3718" s="9">
        <f t="shared" si="523"/>
        <v>-5.0638902035021312E-2</v>
      </c>
      <c r="L3718" s="1">
        <f t="shared" si="524"/>
        <v>1</v>
      </c>
      <c r="M3718" s="1">
        <f t="shared" si="525"/>
        <v>21</v>
      </c>
      <c r="N3718" s="1">
        <f t="shared" si="526"/>
        <v>19.61</v>
      </c>
      <c r="O3718" s="1">
        <f t="shared" si="527"/>
        <v>18.099999999999998</v>
      </c>
      <c r="P3718" s="1">
        <f t="shared" si="528"/>
        <v>9.2346938775510203</v>
      </c>
    </row>
    <row r="3719" spans="1:16">
      <c r="A3719" s="2">
        <v>37664</v>
      </c>
      <c r="B3719" s="1">
        <v>20.79</v>
      </c>
      <c r="C3719" s="1">
        <v>21.2</v>
      </c>
      <c r="D3719" s="1">
        <v>20.66</v>
      </c>
      <c r="E3719" s="1">
        <v>21.13</v>
      </c>
      <c r="F3719" s="1">
        <v>5433900</v>
      </c>
      <c r="G3719" s="1">
        <v>21.13</v>
      </c>
      <c r="H3719" s="1">
        <f t="shared" si="522"/>
        <v>0.53999999999999915</v>
      </c>
      <c r="I3719" s="9">
        <f t="shared" si="529"/>
        <v>2.6137463697967045E-2</v>
      </c>
      <c r="J3719" s="1">
        <f t="shared" si="530"/>
        <v>0.34999999999999787</v>
      </c>
      <c r="K3719" s="9">
        <f t="shared" si="523"/>
        <v>1.6843118383060532E-2</v>
      </c>
      <c r="L3719" s="1">
        <f t="shared" si="524"/>
        <v>1</v>
      </c>
      <c r="M3719" s="1">
        <f t="shared" si="525"/>
        <v>21.2</v>
      </c>
      <c r="N3719" s="1">
        <f t="shared" si="526"/>
        <v>20.66</v>
      </c>
      <c r="O3719" s="1">
        <f t="shared" si="527"/>
        <v>19.169999999999998</v>
      </c>
      <c r="P3719" s="1">
        <f t="shared" si="528"/>
        <v>9.7806122448979576</v>
      </c>
    </row>
    <row r="3720" spans="1:16">
      <c r="A3720" s="2">
        <v>37663</v>
      </c>
      <c r="B3720" s="1">
        <v>21.56</v>
      </c>
      <c r="C3720" s="1">
        <v>21.6</v>
      </c>
      <c r="D3720" s="1">
        <v>20.69</v>
      </c>
      <c r="E3720" s="1">
        <v>20.78</v>
      </c>
      <c r="F3720" s="1">
        <v>6679000</v>
      </c>
      <c r="G3720" s="1">
        <v>20.78</v>
      </c>
      <c r="H3720" s="1">
        <f t="shared" si="522"/>
        <v>0.91000000000000014</v>
      </c>
      <c r="I3720" s="9">
        <f t="shared" si="529"/>
        <v>4.398260028999517E-2</v>
      </c>
      <c r="J3720" s="1">
        <f t="shared" si="530"/>
        <v>-0.61999999999999744</v>
      </c>
      <c r="K3720" s="9">
        <f t="shared" si="523"/>
        <v>-2.8971962616822312E-2</v>
      </c>
      <c r="L3720" s="1">
        <f t="shared" si="524"/>
        <v>1</v>
      </c>
      <c r="M3720" s="1">
        <f t="shared" si="525"/>
        <v>21.6</v>
      </c>
      <c r="N3720" s="1">
        <f t="shared" si="526"/>
        <v>20.69</v>
      </c>
      <c r="O3720" s="1">
        <f t="shared" si="527"/>
        <v>18.82</v>
      </c>
      <c r="P3720" s="1">
        <f t="shared" si="528"/>
        <v>9.6020408163265305</v>
      </c>
    </row>
    <row r="3721" spans="1:16">
      <c r="A3721" s="2">
        <v>37662</v>
      </c>
      <c r="B3721" s="1">
        <v>21.4</v>
      </c>
      <c r="C3721" s="1">
        <v>21.41</v>
      </c>
      <c r="D3721" s="1">
        <v>20.57</v>
      </c>
      <c r="E3721" s="1">
        <v>21.4</v>
      </c>
      <c r="F3721" s="1">
        <v>8096500</v>
      </c>
      <c r="G3721" s="1">
        <v>21.4</v>
      </c>
      <c r="H3721" s="1">
        <f t="shared" si="522"/>
        <v>0.83999999999999986</v>
      </c>
      <c r="I3721" s="9">
        <f t="shared" si="529"/>
        <v>4.0836169178415163E-2</v>
      </c>
      <c r="J3721" s="1">
        <f t="shared" si="530"/>
        <v>-4.00000000000027E-2</v>
      </c>
      <c r="K3721" s="9">
        <f t="shared" si="523"/>
        <v>-1.8656716417911705E-3</v>
      </c>
      <c r="L3721" s="1">
        <f t="shared" si="524"/>
        <v>1</v>
      </c>
      <c r="M3721" s="1">
        <f t="shared" si="525"/>
        <v>21.41</v>
      </c>
      <c r="N3721" s="1">
        <f t="shared" si="526"/>
        <v>20.57</v>
      </c>
      <c r="O3721" s="1">
        <f t="shared" si="527"/>
        <v>19.439999999999998</v>
      </c>
      <c r="P3721" s="1">
        <f t="shared" si="528"/>
        <v>9.9183673469387745</v>
      </c>
    </row>
    <row r="3722" spans="1:16">
      <c r="A3722" s="2">
        <v>37659</v>
      </c>
      <c r="B3722" s="1">
        <v>22.1</v>
      </c>
      <c r="C3722" s="1">
        <v>22.11</v>
      </c>
      <c r="D3722" s="1">
        <v>21.2</v>
      </c>
      <c r="E3722" s="1">
        <v>21.44</v>
      </c>
      <c r="F3722" s="1">
        <v>6942900</v>
      </c>
      <c r="G3722" s="1">
        <v>21.44</v>
      </c>
      <c r="H3722" s="1">
        <f t="shared" si="522"/>
        <v>0.91000000000000014</v>
      </c>
      <c r="I3722" s="9">
        <f t="shared" si="529"/>
        <v>4.2924528301886804E-2</v>
      </c>
      <c r="J3722" s="1">
        <f t="shared" si="530"/>
        <v>-0.64999999999999858</v>
      </c>
      <c r="K3722" s="9">
        <f t="shared" si="523"/>
        <v>-2.942507922136707E-2</v>
      </c>
      <c r="L3722" s="1">
        <f t="shared" si="524"/>
        <v>1</v>
      </c>
      <c r="M3722" s="1">
        <f t="shared" si="525"/>
        <v>22.11</v>
      </c>
      <c r="N3722" s="1">
        <f t="shared" si="526"/>
        <v>21.2</v>
      </c>
      <c r="O3722" s="1">
        <f t="shared" si="527"/>
        <v>19.48</v>
      </c>
      <c r="P3722" s="1">
        <f t="shared" si="528"/>
        <v>9.9387755102040813</v>
      </c>
    </row>
    <row r="3723" spans="1:16">
      <c r="A3723" s="2">
        <v>37658</v>
      </c>
      <c r="B3723" s="1">
        <v>22.16</v>
      </c>
      <c r="C3723" s="1">
        <v>22.48</v>
      </c>
      <c r="D3723" s="1">
        <v>21.93</v>
      </c>
      <c r="E3723" s="1">
        <v>22.09</v>
      </c>
      <c r="F3723" s="1">
        <v>4037700</v>
      </c>
      <c r="G3723" s="1">
        <v>22.09</v>
      </c>
      <c r="H3723" s="1">
        <f t="shared" si="522"/>
        <v>0.55000000000000071</v>
      </c>
      <c r="I3723" s="9">
        <f t="shared" si="529"/>
        <v>2.5079799361605142E-2</v>
      </c>
      <c r="J3723" s="1">
        <f t="shared" si="530"/>
        <v>-8.0000000000001847E-2</v>
      </c>
      <c r="K3723" s="9">
        <f t="shared" si="523"/>
        <v>-3.6084799278304847E-3</v>
      </c>
      <c r="L3723" s="1">
        <f t="shared" si="524"/>
        <v>1</v>
      </c>
      <c r="M3723" s="1">
        <f t="shared" si="525"/>
        <v>22.48</v>
      </c>
      <c r="N3723" s="1">
        <f t="shared" si="526"/>
        <v>21.93</v>
      </c>
      <c r="O3723" s="1">
        <f t="shared" si="527"/>
        <v>20.13</v>
      </c>
      <c r="P3723" s="1">
        <f t="shared" si="528"/>
        <v>10.270408163265305</v>
      </c>
    </row>
    <row r="3724" spans="1:16">
      <c r="A3724" s="2">
        <v>37657</v>
      </c>
      <c r="B3724" s="1">
        <v>22.18</v>
      </c>
      <c r="C3724" s="1">
        <v>22.5</v>
      </c>
      <c r="D3724" s="1">
        <v>22.03</v>
      </c>
      <c r="E3724" s="1">
        <v>22.17</v>
      </c>
      <c r="F3724" s="1">
        <v>5343100</v>
      </c>
      <c r="G3724" s="1">
        <v>22.17</v>
      </c>
      <c r="H3724" s="1">
        <f t="shared" si="522"/>
        <v>0.46999999999999886</v>
      </c>
      <c r="I3724" s="9">
        <f t="shared" si="529"/>
        <v>2.1334543803903715E-2</v>
      </c>
      <c r="J3724" s="1">
        <f t="shared" si="530"/>
        <v>0.12000000000000099</v>
      </c>
      <c r="K3724" s="9">
        <f t="shared" si="523"/>
        <v>5.442176870748344E-3</v>
      </c>
      <c r="L3724" s="1">
        <f t="shared" si="524"/>
        <v>1</v>
      </c>
      <c r="M3724" s="1">
        <f t="shared" si="525"/>
        <v>22.5</v>
      </c>
      <c r="N3724" s="1">
        <f t="shared" si="526"/>
        <v>22.03</v>
      </c>
      <c r="O3724" s="1">
        <f t="shared" si="527"/>
        <v>20.21</v>
      </c>
      <c r="P3724" s="1">
        <f t="shared" si="528"/>
        <v>10.311224489795919</v>
      </c>
    </row>
    <row r="3725" spans="1:16">
      <c r="A3725" s="2">
        <v>37656</v>
      </c>
      <c r="B3725" s="1">
        <v>21.94</v>
      </c>
      <c r="C3725" s="1">
        <v>22.14</v>
      </c>
      <c r="D3725" s="1">
        <v>21.57</v>
      </c>
      <c r="E3725" s="1">
        <v>22.05</v>
      </c>
      <c r="F3725" s="1">
        <v>4817600</v>
      </c>
      <c r="G3725" s="1">
        <v>22.05</v>
      </c>
      <c r="H3725" s="1">
        <f t="shared" si="522"/>
        <v>0.57000000000000028</v>
      </c>
      <c r="I3725" s="9">
        <f t="shared" si="529"/>
        <v>2.6425591098748275E-2</v>
      </c>
      <c r="J3725" s="1">
        <f t="shared" si="530"/>
        <v>-0.10999999999999943</v>
      </c>
      <c r="K3725" s="9">
        <f t="shared" si="523"/>
        <v>-4.9638989169674833E-3</v>
      </c>
      <c r="L3725" s="1">
        <f t="shared" si="524"/>
        <v>1</v>
      </c>
      <c r="M3725" s="1">
        <f t="shared" si="525"/>
        <v>22.14</v>
      </c>
      <c r="N3725" s="1">
        <f t="shared" si="526"/>
        <v>21.57</v>
      </c>
      <c r="O3725" s="1">
        <f t="shared" si="527"/>
        <v>20.09</v>
      </c>
      <c r="P3725" s="1">
        <f t="shared" si="528"/>
        <v>10.25</v>
      </c>
    </row>
    <row r="3726" spans="1:16">
      <c r="A3726" s="2">
        <v>37655</v>
      </c>
      <c r="B3726" s="1">
        <v>21.94</v>
      </c>
      <c r="C3726" s="1">
        <v>22.44</v>
      </c>
      <c r="D3726" s="1">
        <v>21.82</v>
      </c>
      <c r="E3726" s="1">
        <v>22.16</v>
      </c>
      <c r="F3726" s="1">
        <v>5195500</v>
      </c>
      <c r="G3726" s="1">
        <v>22.16</v>
      </c>
      <c r="H3726" s="1">
        <f t="shared" si="522"/>
        <v>0.62000000000000099</v>
      </c>
      <c r="I3726" s="9">
        <f t="shared" si="529"/>
        <v>2.8414298808432676E-2</v>
      </c>
      <c r="J3726" s="1">
        <f t="shared" si="530"/>
        <v>0.30999999999999872</v>
      </c>
      <c r="K3726" s="9">
        <f t="shared" si="523"/>
        <v>1.4187643020594906E-2</v>
      </c>
      <c r="L3726" s="1">
        <f t="shared" si="524"/>
        <v>1</v>
      </c>
      <c r="M3726" s="1">
        <f t="shared" si="525"/>
        <v>22.44</v>
      </c>
      <c r="N3726" s="1">
        <f t="shared" si="526"/>
        <v>21.82</v>
      </c>
      <c r="O3726" s="1">
        <f t="shared" si="527"/>
        <v>20.2</v>
      </c>
      <c r="P3726" s="1">
        <f t="shared" si="528"/>
        <v>10.306122448979592</v>
      </c>
    </row>
    <row r="3727" spans="1:16">
      <c r="A3727" s="2">
        <v>37652</v>
      </c>
      <c r="B3727" s="1">
        <v>21.64</v>
      </c>
      <c r="C3727" s="1">
        <v>22.27</v>
      </c>
      <c r="D3727" s="1">
        <v>21.56</v>
      </c>
      <c r="E3727" s="1">
        <v>21.85</v>
      </c>
      <c r="F3727" s="1">
        <v>6262500</v>
      </c>
      <c r="G3727" s="1">
        <v>21.85</v>
      </c>
      <c r="H3727" s="1">
        <f t="shared" si="522"/>
        <v>0.71000000000000085</v>
      </c>
      <c r="I3727" s="9">
        <f t="shared" si="529"/>
        <v>3.2931354359925828E-2</v>
      </c>
      <c r="J3727" s="1">
        <f t="shared" si="530"/>
        <v>3.0000000000001137E-2</v>
      </c>
      <c r="K3727" s="9">
        <f t="shared" si="523"/>
        <v>1.3748854262145341E-3</v>
      </c>
      <c r="L3727" s="1">
        <f t="shared" si="524"/>
        <v>1</v>
      </c>
      <c r="M3727" s="1">
        <f t="shared" si="525"/>
        <v>22.27</v>
      </c>
      <c r="N3727" s="1">
        <f t="shared" si="526"/>
        <v>21.56</v>
      </c>
      <c r="O3727" s="1">
        <f t="shared" si="527"/>
        <v>19.89</v>
      </c>
      <c r="P3727" s="1">
        <f t="shared" si="528"/>
        <v>10.147959183673469</v>
      </c>
    </row>
    <row r="3728" spans="1:16">
      <c r="A3728" s="2">
        <v>37651</v>
      </c>
      <c r="B3728" s="1">
        <v>22.2</v>
      </c>
      <c r="C3728" s="1">
        <v>22.4</v>
      </c>
      <c r="D3728" s="1">
        <v>21.73</v>
      </c>
      <c r="E3728" s="1">
        <v>21.82</v>
      </c>
      <c r="F3728" s="1">
        <v>5965700</v>
      </c>
      <c r="G3728" s="1">
        <v>21.82</v>
      </c>
      <c r="H3728" s="1">
        <f t="shared" si="522"/>
        <v>0.66999999999999815</v>
      </c>
      <c r="I3728" s="9">
        <f t="shared" si="529"/>
        <v>3.0832949838932266E-2</v>
      </c>
      <c r="J3728" s="1">
        <f t="shared" si="530"/>
        <v>-0.25999999999999801</v>
      </c>
      <c r="K3728" s="9">
        <f t="shared" si="523"/>
        <v>-1.177536231884049E-2</v>
      </c>
      <c r="L3728" s="1">
        <f t="shared" si="524"/>
        <v>1</v>
      </c>
      <c r="M3728" s="1">
        <f t="shared" si="525"/>
        <v>22.4</v>
      </c>
      <c r="N3728" s="1">
        <f t="shared" si="526"/>
        <v>21.73</v>
      </c>
      <c r="O3728" s="1">
        <f t="shared" si="527"/>
        <v>19.86</v>
      </c>
      <c r="P3728" s="1">
        <f t="shared" si="528"/>
        <v>10.13265306122449</v>
      </c>
    </row>
    <row r="3729" spans="1:16">
      <c r="A3729" s="2">
        <v>37650</v>
      </c>
      <c r="B3729" s="1">
        <v>21.55</v>
      </c>
      <c r="C3729" s="1">
        <v>22.35</v>
      </c>
      <c r="D3729" s="1">
        <v>21.4</v>
      </c>
      <c r="E3729" s="1">
        <v>22.08</v>
      </c>
      <c r="F3729" s="1">
        <v>7056900</v>
      </c>
      <c r="G3729" s="1">
        <v>22.08</v>
      </c>
      <c r="H3729" s="1">
        <f t="shared" si="522"/>
        <v>0.95000000000000284</v>
      </c>
      <c r="I3729" s="9">
        <f t="shared" si="529"/>
        <v>4.4392523364486118E-2</v>
      </c>
      <c r="J3729" s="1">
        <f t="shared" si="530"/>
        <v>0.4599999999999973</v>
      </c>
      <c r="K3729" s="9">
        <f t="shared" si="523"/>
        <v>2.1276595744680726E-2</v>
      </c>
      <c r="L3729" s="1">
        <f t="shared" si="524"/>
        <v>1</v>
      </c>
      <c r="M3729" s="1">
        <f t="shared" si="525"/>
        <v>22.35</v>
      </c>
      <c r="N3729" s="1">
        <f t="shared" si="526"/>
        <v>21.4</v>
      </c>
      <c r="O3729" s="1">
        <f t="shared" si="527"/>
        <v>20.119999999999997</v>
      </c>
      <c r="P3729" s="1">
        <f t="shared" si="528"/>
        <v>10.265306122448978</v>
      </c>
    </row>
    <row r="3730" spans="1:16">
      <c r="A3730" s="2">
        <v>37649</v>
      </c>
      <c r="B3730" s="1">
        <v>21.91</v>
      </c>
      <c r="C3730" s="1">
        <v>21.97</v>
      </c>
      <c r="D3730" s="1">
        <v>21.23</v>
      </c>
      <c r="E3730" s="1">
        <v>21.62</v>
      </c>
      <c r="F3730" s="1">
        <v>7968400</v>
      </c>
      <c r="G3730" s="1">
        <v>21.62</v>
      </c>
      <c r="H3730" s="1">
        <f t="shared" si="522"/>
        <v>0.73999999999999844</v>
      </c>
      <c r="I3730" s="9">
        <f t="shared" si="529"/>
        <v>3.4856335374470013E-2</v>
      </c>
      <c r="J3730" s="1">
        <f t="shared" si="530"/>
        <v>-0.16000000000000014</v>
      </c>
      <c r="K3730" s="9">
        <f t="shared" si="523"/>
        <v>-7.3461891643709885E-3</v>
      </c>
      <c r="L3730" s="1">
        <f t="shared" si="524"/>
        <v>1</v>
      </c>
      <c r="M3730" s="1">
        <f t="shared" si="525"/>
        <v>21.97</v>
      </c>
      <c r="N3730" s="1">
        <f t="shared" si="526"/>
        <v>21.23</v>
      </c>
      <c r="O3730" s="1">
        <f t="shared" si="527"/>
        <v>19.66</v>
      </c>
      <c r="P3730" s="1">
        <f t="shared" si="528"/>
        <v>10.030612244897959</v>
      </c>
    </row>
    <row r="3731" spans="1:16">
      <c r="A3731" s="2">
        <v>37648</v>
      </c>
      <c r="B3731" s="1">
        <v>21.68</v>
      </c>
      <c r="C3731" s="1">
        <v>22.37</v>
      </c>
      <c r="D3731" s="1">
        <v>21.64</v>
      </c>
      <c r="E3731" s="1">
        <v>21.78</v>
      </c>
      <c r="F3731" s="1">
        <v>8207000</v>
      </c>
      <c r="G3731" s="1">
        <v>21.78</v>
      </c>
      <c r="H3731" s="1">
        <f t="shared" si="522"/>
        <v>0.73000000000000043</v>
      </c>
      <c r="I3731" s="9">
        <f t="shared" si="529"/>
        <v>3.3733826247689482E-2</v>
      </c>
      <c r="J3731" s="1">
        <f t="shared" si="530"/>
        <v>-0.32999999999999829</v>
      </c>
      <c r="K3731" s="9">
        <f t="shared" si="523"/>
        <v>-1.4925373134328282E-2</v>
      </c>
      <c r="L3731" s="1">
        <f t="shared" si="524"/>
        <v>1</v>
      </c>
      <c r="M3731" s="1">
        <f t="shared" si="525"/>
        <v>22.37</v>
      </c>
      <c r="N3731" s="1">
        <f t="shared" si="526"/>
        <v>21.64</v>
      </c>
      <c r="O3731" s="1">
        <f t="shared" si="527"/>
        <v>19.82</v>
      </c>
      <c r="P3731" s="1">
        <f t="shared" si="528"/>
        <v>10.112244897959185</v>
      </c>
    </row>
    <row r="3732" spans="1:16">
      <c r="A3732" s="2">
        <v>37645</v>
      </c>
      <c r="B3732" s="1">
        <v>22.59</v>
      </c>
      <c r="C3732" s="1">
        <v>23.28</v>
      </c>
      <c r="D3732" s="1">
        <v>21.9</v>
      </c>
      <c r="E3732" s="1">
        <v>22.11</v>
      </c>
      <c r="F3732" s="1">
        <v>21681800</v>
      </c>
      <c r="G3732" s="1">
        <v>22.11</v>
      </c>
      <c r="H3732" s="1">
        <f t="shared" si="522"/>
        <v>1.3800000000000026</v>
      </c>
      <c r="I3732" s="9">
        <f t="shared" si="529"/>
        <v>6.3013698630137102E-2</v>
      </c>
      <c r="J3732" s="1">
        <f t="shared" si="530"/>
        <v>0.32000000000000028</v>
      </c>
      <c r="K3732" s="9">
        <f t="shared" si="523"/>
        <v>1.4685635612666375E-2</v>
      </c>
      <c r="L3732" s="1">
        <f t="shared" si="524"/>
        <v>1</v>
      </c>
      <c r="M3732" s="1">
        <f t="shared" si="525"/>
        <v>23.28</v>
      </c>
      <c r="N3732" s="1">
        <f t="shared" si="526"/>
        <v>21.9</v>
      </c>
      <c r="O3732" s="1">
        <f t="shared" si="527"/>
        <v>20.149999999999999</v>
      </c>
      <c r="P3732" s="1">
        <f t="shared" si="528"/>
        <v>10.280612244897959</v>
      </c>
    </row>
    <row r="3733" spans="1:16">
      <c r="A3733" s="2">
        <v>37644</v>
      </c>
      <c r="B3733" s="1">
        <v>21.54</v>
      </c>
      <c r="C3733" s="1">
        <v>22.04</v>
      </c>
      <c r="D3733" s="1">
        <v>21.15</v>
      </c>
      <c r="E3733" s="1">
        <v>21.79</v>
      </c>
      <c r="F3733" s="1">
        <v>10998000</v>
      </c>
      <c r="G3733" s="1">
        <v>21.79</v>
      </c>
      <c r="H3733" s="1">
        <f t="shared" si="522"/>
        <v>0.89000000000000057</v>
      </c>
      <c r="I3733" s="9">
        <f t="shared" si="529"/>
        <v>4.208037825059105E-2</v>
      </c>
      <c r="J3733" s="1">
        <f t="shared" si="530"/>
        <v>0.61999999999999744</v>
      </c>
      <c r="K3733" s="9">
        <f t="shared" si="523"/>
        <v>2.9286726499763695E-2</v>
      </c>
      <c r="L3733" s="1">
        <f t="shared" si="524"/>
        <v>1</v>
      </c>
      <c r="M3733" s="1">
        <f t="shared" si="525"/>
        <v>22.04</v>
      </c>
      <c r="N3733" s="1">
        <f t="shared" si="526"/>
        <v>21.15</v>
      </c>
      <c r="O3733" s="1">
        <f t="shared" si="527"/>
        <v>19.829999999999998</v>
      </c>
      <c r="P3733" s="1">
        <f t="shared" si="528"/>
        <v>10.11734693877551</v>
      </c>
    </row>
    <row r="3734" spans="1:16">
      <c r="A3734" s="2">
        <v>37643</v>
      </c>
      <c r="B3734" s="1">
        <v>20.77</v>
      </c>
      <c r="C3734" s="1">
        <v>21.7</v>
      </c>
      <c r="D3734" s="1">
        <v>20.75</v>
      </c>
      <c r="E3734" s="1">
        <v>21.17</v>
      </c>
      <c r="F3734" s="1">
        <v>6683600</v>
      </c>
      <c r="G3734" s="1">
        <v>21.17</v>
      </c>
      <c r="H3734" s="1">
        <f t="shared" si="522"/>
        <v>0.94999999999999929</v>
      </c>
      <c r="I3734" s="9">
        <f t="shared" si="529"/>
        <v>4.5783132530120445E-2</v>
      </c>
      <c r="J3734" s="1">
        <f t="shared" si="530"/>
        <v>9.0000000000003411E-2</v>
      </c>
      <c r="K3734" s="9">
        <f t="shared" si="523"/>
        <v>4.2694497153701813E-3</v>
      </c>
      <c r="L3734" s="1">
        <f t="shared" si="524"/>
        <v>1</v>
      </c>
      <c r="M3734" s="1">
        <f t="shared" si="525"/>
        <v>21.7</v>
      </c>
      <c r="N3734" s="1">
        <f t="shared" si="526"/>
        <v>20.75</v>
      </c>
      <c r="O3734" s="1">
        <f t="shared" si="527"/>
        <v>19.21</v>
      </c>
      <c r="P3734" s="1">
        <f t="shared" si="528"/>
        <v>9.8010204081632661</v>
      </c>
    </row>
    <row r="3735" spans="1:16">
      <c r="A3735" s="2">
        <v>37642</v>
      </c>
      <c r="B3735" s="1">
        <v>21.25</v>
      </c>
      <c r="C3735" s="1">
        <v>21.61</v>
      </c>
      <c r="D3735" s="1">
        <v>20.36</v>
      </c>
      <c r="E3735" s="1">
        <v>21.08</v>
      </c>
      <c r="F3735" s="1">
        <v>6293100</v>
      </c>
      <c r="G3735" s="1">
        <v>21.08</v>
      </c>
      <c r="H3735" s="1">
        <f t="shared" si="522"/>
        <v>1.25</v>
      </c>
      <c r="I3735" s="9">
        <f t="shared" si="529"/>
        <v>6.1394891944990176E-2</v>
      </c>
      <c r="J3735" s="1">
        <f t="shared" si="530"/>
        <v>-0.32000000000000028</v>
      </c>
      <c r="K3735" s="9">
        <f t="shared" si="523"/>
        <v>-1.4953271028037398E-2</v>
      </c>
      <c r="L3735" s="1">
        <f t="shared" si="524"/>
        <v>1</v>
      </c>
      <c r="M3735" s="1">
        <f t="shared" si="525"/>
        <v>21.61</v>
      </c>
      <c r="N3735" s="1">
        <f t="shared" si="526"/>
        <v>20.36</v>
      </c>
      <c r="O3735" s="1">
        <f t="shared" si="527"/>
        <v>19.119999999999997</v>
      </c>
      <c r="P3735" s="1">
        <f t="shared" si="528"/>
        <v>9.7551020408163254</v>
      </c>
    </row>
    <row r="3736" spans="1:16">
      <c r="A3736" s="2">
        <v>37638</v>
      </c>
      <c r="B3736" s="1">
        <v>21.46</v>
      </c>
      <c r="C3736" s="1">
        <v>21.71</v>
      </c>
      <c r="D3736" s="1">
        <v>21.23</v>
      </c>
      <c r="E3736" s="1">
        <v>21.4</v>
      </c>
      <c r="F3736" s="1">
        <v>5786200</v>
      </c>
      <c r="G3736" s="1">
        <v>21.4</v>
      </c>
      <c r="H3736" s="1">
        <f t="shared" si="522"/>
        <v>0.48000000000000043</v>
      </c>
      <c r="I3736" s="9">
        <f t="shared" si="529"/>
        <v>2.260951483749413E-2</v>
      </c>
      <c r="J3736" s="1">
        <f t="shared" si="530"/>
        <v>-0.40000000000000213</v>
      </c>
      <c r="K3736" s="9">
        <f t="shared" si="523"/>
        <v>-1.8348623853211107E-2</v>
      </c>
      <c r="L3736" s="1">
        <f t="shared" si="524"/>
        <v>1</v>
      </c>
      <c r="M3736" s="1">
        <f t="shared" si="525"/>
        <v>21.71</v>
      </c>
      <c r="N3736" s="1">
        <f t="shared" si="526"/>
        <v>21.23</v>
      </c>
      <c r="O3736" s="1">
        <f t="shared" si="527"/>
        <v>19.439999999999998</v>
      </c>
      <c r="P3736" s="1">
        <f t="shared" si="528"/>
        <v>9.9183673469387745</v>
      </c>
    </row>
    <row r="3737" spans="1:16">
      <c r="A3737" s="2">
        <v>37637</v>
      </c>
      <c r="B3737" s="1">
        <v>21.69</v>
      </c>
      <c r="C3737" s="1">
        <v>22.1</v>
      </c>
      <c r="D3737" s="1">
        <v>21.45</v>
      </c>
      <c r="E3737" s="1">
        <v>21.8</v>
      </c>
      <c r="F3737" s="1">
        <v>7911600</v>
      </c>
      <c r="G3737" s="1">
        <v>21.8</v>
      </c>
      <c r="H3737" s="1">
        <f t="shared" si="522"/>
        <v>0.65000000000000213</v>
      </c>
      <c r="I3737" s="9">
        <f t="shared" si="529"/>
        <v>3.0303030303030404E-2</v>
      </c>
      <c r="J3737" s="1">
        <f t="shared" si="530"/>
        <v>-0.46999999999999886</v>
      </c>
      <c r="K3737" s="9">
        <f t="shared" si="523"/>
        <v>-2.110462505612927E-2</v>
      </c>
      <c r="L3737" s="1">
        <f t="shared" si="524"/>
        <v>1</v>
      </c>
      <c r="M3737" s="1">
        <f t="shared" si="525"/>
        <v>22.1</v>
      </c>
      <c r="N3737" s="1">
        <f t="shared" si="526"/>
        <v>21.45</v>
      </c>
      <c r="O3737" s="1">
        <f t="shared" si="527"/>
        <v>19.84</v>
      </c>
      <c r="P3737" s="1">
        <f t="shared" si="528"/>
        <v>10.122448979591837</v>
      </c>
    </row>
    <row r="3738" spans="1:16">
      <c r="A3738" s="2">
        <v>37636</v>
      </c>
      <c r="B3738" s="1">
        <v>22.59</v>
      </c>
      <c r="C3738" s="1">
        <v>22.61</v>
      </c>
      <c r="D3738" s="1">
        <v>21.94</v>
      </c>
      <c r="E3738" s="1">
        <v>22.27</v>
      </c>
      <c r="F3738" s="1">
        <v>6989400</v>
      </c>
      <c r="G3738" s="1">
        <v>22.27</v>
      </c>
      <c r="H3738" s="1">
        <f t="shared" si="522"/>
        <v>0.66999999999999815</v>
      </c>
      <c r="I3738" s="9">
        <f t="shared" si="529"/>
        <v>3.0537830446672659E-2</v>
      </c>
      <c r="J3738" s="1">
        <f t="shared" si="530"/>
        <v>-0.46999999999999886</v>
      </c>
      <c r="K3738" s="9">
        <f t="shared" si="523"/>
        <v>-2.0668425681618245E-2</v>
      </c>
      <c r="L3738" s="1">
        <f t="shared" si="524"/>
        <v>1</v>
      </c>
      <c r="M3738" s="1">
        <f t="shared" si="525"/>
        <v>22.61</v>
      </c>
      <c r="N3738" s="1">
        <f t="shared" si="526"/>
        <v>21.94</v>
      </c>
      <c r="O3738" s="1">
        <f t="shared" si="527"/>
        <v>20.309999999999999</v>
      </c>
      <c r="P3738" s="1">
        <f t="shared" si="528"/>
        <v>10.362244897959183</v>
      </c>
    </row>
    <row r="3739" spans="1:16">
      <c r="A3739" s="2">
        <v>37635</v>
      </c>
      <c r="B3739" s="1">
        <v>21.85</v>
      </c>
      <c r="C3739" s="1">
        <v>22.76</v>
      </c>
      <c r="D3739" s="1">
        <v>21.66</v>
      </c>
      <c r="E3739" s="1">
        <v>22.74</v>
      </c>
      <c r="F3739" s="1">
        <v>7048800</v>
      </c>
      <c r="G3739" s="1">
        <v>22.74</v>
      </c>
      <c r="H3739" s="1">
        <f t="shared" si="522"/>
        <v>1.1000000000000014</v>
      </c>
      <c r="I3739" s="9">
        <f t="shared" si="529"/>
        <v>5.0784856879039768E-2</v>
      </c>
      <c r="J3739" s="1">
        <f t="shared" si="530"/>
        <v>0.69999999999999929</v>
      </c>
      <c r="K3739" s="9">
        <f t="shared" si="523"/>
        <v>3.1760435571687812E-2</v>
      </c>
      <c r="L3739" s="1">
        <f t="shared" si="524"/>
        <v>1</v>
      </c>
      <c r="M3739" s="1">
        <f t="shared" si="525"/>
        <v>22.76</v>
      </c>
      <c r="N3739" s="1">
        <f t="shared" si="526"/>
        <v>21.66</v>
      </c>
      <c r="O3739" s="1">
        <f t="shared" si="527"/>
        <v>20.779999999999998</v>
      </c>
      <c r="P3739" s="1">
        <f t="shared" si="528"/>
        <v>10.602040816326529</v>
      </c>
    </row>
    <row r="3740" spans="1:16">
      <c r="A3740" s="2">
        <v>37634</v>
      </c>
      <c r="B3740" s="1">
        <v>21.33</v>
      </c>
      <c r="C3740" s="1">
        <v>22.1</v>
      </c>
      <c r="D3740" s="1">
        <v>21.25</v>
      </c>
      <c r="E3740" s="1">
        <v>22.04</v>
      </c>
      <c r="F3740" s="1">
        <v>7121300</v>
      </c>
      <c r="G3740" s="1">
        <v>22.04</v>
      </c>
      <c r="H3740" s="1">
        <f t="shared" si="522"/>
        <v>0.85000000000000142</v>
      </c>
      <c r="I3740" s="9">
        <f t="shared" si="529"/>
        <v>4.000000000000007E-2</v>
      </c>
      <c r="J3740" s="1">
        <f t="shared" si="530"/>
        <v>0.71999999999999886</v>
      </c>
      <c r="K3740" s="9">
        <f t="shared" si="523"/>
        <v>3.3771106941838595E-2</v>
      </c>
      <c r="L3740" s="1">
        <f t="shared" si="524"/>
        <v>1</v>
      </c>
      <c r="M3740" s="1">
        <f t="shared" si="525"/>
        <v>22.1</v>
      </c>
      <c r="N3740" s="1">
        <f t="shared" si="526"/>
        <v>21.25</v>
      </c>
      <c r="O3740" s="1">
        <f t="shared" si="527"/>
        <v>20.079999999999998</v>
      </c>
      <c r="P3740" s="1">
        <f t="shared" si="528"/>
        <v>10.244897959183673</v>
      </c>
    </row>
    <row r="3741" spans="1:16">
      <c r="A3741" s="2">
        <v>37631</v>
      </c>
      <c r="B3741" s="1">
        <v>20.96</v>
      </c>
      <c r="C3741" s="1">
        <v>21.66</v>
      </c>
      <c r="D3741" s="1">
        <v>20.81</v>
      </c>
      <c r="E3741" s="1">
        <v>21.32</v>
      </c>
      <c r="F3741" s="1">
        <v>7579300</v>
      </c>
      <c r="G3741" s="1">
        <v>21.32</v>
      </c>
      <c r="H3741" s="1">
        <f t="shared" si="522"/>
        <v>0.85000000000000142</v>
      </c>
      <c r="I3741" s="9">
        <f t="shared" si="529"/>
        <v>4.0845747236905407E-2</v>
      </c>
      <c r="J3741" s="1">
        <f t="shared" si="530"/>
        <v>-0.12999999999999901</v>
      </c>
      <c r="K3741" s="9">
        <f t="shared" si="523"/>
        <v>-6.0606060606060146E-3</v>
      </c>
      <c r="L3741" s="1">
        <f t="shared" si="524"/>
        <v>1</v>
      </c>
      <c r="M3741" s="1">
        <f t="shared" si="525"/>
        <v>21.66</v>
      </c>
      <c r="N3741" s="1">
        <f t="shared" si="526"/>
        <v>20.81</v>
      </c>
      <c r="O3741" s="1">
        <f t="shared" si="527"/>
        <v>19.36</v>
      </c>
      <c r="P3741" s="1">
        <f t="shared" si="528"/>
        <v>9.8775510204081627</v>
      </c>
    </row>
    <row r="3742" spans="1:16">
      <c r="A3742" s="2">
        <v>37630</v>
      </c>
      <c r="B3742" s="1">
        <v>21.08</v>
      </c>
      <c r="C3742" s="1">
        <v>21.7</v>
      </c>
      <c r="D3742" s="1">
        <v>20.9</v>
      </c>
      <c r="E3742" s="1">
        <v>21.45</v>
      </c>
      <c r="F3742" s="1">
        <v>6154800</v>
      </c>
      <c r="G3742" s="1">
        <v>21.45</v>
      </c>
      <c r="H3742" s="1">
        <f t="shared" si="522"/>
        <v>0.80000000000000071</v>
      </c>
      <c r="I3742" s="9">
        <f t="shared" si="529"/>
        <v>3.8277511961722521E-2</v>
      </c>
      <c r="J3742" s="1">
        <f t="shared" si="530"/>
        <v>0.42999999999999972</v>
      </c>
      <c r="K3742" s="9">
        <f t="shared" si="523"/>
        <v>2.045670789724071E-2</v>
      </c>
      <c r="L3742" s="1">
        <f t="shared" si="524"/>
        <v>1</v>
      </c>
      <c r="M3742" s="1">
        <f t="shared" si="525"/>
        <v>21.7</v>
      </c>
      <c r="N3742" s="1">
        <f t="shared" si="526"/>
        <v>20.9</v>
      </c>
      <c r="O3742" s="1">
        <f t="shared" si="527"/>
        <v>19.489999999999998</v>
      </c>
      <c r="P3742" s="1">
        <f t="shared" si="528"/>
        <v>9.9438775510204067</v>
      </c>
    </row>
    <row r="3743" spans="1:16">
      <c r="A3743" s="2">
        <v>37629</v>
      </c>
      <c r="B3743" s="1">
        <v>21.44</v>
      </c>
      <c r="C3743" s="1">
        <v>21.6</v>
      </c>
      <c r="D3743" s="1">
        <v>20.82</v>
      </c>
      <c r="E3743" s="1">
        <v>21.02</v>
      </c>
      <c r="F3743" s="1">
        <v>6981500</v>
      </c>
      <c r="G3743" s="1">
        <v>21.02</v>
      </c>
      <c r="H3743" s="1">
        <f t="shared" si="522"/>
        <v>0.78000000000000114</v>
      </c>
      <c r="I3743" s="9">
        <f t="shared" si="529"/>
        <v>3.746397694524501E-2</v>
      </c>
      <c r="J3743" s="1">
        <f t="shared" si="530"/>
        <v>-0.53000000000000114</v>
      </c>
      <c r="K3743" s="9">
        <f t="shared" si="523"/>
        <v>-2.4593967517401442E-2</v>
      </c>
      <c r="L3743" s="1">
        <f t="shared" si="524"/>
        <v>1</v>
      </c>
      <c r="M3743" s="1">
        <f t="shared" si="525"/>
        <v>21.6</v>
      </c>
      <c r="N3743" s="1">
        <f t="shared" si="526"/>
        <v>20.82</v>
      </c>
      <c r="O3743" s="1">
        <f t="shared" si="527"/>
        <v>19.059999999999999</v>
      </c>
      <c r="P3743" s="1">
        <f t="shared" si="528"/>
        <v>9.724489795918366</v>
      </c>
    </row>
    <row r="3744" spans="1:16">
      <c r="A3744" s="2">
        <v>37628</v>
      </c>
      <c r="B3744" s="1">
        <v>20.83</v>
      </c>
      <c r="C3744" s="1">
        <v>21.75</v>
      </c>
      <c r="D3744" s="1">
        <v>20.6</v>
      </c>
      <c r="E3744" s="1">
        <v>21.55</v>
      </c>
      <c r="F3744" s="1">
        <v>9568200</v>
      </c>
      <c r="G3744" s="1">
        <v>21.55</v>
      </c>
      <c r="H3744" s="1">
        <f t="shared" si="522"/>
        <v>1.1499999999999986</v>
      </c>
      <c r="I3744" s="9">
        <f t="shared" si="529"/>
        <v>5.5825242718446529E-2</v>
      </c>
      <c r="J3744" s="1">
        <f t="shared" si="530"/>
        <v>0.85000000000000142</v>
      </c>
      <c r="K3744" s="9">
        <f t="shared" si="523"/>
        <v>4.1062801932367221E-2</v>
      </c>
      <c r="L3744" s="1">
        <f t="shared" si="524"/>
        <v>1</v>
      </c>
      <c r="M3744" s="1">
        <f t="shared" si="525"/>
        <v>21.75</v>
      </c>
      <c r="N3744" s="1">
        <f t="shared" si="526"/>
        <v>20.6</v>
      </c>
      <c r="O3744" s="1">
        <f t="shared" si="527"/>
        <v>19.59</v>
      </c>
      <c r="P3744" s="1">
        <f t="shared" si="528"/>
        <v>9.9948979591836729</v>
      </c>
    </row>
    <row r="3745" spans="1:16">
      <c r="A3745" s="2">
        <v>37627</v>
      </c>
      <c r="B3745" s="1">
        <v>20.399999999999999</v>
      </c>
      <c r="C3745" s="1">
        <v>21.17</v>
      </c>
      <c r="D3745" s="1">
        <v>20.3</v>
      </c>
      <c r="E3745" s="1">
        <v>20.7</v>
      </c>
      <c r="F3745" s="1">
        <v>7698100</v>
      </c>
      <c r="G3745" s="1">
        <v>20.7</v>
      </c>
      <c r="H3745" s="1">
        <f t="shared" si="522"/>
        <v>0.87000000000000099</v>
      </c>
      <c r="I3745" s="9">
        <f t="shared" si="529"/>
        <v>4.2857142857142906E-2</v>
      </c>
      <c r="J3745" s="1">
        <f t="shared" si="530"/>
        <v>0.17999999999999972</v>
      </c>
      <c r="K3745" s="9">
        <f t="shared" si="523"/>
        <v>8.7719298245613891E-3</v>
      </c>
      <c r="L3745" s="1">
        <f t="shared" si="524"/>
        <v>1</v>
      </c>
      <c r="M3745" s="1">
        <f t="shared" si="525"/>
        <v>21.17</v>
      </c>
      <c r="N3745" s="1">
        <f t="shared" si="526"/>
        <v>20.3</v>
      </c>
      <c r="O3745" s="1">
        <f t="shared" si="527"/>
        <v>18.739999999999998</v>
      </c>
      <c r="P3745" s="1">
        <f t="shared" si="528"/>
        <v>9.5612244897959169</v>
      </c>
    </row>
    <row r="3746" spans="1:16">
      <c r="A3746" s="2">
        <v>37624</v>
      </c>
      <c r="B3746" s="1">
        <v>19.59</v>
      </c>
      <c r="C3746" s="1">
        <v>20.53</v>
      </c>
      <c r="D3746" s="1">
        <v>19.41</v>
      </c>
      <c r="E3746" s="1">
        <v>20.52</v>
      </c>
      <c r="F3746" s="1">
        <v>8757000</v>
      </c>
      <c r="G3746" s="1">
        <v>20.52</v>
      </c>
      <c r="H3746" s="1">
        <f t="shared" si="522"/>
        <v>1.120000000000001</v>
      </c>
      <c r="I3746" s="9">
        <f t="shared" si="529"/>
        <v>5.7702215352910924E-2</v>
      </c>
      <c r="J3746" s="1">
        <f t="shared" si="530"/>
        <v>0.94999999999999929</v>
      </c>
      <c r="K3746" s="9">
        <f t="shared" si="523"/>
        <v>4.8543689320388314E-2</v>
      </c>
      <c r="L3746" s="1">
        <f t="shared" si="524"/>
        <v>1</v>
      </c>
      <c r="M3746" s="1">
        <f t="shared" si="525"/>
        <v>20.53</v>
      </c>
      <c r="N3746" s="1">
        <f t="shared" si="526"/>
        <v>19.41</v>
      </c>
      <c r="O3746" s="1">
        <f t="shared" si="527"/>
        <v>18.559999999999999</v>
      </c>
      <c r="P3746" s="1">
        <f t="shared" si="528"/>
        <v>9.4693877551020407</v>
      </c>
    </row>
    <row r="3747" spans="1:16">
      <c r="A3747" s="2">
        <v>37623</v>
      </c>
      <c r="B3747" s="1">
        <v>19.190000000000001</v>
      </c>
      <c r="C3747" s="1">
        <v>19.68</v>
      </c>
      <c r="D3747" s="1">
        <v>18.55</v>
      </c>
      <c r="E3747" s="1">
        <v>19.57</v>
      </c>
      <c r="F3747" s="1">
        <v>6484000</v>
      </c>
      <c r="G3747" s="1">
        <v>19.57</v>
      </c>
      <c r="H3747" s="1">
        <f t="shared" si="522"/>
        <v>1.129999999999999</v>
      </c>
      <c r="I3747" s="9">
        <f t="shared" si="529"/>
        <v>6.0916442048517462E-2</v>
      </c>
      <c r="J3747" s="1">
        <f t="shared" si="530"/>
        <v>0.67999999999999972</v>
      </c>
      <c r="K3747" s="9">
        <f t="shared" si="523"/>
        <v>3.5997882477501304E-2</v>
      </c>
      <c r="L3747" s="1">
        <f t="shared" si="524"/>
        <v>1</v>
      </c>
      <c r="M3747" s="1">
        <f t="shared" si="525"/>
        <v>19.68</v>
      </c>
      <c r="N3747" s="1">
        <f t="shared" si="526"/>
        <v>18.55</v>
      </c>
      <c r="O3747" s="1">
        <f t="shared" si="527"/>
        <v>17.61</v>
      </c>
      <c r="P3747" s="1">
        <f t="shared" si="528"/>
        <v>8.9846938775510203</v>
      </c>
    </row>
    <row r="3748" spans="1:16">
      <c r="A3748" s="2">
        <v>37621</v>
      </c>
      <c r="B3748" s="1">
        <v>19.25</v>
      </c>
      <c r="C3748" s="1">
        <v>19.559999999999999</v>
      </c>
      <c r="D3748" s="1">
        <v>18.829999999999998</v>
      </c>
      <c r="E3748" s="1">
        <v>18.89</v>
      </c>
      <c r="F3748" s="1">
        <v>5537000</v>
      </c>
      <c r="G3748" s="1">
        <v>18.89</v>
      </c>
      <c r="H3748" s="1">
        <f t="shared" si="522"/>
        <v>0.73000000000000043</v>
      </c>
      <c r="I3748" s="9">
        <f t="shared" si="529"/>
        <v>3.8767923526287863E-2</v>
      </c>
      <c r="J3748" s="1">
        <f t="shared" si="530"/>
        <v>-0.35999999999999943</v>
      </c>
      <c r="K3748" s="9">
        <f t="shared" si="523"/>
        <v>-1.870129870129867E-2</v>
      </c>
      <c r="L3748" s="1">
        <f t="shared" si="524"/>
        <v>1</v>
      </c>
      <c r="M3748" s="1">
        <f t="shared" si="525"/>
        <v>19.559999999999999</v>
      </c>
      <c r="N3748" s="1">
        <f t="shared" si="526"/>
        <v>18.829999999999998</v>
      </c>
      <c r="O3748" s="1">
        <f t="shared" si="527"/>
        <v>16.93</v>
      </c>
      <c r="P3748" s="1">
        <f t="shared" si="528"/>
        <v>8.637755102040817</v>
      </c>
    </row>
    <row r="3749" spans="1:16">
      <c r="A3749" s="2">
        <v>37620</v>
      </c>
      <c r="B3749" s="1">
        <v>18.850000000000001</v>
      </c>
      <c r="C3749" s="1">
        <v>19.399999999999999</v>
      </c>
      <c r="D3749" s="1">
        <v>18.739999999999998</v>
      </c>
      <c r="E3749" s="1">
        <v>19.25</v>
      </c>
      <c r="F3749" s="1">
        <v>8284700</v>
      </c>
      <c r="G3749" s="1">
        <v>19.25</v>
      </c>
      <c r="H3749" s="1">
        <f t="shared" si="522"/>
        <v>0.66000000000000014</v>
      </c>
      <c r="I3749" s="9">
        <f t="shared" si="529"/>
        <v>3.5218783351120608E-2</v>
      </c>
      <c r="J3749" s="1">
        <f t="shared" si="530"/>
        <v>0.39000000000000057</v>
      </c>
      <c r="K3749" s="9">
        <f t="shared" si="523"/>
        <v>2.0678685047720073E-2</v>
      </c>
      <c r="L3749" s="1">
        <f t="shared" si="524"/>
        <v>1</v>
      </c>
      <c r="M3749" s="1">
        <f t="shared" si="525"/>
        <v>19.399999999999999</v>
      </c>
      <c r="N3749" s="1">
        <f t="shared" si="526"/>
        <v>18.739999999999998</v>
      </c>
      <c r="O3749" s="1">
        <f t="shared" si="527"/>
        <v>17.29</v>
      </c>
      <c r="P3749" s="1">
        <f t="shared" si="528"/>
        <v>8.8214285714285712</v>
      </c>
    </row>
    <row r="3750" spans="1:16">
      <c r="A3750" s="2">
        <v>37617</v>
      </c>
      <c r="B3750" s="1">
        <v>19.97</v>
      </c>
      <c r="C3750" s="1">
        <v>20.100000000000001</v>
      </c>
      <c r="D3750" s="1">
        <v>18.43</v>
      </c>
      <c r="E3750" s="1">
        <v>18.86</v>
      </c>
      <c r="F3750" s="1">
        <v>21972800</v>
      </c>
      <c r="G3750" s="1">
        <v>18.86</v>
      </c>
      <c r="H3750" s="1">
        <f t="shared" si="522"/>
        <v>1.6700000000000017</v>
      </c>
      <c r="I3750" s="9">
        <f t="shared" si="529"/>
        <v>9.0613130765057059E-2</v>
      </c>
      <c r="J3750" s="1">
        <f t="shared" si="530"/>
        <v>-1.4400000000000013</v>
      </c>
      <c r="K3750" s="9">
        <f t="shared" si="523"/>
        <v>-7.0935960591133065E-2</v>
      </c>
      <c r="L3750" s="1">
        <f t="shared" si="524"/>
        <v>1</v>
      </c>
      <c r="M3750" s="1">
        <f t="shared" si="525"/>
        <v>20.100000000000001</v>
      </c>
      <c r="N3750" s="1">
        <f t="shared" si="526"/>
        <v>18.43</v>
      </c>
      <c r="O3750" s="1">
        <f t="shared" si="527"/>
        <v>16.899999999999999</v>
      </c>
      <c r="P3750" s="1">
        <f t="shared" si="528"/>
        <v>8.6224489795918355</v>
      </c>
    </row>
    <row r="3751" spans="1:16">
      <c r="A3751" s="2">
        <v>37616</v>
      </c>
      <c r="B3751" s="1">
        <v>21.59</v>
      </c>
      <c r="C3751" s="1">
        <v>21.6</v>
      </c>
      <c r="D3751" s="1">
        <v>20</v>
      </c>
      <c r="E3751" s="1">
        <v>20.3</v>
      </c>
      <c r="F3751" s="1">
        <v>14199300</v>
      </c>
      <c r="G3751" s="1">
        <v>20.3</v>
      </c>
      <c r="H3751" s="1">
        <f t="shared" si="522"/>
        <v>1.6000000000000014</v>
      </c>
      <c r="I3751" s="9">
        <f t="shared" si="529"/>
        <v>8.0000000000000071E-2</v>
      </c>
      <c r="J3751" s="1">
        <f t="shared" si="530"/>
        <v>-1.5799999999999983</v>
      </c>
      <c r="K3751" s="9">
        <f t="shared" si="523"/>
        <v>-7.2212065813528264E-2</v>
      </c>
      <c r="L3751" s="1">
        <f t="shared" si="524"/>
        <v>1</v>
      </c>
      <c r="M3751" s="1">
        <f t="shared" si="525"/>
        <v>21.6</v>
      </c>
      <c r="N3751" s="1">
        <f t="shared" si="526"/>
        <v>20</v>
      </c>
      <c r="O3751" s="1">
        <f t="shared" si="527"/>
        <v>18.34</v>
      </c>
      <c r="P3751" s="1">
        <f t="shared" si="528"/>
        <v>9.3571428571428577</v>
      </c>
    </row>
    <row r="3752" spans="1:16">
      <c r="A3752" s="2">
        <v>37614</v>
      </c>
      <c r="B3752" s="1">
        <v>22.18</v>
      </c>
      <c r="C3752" s="1">
        <v>22.28</v>
      </c>
      <c r="D3752" s="1">
        <v>21.88</v>
      </c>
      <c r="E3752" s="1">
        <v>21.88</v>
      </c>
      <c r="F3752" s="1">
        <v>2348600</v>
      </c>
      <c r="G3752" s="1">
        <v>21.88</v>
      </c>
      <c r="H3752" s="1">
        <f t="shared" si="522"/>
        <v>0.40000000000000213</v>
      </c>
      <c r="I3752" s="9">
        <f t="shared" si="529"/>
        <v>1.8281535648994613E-2</v>
      </c>
      <c r="J3752" s="1">
        <f t="shared" si="530"/>
        <v>-0.35999999999999943</v>
      </c>
      <c r="K3752" s="9">
        <f t="shared" si="523"/>
        <v>-1.6187050359712206E-2</v>
      </c>
      <c r="L3752" s="1">
        <f t="shared" si="524"/>
        <v>1</v>
      </c>
      <c r="M3752" s="1">
        <f t="shared" si="525"/>
        <v>22.28</v>
      </c>
      <c r="N3752" s="1">
        <f t="shared" si="526"/>
        <v>21.88</v>
      </c>
      <c r="O3752" s="1">
        <f t="shared" si="527"/>
        <v>19.919999999999998</v>
      </c>
      <c r="P3752" s="1">
        <f t="shared" si="528"/>
        <v>10.163265306122447</v>
      </c>
    </row>
    <row r="3753" spans="1:16">
      <c r="A3753" s="2">
        <v>37613</v>
      </c>
      <c r="B3753" s="1">
        <v>21.78</v>
      </c>
      <c r="C3753" s="1">
        <v>22.47</v>
      </c>
      <c r="D3753" s="1">
        <v>21.78</v>
      </c>
      <c r="E3753" s="1">
        <v>22.24</v>
      </c>
      <c r="F3753" s="1">
        <v>4424500</v>
      </c>
      <c r="G3753" s="1">
        <v>22.24</v>
      </c>
      <c r="H3753" s="1">
        <f t="shared" si="522"/>
        <v>0.68999999999999773</v>
      </c>
      <c r="I3753" s="9">
        <f t="shared" si="529"/>
        <v>3.1680440771349759E-2</v>
      </c>
      <c r="J3753" s="1">
        <f t="shared" si="530"/>
        <v>0.30999999999999872</v>
      </c>
      <c r="K3753" s="9">
        <f t="shared" si="523"/>
        <v>1.4135886912904639E-2</v>
      </c>
      <c r="L3753" s="1">
        <f t="shared" si="524"/>
        <v>1</v>
      </c>
      <c r="M3753" s="1">
        <f t="shared" si="525"/>
        <v>22.47</v>
      </c>
      <c r="N3753" s="1">
        <f t="shared" si="526"/>
        <v>21.78</v>
      </c>
      <c r="O3753" s="1">
        <f t="shared" si="527"/>
        <v>20.279999999999998</v>
      </c>
      <c r="P3753" s="1">
        <f t="shared" si="528"/>
        <v>10.346938775510203</v>
      </c>
    </row>
    <row r="3754" spans="1:16">
      <c r="A3754" s="2">
        <v>37610</v>
      </c>
      <c r="B3754" s="1">
        <v>21.79</v>
      </c>
      <c r="C3754" s="1">
        <v>22.01</v>
      </c>
      <c r="D3754" s="1">
        <v>21.6</v>
      </c>
      <c r="E3754" s="1">
        <v>21.93</v>
      </c>
      <c r="F3754" s="1">
        <v>4935300</v>
      </c>
      <c r="G3754" s="1">
        <v>21.93</v>
      </c>
      <c r="H3754" s="1">
        <f t="shared" si="522"/>
        <v>0.41000000000000014</v>
      </c>
      <c r="I3754" s="9">
        <f t="shared" si="529"/>
        <v>1.8981481481481488E-2</v>
      </c>
      <c r="J3754" s="1">
        <f t="shared" si="530"/>
        <v>0.23999999999999844</v>
      </c>
      <c r="K3754" s="9">
        <f t="shared" si="523"/>
        <v>1.106500691562925E-2</v>
      </c>
      <c r="L3754" s="1">
        <f t="shared" si="524"/>
        <v>1</v>
      </c>
      <c r="M3754" s="1">
        <f t="shared" si="525"/>
        <v>22.01</v>
      </c>
      <c r="N3754" s="1">
        <f t="shared" si="526"/>
        <v>21.6</v>
      </c>
      <c r="O3754" s="1">
        <f t="shared" si="527"/>
        <v>19.97</v>
      </c>
      <c r="P3754" s="1">
        <f t="shared" si="528"/>
        <v>10.188775510204081</v>
      </c>
    </row>
    <row r="3755" spans="1:16">
      <c r="A3755" s="2">
        <v>37609</v>
      </c>
      <c r="B3755" s="1">
        <v>21.63</v>
      </c>
      <c r="C3755" s="1">
        <v>22.2</v>
      </c>
      <c r="D3755" s="1">
        <v>21.53</v>
      </c>
      <c r="E3755" s="1">
        <v>21.69</v>
      </c>
      <c r="F3755" s="1">
        <v>5814400</v>
      </c>
      <c r="G3755" s="1">
        <v>21.69</v>
      </c>
      <c r="H3755" s="1">
        <f t="shared" si="522"/>
        <v>0.66999999999999815</v>
      </c>
      <c r="I3755" s="9">
        <f t="shared" si="529"/>
        <v>3.111936832326977E-2</v>
      </c>
      <c r="J3755" s="1">
        <f t="shared" si="530"/>
        <v>-0.41000000000000014</v>
      </c>
      <c r="K3755" s="9">
        <f t="shared" si="523"/>
        <v>-1.855203619909503E-2</v>
      </c>
      <c r="L3755" s="1">
        <f t="shared" si="524"/>
        <v>1</v>
      </c>
      <c r="M3755" s="1">
        <f t="shared" si="525"/>
        <v>22.2</v>
      </c>
      <c r="N3755" s="1">
        <f t="shared" si="526"/>
        <v>21.53</v>
      </c>
      <c r="O3755" s="1">
        <f t="shared" si="527"/>
        <v>19.73</v>
      </c>
      <c r="P3755" s="1">
        <f t="shared" si="528"/>
        <v>10.066326530612246</v>
      </c>
    </row>
    <row r="3756" spans="1:16">
      <c r="A3756" s="2">
        <v>37608</v>
      </c>
      <c r="B3756" s="1">
        <v>22.25</v>
      </c>
      <c r="C3756" s="1">
        <v>22.26</v>
      </c>
      <c r="D3756" s="1">
        <v>21.98</v>
      </c>
      <c r="E3756" s="1">
        <v>22.1</v>
      </c>
      <c r="F3756" s="1">
        <v>3992800</v>
      </c>
      <c r="G3756" s="1">
        <v>22.1</v>
      </c>
      <c r="H3756" s="1">
        <f t="shared" si="522"/>
        <v>0.28000000000000114</v>
      </c>
      <c r="I3756" s="9">
        <f t="shared" si="529"/>
        <v>1.2738853503184764E-2</v>
      </c>
      <c r="J3756" s="1">
        <f t="shared" si="530"/>
        <v>-0.35999999999999943</v>
      </c>
      <c r="K3756" s="9">
        <f t="shared" si="523"/>
        <v>-1.6028495102404249E-2</v>
      </c>
      <c r="L3756" s="1">
        <f t="shared" si="524"/>
        <v>1</v>
      </c>
      <c r="M3756" s="1">
        <f t="shared" si="525"/>
        <v>22.26</v>
      </c>
      <c r="N3756" s="1">
        <f t="shared" si="526"/>
        <v>21.98</v>
      </c>
      <c r="O3756" s="1">
        <f t="shared" si="527"/>
        <v>20.14</v>
      </c>
      <c r="P3756" s="1">
        <f t="shared" si="528"/>
        <v>10.275510204081634</v>
      </c>
    </row>
    <row r="3757" spans="1:16">
      <c r="A3757" s="2">
        <v>37607</v>
      </c>
      <c r="B3757" s="1">
        <v>22.33</v>
      </c>
      <c r="C3757" s="1">
        <v>22.56</v>
      </c>
      <c r="D3757" s="1">
        <v>22.32</v>
      </c>
      <c r="E3757" s="1">
        <v>22.46</v>
      </c>
      <c r="F3757" s="1">
        <v>3419500</v>
      </c>
      <c r="G3757" s="1">
        <v>22.46</v>
      </c>
      <c r="H3757" s="1">
        <f t="shared" si="522"/>
        <v>0.23999999999999844</v>
      </c>
      <c r="I3757" s="9">
        <f t="shared" si="529"/>
        <v>1.075268817204294E-2</v>
      </c>
      <c r="J3757" s="1">
        <f t="shared" si="530"/>
        <v>-5.0000000000000711E-2</v>
      </c>
      <c r="K3757" s="9">
        <f t="shared" si="523"/>
        <v>-2.2212350066637366E-3</v>
      </c>
      <c r="L3757" s="1">
        <f t="shared" si="524"/>
        <v>1</v>
      </c>
      <c r="M3757" s="1">
        <f t="shared" si="525"/>
        <v>22.56</v>
      </c>
      <c r="N3757" s="1">
        <f t="shared" si="526"/>
        <v>22.32</v>
      </c>
      <c r="O3757" s="1">
        <f t="shared" si="527"/>
        <v>20.5</v>
      </c>
      <c r="P3757" s="1">
        <f t="shared" si="528"/>
        <v>10.459183673469388</v>
      </c>
    </row>
    <row r="3758" spans="1:16">
      <c r="A3758" s="2">
        <v>37606</v>
      </c>
      <c r="B3758" s="1">
        <v>22.23</v>
      </c>
      <c r="C3758" s="1">
        <v>22.53</v>
      </c>
      <c r="D3758" s="1">
        <v>22.04</v>
      </c>
      <c r="E3758" s="1">
        <v>22.51</v>
      </c>
      <c r="F3758" s="1">
        <v>4940700</v>
      </c>
      <c r="G3758" s="1">
        <v>22.51</v>
      </c>
      <c r="H3758" s="1">
        <f t="shared" si="522"/>
        <v>0.49000000000000199</v>
      </c>
      <c r="I3758" s="9">
        <f t="shared" si="529"/>
        <v>2.223230490018158E-2</v>
      </c>
      <c r="J3758" s="1">
        <f t="shared" si="530"/>
        <v>0.33000000000000185</v>
      </c>
      <c r="K3758" s="9">
        <f t="shared" si="523"/>
        <v>1.4878268710550129E-2</v>
      </c>
      <c r="L3758" s="1">
        <f t="shared" si="524"/>
        <v>1</v>
      </c>
      <c r="M3758" s="1">
        <f t="shared" si="525"/>
        <v>22.53</v>
      </c>
      <c r="N3758" s="1">
        <f t="shared" si="526"/>
        <v>22.04</v>
      </c>
      <c r="O3758" s="1">
        <f t="shared" si="527"/>
        <v>20.55</v>
      </c>
      <c r="P3758" s="1">
        <f t="shared" si="528"/>
        <v>10.48469387755102</v>
      </c>
    </row>
    <row r="3759" spans="1:16">
      <c r="A3759" s="2">
        <v>37603</v>
      </c>
      <c r="B3759" s="1">
        <v>21.95</v>
      </c>
      <c r="C3759" s="1">
        <v>22.35</v>
      </c>
      <c r="D3759" s="1">
        <v>21.87</v>
      </c>
      <c r="E3759" s="1">
        <v>22.18</v>
      </c>
      <c r="F3759" s="1">
        <v>3859200</v>
      </c>
      <c r="G3759" s="1">
        <v>22.18</v>
      </c>
      <c r="H3759" s="1">
        <f t="shared" si="522"/>
        <v>0.48000000000000043</v>
      </c>
      <c r="I3759" s="9">
        <f t="shared" si="529"/>
        <v>2.1947873799725671E-2</v>
      </c>
      <c r="J3759" s="1">
        <f t="shared" si="530"/>
        <v>-0.12000000000000099</v>
      </c>
      <c r="K3759" s="9">
        <f t="shared" si="523"/>
        <v>-5.3811659192825557E-3</v>
      </c>
      <c r="L3759" s="1">
        <f t="shared" si="524"/>
        <v>1</v>
      </c>
      <c r="M3759" s="1">
        <f t="shared" si="525"/>
        <v>22.35</v>
      </c>
      <c r="N3759" s="1">
        <f t="shared" si="526"/>
        <v>21.87</v>
      </c>
      <c r="O3759" s="1">
        <f t="shared" si="527"/>
        <v>20.22</v>
      </c>
      <c r="P3759" s="1">
        <f t="shared" si="528"/>
        <v>10.316326530612244</v>
      </c>
    </row>
    <row r="3760" spans="1:16">
      <c r="A3760" s="2">
        <v>37602</v>
      </c>
      <c r="B3760" s="1">
        <v>22.47</v>
      </c>
      <c r="C3760" s="1">
        <v>22.62</v>
      </c>
      <c r="D3760" s="1">
        <v>21.81</v>
      </c>
      <c r="E3760" s="1">
        <v>22.3</v>
      </c>
      <c r="F3760" s="1">
        <v>5977500</v>
      </c>
      <c r="G3760" s="1">
        <v>22.3</v>
      </c>
      <c r="H3760" s="1">
        <f t="shared" si="522"/>
        <v>0.81000000000000227</v>
      </c>
      <c r="I3760" s="9">
        <f t="shared" si="529"/>
        <v>3.7138927097661728E-2</v>
      </c>
      <c r="J3760" s="1">
        <f t="shared" si="530"/>
        <v>0.17000000000000171</v>
      </c>
      <c r="K3760" s="9">
        <f t="shared" si="523"/>
        <v>7.6818798011749527E-3</v>
      </c>
      <c r="L3760" s="1">
        <f t="shared" si="524"/>
        <v>1</v>
      </c>
      <c r="M3760" s="1">
        <f t="shared" si="525"/>
        <v>22.62</v>
      </c>
      <c r="N3760" s="1">
        <f t="shared" si="526"/>
        <v>21.81</v>
      </c>
      <c r="O3760" s="1">
        <f t="shared" si="527"/>
        <v>20.34</v>
      </c>
      <c r="P3760" s="1">
        <f t="shared" si="528"/>
        <v>10.377551020408163</v>
      </c>
    </row>
    <row r="3761" spans="1:16">
      <c r="A3761" s="2">
        <v>37601</v>
      </c>
      <c r="B3761" s="1">
        <v>21.67</v>
      </c>
      <c r="C3761" s="1">
        <v>22.38</v>
      </c>
      <c r="D3761" s="1">
        <v>21.62</v>
      </c>
      <c r="E3761" s="1">
        <v>22.13</v>
      </c>
      <c r="F3761" s="1">
        <v>6387300</v>
      </c>
      <c r="G3761" s="1">
        <v>22.13</v>
      </c>
      <c r="H3761" s="1">
        <f t="shared" si="522"/>
        <v>0.75999999999999801</v>
      </c>
      <c r="I3761" s="9">
        <f t="shared" si="529"/>
        <v>3.5152636447733483E-2</v>
      </c>
      <c r="J3761" s="1">
        <f t="shared" si="530"/>
        <v>0.26999999999999957</v>
      </c>
      <c r="K3761" s="9">
        <f t="shared" si="523"/>
        <v>1.2351326623970704E-2</v>
      </c>
      <c r="L3761" s="1">
        <f t="shared" si="524"/>
        <v>1</v>
      </c>
      <c r="M3761" s="1">
        <f t="shared" si="525"/>
        <v>22.38</v>
      </c>
      <c r="N3761" s="1">
        <f t="shared" si="526"/>
        <v>21.62</v>
      </c>
      <c r="O3761" s="1">
        <f t="shared" si="527"/>
        <v>20.169999999999998</v>
      </c>
      <c r="P3761" s="1">
        <f t="shared" si="528"/>
        <v>10.290816326530612</v>
      </c>
    </row>
    <row r="3762" spans="1:16">
      <c r="A3762" s="2">
        <v>37600</v>
      </c>
      <c r="B3762" s="1">
        <v>21.96</v>
      </c>
      <c r="C3762" s="1">
        <v>21.99</v>
      </c>
      <c r="D3762" s="1">
        <v>21.24</v>
      </c>
      <c r="E3762" s="1">
        <v>21.86</v>
      </c>
      <c r="F3762" s="1">
        <v>7093700</v>
      </c>
      <c r="G3762" s="1">
        <v>21.86</v>
      </c>
      <c r="H3762" s="1">
        <f t="shared" si="522"/>
        <v>0.75</v>
      </c>
      <c r="I3762" s="9">
        <f t="shared" si="529"/>
        <v>3.5310734463276837E-2</v>
      </c>
      <c r="J3762" s="1">
        <f t="shared" si="530"/>
        <v>0.17999999999999972</v>
      </c>
      <c r="K3762" s="9">
        <f t="shared" si="523"/>
        <v>8.3025830258302447E-3</v>
      </c>
      <c r="L3762" s="1">
        <f t="shared" si="524"/>
        <v>1</v>
      </c>
      <c r="M3762" s="1">
        <f t="shared" si="525"/>
        <v>21.99</v>
      </c>
      <c r="N3762" s="1">
        <f t="shared" si="526"/>
        <v>21.24</v>
      </c>
      <c r="O3762" s="1">
        <f t="shared" si="527"/>
        <v>19.899999999999999</v>
      </c>
      <c r="P3762" s="1">
        <f t="shared" si="528"/>
        <v>10.153061224489795</v>
      </c>
    </row>
    <row r="3763" spans="1:16">
      <c r="A3763" s="2">
        <v>37599</v>
      </c>
      <c r="B3763" s="1">
        <v>22.23</v>
      </c>
      <c r="C3763" s="1">
        <v>22.35</v>
      </c>
      <c r="D3763" s="1">
        <v>21.6</v>
      </c>
      <c r="E3763" s="1">
        <v>21.68</v>
      </c>
      <c r="F3763" s="1">
        <v>7454700</v>
      </c>
      <c r="G3763" s="1">
        <v>21.68</v>
      </c>
      <c r="H3763" s="1">
        <f t="shared" si="522"/>
        <v>0.75</v>
      </c>
      <c r="I3763" s="9">
        <f t="shared" si="529"/>
        <v>3.4722222222222217E-2</v>
      </c>
      <c r="J3763" s="1">
        <f t="shared" si="530"/>
        <v>-0.92999999999999972</v>
      </c>
      <c r="K3763" s="9">
        <f t="shared" si="523"/>
        <v>-4.1132242370632455E-2</v>
      </c>
      <c r="L3763" s="1">
        <f t="shared" si="524"/>
        <v>1</v>
      </c>
      <c r="M3763" s="1">
        <f t="shared" si="525"/>
        <v>22.35</v>
      </c>
      <c r="N3763" s="1">
        <f t="shared" si="526"/>
        <v>21.6</v>
      </c>
      <c r="O3763" s="1">
        <f t="shared" si="527"/>
        <v>19.72</v>
      </c>
      <c r="P3763" s="1">
        <f t="shared" si="528"/>
        <v>10.061224489795919</v>
      </c>
    </row>
    <row r="3764" spans="1:16">
      <c r="A3764" s="2">
        <v>37596</v>
      </c>
      <c r="B3764" s="1">
        <v>21.7</v>
      </c>
      <c r="C3764" s="1">
        <v>22.69</v>
      </c>
      <c r="D3764" s="1">
        <v>21.51</v>
      </c>
      <c r="E3764" s="1">
        <v>22.61</v>
      </c>
      <c r="F3764" s="1">
        <v>9393500</v>
      </c>
      <c r="G3764" s="1">
        <v>22.61</v>
      </c>
      <c r="H3764" s="1">
        <f t="shared" si="522"/>
        <v>1.1799999999999997</v>
      </c>
      <c r="I3764" s="9">
        <f t="shared" si="529"/>
        <v>5.485820548582053E-2</v>
      </c>
      <c r="J3764" s="1">
        <f t="shared" si="530"/>
        <v>3.0000000000001137E-2</v>
      </c>
      <c r="K3764" s="9">
        <f t="shared" si="523"/>
        <v>1.3286093888397316E-3</v>
      </c>
      <c r="L3764" s="1">
        <f t="shared" si="524"/>
        <v>1</v>
      </c>
      <c r="M3764" s="1">
        <f t="shared" si="525"/>
        <v>22.69</v>
      </c>
      <c r="N3764" s="1">
        <f t="shared" si="526"/>
        <v>21.51</v>
      </c>
      <c r="O3764" s="1">
        <f t="shared" si="527"/>
        <v>20.65</v>
      </c>
      <c r="P3764" s="1">
        <f t="shared" si="528"/>
        <v>10.535714285714285</v>
      </c>
    </row>
    <row r="3765" spans="1:16">
      <c r="A3765" s="2">
        <v>37595</v>
      </c>
      <c r="B3765" s="1">
        <v>23.66</v>
      </c>
      <c r="C3765" s="1">
        <v>23.68</v>
      </c>
      <c r="D3765" s="1">
        <v>22.2</v>
      </c>
      <c r="E3765" s="1">
        <v>22.58</v>
      </c>
      <c r="F3765" s="1">
        <v>10642600</v>
      </c>
      <c r="G3765" s="1">
        <v>22.58</v>
      </c>
      <c r="H3765" s="1">
        <f t="shared" si="522"/>
        <v>1.4800000000000004</v>
      </c>
      <c r="I3765" s="9">
        <f t="shared" si="529"/>
        <v>6.6666666666666693E-2</v>
      </c>
      <c r="J3765" s="1">
        <f t="shared" si="530"/>
        <v>-0.81000000000000227</v>
      </c>
      <c r="K3765" s="9">
        <f t="shared" si="523"/>
        <v>-3.4630183839247639E-2</v>
      </c>
      <c r="L3765" s="1">
        <f t="shared" si="524"/>
        <v>1</v>
      </c>
      <c r="M3765" s="1">
        <f t="shared" si="525"/>
        <v>23.68</v>
      </c>
      <c r="N3765" s="1">
        <f t="shared" si="526"/>
        <v>22.2</v>
      </c>
      <c r="O3765" s="1">
        <f t="shared" si="527"/>
        <v>20.619999999999997</v>
      </c>
      <c r="P3765" s="1">
        <f t="shared" si="528"/>
        <v>10.520408163265305</v>
      </c>
    </row>
    <row r="3766" spans="1:16">
      <c r="A3766" s="2">
        <v>37594</v>
      </c>
      <c r="B3766" s="1">
        <v>23.48</v>
      </c>
      <c r="C3766" s="1">
        <v>23.8</v>
      </c>
      <c r="D3766" s="1">
        <v>22.96</v>
      </c>
      <c r="E3766" s="1">
        <v>23.39</v>
      </c>
      <c r="F3766" s="1">
        <v>7878900</v>
      </c>
      <c r="G3766" s="1">
        <v>23.39</v>
      </c>
      <c r="H3766" s="1">
        <f t="shared" si="522"/>
        <v>0.83999999999999986</v>
      </c>
      <c r="I3766" s="9">
        <f t="shared" si="529"/>
        <v>3.6585365853658527E-2</v>
      </c>
      <c r="J3766" s="1">
        <f t="shared" si="530"/>
        <v>-0.34999999999999787</v>
      </c>
      <c r="K3766" s="9">
        <f t="shared" si="523"/>
        <v>-1.4743049705138917E-2</v>
      </c>
      <c r="L3766" s="1">
        <f t="shared" si="524"/>
        <v>1</v>
      </c>
      <c r="M3766" s="1">
        <f t="shared" si="525"/>
        <v>23.8</v>
      </c>
      <c r="N3766" s="1">
        <f t="shared" si="526"/>
        <v>22.96</v>
      </c>
      <c r="O3766" s="1">
        <f t="shared" si="527"/>
        <v>21.43</v>
      </c>
      <c r="P3766" s="1">
        <f t="shared" si="528"/>
        <v>10.933673469387756</v>
      </c>
    </row>
    <row r="3767" spans="1:16">
      <c r="A3767" s="2">
        <v>37593</v>
      </c>
      <c r="B3767" s="1">
        <v>23.83</v>
      </c>
      <c r="C3767" s="1">
        <v>23.98</v>
      </c>
      <c r="D3767" s="1">
        <v>23.38</v>
      </c>
      <c r="E3767" s="1">
        <v>23.74</v>
      </c>
      <c r="F3767" s="1">
        <v>5901100</v>
      </c>
      <c r="G3767" s="1">
        <v>23.74</v>
      </c>
      <c r="H3767" s="1">
        <f t="shared" si="522"/>
        <v>0.60000000000000142</v>
      </c>
      <c r="I3767" s="9">
        <f t="shared" si="529"/>
        <v>2.5662959794696384E-2</v>
      </c>
      <c r="J3767" s="1">
        <f t="shared" si="530"/>
        <v>-0.37000000000000099</v>
      </c>
      <c r="K3767" s="9">
        <f t="shared" si="523"/>
        <v>-1.5346329323932021E-2</v>
      </c>
      <c r="L3767" s="1">
        <f t="shared" si="524"/>
        <v>1</v>
      </c>
      <c r="M3767" s="1">
        <f t="shared" si="525"/>
        <v>23.98</v>
      </c>
      <c r="N3767" s="1">
        <f t="shared" si="526"/>
        <v>23.38</v>
      </c>
      <c r="O3767" s="1">
        <f t="shared" si="527"/>
        <v>21.779999999999998</v>
      </c>
      <c r="P3767" s="1">
        <f t="shared" si="528"/>
        <v>11.112244897959183</v>
      </c>
    </row>
    <row r="3768" spans="1:16">
      <c r="A3768" s="2">
        <v>37592</v>
      </c>
      <c r="B3768" s="1">
        <v>24.15</v>
      </c>
      <c r="C3768" s="1">
        <v>25</v>
      </c>
      <c r="D3768" s="1">
        <v>24</v>
      </c>
      <c r="E3768" s="1">
        <v>24.11</v>
      </c>
      <c r="F3768" s="1">
        <v>11152500</v>
      </c>
      <c r="G3768" s="1">
        <v>24.11</v>
      </c>
      <c r="H3768" s="1">
        <f t="shared" si="522"/>
        <v>1</v>
      </c>
      <c r="I3768" s="9">
        <f t="shared" si="529"/>
        <v>4.1666666666666664E-2</v>
      </c>
      <c r="J3768" s="1">
        <f t="shared" si="530"/>
        <v>0.75999999999999801</v>
      </c>
      <c r="K3768" s="9">
        <f t="shared" si="523"/>
        <v>3.2548179871520255E-2</v>
      </c>
      <c r="L3768" s="1">
        <f t="shared" si="524"/>
        <v>1</v>
      </c>
      <c r="M3768" s="1">
        <f t="shared" si="525"/>
        <v>25</v>
      </c>
      <c r="N3768" s="1">
        <f t="shared" si="526"/>
        <v>24</v>
      </c>
      <c r="O3768" s="1">
        <f t="shared" si="527"/>
        <v>22.15</v>
      </c>
      <c r="P3768" s="1">
        <f t="shared" si="528"/>
        <v>11.301020408163264</v>
      </c>
    </row>
    <row r="3769" spans="1:16">
      <c r="A3769" s="2">
        <v>37589</v>
      </c>
      <c r="B3769" s="1">
        <v>24.15</v>
      </c>
      <c r="C3769" s="1">
        <v>24.38</v>
      </c>
      <c r="D3769" s="1">
        <v>23.33</v>
      </c>
      <c r="E3769" s="1">
        <v>23.35</v>
      </c>
      <c r="F3769" s="1">
        <v>2577300</v>
      </c>
      <c r="G3769" s="1">
        <v>23.35</v>
      </c>
      <c r="H3769" s="1">
        <f t="shared" si="522"/>
        <v>1.0500000000000007</v>
      </c>
      <c r="I3769" s="9">
        <f t="shared" si="529"/>
        <v>4.5006429489927169E-2</v>
      </c>
      <c r="J3769" s="1">
        <f t="shared" si="530"/>
        <v>-0.72999999999999687</v>
      </c>
      <c r="K3769" s="9">
        <f t="shared" si="523"/>
        <v>-3.0315614617940072E-2</v>
      </c>
      <c r="L3769" s="1">
        <f t="shared" si="524"/>
        <v>1</v>
      </c>
      <c r="M3769" s="1">
        <f t="shared" si="525"/>
        <v>24.38</v>
      </c>
      <c r="N3769" s="1">
        <f t="shared" si="526"/>
        <v>23.33</v>
      </c>
      <c r="O3769" s="1">
        <f t="shared" si="527"/>
        <v>21.39</v>
      </c>
      <c r="P3769" s="1">
        <f t="shared" si="528"/>
        <v>10.913265306122449</v>
      </c>
    </row>
    <row r="3770" spans="1:16">
      <c r="A3770" s="2">
        <v>37587</v>
      </c>
      <c r="B3770" s="1">
        <v>23.72</v>
      </c>
      <c r="C3770" s="1">
        <v>24.24</v>
      </c>
      <c r="D3770" s="1">
        <v>23.71</v>
      </c>
      <c r="E3770" s="1">
        <v>24.08</v>
      </c>
      <c r="F3770" s="1">
        <v>5666000</v>
      </c>
      <c r="G3770" s="1">
        <v>24.08</v>
      </c>
      <c r="H3770" s="1">
        <f t="shared" si="522"/>
        <v>0.52999999999999758</v>
      </c>
      <c r="I3770" s="9">
        <f t="shared" si="529"/>
        <v>2.2353437368198968E-2</v>
      </c>
      <c r="J3770" s="1">
        <f t="shared" si="530"/>
        <v>0.67999999999999972</v>
      </c>
      <c r="K3770" s="9">
        <f t="shared" si="523"/>
        <v>2.905982905982905E-2</v>
      </c>
      <c r="L3770" s="1">
        <f t="shared" si="524"/>
        <v>1</v>
      </c>
      <c r="M3770" s="1">
        <f t="shared" si="525"/>
        <v>24.24</v>
      </c>
      <c r="N3770" s="1">
        <f t="shared" si="526"/>
        <v>23.71</v>
      </c>
      <c r="O3770" s="1">
        <f t="shared" si="527"/>
        <v>22.119999999999997</v>
      </c>
      <c r="P3770" s="1">
        <f t="shared" si="528"/>
        <v>11.285714285714285</v>
      </c>
    </row>
    <row r="3771" spans="1:16">
      <c r="A3771" s="2">
        <v>37586</v>
      </c>
      <c r="B3771" s="1">
        <v>24.02</v>
      </c>
      <c r="C3771" s="1">
        <v>24.2</v>
      </c>
      <c r="D3771" s="1">
        <v>23.38</v>
      </c>
      <c r="E3771" s="1">
        <v>23.4</v>
      </c>
      <c r="F3771" s="1">
        <v>6405800</v>
      </c>
      <c r="G3771" s="1">
        <v>23.4</v>
      </c>
      <c r="H3771" s="1">
        <f t="shared" si="522"/>
        <v>0.82000000000000028</v>
      </c>
      <c r="I3771" s="9">
        <f t="shared" si="529"/>
        <v>3.5072711719418323E-2</v>
      </c>
      <c r="J3771" s="1">
        <f t="shared" si="530"/>
        <v>-0.85000000000000142</v>
      </c>
      <c r="K3771" s="9">
        <f t="shared" si="523"/>
        <v>-3.5051546391752633E-2</v>
      </c>
      <c r="L3771" s="1">
        <f t="shared" si="524"/>
        <v>1</v>
      </c>
      <c r="M3771" s="1">
        <f t="shared" si="525"/>
        <v>24.2</v>
      </c>
      <c r="N3771" s="1">
        <f t="shared" si="526"/>
        <v>23.38</v>
      </c>
      <c r="O3771" s="1">
        <f t="shared" si="527"/>
        <v>21.439999999999998</v>
      </c>
      <c r="P3771" s="1">
        <f t="shared" si="528"/>
        <v>10.938775510204081</v>
      </c>
    </row>
    <row r="3772" spans="1:16">
      <c r="A3772" s="2">
        <v>37585</v>
      </c>
      <c r="B3772" s="1">
        <v>24.03</v>
      </c>
      <c r="C3772" s="1">
        <v>24.5</v>
      </c>
      <c r="D3772" s="1">
        <v>23.82</v>
      </c>
      <c r="E3772" s="1">
        <v>24.25</v>
      </c>
      <c r="F3772" s="1">
        <v>10091100</v>
      </c>
      <c r="G3772" s="1">
        <v>24.25</v>
      </c>
      <c r="H3772" s="1">
        <f t="shared" si="522"/>
        <v>0.67999999999999972</v>
      </c>
      <c r="I3772" s="9">
        <f t="shared" si="529"/>
        <v>2.8547439126784202E-2</v>
      </c>
      <c r="J3772" s="1">
        <f t="shared" si="530"/>
        <v>0.26000000000000156</v>
      </c>
      <c r="K3772" s="9">
        <f t="shared" si="523"/>
        <v>1.0837849103793313E-2</v>
      </c>
      <c r="L3772" s="1">
        <f t="shared" si="524"/>
        <v>1</v>
      </c>
      <c r="M3772" s="1">
        <f t="shared" si="525"/>
        <v>24.5</v>
      </c>
      <c r="N3772" s="1">
        <f t="shared" si="526"/>
        <v>23.82</v>
      </c>
      <c r="O3772" s="1">
        <f t="shared" si="527"/>
        <v>22.29</v>
      </c>
      <c r="P3772" s="1">
        <f t="shared" si="528"/>
        <v>11.372448979591837</v>
      </c>
    </row>
    <row r="3773" spans="1:16">
      <c r="A3773" s="2">
        <v>37582</v>
      </c>
      <c r="B3773" s="1">
        <v>23.2</v>
      </c>
      <c r="C3773" s="1">
        <v>24.28</v>
      </c>
      <c r="D3773" s="1">
        <v>23.1</v>
      </c>
      <c r="E3773" s="1">
        <v>23.99</v>
      </c>
      <c r="F3773" s="1">
        <v>11686600</v>
      </c>
      <c r="G3773" s="1">
        <v>23.99</v>
      </c>
      <c r="H3773" s="1">
        <f t="shared" si="522"/>
        <v>1.1799999999999997</v>
      </c>
      <c r="I3773" s="9">
        <f t="shared" si="529"/>
        <v>5.1082251082251069E-2</v>
      </c>
      <c r="J3773" s="1">
        <f t="shared" si="530"/>
        <v>0.58999999999999986</v>
      </c>
      <c r="K3773" s="9">
        <f t="shared" si="523"/>
        <v>2.5213675213675211E-2</v>
      </c>
      <c r="L3773" s="1">
        <f t="shared" si="524"/>
        <v>1</v>
      </c>
      <c r="M3773" s="1">
        <f t="shared" si="525"/>
        <v>24.28</v>
      </c>
      <c r="N3773" s="1">
        <f t="shared" si="526"/>
        <v>23.1</v>
      </c>
      <c r="O3773" s="1">
        <f t="shared" si="527"/>
        <v>22.029999999999998</v>
      </c>
      <c r="P3773" s="1">
        <f t="shared" si="528"/>
        <v>11.239795918367346</v>
      </c>
    </row>
    <row r="3774" spans="1:16">
      <c r="A3774" s="2">
        <v>37581</v>
      </c>
      <c r="B3774" s="1">
        <v>23.33</v>
      </c>
      <c r="C3774" s="1">
        <v>23.85</v>
      </c>
      <c r="D3774" s="1">
        <v>23.21</v>
      </c>
      <c r="E3774" s="1">
        <v>23.4</v>
      </c>
      <c r="F3774" s="1">
        <v>11288500</v>
      </c>
      <c r="G3774" s="1">
        <v>23.4</v>
      </c>
      <c r="H3774" s="1">
        <f t="shared" si="522"/>
        <v>0.64000000000000057</v>
      </c>
      <c r="I3774" s="9">
        <f t="shared" si="529"/>
        <v>2.7574321413183996E-2</v>
      </c>
      <c r="J3774" s="1">
        <f t="shared" si="530"/>
        <v>0.5</v>
      </c>
      <c r="K3774" s="9">
        <f t="shared" si="523"/>
        <v>2.1834061135371181E-2</v>
      </c>
      <c r="L3774" s="1">
        <f t="shared" si="524"/>
        <v>1</v>
      </c>
      <c r="M3774" s="1">
        <f t="shared" si="525"/>
        <v>23.85</v>
      </c>
      <c r="N3774" s="1">
        <f t="shared" si="526"/>
        <v>23.21</v>
      </c>
      <c r="O3774" s="1">
        <f t="shared" si="527"/>
        <v>21.439999999999998</v>
      </c>
      <c r="P3774" s="1">
        <f t="shared" si="528"/>
        <v>10.938775510204081</v>
      </c>
    </row>
    <row r="3775" spans="1:16">
      <c r="A3775" s="2">
        <v>37580</v>
      </c>
      <c r="B3775" s="1">
        <v>21.35</v>
      </c>
      <c r="C3775" s="1">
        <v>23</v>
      </c>
      <c r="D3775" s="1">
        <v>21.22</v>
      </c>
      <c r="E3775" s="1">
        <v>22.9</v>
      </c>
      <c r="F3775" s="1">
        <v>13294400</v>
      </c>
      <c r="G3775" s="1">
        <v>22.9</v>
      </c>
      <c r="H3775" s="1">
        <f t="shared" si="522"/>
        <v>1.7800000000000011</v>
      </c>
      <c r="I3775" s="9">
        <f t="shared" si="529"/>
        <v>8.3883129123468486E-2</v>
      </c>
      <c r="J3775" s="1">
        <f t="shared" si="530"/>
        <v>1.6099999999999994</v>
      </c>
      <c r="K3775" s="9">
        <f t="shared" si="523"/>
        <v>7.5622357914513827E-2</v>
      </c>
      <c r="L3775" s="1">
        <f t="shared" si="524"/>
        <v>1</v>
      </c>
      <c r="M3775" s="1">
        <f t="shared" si="525"/>
        <v>23</v>
      </c>
      <c r="N3775" s="1">
        <f t="shared" si="526"/>
        <v>21.22</v>
      </c>
      <c r="O3775" s="1">
        <f t="shared" si="527"/>
        <v>20.939999999999998</v>
      </c>
      <c r="P3775" s="1">
        <f t="shared" si="528"/>
        <v>10.683673469387754</v>
      </c>
    </row>
    <row r="3776" spans="1:16">
      <c r="A3776" s="2">
        <v>37579</v>
      </c>
      <c r="B3776" s="1">
        <v>21.88</v>
      </c>
      <c r="C3776" s="1">
        <v>21.89</v>
      </c>
      <c r="D3776" s="1">
        <v>21.23</v>
      </c>
      <c r="E3776" s="1">
        <v>21.29</v>
      </c>
      <c r="F3776" s="1">
        <v>12258900</v>
      </c>
      <c r="G3776" s="1">
        <v>21.29</v>
      </c>
      <c r="H3776" s="1">
        <f t="shared" si="522"/>
        <v>0.66000000000000014</v>
      </c>
      <c r="I3776" s="9">
        <f t="shared" si="529"/>
        <v>3.1088082901554411E-2</v>
      </c>
      <c r="J3776" s="1">
        <f t="shared" si="530"/>
        <v>-1.1300000000000026</v>
      </c>
      <c r="K3776" s="9">
        <f t="shared" si="523"/>
        <v>-5.0401427297056309E-2</v>
      </c>
      <c r="L3776" s="1">
        <f t="shared" si="524"/>
        <v>1</v>
      </c>
      <c r="M3776" s="1">
        <f t="shared" si="525"/>
        <v>21.89</v>
      </c>
      <c r="N3776" s="1">
        <f t="shared" si="526"/>
        <v>21.23</v>
      </c>
      <c r="O3776" s="1">
        <f t="shared" si="527"/>
        <v>19.329999999999998</v>
      </c>
      <c r="P3776" s="1">
        <f t="shared" si="528"/>
        <v>9.862244897959183</v>
      </c>
    </row>
    <row r="3777" spans="1:16">
      <c r="A3777" s="2">
        <v>37578</v>
      </c>
      <c r="B3777" s="1">
        <v>22.65</v>
      </c>
      <c r="C3777" s="1">
        <v>23.74</v>
      </c>
      <c r="D3777" s="1">
        <v>22.15</v>
      </c>
      <c r="E3777" s="1">
        <v>22.42</v>
      </c>
      <c r="F3777" s="1">
        <v>25333500</v>
      </c>
      <c r="G3777" s="1">
        <v>22.42</v>
      </c>
      <c r="H3777" s="1">
        <f t="shared" si="522"/>
        <v>1.5899999999999999</v>
      </c>
      <c r="I3777" s="9">
        <f t="shared" si="529"/>
        <v>7.1783295711060943E-2</v>
      </c>
      <c r="J3777" s="1">
        <f t="shared" si="530"/>
        <v>0.21000000000000085</v>
      </c>
      <c r="K3777" s="9">
        <f t="shared" si="523"/>
        <v>9.4552003601981478E-3</v>
      </c>
      <c r="L3777" s="1">
        <f t="shared" si="524"/>
        <v>1</v>
      </c>
      <c r="M3777" s="1">
        <f t="shared" si="525"/>
        <v>23.74</v>
      </c>
      <c r="N3777" s="1">
        <f t="shared" si="526"/>
        <v>22.15</v>
      </c>
      <c r="O3777" s="1">
        <f t="shared" si="527"/>
        <v>20.46</v>
      </c>
      <c r="P3777" s="1">
        <f t="shared" si="528"/>
        <v>10.438775510204083</v>
      </c>
    </row>
    <row r="3778" spans="1:16">
      <c r="A3778" s="2">
        <v>37575</v>
      </c>
      <c r="B3778" s="1">
        <v>21.15</v>
      </c>
      <c r="C3778" s="1">
        <v>22.35</v>
      </c>
      <c r="D3778" s="1">
        <v>21.09</v>
      </c>
      <c r="E3778" s="1">
        <v>22.21</v>
      </c>
      <c r="F3778" s="1">
        <v>12258400</v>
      </c>
      <c r="G3778" s="1">
        <v>22.21</v>
      </c>
      <c r="H3778" s="1">
        <f t="shared" si="522"/>
        <v>1.2600000000000016</v>
      </c>
      <c r="I3778" s="9">
        <f t="shared" si="529"/>
        <v>5.9743954480796661E-2</v>
      </c>
      <c r="J3778" s="1">
        <f t="shared" si="530"/>
        <v>1</v>
      </c>
      <c r="K3778" s="9">
        <f t="shared" si="523"/>
        <v>4.7147571900047147E-2</v>
      </c>
      <c r="L3778" s="1">
        <f t="shared" si="524"/>
        <v>1</v>
      </c>
      <c r="M3778" s="1">
        <f t="shared" si="525"/>
        <v>22.35</v>
      </c>
      <c r="N3778" s="1">
        <f t="shared" si="526"/>
        <v>21.09</v>
      </c>
      <c r="O3778" s="1">
        <f t="shared" si="527"/>
        <v>20.25</v>
      </c>
      <c r="P3778" s="1">
        <f t="shared" si="528"/>
        <v>10.331632653061225</v>
      </c>
    </row>
    <row r="3779" spans="1:16">
      <c r="A3779" s="2">
        <v>37574</v>
      </c>
      <c r="B3779" s="1">
        <v>20.99</v>
      </c>
      <c r="C3779" s="1">
        <v>21.49</v>
      </c>
      <c r="D3779" s="1">
        <v>20.95</v>
      </c>
      <c r="E3779" s="1">
        <v>21.21</v>
      </c>
      <c r="F3779" s="1">
        <v>13177300</v>
      </c>
      <c r="G3779" s="1">
        <v>21.21</v>
      </c>
      <c r="H3779" s="1">
        <f t="shared" ref="H3779:H3842" si="531">C3779-D3779</f>
        <v>0.53999999999999915</v>
      </c>
      <c r="I3779" s="9">
        <f t="shared" si="529"/>
        <v>2.5775656324582299E-2</v>
      </c>
      <c r="J3779" s="1">
        <f t="shared" si="530"/>
        <v>0.80000000000000071</v>
      </c>
      <c r="K3779" s="9">
        <f t="shared" ref="K3779:K3842" si="532">(G3779-G3780)/G3780</f>
        <v>3.919647231749146E-2</v>
      </c>
      <c r="L3779" s="1">
        <f t="shared" ref="L3779:L3842" si="533">G3779/E3779</f>
        <v>1</v>
      </c>
      <c r="M3779" s="1">
        <f t="shared" ref="M3779:M3842" si="534">L3779*C3779</f>
        <v>21.49</v>
      </c>
      <c r="N3779" s="1">
        <f t="shared" ref="N3779:N3842" si="535">L3779*D3779</f>
        <v>20.95</v>
      </c>
      <c r="O3779" s="1">
        <f t="shared" ref="O3779:O3842" si="536">G3779-$G$5163</f>
        <v>19.25</v>
      </c>
      <c r="P3779" s="1">
        <f t="shared" ref="P3779:P3842" si="537">(G3779-$G$5163)/$G$5163</f>
        <v>9.8214285714285712</v>
      </c>
    </row>
    <row r="3780" spans="1:16">
      <c r="A3780" s="2">
        <v>37573</v>
      </c>
      <c r="B3780" s="1">
        <v>19.61</v>
      </c>
      <c r="C3780" s="1">
        <v>21</v>
      </c>
      <c r="D3780" s="1">
        <v>19.61</v>
      </c>
      <c r="E3780" s="1">
        <v>20.41</v>
      </c>
      <c r="F3780" s="1">
        <v>18206200</v>
      </c>
      <c r="G3780" s="1">
        <v>20.41</v>
      </c>
      <c r="H3780" s="1">
        <f t="shared" si="531"/>
        <v>1.3900000000000006</v>
      </c>
      <c r="I3780" s="9">
        <f t="shared" ref="I3780:I3843" si="538">(C3780-D3780)/D3780</f>
        <v>7.0882202957674681E-2</v>
      </c>
      <c r="J3780" s="1">
        <f t="shared" ref="J3780:J3843" si="539">G3780-G3781</f>
        <v>0.58999999999999986</v>
      </c>
      <c r="K3780" s="9">
        <f t="shared" si="532"/>
        <v>2.9767911200807257E-2</v>
      </c>
      <c r="L3780" s="1">
        <f t="shared" si="533"/>
        <v>1</v>
      </c>
      <c r="M3780" s="1">
        <f t="shared" si="534"/>
        <v>21</v>
      </c>
      <c r="N3780" s="1">
        <f t="shared" si="535"/>
        <v>19.61</v>
      </c>
      <c r="O3780" s="1">
        <f t="shared" si="536"/>
        <v>18.45</v>
      </c>
      <c r="P3780" s="1">
        <f t="shared" si="537"/>
        <v>9.4132653061224492</v>
      </c>
    </row>
    <row r="3781" spans="1:16">
      <c r="A3781" s="2">
        <v>37572</v>
      </c>
      <c r="B3781" s="1">
        <v>19.010000000000002</v>
      </c>
      <c r="C3781" s="1">
        <v>19.989999999999998</v>
      </c>
      <c r="D3781" s="1">
        <v>19.010000000000002</v>
      </c>
      <c r="E3781" s="1">
        <v>19.82</v>
      </c>
      <c r="F3781" s="1">
        <v>10462200</v>
      </c>
      <c r="G3781" s="1">
        <v>19.82</v>
      </c>
      <c r="H3781" s="1">
        <f t="shared" si="531"/>
        <v>0.97999999999999687</v>
      </c>
      <c r="I3781" s="9">
        <f t="shared" si="538"/>
        <v>5.155181483429757E-2</v>
      </c>
      <c r="J3781" s="1">
        <f t="shared" si="539"/>
        <v>0.82000000000000028</v>
      </c>
      <c r="K3781" s="9">
        <f t="shared" si="532"/>
        <v>4.3157894736842117E-2</v>
      </c>
      <c r="L3781" s="1">
        <f t="shared" si="533"/>
        <v>1</v>
      </c>
      <c r="M3781" s="1">
        <f t="shared" si="534"/>
        <v>19.989999999999998</v>
      </c>
      <c r="N3781" s="1">
        <f t="shared" si="535"/>
        <v>19.010000000000002</v>
      </c>
      <c r="O3781" s="1">
        <f t="shared" si="536"/>
        <v>17.86</v>
      </c>
      <c r="P3781" s="1">
        <f t="shared" si="537"/>
        <v>9.112244897959183</v>
      </c>
    </row>
    <row r="3782" spans="1:16">
      <c r="A3782" s="2">
        <v>37571</v>
      </c>
      <c r="B3782" s="1">
        <v>19.399999999999999</v>
      </c>
      <c r="C3782" s="1">
        <v>19.55</v>
      </c>
      <c r="D3782" s="1">
        <v>18.8</v>
      </c>
      <c r="E3782" s="1">
        <v>19</v>
      </c>
      <c r="F3782" s="1">
        <v>5749600</v>
      </c>
      <c r="G3782" s="1">
        <v>19</v>
      </c>
      <c r="H3782" s="1">
        <f t="shared" si="531"/>
        <v>0.75</v>
      </c>
      <c r="I3782" s="9">
        <f t="shared" si="538"/>
        <v>3.9893617021276591E-2</v>
      </c>
      <c r="J3782" s="1">
        <f t="shared" si="539"/>
        <v>-0.51000000000000156</v>
      </c>
      <c r="K3782" s="9">
        <f t="shared" si="532"/>
        <v>-2.6140440799590031E-2</v>
      </c>
      <c r="L3782" s="1">
        <f t="shared" si="533"/>
        <v>1</v>
      </c>
      <c r="M3782" s="1">
        <f t="shared" si="534"/>
        <v>19.55</v>
      </c>
      <c r="N3782" s="1">
        <f t="shared" si="535"/>
        <v>18.8</v>
      </c>
      <c r="O3782" s="1">
        <f t="shared" si="536"/>
        <v>17.04</v>
      </c>
      <c r="P3782" s="1">
        <f t="shared" si="537"/>
        <v>8.6938775510204085</v>
      </c>
    </row>
    <row r="3783" spans="1:16">
      <c r="A3783" s="2">
        <v>37568</v>
      </c>
      <c r="B3783" s="1">
        <v>19.04</v>
      </c>
      <c r="C3783" s="1">
        <v>19.66</v>
      </c>
      <c r="D3783" s="1">
        <v>18.809999999999999</v>
      </c>
      <c r="E3783" s="1">
        <v>19.510000000000002</v>
      </c>
      <c r="F3783" s="1">
        <v>7032100</v>
      </c>
      <c r="G3783" s="1">
        <v>19.510000000000002</v>
      </c>
      <c r="H3783" s="1">
        <f t="shared" si="531"/>
        <v>0.85000000000000142</v>
      </c>
      <c r="I3783" s="9">
        <f t="shared" si="538"/>
        <v>4.5188729399255792E-2</v>
      </c>
      <c r="J3783" s="1">
        <f t="shared" si="539"/>
        <v>0.39000000000000057</v>
      </c>
      <c r="K3783" s="9">
        <f t="shared" si="532"/>
        <v>2.0397489539748983E-2</v>
      </c>
      <c r="L3783" s="1">
        <f t="shared" si="533"/>
        <v>1</v>
      </c>
      <c r="M3783" s="1">
        <f t="shared" si="534"/>
        <v>19.66</v>
      </c>
      <c r="N3783" s="1">
        <f t="shared" si="535"/>
        <v>18.809999999999999</v>
      </c>
      <c r="O3783" s="1">
        <f t="shared" si="536"/>
        <v>17.55</v>
      </c>
      <c r="P3783" s="1">
        <f t="shared" si="537"/>
        <v>8.954081632653061</v>
      </c>
    </row>
    <row r="3784" spans="1:16">
      <c r="A3784" s="2">
        <v>37567</v>
      </c>
      <c r="B3784" s="1">
        <v>18.850000000000001</v>
      </c>
      <c r="C3784" s="1">
        <v>19.3</v>
      </c>
      <c r="D3784" s="1">
        <v>18.77</v>
      </c>
      <c r="E3784" s="1">
        <v>19.12</v>
      </c>
      <c r="F3784" s="1">
        <v>6419700</v>
      </c>
      <c r="G3784" s="1">
        <v>19.12</v>
      </c>
      <c r="H3784" s="1">
        <f t="shared" si="531"/>
        <v>0.53000000000000114</v>
      </c>
      <c r="I3784" s="9">
        <f t="shared" si="538"/>
        <v>2.823654768247209E-2</v>
      </c>
      <c r="J3784" s="1">
        <f t="shared" si="539"/>
        <v>-0.21999999999999886</v>
      </c>
      <c r="K3784" s="9">
        <f t="shared" si="532"/>
        <v>-1.1375387797311213E-2</v>
      </c>
      <c r="L3784" s="1">
        <f t="shared" si="533"/>
        <v>1</v>
      </c>
      <c r="M3784" s="1">
        <f t="shared" si="534"/>
        <v>19.3</v>
      </c>
      <c r="N3784" s="1">
        <f t="shared" si="535"/>
        <v>18.77</v>
      </c>
      <c r="O3784" s="1">
        <f t="shared" si="536"/>
        <v>17.16</v>
      </c>
      <c r="P3784" s="1">
        <f t="shared" si="537"/>
        <v>8.7551020408163271</v>
      </c>
    </row>
    <row r="3785" spans="1:16">
      <c r="A3785" s="2">
        <v>37566</v>
      </c>
      <c r="B3785" s="1">
        <v>18.77</v>
      </c>
      <c r="C3785" s="1">
        <v>19.39</v>
      </c>
      <c r="D3785" s="1">
        <v>18.260000000000002</v>
      </c>
      <c r="E3785" s="1">
        <v>19.34</v>
      </c>
      <c r="F3785" s="1">
        <v>7973400</v>
      </c>
      <c r="G3785" s="1">
        <v>19.34</v>
      </c>
      <c r="H3785" s="1">
        <f t="shared" si="531"/>
        <v>1.129999999999999</v>
      </c>
      <c r="I3785" s="9">
        <f t="shared" si="538"/>
        <v>6.1883899233296763E-2</v>
      </c>
      <c r="J3785" s="1">
        <f t="shared" si="539"/>
        <v>0.62000000000000099</v>
      </c>
      <c r="K3785" s="9">
        <f t="shared" si="532"/>
        <v>3.3119658119658175E-2</v>
      </c>
      <c r="L3785" s="1">
        <f t="shared" si="533"/>
        <v>1</v>
      </c>
      <c r="M3785" s="1">
        <f t="shared" si="534"/>
        <v>19.39</v>
      </c>
      <c r="N3785" s="1">
        <f t="shared" si="535"/>
        <v>18.260000000000002</v>
      </c>
      <c r="O3785" s="1">
        <f t="shared" si="536"/>
        <v>17.38</v>
      </c>
      <c r="P3785" s="1">
        <f t="shared" si="537"/>
        <v>8.8673469387755102</v>
      </c>
    </row>
    <row r="3786" spans="1:16">
      <c r="A3786" s="2">
        <v>37565</v>
      </c>
      <c r="B3786" s="1">
        <v>18.63</v>
      </c>
      <c r="C3786" s="1">
        <v>18.87</v>
      </c>
      <c r="D3786" s="1">
        <v>18.2</v>
      </c>
      <c r="E3786" s="1">
        <v>18.72</v>
      </c>
      <c r="F3786" s="1">
        <v>7942400</v>
      </c>
      <c r="G3786" s="1">
        <v>18.72</v>
      </c>
      <c r="H3786" s="1">
        <f t="shared" si="531"/>
        <v>0.67000000000000171</v>
      </c>
      <c r="I3786" s="9">
        <f t="shared" si="538"/>
        <v>3.6813186813186911E-2</v>
      </c>
      <c r="J3786" s="1">
        <f t="shared" si="539"/>
        <v>-6.0000000000002274E-2</v>
      </c>
      <c r="K3786" s="9">
        <f t="shared" si="532"/>
        <v>-3.1948881789138589E-3</v>
      </c>
      <c r="L3786" s="1">
        <f t="shared" si="533"/>
        <v>1</v>
      </c>
      <c r="M3786" s="1">
        <f t="shared" si="534"/>
        <v>18.87</v>
      </c>
      <c r="N3786" s="1">
        <f t="shared" si="535"/>
        <v>18.2</v>
      </c>
      <c r="O3786" s="1">
        <f t="shared" si="536"/>
        <v>16.759999999999998</v>
      </c>
      <c r="P3786" s="1">
        <f t="shared" si="537"/>
        <v>8.5510204081632644</v>
      </c>
    </row>
    <row r="3787" spans="1:16">
      <c r="A3787" s="2">
        <v>37564</v>
      </c>
      <c r="B3787" s="1">
        <v>19.39</v>
      </c>
      <c r="C3787" s="1">
        <v>19.809999999999999</v>
      </c>
      <c r="D3787" s="1">
        <v>18.59</v>
      </c>
      <c r="E3787" s="1">
        <v>18.78</v>
      </c>
      <c r="F3787" s="1">
        <v>12963500</v>
      </c>
      <c r="G3787" s="1">
        <v>18.78</v>
      </c>
      <c r="H3787" s="1">
        <f t="shared" si="531"/>
        <v>1.2199999999999989</v>
      </c>
      <c r="I3787" s="9">
        <f t="shared" si="538"/>
        <v>6.5626681011296331E-2</v>
      </c>
      <c r="J3787" s="1">
        <f t="shared" si="539"/>
        <v>-1.0199999999999996</v>
      </c>
      <c r="K3787" s="9">
        <f t="shared" si="532"/>
        <v>-5.1515151515151493E-2</v>
      </c>
      <c r="L3787" s="1">
        <f t="shared" si="533"/>
        <v>1</v>
      </c>
      <c r="M3787" s="1">
        <f t="shared" si="534"/>
        <v>19.809999999999999</v>
      </c>
      <c r="N3787" s="1">
        <f t="shared" si="535"/>
        <v>18.59</v>
      </c>
      <c r="O3787" s="1">
        <f t="shared" si="536"/>
        <v>16.82</v>
      </c>
      <c r="P3787" s="1">
        <f t="shared" si="537"/>
        <v>8.5816326530612255</v>
      </c>
    </row>
    <row r="3788" spans="1:16">
      <c r="A3788" s="2">
        <v>37561</v>
      </c>
      <c r="B3788" s="1">
        <v>19.22</v>
      </c>
      <c r="C3788" s="1">
        <v>19.899999999999999</v>
      </c>
      <c r="D3788" s="1">
        <v>19.09</v>
      </c>
      <c r="E3788" s="1">
        <v>19.8</v>
      </c>
      <c r="F3788" s="1">
        <v>5549400</v>
      </c>
      <c r="G3788" s="1">
        <v>19.8</v>
      </c>
      <c r="H3788" s="1">
        <f t="shared" si="531"/>
        <v>0.80999999999999872</v>
      </c>
      <c r="I3788" s="9">
        <f t="shared" si="538"/>
        <v>4.2430591932949124E-2</v>
      </c>
      <c r="J3788" s="1">
        <f t="shared" si="539"/>
        <v>0.44000000000000128</v>
      </c>
      <c r="K3788" s="9">
        <f t="shared" si="532"/>
        <v>2.2727272727272794E-2</v>
      </c>
      <c r="L3788" s="1">
        <f t="shared" si="533"/>
        <v>1</v>
      </c>
      <c r="M3788" s="1">
        <f t="shared" si="534"/>
        <v>19.899999999999999</v>
      </c>
      <c r="N3788" s="1">
        <f t="shared" si="535"/>
        <v>19.09</v>
      </c>
      <c r="O3788" s="1">
        <f t="shared" si="536"/>
        <v>17.84</v>
      </c>
      <c r="P3788" s="1">
        <f t="shared" si="537"/>
        <v>9.1020408163265305</v>
      </c>
    </row>
    <row r="3789" spans="1:16">
      <c r="A3789" s="2">
        <v>37560</v>
      </c>
      <c r="B3789" s="1">
        <v>19.03</v>
      </c>
      <c r="C3789" s="1">
        <v>19.48</v>
      </c>
      <c r="D3789" s="1">
        <v>18.850000000000001</v>
      </c>
      <c r="E3789" s="1">
        <v>19.36</v>
      </c>
      <c r="F3789" s="1">
        <v>6822600</v>
      </c>
      <c r="G3789" s="1">
        <v>19.36</v>
      </c>
      <c r="H3789" s="1">
        <f t="shared" si="531"/>
        <v>0.62999999999999901</v>
      </c>
      <c r="I3789" s="9">
        <f t="shared" si="538"/>
        <v>3.3421750663129919E-2</v>
      </c>
      <c r="J3789" s="1">
        <f t="shared" si="539"/>
        <v>0.28000000000000114</v>
      </c>
      <c r="K3789" s="9">
        <f t="shared" si="532"/>
        <v>1.4675052410901529E-2</v>
      </c>
      <c r="L3789" s="1">
        <f t="shared" si="533"/>
        <v>1</v>
      </c>
      <c r="M3789" s="1">
        <f t="shared" si="534"/>
        <v>19.48</v>
      </c>
      <c r="N3789" s="1">
        <f t="shared" si="535"/>
        <v>18.850000000000001</v>
      </c>
      <c r="O3789" s="1">
        <f t="shared" si="536"/>
        <v>17.399999999999999</v>
      </c>
      <c r="P3789" s="1">
        <f t="shared" si="537"/>
        <v>8.8775510204081627</v>
      </c>
    </row>
    <row r="3790" spans="1:16">
      <c r="A3790" s="2">
        <v>37559</v>
      </c>
      <c r="B3790" s="1">
        <v>18.850000000000001</v>
      </c>
      <c r="C3790" s="1">
        <v>19.22</v>
      </c>
      <c r="D3790" s="1">
        <v>18.47</v>
      </c>
      <c r="E3790" s="1">
        <v>19.079999999999998</v>
      </c>
      <c r="F3790" s="1">
        <v>6888800</v>
      </c>
      <c r="G3790" s="1">
        <v>19.079999999999998</v>
      </c>
      <c r="H3790" s="1">
        <f t="shared" si="531"/>
        <v>0.75</v>
      </c>
      <c r="I3790" s="9">
        <f t="shared" si="538"/>
        <v>4.0606388738494856E-2</v>
      </c>
      <c r="J3790" s="1">
        <f t="shared" si="539"/>
        <v>0.50999999999999801</v>
      </c>
      <c r="K3790" s="9">
        <f t="shared" si="532"/>
        <v>2.7463651050080667E-2</v>
      </c>
      <c r="L3790" s="1">
        <f t="shared" si="533"/>
        <v>1</v>
      </c>
      <c r="M3790" s="1">
        <f t="shared" si="534"/>
        <v>19.22</v>
      </c>
      <c r="N3790" s="1">
        <f t="shared" si="535"/>
        <v>18.47</v>
      </c>
      <c r="O3790" s="1">
        <f t="shared" si="536"/>
        <v>17.119999999999997</v>
      </c>
      <c r="P3790" s="1">
        <f t="shared" si="537"/>
        <v>8.7346938775510186</v>
      </c>
    </row>
    <row r="3791" spans="1:16">
      <c r="A3791" s="2">
        <v>37558</v>
      </c>
      <c r="B3791" s="1">
        <v>18.510000000000002</v>
      </c>
      <c r="C3791" s="1">
        <v>18.920000000000002</v>
      </c>
      <c r="D3791" s="1">
        <v>18.07</v>
      </c>
      <c r="E3791" s="1">
        <v>18.57</v>
      </c>
      <c r="F3791" s="1">
        <v>7242000</v>
      </c>
      <c r="G3791" s="1">
        <v>18.57</v>
      </c>
      <c r="H3791" s="1">
        <f t="shared" si="531"/>
        <v>0.85000000000000142</v>
      </c>
      <c r="I3791" s="9">
        <f t="shared" si="538"/>
        <v>4.7039291643608268E-2</v>
      </c>
      <c r="J3791" s="1">
        <f t="shared" si="539"/>
        <v>-1.9999999999999574E-2</v>
      </c>
      <c r="K3791" s="9">
        <f t="shared" si="532"/>
        <v>-1.0758472296933607E-3</v>
      </c>
      <c r="L3791" s="1">
        <f t="shared" si="533"/>
        <v>1</v>
      </c>
      <c r="M3791" s="1">
        <f t="shared" si="534"/>
        <v>18.920000000000002</v>
      </c>
      <c r="N3791" s="1">
        <f t="shared" si="535"/>
        <v>18.07</v>
      </c>
      <c r="O3791" s="1">
        <f t="shared" si="536"/>
        <v>16.61</v>
      </c>
      <c r="P3791" s="1">
        <f t="shared" si="537"/>
        <v>8.4744897959183678</v>
      </c>
    </row>
    <row r="3792" spans="1:16">
      <c r="A3792" s="2">
        <v>37557</v>
      </c>
      <c r="B3792" s="1">
        <v>19.28</v>
      </c>
      <c r="C3792" s="1">
        <v>19.73</v>
      </c>
      <c r="D3792" s="1">
        <v>18.399999999999999</v>
      </c>
      <c r="E3792" s="1">
        <v>18.59</v>
      </c>
      <c r="F3792" s="1">
        <v>8799800</v>
      </c>
      <c r="G3792" s="1">
        <v>18.59</v>
      </c>
      <c r="H3792" s="1">
        <f t="shared" si="531"/>
        <v>1.3300000000000018</v>
      </c>
      <c r="I3792" s="9">
        <f t="shared" si="538"/>
        <v>7.2282608695652284E-2</v>
      </c>
      <c r="J3792" s="1">
        <f t="shared" si="539"/>
        <v>-0.71000000000000085</v>
      </c>
      <c r="K3792" s="9">
        <f t="shared" si="532"/>
        <v>-3.678756476683942E-2</v>
      </c>
      <c r="L3792" s="1">
        <f t="shared" si="533"/>
        <v>1</v>
      </c>
      <c r="M3792" s="1">
        <f t="shared" si="534"/>
        <v>19.73</v>
      </c>
      <c r="N3792" s="1">
        <f t="shared" si="535"/>
        <v>18.399999999999999</v>
      </c>
      <c r="O3792" s="1">
        <f t="shared" si="536"/>
        <v>16.63</v>
      </c>
      <c r="P3792" s="1">
        <f t="shared" si="537"/>
        <v>8.4846938775510203</v>
      </c>
    </row>
    <row r="3793" spans="1:16">
      <c r="A3793" s="2">
        <v>37554</v>
      </c>
      <c r="B3793" s="1">
        <v>18.84</v>
      </c>
      <c r="C3793" s="1">
        <v>19.36</v>
      </c>
      <c r="D3793" s="1">
        <v>18.48</v>
      </c>
      <c r="E3793" s="1">
        <v>19.3</v>
      </c>
      <c r="F3793" s="1">
        <v>15900000</v>
      </c>
      <c r="G3793" s="1">
        <v>19.3</v>
      </c>
      <c r="H3793" s="1">
        <f t="shared" si="531"/>
        <v>0.87999999999999901</v>
      </c>
      <c r="I3793" s="9">
        <f t="shared" si="538"/>
        <v>4.7619047619047561E-2</v>
      </c>
      <c r="J3793" s="1">
        <f t="shared" si="539"/>
        <v>-0.55999999999999872</v>
      </c>
      <c r="K3793" s="9">
        <f t="shared" si="532"/>
        <v>-2.8197381671701851E-2</v>
      </c>
      <c r="L3793" s="1">
        <f t="shared" si="533"/>
        <v>1</v>
      </c>
      <c r="M3793" s="1">
        <f t="shared" si="534"/>
        <v>19.36</v>
      </c>
      <c r="N3793" s="1">
        <f t="shared" si="535"/>
        <v>18.48</v>
      </c>
      <c r="O3793" s="1">
        <f t="shared" si="536"/>
        <v>17.34</v>
      </c>
      <c r="P3793" s="1">
        <f t="shared" si="537"/>
        <v>8.8469387755102034</v>
      </c>
    </row>
    <row r="3794" spans="1:16">
      <c r="A3794" s="2">
        <v>37553</v>
      </c>
      <c r="B3794" s="1">
        <v>19.95</v>
      </c>
      <c r="C3794" s="1">
        <v>20.260000000000002</v>
      </c>
      <c r="D3794" s="1">
        <v>19.8</v>
      </c>
      <c r="E3794" s="1">
        <v>19.86</v>
      </c>
      <c r="F3794" s="1">
        <v>12929900</v>
      </c>
      <c r="G3794" s="1">
        <v>19.86</v>
      </c>
      <c r="H3794" s="1">
        <f t="shared" si="531"/>
        <v>0.46000000000000085</v>
      </c>
      <c r="I3794" s="9">
        <f t="shared" si="538"/>
        <v>2.3232323232323274E-2</v>
      </c>
      <c r="J3794" s="1">
        <f t="shared" si="539"/>
        <v>0.10999999999999943</v>
      </c>
      <c r="K3794" s="9">
        <f t="shared" si="532"/>
        <v>5.5696202531645284E-3</v>
      </c>
      <c r="L3794" s="1">
        <f t="shared" si="533"/>
        <v>1</v>
      </c>
      <c r="M3794" s="1">
        <f t="shared" si="534"/>
        <v>20.260000000000002</v>
      </c>
      <c r="N3794" s="1">
        <f t="shared" si="535"/>
        <v>19.8</v>
      </c>
      <c r="O3794" s="1">
        <f t="shared" si="536"/>
        <v>17.899999999999999</v>
      </c>
      <c r="P3794" s="1">
        <f t="shared" si="537"/>
        <v>9.1326530612244898</v>
      </c>
    </row>
    <row r="3795" spans="1:16">
      <c r="A3795" s="2">
        <v>37552</v>
      </c>
      <c r="B3795" s="1">
        <v>19.52</v>
      </c>
      <c r="C3795" s="1">
        <v>19.82</v>
      </c>
      <c r="D3795" s="1">
        <v>19.37</v>
      </c>
      <c r="E3795" s="1">
        <v>19.75</v>
      </c>
      <c r="F3795" s="1">
        <v>6648100</v>
      </c>
      <c r="G3795" s="1">
        <v>19.75</v>
      </c>
      <c r="H3795" s="1">
        <f t="shared" si="531"/>
        <v>0.44999999999999929</v>
      </c>
      <c r="I3795" s="9">
        <f t="shared" si="538"/>
        <v>2.3231801755291652E-2</v>
      </c>
      <c r="J3795" s="1">
        <f t="shared" si="539"/>
        <v>0.37000000000000099</v>
      </c>
      <c r="K3795" s="9">
        <f t="shared" si="532"/>
        <v>1.909184726522193E-2</v>
      </c>
      <c r="L3795" s="1">
        <f t="shared" si="533"/>
        <v>1</v>
      </c>
      <c r="M3795" s="1">
        <f t="shared" si="534"/>
        <v>19.82</v>
      </c>
      <c r="N3795" s="1">
        <f t="shared" si="535"/>
        <v>19.37</v>
      </c>
      <c r="O3795" s="1">
        <f t="shared" si="536"/>
        <v>17.79</v>
      </c>
      <c r="P3795" s="1">
        <f t="shared" si="537"/>
        <v>9.0765306122448983</v>
      </c>
    </row>
    <row r="3796" spans="1:16">
      <c r="A3796" s="2">
        <v>37551</v>
      </c>
      <c r="B3796" s="1">
        <v>19.010000000000002</v>
      </c>
      <c r="C3796" s="1">
        <v>19.91</v>
      </c>
      <c r="D3796" s="1">
        <v>18.899999999999999</v>
      </c>
      <c r="E3796" s="1">
        <v>19.38</v>
      </c>
      <c r="F3796" s="1">
        <v>8645700</v>
      </c>
      <c r="G3796" s="1">
        <v>19.38</v>
      </c>
      <c r="H3796" s="1">
        <f t="shared" si="531"/>
        <v>1.0100000000000016</v>
      </c>
      <c r="I3796" s="9">
        <f t="shared" si="538"/>
        <v>5.3439153439153529E-2</v>
      </c>
      <c r="J3796" s="1">
        <f t="shared" si="539"/>
        <v>0.11999999999999744</v>
      </c>
      <c r="K3796" s="9">
        <f t="shared" si="532"/>
        <v>6.2305295950154426E-3</v>
      </c>
      <c r="L3796" s="1">
        <f t="shared" si="533"/>
        <v>1</v>
      </c>
      <c r="M3796" s="1">
        <f t="shared" si="534"/>
        <v>19.91</v>
      </c>
      <c r="N3796" s="1">
        <f t="shared" si="535"/>
        <v>18.899999999999999</v>
      </c>
      <c r="O3796" s="1">
        <f t="shared" si="536"/>
        <v>17.419999999999998</v>
      </c>
      <c r="P3796" s="1">
        <f t="shared" si="537"/>
        <v>8.8877551020408152</v>
      </c>
    </row>
    <row r="3797" spans="1:16">
      <c r="A3797" s="2">
        <v>37550</v>
      </c>
      <c r="B3797" s="1">
        <v>18.89</v>
      </c>
      <c r="C3797" s="1">
        <v>19.53</v>
      </c>
      <c r="D3797" s="1">
        <v>18.72</v>
      </c>
      <c r="E3797" s="1">
        <v>19.260000000000002</v>
      </c>
      <c r="F3797" s="1">
        <v>6757700</v>
      </c>
      <c r="G3797" s="1">
        <v>19.260000000000002</v>
      </c>
      <c r="H3797" s="1">
        <f t="shared" si="531"/>
        <v>0.81000000000000227</v>
      </c>
      <c r="I3797" s="9">
        <f t="shared" si="538"/>
        <v>4.3269230769230893E-2</v>
      </c>
      <c r="J3797" s="1">
        <f t="shared" si="539"/>
        <v>0.22000000000000242</v>
      </c>
      <c r="K3797" s="9">
        <f t="shared" si="532"/>
        <v>1.1554621848739623E-2</v>
      </c>
      <c r="L3797" s="1">
        <f t="shared" si="533"/>
        <v>1</v>
      </c>
      <c r="M3797" s="1">
        <f t="shared" si="534"/>
        <v>19.53</v>
      </c>
      <c r="N3797" s="1">
        <f t="shared" si="535"/>
        <v>18.72</v>
      </c>
      <c r="O3797" s="1">
        <f t="shared" si="536"/>
        <v>17.3</v>
      </c>
      <c r="P3797" s="1">
        <f t="shared" si="537"/>
        <v>8.8265306122448983</v>
      </c>
    </row>
    <row r="3798" spans="1:16">
      <c r="A3798" s="2">
        <v>37547</v>
      </c>
      <c r="B3798" s="1">
        <v>18.48</v>
      </c>
      <c r="C3798" s="1">
        <v>19.29</v>
      </c>
      <c r="D3798" s="1">
        <v>18.36</v>
      </c>
      <c r="E3798" s="1">
        <v>19.04</v>
      </c>
      <c r="F3798" s="1">
        <v>6568300</v>
      </c>
      <c r="G3798" s="1">
        <v>19.04</v>
      </c>
      <c r="H3798" s="1">
        <f t="shared" si="531"/>
        <v>0.92999999999999972</v>
      </c>
      <c r="I3798" s="9">
        <f t="shared" si="538"/>
        <v>5.0653594771241817E-2</v>
      </c>
      <c r="J3798" s="1">
        <f t="shared" si="539"/>
        <v>0.30000000000000071</v>
      </c>
      <c r="K3798" s="9">
        <f t="shared" si="532"/>
        <v>1.6008537886873037E-2</v>
      </c>
      <c r="L3798" s="1">
        <f t="shared" si="533"/>
        <v>1</v>
      </c>
      <c r="M3798" s="1">
        <f t="shared" si="534"/>
        <v>19.29</v>
      </c>
      <c r="N3798" s="1">
        <f t="shared" si="535"/>
        <v>18.36</v>
      </c>
      <c r="O3798" s="1">
        <f t="shared" si="536"/>
        <v>17.079999999999998</v>
      </c>
      <c r="P3798" s="1">
        <f t="shared" si="537"/>
        <v>8.7142857142857135</v>
      </c>
    </row>
    <row r="3799" spans="1:16">
      <c r="A3799" s="2">
        <v>37546</v>
      </c>
      <c r="B3799" s="1">
        <v>20.100000000000001</v>
      </c>
      <c r="C3799" s="1">
        <v>20.22</v>
      </c>
      <c r="D3799" s="1">
        <v>18.43</v>
      </c>
      <c r="E3799" s="1">
        <v>18.739999999999998</v>
      </c>
      <c r="F3799" s="1">
        <v>14180900</v>
      </c>
      <c r="G3799" s="1">
        <v>18.739999999999998</v>
      </c>
      <c r="H3799" s="1">
        <f t="shared" si="531"/>
        <v>1.7899999999999991</v>
      </c>
      <c r="I3799" s="9">
        <f t="shared" si="538"/>
        <v>9.7124253933803542E-2</v>
      </c>
      <c r="J3799" s="1">
        <f t="shared" si="539"/>
        <v>-0.75</v>
      </c>
      <c r="K3799" s="9">
        <f t="shared" si="532"/>
        <v>-3.8481272447408933E-2</v>
      </c>
      <c r="L3799" s="1">
        <f t="shared" si="533"/>
        <v>1</v>
      </c>
      <c r="M3799" s="1">
        <f t="shared" si="534"/>
        <v>20.22</v>
      </c>
      <c r="N3799" s="1">
        <f t="shared" si="535"/>
        <v>18.43</v>
      </c>
      <c r="O3799" s="1">
        <f t="shared" si="536"/>
        <v>16.779999999999998</v>
      </c>
      <c r="P3799" s="1">
        <f t="shared" si="537"/>
        <v>8.5612244897959169</v>
      </c>
    </row>
    <row r="3800" spans="1:16">
      <c r="A3800" s="2">
        <v>37545</v>
      </c>
      <c r="B3800" s="1">
        <v>18.27</v>
      </c>
      <c r="C3800" s="1">
        <v>19.66</v>
      </c>
      <c r="D3800" s="1">
        <v>18.25</v>
      </c>
      <c r="E3800" s="1">
        <v>19.489999999999998</v>
      </c>
      <c r="F3800" s="1">
        <v>8742100</v>
      </c>
      <c r="G3800" s="1">
        <v>19.489999999999998</v>
      </c>
      <c r="H3800" s="1">
        <f t="shared" si="531"/>
        <v>1.4100000000000001</v>
      </c>
      <c r="I3800" s="9">
        <f t="shared" si="538"/>
        <v>7.7260273972602753E-2</v>
      </c>
      <c r="J3800" s="1">
        <f t="shared" si="539"/>
        <v>0.54999999999999716</v>
      </c>
      <c r="K3800" s="9">
        <f t="shared" si="532"/>
        <v>2.9039070749735857E-2</v>
      </c>
      <c r="L3800" s="1">
        <f t="shared" si="533"/>
        <v>1</v>
      </c>
      <c r="M3800" s="1">
        <f t="shared" si="534"/>
        <v>19.66</v>
      </c>
      <c r="N3800" s="1">
        <f t="shared" si="535"/>
        <v>18.25</v>
      </c>
      <c r="O3800" s="1">
        <f t="shared" si="536"/>
        <v>17.529999999999998</v>
      </c>
      <c r="P3800" s="1">
        <f t="shared" si="537"/>
        <v>8.9438775510204067</v>
      </c>
    </row>
    <row r="3801" spans="1:16">
      <c r="A3801" s="2">
        <v>37544</v>
      </c>
      <c r="B3801" s="1">
        <v>19.84</v>
      </c>
      <c r="C3801" s="1">
        <v>20.14</v>
      </c>
      <c r="D3801" s="1">
        <v>18.649999999999999</v>
      </c>
      <c r="E3801" s="1">
        <v>18.940000000000001</v>
      </c>
      <c r="F3801" s="1">
        <v>14009200</v>
      </c>
      <c r="G3801" s="1">
        <v>18.940000000000001</v>
      </c>
      <c r="H3801" s="1">
        <f t="shared" si="531"/>
        <v>1.490000000000002</v>
      </c>
      <c r="I3801" s="9">
        <f t="shared" si="538"/>
        <v>7.9892761394101994E-2</v>
      </c>
      <c r="J3801" s="1">
        <f t="shared" si="539"/>
        <v>-0.25999999999999801</v>
      </c>
      <c r="K3801" s="9">
        <f t="shared" si="532"/>
        <v>-1.3541666666666563E-2</v>
      </c>
      <c r="L3801" s="1">
        <f t="shared" si="533"/>
        <v>1</v>
      </c>
      <c r="M3801" s="1">
        <f t="shared" si="534"/>
        <v>20.14</v>
      </c>
      <c r="N3801" s="1">
        <f t="shared" si="535"/>
        <v>18.649999999999999</v>
      </c>
      <c r="O3801" s="1">
        <f t="shared" si="536"/>
        <v>16.98</v>
      </c>
      <c r="P3801" s="1">
        <f t="shared" si="537"/>
        <v>8.6632653061224492</v>
      </c>
    </row>
    <row r="3802" spans="1:16">
      <c r="A3802" s="2">
        <v>37543</v>
      </c>
      <c r="B3802" s="1">
        <v>18.18</v>
      </c>
      <c r="C3802" s="1">
        <v>19.23</v>
      </c>
      <c r="D3802" s="1">
        <v>18.170000000000002</v>
      </c>
      <c r="E3802" s="1">
        <v>19.2</v>
      </c>
      <c r="F3802" s="1">
        <v>9872400</v>
      </c>
      <c r="G3802" s="1">
        <v>19.2</v>
      </c>
      <c r="H3802" s="1">
        <f t="shared" si="531"/>
        <v>1.0599999999999987</v>
      </c>
      <c r="I3802" s="9">
        <f t="shared" si="538"/>
        <v>5.8337919647770978E-2</v>
      </c>
      <c r="J3802" s="1">
        <f t="shared" si="539"/>
        <v>0.73999999999999844</v>
      </c>
      <c r="K3802" s="9">
        <f t="shared" si="532"/>
        <v>4.0086673889490707E-2</v>
      </c>
      <c r="L3802" s="1">
        <f t="shared" si="533"/>
        <v>1</v>
      </c>
      <c r="M3802" s="1">
        <f t="shared" si="534"/>
        <v>19.23</v>
      </c>
      <c r="N3802" s="1">
        <f t="shared" si="535"/>
        <v>18.170000000000002</v>
      </c>
      <c r="O3802" s="1">
        <f t="shared" si="536"/>
        <v>17.239999999999998</v>
      </c>
      <c r="P3802" s="1">
        <f t="shared" si="537"/>
        <v>8.795918367346939</v>
      </c>
    </row>
    <row r="3803" spans="1:16">
      <c r="A3803" s="2">
        <v>37540</v>
      </c>
      <c r="B3803" s="1">
        <v>18.18</v>
      </c>
      <c r="C3803" s="1">
        <v>18.739999999999998</v>
      </c>
      <c r="D3803" s="1">
        <v>18.100000000000001</v>
      </c>
      <c r="E3803" s="1">
        <v>18.46</v>
      </c>
      <c r="F3803" s="1">
        <v>9628500</v>
      </c>
      <c r="G3803" s="1">
        <v>18.46</v>
      </c>
      <c r="H3803" s="1">
        <f t="shared" si="531"/>
        <v>0.63999999999999702</v>
      </c>
      <c r="I3803" s="9">
        <f t="shared" si="538"/>
        <v>3.5359116022099277E-2</v>
      </c>
      <c r="J3803" s="1">
        <f t="shared" si="539"/>
        <v>0.5</v>
      </c>
      <c r="K3803" s="9">
        <f t="shared" si="532"/>
        <v>2.7839643652561245E-2</v>
      </c>
      <c r="L3803" s="1">
        <f t="shared" si="533"/>
        <v>1</v>
      </c>
      <c r="M3803" s="1">
        <f t="shared" si="534"/>
        <v>18.739999999999998</v>
      </c>
      <c r="N3803" s="1">
        <f t="shared" si="535"/>
        <v>18.100000000000001</v>
      </c>
      <c r="O3803" s="1">
        <f t="shared" si="536"/>
        <v>16.5</v>
      </c>
      <c r="P3803" s="1">
        <f t="shared" si="537"/>
        <v>8.4183673469387763</v>
      </c>
    </row>
    <row r="3804" spans="1:16">
      <c r="A3804" s="2">
        <v>37539</v>
      </c>
      <c r="B3804" s="1">
        <v>17.16</v>
      </c>
      <c r="C3804" s="1">
        <v>17.97</v>
      </c>
      <c r="D3804" s="1">
        <v>17.149999999999999</v>
      </c>
      <c r="E3804" s="1">
        <v>17.96</v>
      </c>
      <c r="F3804" s="1">
        <v>10528600</v>
      </c>
      <c r="G3804" s="1">
        <v>17.96</v>
      </c>
      <c r="H3804" s="1">
        <f t="shared" si="531"/>
        <v>0.82000000000000028</v>
      </c>
      <c r="I3804" s="9">
        <f t="shared" si="538"/>
        <v>4.781341107871722E-2</v>
      </c>
      <c r="J3804" s="1">
        <f t="shared" si="539"/>
        <v>1.1000000000000014</v>
      </c>
      <c r="K3804" s="9">
        <f t="shared" si="532"/>
        <v>6.5243179122182762E-2</v>
      </c>
      <c r="L3804" s="1">
        <f t="shared" si="533"/>
        <v>1</v>
      </c>
      <c r="M3804" s="1">
        <f t="shared" si="534"/>
        <v>17.97</v>
      </c>
      <c r="N3804" s="1">
        <f t="shared" si="535"/>
        <v>17.149999999999999</v>
      </c>
      <c r="O3804" s="1">
        <f t="shared" si="536"/>
        <v>16</v>
      </c>
      <c r="P3804" s="1">
        <f t="shared" si="537"/>
        <v>8.1632653061224492</v>
      </c>
    </row>
    <row r="3805" spans="1:16">
      <c r="A3805" s="2">
        <v>37538</v>
      </c>
      <c r="B3805" s="1">
        <v>16.7</v>
      </c>
      <c r="C3805" s="1">
        <v>17.13</v>
      </c>
      <c r="D3805" s="1">
        <v>16.600000000000001</v>
      </c>
      <c r="E3805" s="1">
        <v>16.86</v>
      </c>
      <c r="F3805" s="1">
        <v>6083500</v>
      </c>
      <c r="G3805" s="1">
        <v>16.86</v>
      </c>
      <c r="H3805" s="1">
        <f t="shared" si="531"/>
        <v>0.52999999999999758</v>
      </c>
      <c r="I3805" s="9">
        <f t="shared" si="538"/>
        <v>3.1927710843373348E-2</v>
      </c>
      <c r="J3805" s="1">
        <f t="shared" si="539"/>
        <v>-8.0000000000001847E-2</v>
      </c>
      <c r="K3805" s="9">
        <f t="shared" si="532"/>
        <v>-4.7225501770957407E-3</v>
      </c>
      <c r="L3805" s="1">
        <f t="shared" si="533"/>
        <v>1</v>
      </c>
      <c r="M3805" s="1">
        <f t="shared" si="534"/>
        <v>17.13</v>
      </c>
      <c r="N3805" s="1">
        <f t="shared" si="535"/>
        <v>16.600000000000001</v>
      </c>
      <c r="O3805" s="1">
        <f t="shared" si="536"/>
        <v>14.899999999999999</v>
      </c>
      <c r="P3805" s="1">
        <f t="shared" si="537"/>
        <v>7.6020408163265296</v>
      </c>
    </row>
    <row r="3806" spans="1:16">
      <c r="A3806" s="2">
        <v>37537</v>
      </c>
      <c r="B3806" s="1">
        <v>16.88</v>
      </c>
      <c r="C3806" s="1">
        <v>17.059999999999999</v>
      </c>
      <c r="D3806" s="1">
        <v>16.46</v>
      </c>
      <c r="E3806" s="1">
        <v>16.940000000000001</v>
      </c>
      <c r="F3806" s="1">
        <v>6098000</v>
      </c>
      <c r="G3806" s="1">
        <v>16.940000000000001</v>
      </c>
      <c r="H3806" s="1">
        <f t="shared" si="531"/>
        <v>0.59999999999999787</v>
      </c>
      <c r="I3806" s="9">
        <f t="shared" si="538"/>
        <v>3.645200486026718E-2</v>
      </c>
      <c r="J3806" s="1">
        <f t="shared" si="539"/>
        <v>0.30000000000000071</v>
      </c>
      <c r="K3806" s="9">
        <f t="shared" si="532"/>
        <v>1.8028846153846197E-2</v>
      </c>
      <c r="L3806" s="1">
        <f t="shared" si="533"/>
        <v>1</v>
      </c>
      <c r="M3806" s="1">
        <f t="shared" si="534"/>
        <v>17.059999999999999</v>
      </c>
      <c r="N3806" s="1">
        <f t="shared" si="535"/>
        <v>16.46</v>
      </c>
      <c r="O3806" s="1">
        <f t="shared" si="536"/>
        <v>14.98</v>
      </c>
      <c r="P3806" s="1">
        <f t="shared" si="537"/>
        <v>7.6428571428571432</v>
      </c>
    </row>
    <row r="3807" spans="1:16">
      <c r="A3807" s="2">
        <v>37536</v>
      </c>
      <c r="B3807" s="1">
        <v>16.55</v>
      </c>
      <c r="C3807" s="1">
        <v>16.96</v>
      </c>
      <c r="D3807" s="1">
        <v>16.37</v>
      </c>
      <c r="E3807" s="1">
        <v>16.64</v>
      </c>
      <c r="F3807" s="1">
        <v>5748100</v>
      </c>
      <c r="G3807" s="1">
        <v>16.64</v>
      </c>
      <c r="H3807" s="1">
        <f t="shared" si="531"/>
        <v>0.58999999999999986</v>
      </c>
      <c r="I3807" s="9">
        <f t="shared" si="538"/>
        <v>3.6041539401343914E-2</v>
      </c>
      <c r="J3807" s="1">
        <f t="shared" si="539"/>
        <v>8.9999999999999858E-2</v>
      </c>
      <c r="K3807" s="9">
        <f t="shared" si="532"/>
        <v>5.4380664652567889E-3</v>
      </c>
      <c r="L3807" s="1">
        <f t="shared" si="533"/>
        <v>1</v>
      </c>
      <c r="M3807" s="1">
        <f t="shared" si="534"/>
        <v>16.96</v>
      </c>
      <c r="N3807" s="1">
        <f t="shared" si="535"/>
        <v>16.37</v>
      </c>
      <c r="O3807" s="1">
        <f t="shared" si="536"/>
        <v>14.68</v>
      </c>
      <c r="P3807" s="1">
        <f t="shared" si="537"/>
        <v>7.4897959183673466</v>
      </c>
    </row>
    <row r="3808" spans="1:16">
      <c r="A3808" s="2">
        <v>37533</v>
      </c>
      <c r="B3808" s="1">
        <v>16.95</v>
      </c>
      <c r="C3808" s="1">
        <v>17.149999999999999</v>
      </c>
      <c r="D3808" s="1">
        <v>16.38</v>
      </c>
      <c r="E3808" s="1">
        <v>16.55</v>
      </c>
      <c r="F3808" s="1">
        <v>7649400</v>
      </c>
      <c r="G3808" s="1">
        <v>16.55</v>
      </c>
      <c r="H3808" s="1">
        <f t="shared" si="531"/>
        <v>0.76999999999999957</v>
      </c>
      <c r="I3808" s="9">
        <f t="shared" si="538"/>
        <v>4.7008547008546987E-2</v>
      </c>
      <c r="J3808" s="1">
        <f t="shared" si="539"/>
        <v>-0.19999999999999929</v>
      </c>
      <c r="K3808" s="9">
        <f t="shared" si="532"/>
        <v>-1.1940298507462643E-2</v>
      </c>
      <c r="L3808" s="1">
        <f t="shared" si="533"/>
        <v>1</v>
      </c>
      <c r="M3808" s="1">
        <f t="shared" si="534"/>
        <v>17.149999999999999</v>
      </c>
      <c r="N3808" s="1">
        <f t="shared" si="535"/>
        <v>16.38</v>
      </c>
      <c r="O3808" s="1">
        <f t="shared" si="536"/>
        <v>14.59</v>
      </c>
      <c r="P3808" s="1">
        <f t="shared" si="537"/>
        <v>7.4438775510204085</v>
      </c>
    </row>
    <row r="3809" spans="1:16">
      <c r="A3809" s="2">
        <v>37532</v>
      </c>
      <c r="B3809" s="1">
        <v>16.79</v>
      </c>
      <c r="C3809" s="1">
        <v>17.25</v>
      </c>
      <c r="D3809" s="1">
        <v>16.66</v>
      </c>
      <c r="E3809" s="1">
        <v>16.75</v>
      </c>
      <c r="F3809" s="1">
        <v>6354100</v>
      </c>
      <c r="G3809" s="1">
        <v>16.75</v>
      </c>
      <c r="H3809" s="1">
        <f t="shared" si="531"/>
        <v>0.58999999999999986</v>
      </c>
      <c r="I3809" s="9">
        <f t="shared" si="538"/>
        <v>3.5414165666266498E-2</v>
      </c>
      <c r="J3809" s="1">
        <f t="shared" si="539"/>
        <v>-0.26000000000000156</v>
      </c>
      <c r="K3809" s="9">
        <f t="shared" si="532"/>
        <v>-1.5285126396237598E-2</v>
      </c>
      <c r="L3809" s="1">
        <f t="shared" si="533"/>
        <v>1</v>
      </c>
      <c r="M3809" s="1">
        <f t="shared" si="534"/>
        <v>17.25</v>
      </c>
      <c r="N3809" s="1">
        <f t="shared" si="535"/>
        <v>16.66</v>
      </c>
      <c r="O3809" s="1">
        <f t="shared" si="536"/>
        <v>14.79</v>
      </c>
      <c r="P3809" s="1">
        <f t="shared" si="537"/>
        <v>7.5459183673469381</v>
      </c>
    </row>
    <row r="3810" spans="1:16">
      <c r="A3810" s="2">
        <v>37531</v>
      </c>
      <c r="B3810" s="1">
        <v>16.809999999999999</v>
      </c>
      <c r="C3810" s="1">
        <v>17.64</v>
      </c>
      <c r="D3810" s="1">
        <v>16.7</v>
      </c>
      <c r="E3810" s="1">
        <v>17.010000000000002</v>
      </c>
      <c r="F3810" s="1">
        <v>8223600</v>
      </c>
      <c r="G3810" s="1">
        <v>17.010000000000002</v>
      </c>
      <c r="H3810" s="1">
        <f t="shared" si="531"/>
        <v>0.94000000000000128</v>
      </c>
      <c r="I3810" s="9">
        <f t="shared" si="538"/>
        <v>5.6287425149700678E-2</v>
      </c>
      <c r="J3810" s="1">
        <f t="shared" si="539"/>
        <v>6.0000000000002274E-2</v>
      </c>
      <c r="K3810" s="9">
        <f t="shared" si="532"/>
        <v>3.5398230088496919E-3</v>
      </c>
      <c r="L3810" s="1">
        <f t="shared" si="533"/>
        <v>1</v>
      </c>
      <c r="M3810" s="1">
        <f t="shared" si="534"/>
        <v>17.64</v>
      </c>
      <c r="N3810" s="1">
        <f t="shared" si="535"/>
        <v>16.7</v>
      </c>
      <c r="O3810" s="1">
        <f t="shared" si="536"/>
        <v>15.05</v>
      </c>
      <c r="P3810" s="1">
        <f t="shared" si="537"/>
        <v>7.6785714285714288</v>
      </c>
    </row>
    <row r="3811" spans="1:16">
      <c r="A3811" s="2">
        <v>37530</v>
      </c>
      <c r="B3811" s="1">
        <v>16.23</v>
      </c>
      <c r="C3811" s="1">
        <v>17.059999999999999</v>
      </c>
      <c r="D3811" s="1">
        <v>16.010000000000002</v>
      </c>
      <c r="E3811" s="1">
        <v>16.95</v>
      </c>
      <c r="F3811" s="1">
        <v>9217300</v>
      </c>
      <c r="G3811" s="1">
        <v>16.95</v>
      </c>
      <c r="H3811" s="1">
        <f t="shared" si="531"/>
        <v>1.0499999999999972</v>
      </c>
      <c r="I3811" s="9">
        <f t="shared" si="538"/>
        <v>6.5584009993753717E-2</v>
      </c>
      <c r="J3811" s="1">
        <f t="shared" si="539"/>
        <v>1.0199999999999996</v>
      </c>
      <c r="K3811" s="9">
        <f t="shared" si="532"/>
        <v>6.4030131826741971E-2</v>
      </c>
      <c r="L3811" s="1">
        <f t="shared" si="533"/>
        <v>1</v>
      </c>
      <c r="M3811" s="1">
        <f t="shared" si="534"/>
        <v>17.059999999999999</v>
      </c>
      <c r="N3811" s="1">
        <f t="shared" si="535"/>
        <v>16.010000000000002</v>
      </c>
      <c r="O3811" s="1">
        <f t="shared" si="536"/>
        <v>14.989999999999998</v>
      </c>
      <c r="P3811" s="1">
        <f t="shared" si="537"/>
        <v>7.6479591836734686</v>
      </c>
    </row>
    <row r="3812" spans="1:16">
      <c r="A3812" s="2">
        <v>37529</v>
      </c>
      <c r="B3812" s="1">
        <v>16.64</v>
      </c>
      <c r="C3812" s="1">
        <v>16.850000000000001</v>
      </c>
      <c r="D3812" s="1">
        <v>15.85</v>
      </c>
      <c r="E3812" s="1">
        <v>15.93</v>
      </c>
      <c r="F3812" s="1">
        <v>9239900</v>
      </c>
      <c r="G3812" s="1">
        <v>15.93</v>
      </c>
      <c r="H3812" s="1">
        <f t="shared" si="531"/>
        <v>1.0000000000000018</v>
      </c>
      <c r="I3812" s="9">
        <f t="shared" si="538"/>
        <v>6.3091482649842379E-2</v>
      </c>
      <c r="J3812" s="1">
        <f t="shared" si="539"/>
        <v>-1.0800000000000018</v>
      </c>
      <c r="K3812" s="9">
        <f t="shared" si="532"/>
        <v>-6.34920634920636E-2</v>
      </c>
      <c r="L3812" s="1">
        <f t="shared" si="533"/>
        <v>1</v>
      </c>
      <c r="M3812" s="1">
        <f t="shared" si="534"/>
        <v>16.850000000000001</v>
      </c>
      <c r="N3812" s="1">
        <f t="shared" si="535"/>
        <v>15.85</v>
      </c>
      <c r="O3812" s="1">
        <f t="shared" si="536"/>
        <v>13.969999999999999</v>
      </c>
      <c r="P3812" s="1">
        <f t="shared" si="537"/>
        <v>7.1275510204081627</v>
      </c>
    </row>
    <row r="3813" spans="1:16">
      <c r="A3813" s="2">
        <v>37526</v>
      </c>
      <c r="B3813" s="1">
        <v>16.850000000000001</v>
      </c>
      <c r="C3813" s="1">
        <v>17.399999999999999</v>
      </c>
      <c r="D3813" s="1">
        <v>16.82</v>
      </c>
      <c r="E3813" s="1">
        <v>17.010000000000002</v>
      </c>
      <c r="F3813" s="1">
        <v>7033700</v>
      </c>
      <c r="G3813" s="1">
        <v>17.010000000000002</v>
      </c>
      <c r="H3813" s="1">
        <f t="shared" si="531"/>
        <v>0.57999999999999829</v>
      </c>
      <c r="I3813" s="9">
        <f t="shared" si="538"/>
        <v>3.4482758620689551E-2</v>
      </c>
      <c r="J3813" s="1">
        <f t="shared" si="539"/>
        <v>-0.13999999999999702</v>
      </c>
      <c r="K3813" s="9">
        <f t="shared" si="532"/>
        <v>-8.1632653061222762E-3</v>
      </c>
      <c r="L3813" s="1">
        <f t="shared" si="533"/>
        <v>1</v>
      </c>
      <c r="M3813" s="1">
        <f t="shared" si="534"/>
        <v>17.399999999999999</v>
      </c>
      <c r="N3813" s="1">
        <f t="shared" si="535"/>
        <v>16.82</v>
      </c>
      <c r="O3813" s="1">
        <f t="shared" si="536"/>
        <v>15.05</v>
      </c>
      <c r="P3813" s="1">
        <f t="shared" si="537"/>
        <v>7.6785714285714288</v>
      </c>
    </row>
    <row r="3814" spans="1:16">
      <c r="A3814" s="2">
        <v>37525</v>
      </c>
      <c r="B3814" s="1">
        <v>15.93</v>
      </c>
      <c r="C3814" s="1">
        <v>17.350000000000001</v>
      </c>
      <c r="D3814" s="1">
        <v>15.71</v>
      </c>
      <c r="E3814" s="1">
        <v>17.149999999999999</v>
      </c>
      <c r="F3814" s="1">
        <v>11635000</v>
      </c>
      <c r="G3814" s="1">
        <v>17.149999999999999</v>
      </c>
      <c r="H3814" s="1">
        <f t="shared" si="531"/>
        <v>1.6400000000000006</v>
      </c>
      <c r="I3814" s="9">
        <f t="shared" si="538"/>
        <v>0.10439210693825592</v>
      </c>
      <c r="J3814" s="1">
        <f t="shared" si="539"/>
        <v>1.4199999999999982</v>
      </c>
      <c r="K3814" s="9">
        <f t="shared" si="532"/>
        <v>9.0273363000635612E-2</v>
      </c>
      <c r="L3814" s="1">
        <f t="shared" si="533"/>
        <v>1</v>
      </c>
      <c r="M3814" s="1">
        <f t="shared" si="534"/>
        <v>17.350000000000001</v>
      </c>
      <c r="N3814" s="1">
        <f t="shared" si="535"/>
        <v>15.71</v>
      </c>
      <c r="O3814" s="1">
        <f t="shared" si="536"/>
        <v>15.189999999999998</v>
      </c>
      <c r="P3814" s="1">
        <f t="shared" si="537"/>
        <v>7.7499999999999991</v>
      </c>
    </row>
    <row r="3815" spans="1:16">
      <c r="A3815" s="2">
        <v>37524</v>
      </c>
      <c r="B3815" s="1">
        <v>16.170000000000002</v>
      </c>
      <c r="C3815" s="1">
        <v>16.39</v>
      </c>
      <c r="D3815" s="1">
        <v>15.29</v>
      </c>
      <c r="E3815" s="1">
        <v>15.73</v>
      </c>
      <c r="F3815" s="1">
        <v>9339000</v>
      </c>
      <c r="G3815" s="1">
        <v>15.73</v>
      </c>
      <c r="H3815" s="1">
        <f t="shared" si="531"/>
        <v>1.1000000000000014</v>
      </c>
      <c r="I3815" s="9">
        <f t="shared" si="538"/>
        <v>7.1942446043165562E-2</v>
      </c>
      <c r="J3815" s="1">
        <f t="shared" si="539"/>
        <v>-0.19999999999999929</v>
      </c>
      <c r="K3815" s="9">
        <f t="shared" si="532"/>
        <v>-1.2554927809165053E-2</v>
      </c>
      <c r="L3815" s="1">
        <f t="shared" si="533"/>
        <v>1</v>
      </c>
      <c r="M3815" s="1">
        <f t="shared" si="534"/>
        <v>16.39</v>
      </c>
      <c r="N3815" s="1">
        <f t="shared" si="535"/>
        <v>15.29</v>
      </c>
      <c r="O3815" s="1">
        <f t="shared" si="536"/>
        <v>13.77</v>
      </c>
      <c r="P3815" s="1">
        <f t="shared" si="537"/>
        <v>7.0255102040816322</v>
      </c>
    </row>
    <row r="3816" spans="1:16">
      <c r="A3816" s="2">
        <v>37523</v>
      </c>
      <c r="B3816" s="1">
        <v>15.87</v>
      </c>
      <c r="C3816" s="1">
        <v>16.37</v>
      </c>
      <c r="D3816" s="1">
        <v>15.6</v>
      </c>
      <c r="E3816" s="1">
        <v>15.93</v>
      </c>
      <c r="F3816" s="1">
        <v>7072900</v>
      </c>
      <c r="G3816" s="1">
        <v>15.93</v>
      </c>
      <c r="H3816" s="1">
        <f t="shared" si="531"/>
        <v>0.77000000000000135</v>
      </c>
      <c r="I3816" s="9">
        <f t="shared" si="538"/>
        <v>4.9358974358974447E-2</v>
      </c>
      <c r="J3816" s="1">
        <f t="shared" si="539"/>
        <v>-0.12000000000000099</v>
      </c>
      <c r="K3816" s="9">
        <f t="shared" si="532"/>
        <v>-7.4766355140187535E-3</v>
      </c>
      <c r="L3816" s="1">
        <f t="shared" si="533"/>
        <v>1</v>
      </c>
      <c r="M3816" s="1">
        <f t="shared" si="534"/>
        <v>16.37</v>
      </c>
      <c r="N3816" s="1">
        <f t="shared" si="535"/>
        <v>15.6</v>
      </c>
      <c r="O3816" s="1">
        <f t="shared" si="536"/>
        <v>13.969999999999999</v>
      </c>
      <c r="P3816" s="1">
        <f t="shared" si="537"/>
        <v>7.1275510204081627</v>
      </c>
    </row>
    <row r="3817" spans="1:16">
      <c r="A3817" s="2">
        <v>37522</v>
      </c>
      <c r="B3817" s="1">
        <v>15.6</v>
      </c>
      <c r="C3817" s="1">
        <v>16.440000000000001</v>
      </c>
      <c r="D3817" s="1">
        <v>15.59</v>
      </c>
      <c r="E3817" s="1">
        <v>16.05</v>
      </c>
      <c r="F3817" s="1">
        <v>7404500</v>
      </c>
      <c r="G3817" s="1">
        <v>16.05</v>
      </c>
      <c r="H3817" s="1">
        <f t="shared" si="531"/>
        <v>0.85000000000000142</v>
      </c>
      <c r="I3817" s="9">
        <f t="shared" si="538"/>
        <v>5.4522129570237422E-2</v>
      </c>
      <c r="J3817" s="1">
        <f t="shared" si="539"/>
        <v>0.19000000000000128</v>
      </c>
      <c r="K3817" s="9">
        <f t="shared" si="532"/>
        <v>1.1979823455233372E-2</v>
      </c>
      <c r="L3817" s="1">
        <f t="shared" si="533"/>
        <v>1</v>
      </c>
      <c r="M3817" s="1">
        <f t="shared" si="534"/>
        <v>16.440000000000001</v>
      </c>
      <c r="N3817" s="1">
        <f t="shared" si="535"/>
        <v>15.59</v>
      </c>
      <c r="O3817" s="1">
        <f t="shared" si="536"/>
        <v>14.09</v>
      </c>
      <c r="P3817" s="1">
        <f t="shared" si="537"/>
        <v>7.1887755102040813</v>
      </c>
    </row>
    <row r="3818" spans="1:16">
      <c r="A3818" s="2">
        <v>37519</v>
      </c>
      <c r="B3818" s="1">
        <v>17.45</v>
      </c>
      <c r="C3818" s="1">
        <v>17.64</v>
      </c>
      <c r="D3818" s="1">
        <v>15.45</v>
      </c>
      <c r="E3818" s="1">
        <v>15.86</v>
      </c>
      <c r="F3818" s="1">
        <v>12605600</v>
      </c>
      <c r="G3818" s="1">
        <v>15.86</v>
      </c>
      <c r="H3818" s="1">
        <f t="shared" si="531"/>
        <v>2.1900000000000013</v>
      </c>
      <c r="I3818" s="9">
        <f t="shared" si="538"/>
        <v>0.14174757281553407</v>
      </c>
      <c r="J3818" s="1">
        <f t="shared" si="539"/>
        <v>-1.3500000000000014</v>
      </c>
      <c r="K3818" s="9">
        <f t="shared" si="532"/>
        <v>-7.8442765833817624E-2</v>
      </c>
      <c r="L3818" s="1">
        <f t="shared" si="533"/>
        <v>1</v>
      </c>
      <c r="M3818" s="1">
        <f t="shared" si="534"/>
        <v>17.64</v>
      </c>
      <c r="N3818" s="1">
        <f t="shared" si="535"/>
        <v>15.45</v>
      </c>
      <c r="O3818" s="1">
        <f t="shared" si="536"/>
        <v>13.899999999999999</v>
      </c>
      <c r="P3818" s="1">
        <f t="shared" si="537"/>
        <v>7.0918367346938771</v>
      </c>
    </row>
    <row r="3819" spans="1:16">
      <c r="A3819" s="2">
        <v>37518</v>
      </c>
      <c r="B3819" s="1">
        <v>17.399999999999999</v>
      </c>
      <c r="C3819" s="1">
        <v>17.64</v>
      </c>
      <c r="D3819" s="1">
        <v>17.170000000000002</v>
      </c>
      <c r="E3819" s="1">
        <v>17.21</v>
      </c>
      <c r="F3819" s="1">
        <v>4841100</v>
      </c>
      <c r="G3819" s="1">
        <v>17.21</v>
      </c>
      <c r="H3819" s="1">
        <f t="shared" si="531"/>
        <v>0.46999999999999886</v>
      </c>
      <c r="I3819" s="9">
        <f t="shared" si="538"/>
        <v>2.7373325567850833E-2</v>
      </c>
      <c r="J3819" s="1">
        <f t="shared" si="539"/>
        <v>-0.51999999999999957</v>
      </c>
      <c r="K3819" s="9">
        <f t="shared" si="532"/>
        <v>-2.9328821206993771E-2</v>
      </c>
      <c r="L3819" s="1">
        <f t="shared" si="533"/>
        <v>1</v>
      </c>
      <c r="M3819" s="1">
        <f t="shared" si="534"/>
        <v>17.64</v>
      </c>
      <c r="N3819" s="1">
        <f t="shared" si="535"/>
        <v>17.170000000000002</v>
      </c>
      <c r="O3819" s="1">
        <f t="shared" si="536"/>
        <v>15.25</v>
      </c>
      <c r="P3819" s="1">
        <f t="shared" si="537"/>
        <v>7.7806122448979593</v>
      </c>
    </row>
    <row r="3820" spans="1:16">
      <c r="A3820" s="2">
        <v>37517</v>
      </c>
      <c r="B3820" s="1">
        <v>17.22</v>
      </c>
      <c r="C3820" s="1">
        <v>17.93</v>
      </c>
      <c r="D3820" s="1">
        <v>16.95</v>
      </c>
      <c r="E3820" s="1">
        <v>17.73</v>
      </c>
      <c r="F3820" s="1">
        <v>8391000</v>
      </c>
      <c r="G3820" s="1">
        <v>17.73</v>
      </c>
      <c r="H3820" s="1">
        <f t="shared" si="531"/>
        <v>0.98000000000000043</v>
      </c>
      <c r="I3820" s="9">
        <f t="shared" si="538"/>
        <v>5.78171091445428E-2</v>
      </c>
      <c r="J3820" s="1">
        <f t="shared" si="539"/>
        <v>0.37999999999999901</v>
      </c>
      <c r="K3820" s="9">
        <f t="shared" si="532"/>
        <v>2.1902017291066223E-2</v>
      </c>
      <c r="L3820" s="1">
        <f t="shared" si="533"/>
        <v>1</v>
      </c>
      <c r="M3820" s="1">
        <f t="shared" si="534"/>
        <v>17.93</v>
      </c>
      <c r="N3820" s="1">
        <f t="shared" si="535"/>
        <v>16.95</v>
      </c>
      <c r="O3820" s="1">
        <f t="shared" si="536"/>
        <v>15.77</v>
      </c>
      <c r="P3820" s="1">
        <f t="shared" si="537"/>
        <v>8.045918367346939</v>
      </c>
    </row>
    <row r="3821" spans="1:16">
      <c r="A3821" s="2">
        <v>37516</v>
      </c>
      <c r="B3821" s="1">
        <v>17</v>
      </c>
      <c r="C3821" s="1">
        <v>17.75</v>
      </c>
      <c r="D3821" s="1">
        <v>16.77</v>
      </c>
      <c r="E3821" s="1">
        <v>17.350000000000001</v>
      </c>
      <c r="F3821" s="1">
        <v>8621200</v>
      </c>
      <c r="G3821" s="1">
        <v>17.350000000000001</v>
      </c>
      <c r="H3821" s="1">
        <f t="shared" si="531"/>
        <v>0.98000000000000043</v>
      </c>
      <c r="I3821" s="9">
        <f t="shared" si="538"/>
        <v>5.8437686344663113E-2</v>
      </c>
      <c r="J3821" s="1">
        <f t="shared" si="539"/>
        <v>0.64000000000000057</v>
      </c>
      <c r="K3821" s="9">
        <f t="shared" si="532"/>
        <v>3.8300418910831871E-2</v>
      </c>
      <c r="L3821" s="1">
        <f t="shared" si="533"/>
        <v>1</v>
      </c>
      <c r="M3821" s="1">
        <f t="shared" si="534"/>
        <v>17.75</v>
      </c>
      <c r="N3821" s="1">
        <f t="shared" si="535"/>
        <v>16.77</v>
      </c>
      <c r="O3821" s="1">
        <f t="shared" si="536"/>
        <v>15.39</v>
      </c>
      <c r="P3821" s="1">
        <f t="shared" si="537"/>
        <v>7.8520408163265314</v>
      </c>
    </row>
    <row r="3822" spans="1:16">
      <c r="A3822" s="2">
        <v>37515</v>
      </c>
      <c r="B3822" s="1">
        <v>16.510000000000002</v>
      </c>
      <c r="C3822" s="1">
        <v>16.93</v>
      </c>
      <c r="D3822" s="1">
        <v>16.45</v>
      </c>
      <c r="E3822" s="1">
        <v>16.71</v>
      </c>
      <c r="F3822" s="1">
        <v>2962500</v>
      </c>
      <c r="G3822" s="1">
        <v>16.71</v>
      </c>
      <c r="H3822" s="1">
        <f t="shared" si="531"/>
        <v>0.48000000000000043</v>
      </c>
      <c r="I3822" s="9">
        <f t="shared" si="538"/>
        <v>2.9179331306990908E-2</v>
      </c>
      <c r="J3822" s="1">
        <f t="shared" si="539"/>
        <v>0.10000000000000142</v>
      </c>
      <c r="K3822" s="9">
        <f t="shared" si="532"/>
        <v>6.0204695966286229E-3</v>
      </c>
      <c r="L3822" s="1">
        <f t="shared" si="533"/>
        <v>1</v>
      </c>
      <c r="M3822" s="1">
        <f t="shared" si="534"/>
        <v>16.93</v>
      </c>
      <c r="N3822" s="1">
        <f t="shared" si="535"/>
        <v>16.45</v>
      </c>
      <c r="O3822" s="1">
        <f t="shared" si="536"/>
        <v>14.75</v>
      </c>
      <c r="P3822" s="1">
        <f t="shared" si="537"/>
        <v>7.5255102040816331</v>
      </c>
    </row>
    <row r="3823" spans="1:16">
      <c r="A3823" s="2">
        <v>37512</v>
      </c>
      <c r="B3823" s="1">
        <v>16.690000000000001</v>
      </c>
      <c r="C3823" s="1">
        <v>16.989999999999998</v>
      </c>
      <c r="D3823" s="1">
        <v>16.5</v>
      </c>
      <c r="E3823" s="1">
        <v>16.61</v>
      </c>
      <c r="F3823" s="1">
        <v>3654900</v>
      </c>
      <c r="G3823" s="1">
        <v>16.61</v>
      </c>
      <c r="H3823" s="1">
        <f t="shared" si="531"/>
        <v>0.48999999999999844</v>
      </c>
      <c r="I3823" s="9">
        <f t="shared" si="538"/>
        <v>2.9696969696969604E-2</v>
      </c>
      <c r="J3823" s="1">
        <f t="shared" si="539"/>
        <v>-0.14000000000000057</v>
      </c>
      <c r="K3823" s="9">
        <f t="shared" si="532"/>
        <v>-8.3582089552239145E-3</v>
      </c>
      <c r="L3823" s="1">
        <f t="shared" si="533"/>
        <v>1</v>
      </c>
      <c r="M3823" s="1">
        <f t="shared" si="534"/>
        <v>16.989999999999998</v>
      </c>
      <c r="N3823" s="1">
        <f t="shared" si="535"/>
        <v>16.5</v>
      </c>
      <c r="O3823" s="1">
        <f t="shared" si="536"/>
        <v>14.649999999999999</v>
      </c>
      <c r="P3823" s="1">
        <f t="shared" si="537"/>
        <v>7.4744897959183669</v>
      </c>
    </row>
    <row r="3824" spans="1:16">
      <c r="A3824" s="2">
        <v>37511</v>
      </c>
      <c r="B3824" s="1">
        <v>16.829999999999998</v>
      </c>
      <c r="C3824" s="1">
        <v>17.13</v>
      </c>
      <c r="D3824" s="1">
        <v>16.61</v>
      </c>
      <c r="E3824" s="1">
        <v>16.75</v>
      </c>
      <c r="F3824" s="1">
        <v>7065100</v>
      </c>
      <c r="G3824" s="1">
        <v>16.75</v>
      </c>
      <c r="H3824" s="1">
        <f t="shared" si="531"/>
        <v>0.51999999999999957</v>
      </c>
      <c r="I3824" s="9">
        <f t="shared" si="538"/>
        <v>3.1306441902468368E-2</v>
      </c>
      <c r="J3824" s="1">
        <f t="shared" si="539"/>
        <v>-0.35999999999999943</v>
      </c>
      <c r="K3824" s="9">
        <f t="shared" si="532"/>
        <v>-2.1040327293980095E-2</v>
      </c>
      <c r="L3824" s="1">
        <f t="shared" si="533"/>
        <v>1</v>
      </c>
      <c r="M3824" s="1">
        <f t="shared" si="534"/>
        <v>17.13</v>
      </c>
      <c r="N3824" s="1">
        <f t="shared" si="535"/>
        <v>16.61</v>
      </c>
      <c r="O3824" s="1">
        <f t="shared" si="536"/>
        <v>14.79</v>
      </c>
      <c r="P3824" s="1">
        <f t="shared" si="537"/>
        <v>7.5459183673469381</v>
      </c>
    </row>
    <row r="3825" spans="1:16">
      <c r="A3825" s="2">
        <v>37510</v>
      </c>
      <c r="B3825" s="1">
        <v>17.149999999999999</v>
      </c>
      <c r="C3825" s="1">
        <v>17.850000000000001</v>
      </c>
      <c r="D3825" s="1">
        <v>17.04</v>
      </c>
      <c r="E3825" s="1">
        <v>17.11</v>
      </c>
      <c r="F3825" s="1">
        <v>6663200</v>
      </c>
      <c r="G3825" s="1">
        <v>17.11</v>
      </c>
      <c r="H3825" s="1">
        <f t="shared" si="531"/>
        <v>0.81000000000000227</v>
      </c>
      <c r="I3825" s="9">
        <f t="shared" si="538"/>
        <v>4.7535211267605772E-2</v>
      </c>
      <c r="J3825" s="1">
        <f t="shared" si="539"/>
        <v>-1.9999999999999574E-2</v>
      </c>
      <c r="K3825" s="9">
        <f t="shared" si="532"/>
        <v>-1.1675423234091989E-3</v>
      </c>
      <c r="L3825" s="1">
        <f t="shared" si="533"/>
        <v>1</v>
      </c>
      <c r="M3825" s="1">
        <f t="shared" si="534"/>
        <v>17.850000000000001</v>
      </c>
      <c r="N3825" s="1">
        <f t="shared" si="535"/>
        <v>17.04</v>
      </c>
      <c r="O3825" s="1">
        <f t="shared" si="536"/>
        <v>15.149999999999999</v>
      </c>
      <c r="P3825" s="1">
        <f t="shared" si="537"/>
        <v>7.7295918367346932</v>
      </c>
    </row>
    <row r="3826" spans="1:16">
      <c r="A3826" s="2">
        <v>37509</v>
      </c>
      <c r="B3826" s="1">
        <v>16.53</v>
      </c>
      <c r="C3826" s="1">
        <v>17.350000000000001</v>
      </c>
      <c r="D3826" s="1">
        <v>16.420000000000002</v>
      </c>
      <c r="E3826" s="1">
        <v>17.13</v>
      </c>
      <c r="F3826" s="1">
        <v>11248800</v>
      </c>
      <c r="G3826" s="1">
        <v>17.13</v>
      </c>
      <c r="H3826" s="1">
        <f t="shared" si="531"/>
        <v>0.92999999999999972</v>
      </c>
      <c r="I3826" s="9">
        <f t="shared" si="538"/>
        <v>5.663824604141289E-2</v>
      </c>
      <c r="J3826" s="1">
        <f t="shared" si="539"/>
        <v>0.61999999999999744</v>
      </c>
      <c r="K3826" s="9">
        <f t="shared" si="532"/>
        <v>3.7552998182919281E-2</v>
      </c>
      <c r="L3826" s="1">
        <f t="shared" si="533"/>
        <v>1</v>
      </c>
      <c r="M3826" s="1">
        <f t="shared" si="534"/>
        <v>17.350000000000001</v>
      </c>
      <c r="N3826" s="1">
        <f t="shared" si="535"/>
        <v>16.420000000000002</v>
      </c>
      <c r="O3826" s="1">
        <f t="shared" si="536"/>
        <v>15.169999999999998</v>
      </c>
      <c r="P3826" s="1">
        <f t="shared" si="537"/>
        <v>7.7397959183673457</v>
      </c>
    </row>
    <row r="3827" spans="1:16">
      <c r="A3827" s="2">
        <v>37508</v>
      </c>
      <c r="B3827" s="1">
        <v>15.12</v>
      </c>
      <c r="C3827" s="1">
        <v>16.649999999999999</v>
      </c>
      <c r="D3827" s="1">
        <v>15.06</v>
      </c>
      <c r="E3827" s="1">
        <v>16.510000000000002</v>
      </c>
      <c r="F3827" s="1">
        <v>8822500</v>
      </c>
      <c r="G3827" s="1">
        <v>16.510000000000002</v>
      </c>
      <c r="H3827" s="1">
        <f t="shared" si="531"/>
        <v>1.5899999999999981</v>
      </c>
      <c r="I3827" s="9">
        <f t="shared" si="538"/>
        <v>0.10557768924302775</v>
      </c>
      <c r="J3827" s="1">
        <f t="shared" si="539"/>
        <v>1.2000000000000011</v>
      </c>
      <c r="K3827" s="9">
        <f t="shared" si="532"/>
        <v>7.838014369693018E-2</v>
      </c>
      <c r="L3827" s="1">
        <f t="shared" si="533"/>
        <v>1</v>
      </c>
      <c r="M3827" s="1">
        <f t="shared" si="534"/>
        <v>16.649999999999999</v>
      </c>
      <c r="N3827" s="1">
        <f t="shared" si="535"/>
        <v>15.06</v>
      </c>
      <c r="O3827" s="1">
        <f t="shared" si="536"/>
        <v>14.55</v>
      </c>
      <c r="P3827" s="1">
        <f t="shared" si="537"/>
        <v>7.4234693877551026</v>
      </c>
    </row>
    <row r="3828" spans="1:16">
      <c r="A3828" s="2">
        <v>37505</v>
      </c>
      <c r="B3828" s="1">
        <v>14.56</v>
      </c>
      <c r="C3828" s="1">
        <v>15.48</v>
      </c>
      <c r="D3828" s="1">
        <v>14.56</v>
      </c>
      <c r="E3828" s="1">
        <v>15.31</v>
      </c>
      <c r="F3828" s="1">
        <v>4995300</v>
      </c>
      <c r="G3828" s="1">
        <v>15.31</v>
      </c>
      <c r="H3828" s="1">
        <f t="shared" si="531"/>
        <v>0.91999999999999993</v>
      </c>
      <c r="I3828" s="9">
        <f t="shared" si="538"/>
        <v>6.3186813186813184E-2</v>
      </c>
      <c r="J3828" s="1">
        <f t="shared" si="539"/>
        <v>1.0600000000000005</v>
      </c>
      <c r="K3828" s="9">
        <f t="shared" si="532"/>
        <v>7.4385964912280736E-2</v>
      </c>
      <c r="L3828" s="1">
        <f t="shared" si="533"/>
        <v>1</v>
      </c>
      <c r="M3828" s="1">
        <f t="shared" si="534"/>
        <v>15.48</v>
      </c>
      <c r="N3828" s="1">
        <f t="shared" si="535"/>
        <v>14.56</v>
      </c>
      <c r="O3828" s="1">
        <f t="shared" si="536"/>
        <v>13.350000000000001</v>
      </c>
      <c r="P3828" s="1">
        <f t="shared" si="537"/>
        <v>6.8112244897959195</v>
      </c>
    </row>
    <row r="3829" spans="1:16">
      <c r="A3829" s="2">
        <v>37504</v>
      </c>
      <c r="B3829" s="1">
        <v>14.58</v>
      </c>
      <c r="C3829" s="1">
        <v>14.72</v>
      </c>
      <c r="D3829" s="1">
        <v>14.24</v>
      </c>
      <c r="E3829" s="1">
        <v>14.25</v>
      </c>
      <c r="F3829" s="1">
        <v>5320200</v>
      </c>
      <c r="G3829" s="1">
        <v>14.25</v>
      </c>
      <c r="H3829" s="1">
        <f t="shared" si="531"/>
        <v>0.48000000000000043</v>
      </c>
      <c r="I3829" s="9">
        <f t="shared" si="538"/>
        <v>3.3707865168539353E-2</v>
      </c>
      <c r="J3829" s="1">
        <f t="shared" si="539"/>
        <v>-0.58000000000000007</v>
      </c>
      <c r="K3829" s="9">
        <f t="shared" si="532"/>
        <v>-3.9109912339851657E-2</v>
      </c>
      <c r="L3829" s="1">
        <f t="shared" si="533"/>
        <v>1</v>
      </c>
      <c r="M3829" s="1">
        <f t="shared" si="534"/>
        <v>14.72</v>
      </c>
      <c r="N3829" s="1">
        <f t="shared" si="535"/>
        <v>14.24</v>
      </c>
      <c r="O3829" s="1">
        <f t="shared" si="536"/>
        <v>12.29</v>
      </c>
      <c r="P3829" s="1">
        <f t="shared" si="537"/>
        <v>6.2704081632653059</v>
      </c>
    </row>
    <row r="3830" spans="1:16">
      <c r="A3830" s="2">
        <v>37503</v>
      </c>
      <c r="B3830" s="1">
        <v>14.66</v>
      </c>
      <c r="C3830" s="1">
        <v>14.96</v>
      </c>
      <c r="D3830" s="1">
        <v>14.26</v>
      </c>
      <c r="E3830" s="1">
        <v>14.83</v>
      </c>
      <c r="F3830" s="1">
        <v>4430400</v>
      </c>
      <c r="G3830" s="1">
        <v>14.83</v>
      </c>
      <c r="H3830" s="1">
        <f t="shared" si="531"/>
        <v>0.70000000000000107</v>
      </c>
      <c r="I3830" s="9">
        <f t="shared" si="538"/>
        <v>4.9088359046283385E-2</v>
      </c>
      <c r="J3830" s="1">
        <f t="shared" si="539"/>
        <v>0.23000000000000043</v>
      </c>
      <c r="K3830" s="9">
        <f t="shared" si="532"/>
        <v>1.5753424657534276E-2</v>
      </c>
      <c r="L3830" s="1">
        <f t="shared" si="533"/>
        <v>1</v>
      </c>
      <c r="M3830" s="1">
        <f t="shared" si="534"/>
        <v>14.96</v>
      </c>
      <c r="N3830" s="1">
        <f t="shared" si="535"/>
        <v>14.26</v>
      </c>
      <c r="O3830" s="1">
        <f t="shared" si="536"/>
        <v>12.870000000000001</v>
      </c>
      <c r="P3830" s="1">
        <f t="shared" si="537"/>
        <v>6.5663265306122458</v>
      </c>
    </row>
    <row r="3831" spans="1:16">
      <c r="A3831" s="2">
        <v>37502</v>
      </c>
      <c r="B3831" s="1">
        <v>14.71</v>
      </c>
      <c r="C3831" s="1">
        <v>15.03</v>
      </c>
      <c r="D3831" s="1">
        <v>14.49</v>
      </c>
      <c r="E3831" s="1">
        <v>14.6</v>
      </c>
      <c r="F3831" s="1">
        <v>4680200</v>
      </c>
      <c r="G3831" s="1">
        <v>14.6</v>
      </c>
      <c r="H3831" s="1">
        <f t="shared" si="531"/>
        <v>0.53999999999999915</v>
      </c>
      <c r="I3831" s="9">
        <f t="shared" si="538"/>
        <v>3.7267080745341553E-2</v>
      </c>
      <c r="J3831" s="1">
        <f t="shared" si="539"/>
        <v>-0.33999999999999986</v>
      </c>
      <c r="K3831" s="9">
        <f t="shared" si="532"/>
        <v>-2.2757697456492629E-2</v>
      </c>
      <c r="L3831" s="1">
        <f t="shared" si="533"/>
        <v>1</v>
      </c>
      <c r="M3831" s="1">
        <f t="shared" si="534"/>
        <v>15.03</v>
      </c>
      <c r="N3831" s="1">
        <f t="shared" si="535"/>
        <v>14.49</v>
      </c>
      <c r="O3831" s="1">
        <f t="shared" si="536"/>
        <v>12.64</v>
      </c>
      <c r="P3831" s="1">
        <f t="shared" si="537"/>
        <v>6.4489795918367347</v>
      </c>
    </row>
    <row r="3832" spans="1:16">
      <c r="A3832" s="2">
        <v>37498</v>
      </c>
      <c r="B3832" s="1">
        <v>14.91</v>
      </c>
      <c r="C3832" s="1">
        <v>15.38</v>
      </c>
      <c r="D3832" s="1">
        <v>14.75</v>
      </c>
      <c r="E3832" s="1">
        <v>14.94</v>
      </c>
      <c r="F3832" s="1">
        <v>3439700</v>
      </c>
      <c r="G3832" s="1">
        <v>14.94</v>
      </c>
      <c r="H3832" s="1">
        <f t="shared" si="531"/>
        <v>0.63000000000000078</v>
      </c>
      <c r="I3832" s="9">
        <f t="shared" si="538"/>
        <v>4.2711864406779716E-2</v>
      </c>
      <c r="J3832" s="1">
        <f t="shared" si="539"/>
        <v>-0.20000000000000107</v>
      </c>
      <c r="K3832" s="9">
        <f t="shared" si="532"/>
        <v>-1.321003963011896E-2</v>
      </c>
      <c r="L3832" s="1">
        <f t="shared" si="533"/>
        <v>1</v>
      </c>
      <c r="M3832" s="1">
        <f t="shared" si="534"/>
        <v>15.38</v>
      </c>
      <c r="N3832" s="1">
        <f t="shared" si="535"/>
        <v>14.75</v>
      </c>
      <c r="O3832" s="1">
        <f t="shared" si="536"/>
        <v>12.98</v>
      </c>
      <c r="P3832" s="1">
        <f t="shared" si="537"/>
        <v>6.6224489795918373</v>
      </c>
    </row>
    <row r="3833" spans="1:16">
      <c r="A3833" s="2">
        <v>37497</v>
      </c>
      <c r="B3833" s="1">
        <v>14.43</v>
      </c>
      <c r="C3833" s="1">
        <v>15.19</v>
      </c>
      <c r="D3833" s="1">
        <v>14.21</v>
      </c>
      <c r="E3833" s="1">
        <v>15.14</v>
      </c>
      <c r="F3833" s="1">
        <v>6791800</v>
      </c>
      <c r="G3833" s="1">
        <v>15.14</v>
      </c>
      <c r="H3833" s="1">
        <f t="shared" si="531"/>
        <v>0.97999999999999865</v>
      </c>
      <c r="I3833" s="9">
        <f t="shared" si="538"/>
        <v>6.8965517241379212E-2</v>
      </c>
      <c r="J3833" s="1">
        <f t="shared" si="539"/>
        <v>0.57000000000000028</v>
      </c>
      <c r="K3833" s="9">
        <f t="shared" si="532"/>
        <v>3.9121482498284163E-2</v>
      </c>
      <c r="L3833" s="1">
        <f t="shared" si="533"/>
        <v>1</v>
      </c>
      <c r="M3833" s="1">
        <f t="shared" si="534"/>
        <v>15.19</v>
      </c>
      <c r="N3833" s="1">
        <f t="shared" si="535"/>
        <v>14.21</v>
      </c>
      <c r="O3833" s="1">
        <f t="shared" si="536"/>
        <v>13.18</v>
      </c>
      <c r="P3833" s="1">
        <f t="shared" si="537"/>
        <v>6.7244897959183669</v>
      </c>
    </row>
    <row r="3834" spans="1:16">
      <c r="A3834" s="2">
        <v>37496</v>
      </c>
      <c r="B3834" s="1">
        <v>14.48</v>
      </c>
      <c r="C3834" s="1">
        <v>14.97</v>
      </c>
      <c r="D3834" s="1">
        <v>14.35</v>
      </c>
      <c r="E3834" s="1">
        <v>14.57</v>
      </c>
      <c r="F3834" s="1">
        <v>4985500</v>
      </c>
      <c r="G3834" s="1">
        <v>14.57</v>
      </c>
      <c r="H3834" s="1">
        <f t="shared" si="531"/>
        <v>0.62000000000000099</v>
      </c>
      <c r="I3834" s="9">
        <f t="shared" si="538"/>
        <v>4.3205574912892057E-2</v>
      </c>
      <c r="J3834" s="1">
        <f t="shared" si="539"/>
        <v>5.0000000000000711E-2</v>
      </c>
      <c r="K3834" s="9">
        <f t="shared" si="532"/>
        <v>3.4435261707989472E-3</v>
      </c>
      <c r="L3834" s="1">
        <f t="shared" si="533"/>
        <v>1</v>
      </c>
      <c r="M3834" s="1">
        <f t="shared" si="534"/>
        <v>14.97</v>
      </c>
      <c r="N3834" s="1">
        <f t="shared" si="535"/>
        <v>14.35</v>
      </c>
      <c r="O3834" s="1">
        <f t="shared" si="536"/>
        <v>12.61</v>
      </c>
      <c r="P3834" s="1">
        <f t="shared" si="537"/>
        <v>6.4336734693877551</v>
      </c>
    </row>
    <row r="3835" spans="1:16">
      <c r="A3835" s="2">
        <v>37495</v>
      </c>
      <c r="B3835" s="1">
        <v>15.04</v>
      </c>
      <c r="C3835" s="1">
        <v>15.27</v>
      </c>
      <c r="D3835" s="1">
        <v>14.5</v>
      </c>
      <c r="E3835" s="1">
        <v>14.52</v>
      </c>
      <c r="F3835" s="1">
        <v>3578900</v>
      </c>
      <c r="G3835" s="1">
        <v>14.52</v>
      </c>
      <c r="H3835" s="1">
        <f t="shared" si="531"/>
        <v>0.76999999999999957</v>
      </c>
      <c r="I3835" s="9">
        <f t="shared" si="538"/>
        <v>5.3103448275862039E-2</v>
      </c>
      <c r="J3835" s="1">
        <f t="shared" si="539"/>
        <v>-0.41000000000000014</v>
      </c>
      <c r="K3835" s="9">
        <f t="shared" si="532"/>
        <v>-2.7461486939048905E-2</v>
      </c>
      <c r="L3835" s="1">
        <f t="shared" si="533"/>
        <v>1</v>
      </c>
      <c r="M3835" s="1">
        <f t="shared" si="534"/>
        <v>15.27</v>
      </c>
      <c r="N3835" s="1">
        <f t="shared" si="535"/>
        <v>14.5</v>
      </c>
      <c r="O3835" s="1">
        <f t="shared" si="536"/>
        <v>12.559999999999999</v>
      </c>
      <c r="P3835" s="1">
        <f t="shared" si="537"/>
        <v>6.408163265306122</v>
      </c>
    </row>
    <row r="3836" spans="1:16">
      <c r="A3836" s="2">
        <v>37494</v>
      </c>
      <c r="B3836" s="1">
        <v>15.29</v>
      </c>
      <c r="C3836" s="1">
        <v>15.44</v>
      </c>
      <c r="D3836" s="1">
        <v>14.68</v>
      </c>
      <c r="E3836" s="1">
        <v>14.93</v>
      </c>
      <c r="F3836" s="1">
        <v>6409600</v>
      </c>
      <c r="G3836" s="1">
        <v>14.93</v>
      </c>
      <c r="H3836" s="1">
        <f t="shared" si="531"/>
        <v>0.75999999999999979</v>
      </c>
      <c r="I3836" s="9">
        <f t="shared" si="538"/>
        <v>5.1771117166212521E-2</v>
      </c>
      <c r="J3836" s="1">
        <f t="shared" si="539"/>
        <v>-0.24000000000000021</v>
      </c>
      <c r="K3836" s="9">
        <f t="shared" si="532"/>
        <v>-1.582069874752803E-2</v>
      </c>
      <c r="L3836" s="1">
        <f t="shared" si="533"/>
        <v>1</v>
      </c>
      <c r="M3836" s="1">
        <f t="shared" si="534"/>
        <v>15.44</v>
      </c>
      <c r="N3836" s="1">
        <f t="shared" si="535"/>
        <v>14.68</v>
      </c>
      <c r="O3836" s="1">
        <f t="shared" si="536"/>
        <v>12.969999999999999</v>
      </c>
      <c r="P3836" s="1">
        <f t="shared" si="537"/>
        <v>6.6173469387755102</v>
      </c>
    </row>
    <row r="3837" spans="1:16">
      <c r="A3837" s="2">
        <v>37491</v>
      </c>
      <c r="B3837" s="1">
        <v>15.6</v>
      </c>
      <c r="C3837" s="1">
        <v>15.72</v>
      </c>
      <c r="D3837" s="1">
        <v>14.95</v>
      </c>
      <c r="E3837" s="1">
        <v>15.17</v>
      </c>
      <c r="F3837" s="1">
        <v>5038800</v>
      </c>
      <c r="G3837" s="1">
        <v>15.17</v>
      </c>
      <c r="H3837" s="1">
        <f t="shared" si="531"/>
        <v>0.77000000000000135</v>
      </c>
      <c r="I3837" s="9">
        <f t="shared" si="538"/>
        <v>5.150501672240812E-2</v>
      </c>
      <c r="J3837" s="1">
        <f t="shared" si="539"/>
        <v>-0.5600000000000005</v>
      </c>
      <c r="K3837" s="9">
        <f t="shared" si="532"/>
        <v>-3.5600762873490177E-2</v>
      </c>
      <c r="L3837" s="1">
        <f t="shared" si="533"/>
        <v>1</v>
      </c>
      <c r="M3837" s="1">
        <f t="shared" si="534"/>
        <v>15.72</v>
      </c>
      <c r="N3837" s="1">
        <f t="shared" si="535"/>
        <v>14.95</v>
      </c>
      <c r="O3837" s="1">
        <f t="shared" si="536"/>
        <v>13.21</v>
      </c>
      <c r="P3837" s="1">
        <f t="shared" si="537"/>
        <v>6.7397959183673475</v>
      </c>
    </row>
    <row r="3838" spans="1:16">
      <c r="A3838" s="2">
        <v>37490</v>
      </c>
      <c r="B3838" s="1">
        <v>15.33</v>
      </c>
      <c r="C3838" s="1">
        <v>15.95</v>
      </c>
      <c r="D3838" s="1">
        <v>14.92</v>
      </c>
      <c r="E3838" s="1">
        <v>15.73</v>
      </c>
      <c r="F3838" s="1">
        <v>6854100</v>
      </c>
      <c r="G3838" s="1">
        <v>15.73</v>
      </c>
      <c r="H3838" s="1">
        <f t="shared" si="531"/>
        <v>1.0299999999999994</v>
      </c>
      <c r="I3838" s="9">
        <f t="shared" si="538"/>
        <v>6.9034852546916853E-2</v>
      </c>
      <c r="J3838" s="1">
        <f t="shared" si="539"/>
        <v>0.34999999999999964</v>
      </c>
      <c r="K3838" s="9">
        <f t="shared" si="532"/>
        <v>2.2756827048114409E-2</v>
      </c>
      <c r="L3838" s="1">
        <f t="shared" si="533"/>
        <v>1</v>
      </c>
      <c r="M3838" s="1">
        <f t="shared" si="534"/>
        <v>15.95</v>
      </c>
      <c r="N3838" s="1">
        <f t="shared" si="535"/>
        <v>14.92</v>
      </c>
      <c r="O3838" s="1">
        <f t="shared" si="536"/>
        <v>13.77</v>
      </c>
      <c r="P3838" s="1">
        <f t="shared" si="537"/>
        <v>7.0255102040816322</v>
      </c>
    </row>
    <row r="3839" spans="1:16">
      <c r="A3839" s="2">
        <v>37489</v>
      </c>
      <c r="B3839" s="1">
        <v>15.95</v>
      </c>
      <c r="C3839" s="1">
        <v>15.97</v>
      </c>
      <c r="D3839" s="1">
        <v>15.2</v>
      </c>
      <c r="E3839" s="1">
        <v>15.38</v>
      </c>
      <c r="F3839" s="1">
        <v>7284200</v>
      </c>
      <c r="G3839" s="1">
        <v>15.38</v>
      </c>
      <c r="H3839" s="1">
        <f t="shared" si="531"/>
        <v>0.77000000000000135</v>
      </c>
      <c r="I3839" s="9">
        <f t="shared" si="538"/>
        <v>5.0657894736842193E-2</v>
      </c>
      <c r="J3839" s="1">
        <f t="shared" si="539"/>
        <v>-0.59999999999999964</v>
      </c>
      <c r="K3839" s="9">
        <f t="shared" si="532"/>
        <v>-3.754693366708383E-2</v>
      </c>
      <c r="L3839" s="1">
        <f t="shared" si="533"/>
        <v>1</v>
      </c>
      <c r="M3839" s="1">
        <f t="shared" si="534"/>
        <v>15.97</v>
      </c>
      <c r="N3839" s="1">
        <f t="shared" si="535"/>
        <v>15.2</v>
      </c>
      <c r="O3839" s="1">
        <f t="shared" si="536"/>
        <v>13.420000000000002</v>
      </c>
      <c r="P3839" s="1">
        <f t="shared" si="537"/>
        <v>6.8469387755102051</v>
      </c>
    </row>
    <row r="3840" spans="1:16">
      <c r="A3840" s="2">
        <v>37488</v>
      </c>
      <c r="B3840" s="1">
        <v>15.38</v>
      </c>
      <c r="C3840" s="1">
        <v>15.99</v>
      </c>
      <c r="D3840" s="1">
        <v>15.31</v>
      </c>
      <c r="E3840" s="1">
        <v>15.98</v>
      </c>
      <c r="F3840" s="1">
        <v>7701300</v>
      </c>
      <c r="G3840" s="1">
        <v>15.98</v>
      </c>
      <c r="H3840" s="1">
        <f t="shared" si="531"/>
        <v>0.67999999999999972</v>
      </c>
      <c r="I3840" s="9">
        <f t="shared" si="538"/>
        <v>4.4415414761593712E-2</v>
      </c>
      <c r="J3840" s="1">
        <f t="shared" si="539"/>
        <v>0.48000000000000043</v>
      </c>
      <c r="K3840" s="9">
        <f t="shared" si="532"/>
        <v>3.0967741935483899E-2</v>
      </c>
      <c r="L3840" s="1">
        <f t="shared" si="533"/>
        <v>1</v>
      </c>
      <c r="M3840" s="1">
        <f t="shared" si="534"/>
        <v>15.99</v>
      </c>
      <c r="N3840" s="1">
        <f t="shared" si="535"/>
        <v>15.31</v>
      </c>
      <c r="O3840" s="1">
        <f t="shared" si="536"/>
        <v>14.02</v>
      </c>
      <c r="P3840" s="1">
        <f t="shared" si="537"/>
        <v>7.1530612244897958</v>
      </c>
    </row>
    <row r="3841" spans="1:16">
      <c r="A3841" s="2">
        <v>37487</v>
      </c>
      <c r="B3841" s="1">
        <v>14.84</v>
      </c>
      <c r="C3841" s="1">
        <v>15.52</v>
      </c>
      <c r="D3841" s="1">
        <v>14.67</v>
      </c>
      <c r="E3841" s="1">
        <v>15.5</v>
      </c>
      <c r="F3841" s="1">
        <v>4277100</v>
      </c>
      <c r="G3841" s="1">
        <v>15.5</v>
      </c>
      <c r="H3841" s="1">
        <f t="shared" si="531"/>
        <v>0.84999999999999964</v>
      </c>
      <c r="I3841" s="9">
        <f t="shared" si="538"/>
        <v>5.7941376959781847E-2</v>
      </c>
      <c r="J3841" s="1">
        <f t="shared" si="539"/>
        <v>0.59999999999999964</v>
      </c>
      <c r="K3841" s="9">
        <f t="shared" si="532"/>
        <v>4.0268456375838903E-2</v>
      </c>
      <c r="L3841" s="1">
        <f t="shared" si="533"/>
        <v>1</v>
      </c>
      <c r="M3841" s="1">
        <f t="shared" si="534"/>
        <v>15.52</v>
      </c>
      <c r="N3841" s="1">
        <f t="shared" si="535"/>
        <v>14.67</v>
      </c>
      <c r="O3841" s="1">
        <f t="shared" si="536"/>
        <v>13.54</v>
      </c>
      <c r="P3841" s="1">
        <f t="shared" si="537"/>
        <v>6.908163265306122</v>
      </c>
    </row>
    <row r="3842" spans="1:16">
      <c r="A3842" s="2">
        <v>37484</v>
      </c>
      <c r="B3842" s="1">
        <v>14.39</v>
      </c>
      <c r="C3842" s="1">
        <v>15.01</v>
      </c>
      <c r="D3842" s="1">
        <v>14.31</v>
      </c>
      <c r="E3842" s="1">
        <v>14.9</v>
      </c>
      <c r="F3842" s="1">
        <v>3652100</v>
      </c>
      <c r="G3842" s="1">
        <v>14.9</v>
      </c>
      <c r="H3842" s="1">
        <f t="shared" si="531"/>
        <v>0.69999999999999929</v>
      </c>
      <c r="I3842" s="9">
        <f t="shared" si="538"/>
        <v>4.8916841369671504E-2</v>
      </c>
      <c r="J3842" s="1">
        <f t="shared" si="539"/>
        <v>0.28000000000000114</v>
      </c>
      <c r="K3842" s="9">
        <f t="shared" si="532"/>
        <v>1.9151846785225798E-2</v>
      </c>
      <c r="L3842" s="1">
        <f t="shared" si="533"/>
        <v>1</v>
      </c>
      <c r="M3842" s="1">
        <f t="shared" si="534"/>
        <v>15.01</v>
      </c>
      <c r="N3842" s="1">
        <f t="shared" si="535"/>
        <v>14.31</v>
      </c>
      <c r="O3842" s="1">
        <f t="shared" si="536"/>
        <v>12.940000000000001</v>
      </c>
      <c r="P3842" s="1">
        <f t="shared" si="537"/>
        <v>6.6020408163265314</v>
      </c>
    </row>
    <row r="3843" spans="1:16">
      <c r="A3843" s="2">
        <v>37483</v>
      </c>
      <c r="B3843" s="1">
        <v>14.05</v>
      </c>
      <c r="C3843" s="1">
        <v>14.75</v>
      </c>
      <c r="D3843" s="1">
        <v>13.92</v>
      </c>
      <c r="E3843" s="1">
        <v>14.62</v>
      </c>
      <c r="F3843" s="1">
        <v>5046600</v>
      </c>
      <c r="G3843" s="1">
        <v>14.62</v>
      </c>
      <c r="H3843" s="1">
        <f t="shared" ref="H3843:H3906" si="540">C3843-D3843</f>
        <v>0.83000000000000007</v>
      </c>
      <c r="I3843" s="9">
        <f t="shared" si="538"/>
        <v>5.9626436781609199E-2</v>
      </c>
      <c r="J3843" s="1">
        <f t="shared" si="539"/>
        <v>0.70999999999999908</v>
      </c>
      <c r="K3843" s="9">
        <f t="shared" ref="K3843:K3906" si="541">(G3843-G3844)/G3844</f>
        <v>5.1042415528396771E-2</v>
      </c>
      <c r="L3843" s="1">
        <f t="shared" ref="L3843:L3906" si="542">G3843/E3843</f>
        <v>1</v>
      </c>
      <c r="M3843" s="1">
        <f t="shared" ref="M3843:M3906" si="543">L3843*C3843</f>
        <v>14.75</v>
      </c>
      <c r="N3843" s="1">
        <f t="shared" ref="N3843:N3906" si="544">L3843*D3843</f>
        <v>13.92</v>
      </c>
      <c r="O3843" s="1">
        <f t="shared" ref="O3843:O3906" si="545">G3843-$G$5163</f>
        <v>12.66</v>
      </c>
      <c r="P3843" s="1">
        <f t="shared" ref="P3843:P3906" si="546">(G3843-$G$5163)/$G$5163</f>
        <v>6.4591836734693882</v>
      </c>
    </row>
    <row r="3844" spans="1:16">
      <c r="A3844" s="2">
        <v>37482</v>
      </c>
      <c r="B3844" s="1">
        <v>13.93</v>
      </c>
      <c r="C3844" s="1">
        <v>14.06</v>
      </c>
      <c r="D3844" s="1">
        <v>13.32</v>
      </c>
      <c r="E3844" s="1">
        <v>13.91</v>
      </c>
      <c r="F3844" s="1">
        <v>6935200</v>
      </c>
      <c r="G3844" s="1">
        <v>13.91</v>
      </c>
      <c r="H3844" s="1">
        <f t="shared" si="540"/>
        <v>0.74000000000000021</v>
      </c>
      <c r="I3844" s="9">
        <f t="shared" ref="I3844:I3907" si="547">(C3844-D3844)/D3844</f>
        <v>5.5555555555555573E-2</v>
      </c>
      <c r="J3844" s="1">
        <f t="shared" ref="J3844:J3907" si="548">G3844-G3845</f>
        <v>-1.9999999999999574E-2</v>
      </c>
      <c r="K3844" s="9">
        <f t="shared" si="541"/>
        <v>-1.4357501794687419E-3</v>
      </c>
      <c r="L3844" s="1">
        <f t="shared" si="542"/>
        <v>1</v>
      </c>
      <c r="M3844" s="1">
        <f t="shared" si="543"/>
        <v>14.06</v>
      </c>
      <c r="N3844" s="1">
        <f t="shared" si="544"/>
        <v>13.32</v>
      </c>
      <c r="O3844" s="1">
        <f t="shared" si="545"/>
        <v>11.95</v>
      </c>
      <c r="P3844" s="1">
        <f t="shared" si="546"/>
        <v>6.0969387755102042</v>
      </c>
    </row>
    <row r="3845" spans="1:16">
      <c r="A3845" s="2">
        <v>37481</v>
      </c>
      <c r="B3845" s="1">
        <v>14.3</v>
      </c>
      <c r="C3845" s="1">
        <v>14.67</v>
      </c>
      <c r="D3845" s="1">
        <v>13.9</v>
      </c>
      <c r="E3845" s="1">
        <v>13.93</v>
      </c>
      <c r="F3845" s="1">
        <v>5234400</v>
      </c>
      <c r="G3845" s="1">
        <v>13.93</v>
      </c>
      <c r="H3845" s="1">
        <f t="shared" si="540"/>
        <v>0.76999999999999957</v>
      </c>
      <c r="I3845" s="9">
        <f t="shared" si="547"/>
        <v>5.5395683453237379E-2</v>
      </c>
      <c r="J3845" s="1">
        <f t="shared" si="548"/>
        <v>-0.53000000000000114</v>
      </c>
      <c r="K3845" s="9">
        <f t="shared" si="541"/>
        <v>-3.6652835408022208E-2</v>
      </c>
      <c r="L3845" s="1">
        <f t="shared" si="542"/>
        <v>1</v>
      </c>
      <c r="M3845" s="1">
        <f t="shared" si="543"/>
        <v>14.67</v>
      </c>
      <c r="N3845" s="1">
        <f t="shared" si="544"/>
        <v>13.9</v>
      </c>
      <c r="O3845" s="1">
        <f t="shared" si="545"/>
        <v>11.969999999999999</v>
      </c>
      <c r="P3845" s="1">
        <f t="shared" si="546"/>
        <v>6.1071428571428568</v>
      </c>
    </row>
    <row r="3846" spans="1:16">
      <c r="A3846" s="2">
        <v>37480</v>
      </c>
      <c r="B3846" s="1">
        <v>14.14</v>
      </c>
      <c r="C3846" s="1">
        <v>14.49</v>
      </c>
      <c r="D3846" s="1">
        <v>13.95</v>
      </c>
      <c r="E3846" s="1">
        <v>14.46</v>
      </c>
      <c r="F3846" s="1">
        <v>3503300</v>
      </c>
      <c r="G3846" s="1">
        <v>14.46</v>
      </c>
      <c r="H3846" s="1">
        <f t="shared" si="540"/>
        <v>0.54000000000000092</v>
      </c>
      <c r="I3846" s="9">
        <f t="shared" si="547"/>
        <v>3.870967741935491E-2</v>
      </c>
      <c r="J3846" s="1">
        <f t="shared" si="548"/>
        <v>0.20000000000000107</v>
      </c>
      <c r="K3846" s="9">
        <f t="shared" si="541"/>
        <v>1.4025245441795306E-2</v>
      </c>
      <c r="L3846" s="1">
        <f t="shared" si="542"/>
        <v>1</v>
      </c>
      <c r="M3846" s="1">
        <f t="shared" si="543"/>
        <v>14.49</v>
      </c>
      <c r="N3846" s="1">
        <f t="shared" si="544"/>
        <v>13.95</v>
      </c>
      <c r="O3846" s="1">
        <f t="shared" si="545"/>
        <v>12.5</v>
      </c>
      <c r="P3846" s="1">
        <f t="shared" si="546"/>
        <v>6.3775510204081636</v>
      </c>
    </row>
    <row r="3847" spans="1:16">
      <c r="A3847" s="2">
        <v>37477</v>
      </c>
      <c r="B3847" s="1">
        <v>13.61</v>
      </c>
      <c r="C3847" s="1">
        <v>14.75</v>
      </c>
      <c r="D3847" s="1">
        <v>13.6</v>
      </c>
      <c r="E3847" s="1">
        <v>14.26</v>
      </c>
      <c r="F3847" s="1">
        <v>4777900</v>
      </c>
      <c r="G3847" s="1">
        <v>14.26</v>
      </c>
      <c r="H3847" s="1">
        <f t="shared" si="540"/>
        <v>1.1500000000000004</v>
      </c>
      <c r="I3847" s="9">
        <f t="shared" si="547"/>
        <v>8.4558823529411797E-2</v>
      </c>
      <c r="J3847" s="1">
        <f t="shared" si="548"/>
        <v>0.35999999999999943</v>
      </c>
      <c r="K3847" s="9">
        <f t="shared" si="541"/>
        <v>2.5899280575539526E-2</v>
      </c>
      <c r="L3847" s="1">
        <f t="shared" si="542"/>
        <v>1</v>
      </c>
      <c r="M3847" s="1">
        <f t="shared" si="543"/>
        <v>14.75</v>
      </c>
      <c r="N3847" s="1">
        <f t="shared" si="544"/>
        <v>13.6</v>
      </c>
      <c r="O3847" s="1">
        <f t="shared" si="545"/>
        <v>12.3</v>
      </c>
      <c r="P3847" s="1">
        <f t="shared" si="546"/>
        <v>6.2755102040816331</v>
      </c>
    </row>
    <row r="3848" spans="1:16">
      <c r="A3848" s="2">
        <v>37476</v>
      </c>
      <c r="B3848" s="1">
        <v>13.24</v>
      </c>
      <c r="C3848" s="1">
        <v>14.1</v>
      </c>
      <c r="D3848" s="1">
        <v>13.06</v>
      </c>
      <c r="E3848" s="1">
        <v>13.9</v>
      </c>
      <c r="F3848" s="1">
        <v>5470800</v>
      </c>
      <c r="G3848" s="1">
        <v>13.9</v>
      </c>
      <c r="H3848" s="1">
        <f t="shared" si="540"/>
        <v>1.0399999999999991</v>
      </c>
      <c r="I3848" s="9">
        <f t="shared" si="547"/>
        <v>7.9632465543644643E-2</v>
      </c>
      <c r="J3848" s="1">
        <f t="shared" si="548"/>
        <v>0.30000000000000071</v>
      </c>
      <c r="K3848" s="9">
        <f t="shared" si="541"/>
        <v>2.2058823529411818E-2</v>
      </c>
      <c r="L3848" s="1">
        <f t="shared" si="542"/>
        <v>1</v>
      </c>
      <c r="M3848" s="1">
        <f t="shared" si="543"/>
        <v>14.1</v>
      </c>
      <c r="N3848" s="1">
        <f t="shared" si="544"/>
        <v>13.06</v>
      </c>
      <c r="O3848" s="1">
        <f t="shared" si="545"/>
        <v>11.940000000000001</v>
      </c>
      <c r="P3848" s="1">
        <f t="shared" si="546"/>
        <v>6.091836734693878</v>
      </c>
    </row>
    <row r="3849" spans="1:16">
      <c r="A3849" s="2">
        <v>37475</v>
      </c>
      <c r="B3849" s="1">
        <v>13.93</v>
      </c>
      <c r="C3849" s="1">
        <v>13.94</v>
      </c>
      <c r="D3849" s="1">
        <v>12.85</v>
      </c>
      <c r="E3849" s="1">
        <v>13.6</v>
      </c>
      <c r="F3849" s="1">
        <v>5555700</v>
      </c>
      <c r="G3849" s="1">
        <v>13.6</v>
      </c>
      <c r="H3849" s="1">
        <f t="shared" si="540"/>
        <v>1.0899999999999999</v>
      </c>
      <c r="I3849" s="9">
        <f t="shared" si="547"/>
        <v>8.4824902723735399E-2</v>
      </c>
      <c r="J3849" s="1">
        <f t="shared" si="548"/>
        <v>-0.14000000000000057</v>
      </c>
      <c r="K3849" s="9">
        <f t="shared" si="541"/>
        <v>-1.0189228529839925E-2</v>
      </c>
      <c r="L3849" s="1">
        <f t="shared" si="542"/>
        <v>1</v>
      </c>
      <c r="M3849" s="1">
        <f t="shared" si="543"/>
        <v>13.94</v>
      </c>
      <c r="N3849" s="1">
        <f t="shared" si="544"/>
        <v>12.85</v>
      </c>
      <c r="O3849" s="1">
        <f t="shared" si="545"/>
        <v>11.64</v>
      </c>
      <c r="P3849" s="1">
        <f t="shared" si="546"/>
        <v>5.9387755102040822</v>
      </c>
    </row>
    <row r="3850" spans="1:16">
      <c r="A3850" s="2">
        <v>37474</v>
      </c>
      <c r="B3850" s="1">
        <v>13.27</v>
      </c>
      <c r="C3850" s="1">
        <v>13.9</v>
      </c>
      <c r="D3850" s="1">
        <v>13.14</v>
      </c>
      <c r="E3850" s="1">
        <v>13.74</v>
      </c>
      <c r="F3850" s="1">
        <v>4701900</v>
      </c>
      <c r="G3850" s="1">
        <v>13.74</v>
      </c>
      <c r="H3850" s="1">
        <f t="shared" si="540"/>
        <v>0.75999999999999979</v>
      </c>
      <c r="I3850" s="9">
        <f t="shared" si="547"/>
        <v>5.7838660578386589E-2</v>
      </c>
      <c r="J3850" s="1">
        <f t="shared" si="548"/>
        <v>0.87000000000000099</v>
      </c>
      <c r="K3850" s="9">
        <f t="shared" si="541"/>
        <v>6.7599067599067683E-2</v>
      </c>
      <c r="L3850" s="1">
        <f t="shared" si="542"/>
        <v>1</v>
      </c>
      <c r="M3850" s="1">
        <f t="shared" si="543"/>
        <v>13.9</v>
      </c>
      <c r="N3850" s="1">
        <f t="shared" si="544"/>
        <v>13.14</v>
      </c>
      <c r="O3850" s="1">
        <f t="shared" si="545"/>
        <v>11.780000000000001</v>
      </c>
      <c r="P3850" s="1">
        <f t="shared" si="546"/>
        <v>6.0102040816326534</v>
      </c>
    </row>
    <row r="3851" spans="1:16">
      <c r="A3851" s="2">
        <v>37473</v>
      </c>
      <c r="B3851" s="1">
        <v>13.65</v>
      </c>
      <c r="C3851" s="1">
        <v>13.79</v>
      </c>
      <c r="D3851" s="1">
        <v>12.78</v>
      </c>
      <c r="E3851" s="1">
        <v>12.87</v>
      </c>
      <c r="F3851" s="1">
        <v>3857300</v>
      </c>
      <c r="G3851" s="1">
        <v>12.87</v>
      </c>
      <c r="H3851" s="1">
        <f t="shared" si="540"/>
        <v>1.0099999999999998</v>
      </c>
      <c r="I3851" s="9">
        <f t="shared" si="547"/>
        <v>7.9029733959311413E-2</v>
      </c>
      <c r="J3851" s="1">
        <f t="shared" si="548"/>
        <v>-0.97000000000000064</v>
      </c>
      <c r="K3851" s="9">
        <f t="shared" si="541"/>
        <v>-7.008670520231218E-2</v>
      </c>
      <c r="L3851" s="1">
        <f t="shared" si="542"/>
        <v>1</v>
      </c>
      <c r="M3851" s="1">
        <f t="shared" si="543"/>
        <v>13.79</v>
      </c>
      <c r="N3851" s="1">
        <f t="shared" si="544"/>
        <v>12.78</v>
      </c>
      <c r="O3851" s="1">
        <f t="shared" si="545"/>
        <v>10.91</v>
      </c>
      <c r="P3851" s="1">
        <f t="shared" si="546"/>
        <v>5.5663265306122449</v>
      </c>
    </row>
    <row r="3852" spans="1:16">
      <c r="A3852" s="2">
        <v>37470</v>
      </c>
      <c r="B3852" s="1">
        <v>14.13</v>
      </c>
      <c r="C3852" s="1">
        <v>14.14</v>
      </c>
      <c r="D3852" s="1">
        <v>13.45</v>
      </c>
      <c r="E3852" s="1">
        <v>13.84</v>
      </c>
      <c r="F3852" s="1">
        <v>4178600</v>
      </c>
      <c r="G3852" s="1">
        <v>13.84</v>
      </c>
      <c r="H3852" s="1">
        <f t="shared" si="540"/>
        <v>0.69000000000000128</v>
      </c>
      <c r="I3852" s="9">
        <f t="shared" si="547"/>
        <v>5.1301115241635782E-2</v>
      </c>
      <c r="J3852" s="1">
        <f t="shared" si="548"/>
        <v>-0.32000000000000028</v>
      </c>
      <c r="K3852" s="9">
        <f t="shared" si="541"/>
        <v>-2.2598870056497196E-2</v>
      </c>
      <c r="L3852" s="1">
        <f t="shared" si="542"/>
        <v>1</v>
      </c>
      <c r="M3852" s="1">
        <f t="shared" si="543"/>
        <v>14.14</v>
      </c>
      <c r="N3852" s="1">
        <f t="shared" si="544"/>
        <v>13.45</v>
      </c>
      <c r="O3852" s="1">
        <f t="shared" si="545"/>
        <v>11.879999999999999</v>
      </c>
      <c r="P3852" s="1">
        <f t="shared" si="546"/>
        <v>6.0612244897959178</v>
      </c>
    </row>
    <row r="3853" spans="1:16">
      <c r="A3853" s="2">
        <v>37469</v>
      </c>
      <c r="B3853" s="1">
        <v>14.31</v>
      </c>
      <c r="C3853" s="1">
        <v>14.5</v>
      </c>
      <c r="D3853" s="1">
        <v>13.99</v>
      </c>
      <c r="E3853" s="1">
        <v>14.16</v>
      </c>
      <c r="F3853" s="1">
        <v>6066800</v>
      </c>
      <c r="G3853" s="1">
        <v>14.16</v>
      </c>
      <c r="H3853" s="1">
        <f t="shared" si="540"/>
        <v>0.50999999999999979</v>
      </c>
      <c r="I3853" s="9">
        <f t="shared" si="547"/>
        <v>3.6454610436025714E-2</v>
      </c>
      <c r="J3853" s="1">
        <f t="shared" si="548"/>
        <v>-0.28999999999999915</v>
      </c>
      <c r="K3853" s="9">
        <f t="shared" si="541"/>
        <v>-2.0069204152249078E-2</v>
      </c>
      <c r="L3853" s="1">
        <f t="shared" si="542"/>
        <v>1</v>
      </c>
      <c r="M3853" s="1">
        <f t="shared" si="543"/>
        <v>14.5</v>
      </c>
      <c r="N3853" s="1">
        <f t="shared" si="544"/>
        <v>13.99</v>
      </c>
      <c r="O3853" s="1">
        <f t="shared" si="545"/>
        <v>12.2</v>
      </c>
      <c r="P3853" s="1">
        <f t="shared" si="546"/>
        <v>6.2244897959183669</v>
      </c>
    </row>
    <row r="3854" spans="1:16">
      <c r="A3854" s="2">
        <v>37468</v>
      </c>
      <c r="B3854" s="1">
        <v>14.45</v>
      </c>
      <c r="C3854" s="1">
        <v>14.66</v>
      </c>
      <c r="D3854" s="1">
        <v>14.14</v>
      </c>
      <c r="E3854" s="1">
        <v>14.45</v>
      </c>
      <c r="F3854" s="1">
        <v>3801000</v>
      </c>
      <c r="G3854" s="1">
        <v>14.45</v>
      </c>
      <c r="H3854" s="1">
        <f t="shared" si="540"/>
        <v>0.51999999999999957</v>
      </c>
      <c r="I3854" s="9">
        <f t="shared" si="547"/>
        <v>3.677510608203674E-2</v>
      </c>
      <c r="J3854" s="1">
        <f t="shared" si="548"/>
        <v>-0.32000000000000028</v>
      </c>
      <c r="K3854" s="9">
        <f t="shared" si="541"/>
        <v>-2.1665538253215998E-2</v>
      </c>
      <c r="L3854" s="1">
        <f t="shared" si="542"/>
        <v>1</v>
      </c>
      <c r="M3854" s="1">
        <f t="shared" si="543"/>
        <v>14.66</v>
      </c>
      <c r="N3854" s="1">
        <f t="shared" si="544"/>
        <v>14.14</v>
      </c>
      <c r="O3854" s="1">
        <f t="shared" si="545"/>
        <v>12.489999999999998</v>
      </c>
      <c r="P3854" s="1">
        <f t="shared" si="546"/>
        <v>6.3724489795918364</v>
      </c>
    </row>
    <row r="3855" spans="1:16">
      <c r="A3855" s="2">
        <v>37467</v>
      </c>
      <c r="B3855" s="1">
        <v>14.19</v>
      </c>
      <c r="C3855" s="1">
        <v>14.9</v>
      </c>
      <c r="D3855" s="1">
        <v>14.08</v>
      </c>
      <c r="E3855" s="1">
        <v>14.77</v>
      </c>
      <c r="F3855" s="1">
        <v>5558900</v>
      </c>
      <c r="G3855" s="1">
        <v>14.77</v>
      </c>
      <c r="H3855" s="1">
        <f t="shared" si="540"/>
        <v>0.82000000000000028</v>
      </c>
      <c r="I3855" s="9">
        <f t="shared" si="547"/>
        <v>5.8238636363636381E-2</v>
      </c>
      <c r="J3855" s="1">
        <f t="shared" si="548"/>
        <v>0.4399999999999995</v>
      </c>
      <c r="K3855" s="9">
        <f t="shared" si="541"/>
        <v>3.0704815073272818E-2</v>
      </c>
      <c r="L3855" s="1">
        <f t="shared" si="542"/>
        <v>1</v>
      </c>
      <c r="M3855" s="1">
        <f t="shared" si="543"/>
        <v>14.9</v>
      </c>
      <c r="N3855" s="1">
        <f t="shared" si="544"/>
        <v>14.08</v>
      </c>
      <c r="O3855" s="1">
        <f t="shared" si="545"/>
        <v>12.809999999999999</v>
      </c>
      <c r="P3855" s="1">
        <f t="shared" si="546"/>
        <v>6.5357142857142856</v>
      </c>
    </row>
    <row r="3856" spans="1:16">
      <c r="A3856" s="2">
        <v>37466</v>
      </c>
      <c r="B3856" s="1">
        <v>13.25</v>
      </c>
      <c r="C3856" s="1">
        <v>14.46</v>
      </c>
      <c r="D3856" s="1">
        <v>13.23</v>
      </c>
      <c r="E3856" s="1">
        <v>14.33</v>
      </c>
      <c r="F3856" s="1">
        <v>7049500</v>
      </c>
      <c r="G3856" s="1">
        <v>14.33</v>
      </c>
      <c r="H3856" s="1">
        <f t="shared" si="540"/>
        <v>1.2300000000000004</v>
      </c>
      <c r="I3856" s="9">
        <f t="shared" si="547"/>
        <v>9.2970521541950138E-2</v>
      </c>
      <c r="J3856" s="1">
        <f t="shared" si="548"/>
        <v>1.4000000000000004</v>
      </c>
      <c r="K3856" s="9">
        <f t="shared" si="541"/>
        <v>0.10827532869296214</v>
      </c>
      <c r="L3856" s="1">
        <f t="shared" si="542"/>
        <v>1</v>
      </c>
      <c r="M3856" s="1">
        <f t="shared" si="543"/>
        <v>14.46</v>
      </c>
      <c r="N3856" s="1">
        <f t="shared" si="544"/>
        <v>13.23</v>
      </c>
      <c r="O3856" s="1">
        <f t="shared" si="545"/>
        <v>12.370000000000001</v>
      </c>
      <c r="P3856" s="1">
        <f t="shared" si="546"/>
        <v>6.3112244897959187</v>
      </c>
    </row>
    <row r="3857" spans="1:16">
      <c r="A3857" s="2">
        <v>37463</v>
      </c>
      <c r="B3857" s="1">
        <v>12.72</v>
      </c>
      <c r="C3857" s="1">
        <v>13.11</v>
      </c>
      <c r="D3857" s="1">
        <v>12.5</v>
      </c>
      <c r="E3857" s="1">
        <v>12.93</v>
      </c>
      <c r="F3857" s="1">
        <v>5556700</v>
      </c>
      <c r="G3857" s="1">
        <v>12.93</v>
      </c>
      <c r="H3857" s="1">
        <f t="shared" si="540"/>
        <v>0.60999999999999943</v>
      </c>
      <c r="I3857" s="9">
        <f t="shared" si="547"/>
        <v>4.8799999999999955E-2</v>
      </c>
      <c r="J3857" s="1">
        <f t="shared" si="548"/>
        <v>0.4399999999999995</v>
      </c>
      <c r="K3857" s="9">
        <f t="shared" si="541"/>
        <v>3.5228182546036789E-2</v>
      </c>
      <c r="L3857" s="1">
        <f t="shared" si="542"/>
        <v>1</v>
      </c>
      <c r="M3857" s="1">
        <f t="shared" si="543"/>
        <v>13.11</v>
      </c>
      <c r="N3857" s="1">
        <f t="shared" si="544"/>
        <v>12.5</v>
      </c>
      <c r="O3857" s="1">
        <f t="shared" si="545"/>
        <v>10.969999999999999</v>
      </c>
      <c r="P3857" s="1">
        <f t="shared" si="546"/>
        <v>5.5969387755102034</v>
      </c>
    </row>
    <row r="3858" spans="1:16">
      <c r="A3858" s="2">
        <v>37462</v>
      </c>
      <c r="B3858" s="1">
        <v>13.71</v>
      </c>
      <c r="C3858" s="1">
        <v>14.01</v>
      </c>
      <c r="D3858" s="1">
        <v>12.4</v>
      </c>
      <c r="E3858" s="1">
        <v>12.49</v>
      </c>
      <c r="F3858" s="1">
        <v>9360200</v>
      </c>
      <c r="G3858" s="1">
        <v>12.49</v>
      </c>
      <c r="H3858" s="1">
        <f t="shared" si="540"/>
        <v>1.6099999999999994</v>
      </c>
      <c r="I3858" s="9">
        <f t="shared" si="547"/>
        <v>0.12983870967741931</v>
      </c>
      <c r="J3858" s="1">
        <f t="shared" si="548"/>
        <v>-1.6099999999999994</v>
      </c>
      <c r="K3858" s="9">
        <f t="shared" si="541"/>
        <v>-0.11418439716312052</v>
      </c>
      <c r="L3858" s="1">
        <f t="shared" si="542"/>
        <v>1</v>
      </c>
      <c r="M3858" s="1">
        <f t="shared" si="543"/>
        <v>14.01</v>
      </c>
      <c r="N3858" s="1">
        <f t="shared" si="544"/>
        <v>12.4</v>
      </c>
      <c r="O3858" s="1">
        <f t="shared" si="545"/>
        <v>10.530000000000001</v>
      </c>
      <c r="P3858" s="1">
        <f t="shared" si="546"/>
        <v>5.3724489795918373</v>
      </c>
    </row>
    <row r="3859" spans="1:16">
      <c r="A3859" s="2">
        <v>37461</v>
      </c>
      <c r="B3859" s="1">
        <v>12.37</v>
      </c>
      <c r="C3859" s="1">
        <v>14.16</v>
      </c>
      <c r="D3859" s="1">
        <v>12.26</v>
      </c>
      <c r="E3859" s="1">
        <v>14.1</v>
      </c>
      <c r="F3859" s="1">
        <v>19766300</v>
      </c>
      <c r="G3859" s="1">
        <v>14.1</v>
      </c>
      <c r="H3859" s="1">
        <f t="shared" si="540"/>
        <v>1.9000000000000004</v>
      </c>
      <c r="I3859" s="9">
        <f t="shared" si="547"/>
        <v>0.15497553017944538</v>
      </c>
      <c r="J3859" s="1">
        <f t="shared" si="548"/>
        <v>-0.45000000000000107</v>
      </c>
      <c r="K3859" s="9">
        <f t="shared" si="541"/>
        <v>-3.0927835051546462E-2</v>
      </c>
      <c r="L3859" s="1">
        <f t="shared" si="542"/>
        <v>1</v>
      </c>
      <c r="M3859" s="1">
        <f t="shared" si="543"/>
        <v>14.16</v>
      </c>
      <c r="N3859" s="1">
        <f t="shared" si="544"/>
        <v>12.26</v>
      </c>
      <c r="O3859" s="1">
        <f t="shared" si="545"/>
        <v>12.14</v>
      </c>
      <c r="P3859" s="1">
        <f t="shared" si="546"/>
        <v>6.1938775510204085</v>
      </c>
    </row>
    <row r="3860" spans="1:16">
      <c r="A3860" s="2">
        <v>37460</v>
      </c>
      <c r="B3860" s="1">
        <v>15.54</v>
      </c>
      <c r="C3860" s="1">
        <v>15.88</v>
      </c>
      <c r="D3860" s="1">
        <v>14.4</v>
      </c>
      <c r="E3860" s="1">
        <v>14.55</v>
      </c>
      <c r="F3860" s="1">
        <v>11291400</v>
      </c>
      <c r="G3860" s="1">
        <v>14.55</v>
      </c>
      <c r="H3860" s="1">
        <f t="shared" si="540"/>
        <v>1.4800000000000004</v>
      </c>
      <c r="I3860" s="9">
        <f t="shared" si="547"/>
        <v>0.1027777777777778</v>
      </c>
      <c r="J3860" s="1">
        <f t="shared" si="548"/>
        <v>-0.94999999999999929</v>
      </c>
      <c r="K3860" s="9">
        <f t="shared" si="541"/>
        <v>-6.1290322580645117E-2</v>
      </c>
      <c r="L3860" s="1">
        <f t="shared" si="542"/>
        <v>1</v>
      </c>
      <c r="M3860" s="1">
        <f t="shared" si="543"/>
        <v>15.88</v>
      </c>
      <c r="N3860" s="1">
        <f t="shared" si="544"/>
        <v>14.4</v>
      </c>
      <c r="O3860" s="1">
        <f t="shared" si="545"/>
        <v>12.59</v>
      </c>
      <c r="P3860" s="1">
        <f t="shared" si="546"/>
        <v>6.4234693877551017</v>
      </c>
    </row>
    <row r="3861" spans="1:16">
      <c r="A3861" s="2">
        <v>37459</v>
      </c>
      <c r="B3861" s="1">
        <v>15.15</v>
      </c>
      <c r="C3861" s="1">
        <v>15.65</v>
      </c>
      <c r="D3861" s="1">
        <v>15</v>
      </c>
      <c r="E3861" s="1">
        <v>15.5</v>
      </c>
      <c r="F3861" s="1">
        <v>9332900</v>
      </c>
      <c r="G3861" s="1">
        <v>15.5</v>
      </c>
      <c r="H3861" s="1">
        <f t="shared" si="540"/>
        <v>0.65000000000000036</v>
      </c>
      <c r="I3861" s="9">
        <f t="shared" si="547"/>
        <v>4.3333333333333356E-2</v>
      </c>
      <c r="J3861" s="1">
        <f t="shared" si="548"/>
        <v>0.21000000000000085</v>
      </c>
      <c r="K3861" s="9">
        <f t="shared" si="541"/>
        <v>1.37344669718771E-2</v>
      </c>
      <c r="L3861" s="1">
        <f t="shared" si="542"/>
        <v>1</v>
      </c>
      <c r="M3861" s="1">
        <f t="shared" si="543"/>
        <v>15.65</v>
      </c>
      <c r="N3861" s="1">
        <f t="shared" si="544"/>
        <v>15</v>
      </c>
      <c r="O3861" s="1">
        <f t="shared" si="545"/>
        <v>13.54</v>
      </c>
      <c r="P3861" s="1">
        <f t="shared" si="546"/>
        <v>6.908163265306122</v>
      </c>
    </row>
    <row r="3862" spans="1:16">
      <c r="A3862" s="2">
        <v>37456</v>
      </c>
      <c r="B3862" s="1">
        <v>15.36</v>
      </c>
      <c r="C3862" s="1">
        <v>15.71</v>
      </c>
      <c r="D3862" s="1">
        <v>15.07</v>
      </c>
      <c r="E3862" s="1">
        <v>15.29</v>
      </c>
      <c r="F3862" s="1">
        <v>6105800</v>
      </c>
      <c r="G3862" s="1">
        <v>15.29</v>
      </c>
      <c r="H3862" s="1">
        <f t="shared" si="540"/>
        <v>0.64000000000000057</v>
      </c>
      <c r="I3862" s="9">
        <f t="shared" si="547"/>
        <v>4.2468480424684839E-2</v>
      </c>
      <c r="J3862" s="1">
        <f t="shared" si="548"/>
        <v>-0.26000000000000156</v>
      </c>
      <c r="K3862" s="9">
        <f t="shared" si="541"/>
        <v>-1.6720257234726789E-2</v>
      </c>
      <c r="L3862" s="1">
        <f t="shared" si="542"/>
        <v>1</v>
      </c>
      <c r="M3862" s="1">
        <f t="shared" si="543"/>
        <v>15.71</v>
      </c>
      <c r="N3862" s="1">
        <f t="shared" si="544"/>
        <v>15.07</v>
      </c>
      <c r="O3862" s="1">
        <f t="shared" si="545"/>
        <v>13.329999999999998</v>
      </c>
      <c r="P3862" s="1">
        <f t="shared" si="546"/>
        <v>6.8010204081632644</v>
      </c>
    </row>
    <row r="3863" spans="1:16">
      <c r="A3863" s="2">
        <v>37455</v>
      </c>
      <c r="B3863" s="1">
        <v>15.92</v>
      </c>
      <c r="C3863" s="1">
        <v>16.59</v>
      </c>
      <c r="D3863" s="1">
        <v>15.53</v>
      </c>
      <c r="E3863" s="1">
        <v>15.55</v>
      </c>
      <c r="F3863" s="1">
        <v>6856700</v>
      </c>
      <c r="G3863" s="1">
        <v>15.55</v>
      </c>
      <c r="H3863" s="1">
        <f t="shared" si="540"/>
        <v>1.0600000000000005</v>
      </c>
      <c r="I3863" s="9">
        <f t="shared" si="547"/>
        <v>6.8254990341274982E-2</v>
      </c>
      <c r="J3863" s="1">
        <f t="shared" si="548"/>
        <v>-0.60999999999999943</v>
      </c>
      <c r="K3863" s="9">
        <f t="shared" si="541"/>
        <v>-3.7747524752475212E-2</v>
      </c>
      <c r="L3863" s="1">
        <f t="shared" si="542"/>
        <v>1</v>
      </c>
      <c r="M3863" s="1">
        <f t="shared" si="543"/>
        <v>16.59</v>
      </c>
      <c r="N3863" s="1">
        <f t="shared" si="544"/>
        <v>15.53</v>
      </c>
      <c r="O3863" s="1">
        <f t="shared" si="545"/>
        <v>13.59</v>
      </c>
      <c r="P3863" s="1">
        <f t="shared" si="546"/>
        <v>6.9336734693877551</v>
      </c>
    </row>
    <row r="3864" spans="1:16">
      <c r="A3864" s="2">
        <v>37454</v>
      </c>
      <c r="B3864" s="1">
        <v>16.84</v>
      </c>
      <c r="C3864" s="1">
        <v>17.16</v>
      </c>
      <c r="D3864" s="1">
        <v>15.32</v>
      </c>
      <c r="E3864" s="1">
        <v>16.16</v>
      </c>
      <c r="F3864" s="1">
        <v>7322100</v>
      </c>
      <c r="G3864" s="1">
        <v>16.16</v>
      </c>
      <c r="H3864" s="1">
        <f t="shared" si="540"/>
        <v>1.8399999999999999</v>
      </c>
      <c r="I3864" s="9">
        <f t="shared" si="547"/>
        <v>0.12010443864229764</v>
      </c>
      <c r="J3864" s="1">
        <f t="shared" si="548"/>
        <v>-0.12999999999999901</v>
      </c>
      <c r="K3864" s="9">
        <f t="shared" si="541"/>
        <v>-7.9803560466543289E-3</v>
      </c>
      <c r="L3864" s="1">
        <f t="shared" si="542"/>
        <v>1</v>
      </c>
      <c r="M3864" s="1">
        <f t="shared" si="543"/>
        <v>17.16</v>
      </c>
      <c r="N3864" s="1">
        <f t="shared" si="544"/>
        <v>15.32</v>
      </c>
      <c r="O3864" s="1">
        <f t="shared" si="545"/>
        <v>14.2</v>
      </c>
      <c r="P3864" s="1">
        <f t="shared" si="546"/>
        <v>7.2448979591836729</v>
      </c>
    </row>
    <row r="3865" spans="1:16">
      <c r="A3865" s="2">
        <v>37453</v>
      </c>
      <c r="B3865" s="1">
        <v>15.69</v>
      </c>
      <c r="C3865" s="1">
        <v>17.07</v>
      </c>
      <c r="D3865" s="1">
        <v>15.66</v>
      </c>
      <c r="E3865" s="1">
        <v>16.29</v>
      </c>
      <c r="F3865" s="1">
        <v>10790700</v>
      </c>
      <c r="G3865" s="1">
        <v>16.29</v>
      </c>
      <c r="H3865" s="1">
        <f t="shared" si="540"/>
        <v>1.4100000000000001</v>
      </c>
      <c r="I3865" s="9">
        <f t="shared" si="547"/>
        <v>9.0038314176245221E-2</v>
      </c>
      <c r="J3865" s="1">
        <f t="shared" si="548"/>
        <v>0.34999999999999964</v>
      </c>
      <c r="K3865" s="9">
        <f t="shared" si="541"/>
        <v>2.1957340025094082E-2</v>
      </c>
      <c r="L3865" s="1">
        <f t="shared" si="542"/>
        <v>1</v>
      </c>
      <c r="M3865" s="1">
        <f t="shared" si="543"/>
        <v>17.07</v>
      </c>
      <c r="N3865" s="1">
        <f t="shared" si="544"/>
        <v>15.66</v>
      </c>
      <c r="O3865" s="1">
        <f t="shared" si="545"/>
        <v>14.329999999999998</v>
      </c>
      <c r="P3865" s="1">
        <f t="shared" si="546"/>
        <v>7.3112244897959178</v>
      </c>
    </row>
    <row r="3866" spans="1:16">
      <c r="A3866" s="2">
        <v>37452</v>
      </c>
      <c r="B3866" s="1">
        <v>15.47</v>
      </c>
      <c r="C3866" s="1">
        <v>15.98</v>
      </c>
      <c r="D3866" s="1">
        <v>15</v>
      </c>
      <c r="E3866" s="1">
        <v>15.94</v>
      </c>
      <c r="F3866" s="1">
        <v>6026100</v>
      </c>
      <c r="G3866" s="1">
        <v>15.94</v>
      </c>
      <c r="H3866" s="1">
        <f t="shared" si="540"/>
        <v>0.98000000000000043</v>
      </c>
      <c r="I3866" s="9">
        <f t="shared" si="547"/>
        <v>6.5333333333333368E-2</v>
      </c>
      <c r="J3866" s="1">
        <f t="shared" si="548"/>
        <v>0.50999999999999979</v>
      </c>
      <c r="K3866" s="9">
        <f t="shared" si="541"/>
        <v>3.3052495139338937E-2</v>
      </c>
      <c r="L3866" s="1">
        <f t="shared" si="542"/>
        <v>1</v>
      </c>
      <c r="M3866" s="1">
        <f t="shared" si="543"/>
        <v>15.98</v>
      </c>
      <c r="N3866" s="1">
        <f t="shared" si="544"/>
        <v>15</v>
      </c>
      <c r="O3866" s="1">
        <f t="shared" si="545"/>
        <v>13.98</v>
      </c>
      <c r="P3866" s="1">
        <f t="shared" si="546"/>
        <v>7.1326530612244898</v>
      </c>
    </row>
    <row r="3867" spans="1:16">
      <c r="A3867" s="2">
        <v>37449</v>
      </c>
      <c r="B3867" s="1">
        <v>15.75</v>
      </c>
      <c r="C3867" s="1">
        <v>16.190000000000001</v>
      </c>
      <c r="D3867" s="1">
        <v>15.25</v>
      </c>
      <c r="E3867" s="1">
        <v>15.43</v>
      </c>
      <c r="F3867" s="1">
        <v>7000000</v>
      </c>
      <c r="G3867" s="1">
        <v>15.43</v>
      </c>
      <c r="H3867" s="1">
        <f t="shared" si="540"/>
        <v>0.94000000000000128</v>
      </c>
      <c r="I3867" s="9">
        <f t="shared" si="547"/>
        <v>6.1639344262295163E-2</v>
      </c>
      <c r="J3867" s="1">
        <f t="shared" si="548"/>
        <v>-0.12000000000000099</v>
      </c>
      <c r="K3867" s="9">
        <f t="shared" si="541"/>
        <v>-7.7170418006431507E-3</v>
      </c>
      <c r="L3867" s="1">
        <f t="shared" si="542"/>
        <v>1</v>
      </c>
      <c r="M3867" s="1">
        <f t="shared" si="543"/>
        <v>16.190000000000001</v>
      </c>
      <c r="N3867" s="1">
        <f t="shared" si="544"/>
        <v>15.25</v>
      </c>
      <c r="O3867" s="1">
        <f t="shared" si="545"/>
        <v>13.469999999999999</v>
      </c>
      <c r="P3867" s="1">
        <f t="shared" si="546"/>
        <v>6.8724489795918364</v>
      </c>
    </row>
    <row r="3868" spans="1:16">
      <c r="A3868" s="2">
        <v>37448</v>
      </c>
      <c r="B3868" s="1">
        <v>14.66</v>
      </c>
      <c r="C3868" s="1">
        <v>15.84</v>
      </c>
      <c r="D3868" s="1">
        <v>14</v>
      </c>
      <c r="E3868" s="1">
        <v>15.55</v>
      </c>
      <c r="F3868" s="1">
        <v>7317100</v>
      </c>
      <c r="G3868" s="1">
        <v>15.55</v>
      </c>
      <c r="H3868" s="1">
        <f t="shared" si="540"/>
        <v>1.8399999999999999</v>
      </c>
      <c r="I3868" s="9">
        <f t="shared" si="547"/>
        <v>0.13142857142857142</v>
      </c>
      <c r="J3868" s="1">
        <f t="shared" si="548"/>
        <v>0.58999999999999986</v>
      </c>
      <c r="K3868" s="9">
        <f t="shared" si="541"/>
        <v>3.9438502673796783E-2</v>
      </c>
      <c r="L3868" s="1">
        <f t="shared" si="542"/>
        <v>1</v>
      </c>
      <c r="M3868" s="1">
        <f t="shared" si="543"/>
        <v>15.84</v>
      </c>
      <c r="N3868" s="1">
        <f t="shared" si="544"/>
        <v>14</v>
      </c>
      <c r="O3868" s="1">
        <f t="shared" si="545"/>
        <v>13.59</v>
      </c>
      <c r="P3868" s="1">
        <f t="shared" si="546"/>
        <v>6.9336734693877551</v>
      </c>
    </row>
    <row r="3869" spans="1:16">
      <c r="A3869" s="2">
        <v>37447</v>
      </c>
      <c r="B3869" s="1">
        <v>15.65</v>
      </c>
      <c r="C3869" s="1">
        <v>15.94</v>
      </c>
      <c r="D3869" s="1">
        <v>14.65</v>
      </c>
      <c r="E3869" s="1">
        <v>14.96</v>
      </c>
      <c r="F3869" s="1">
        <v>6761200</v>
      </c>
      <c r="G3869" s="1">
        <v>14.96</v>
      </c>
      <c r="H3869" s="1">
        <f t="shared" si="540"/>
        <v>1.2899999999999991</v>
      </c>
      <c r="I3869" s="9">
        <f t="shared" si="547"/>
        <v>8.8054607508532362E-2</v>
      </c>
      <c r="J3869" s="1">
        <f t="shared" si="548"/>
        <v>-0.63999999999999879</v>
      </c>
      <c r="K3869" s="9">
        <f t="shared" si="541"/>
        <v>-4.1025641025640949E-2</v>
      </c>
      <c r="L3869" s="1">
        <f t="shared" si="542"/>
        <v>1</v>
      </c>
      <c r="M3869" s="1">
        <f t="shared" si="543"/>
        <v>15.94</v>
      </c>
      <c r="N3869" s="1">
        <f t="shared" si="544"/>
        <v>14.65</v>
      </c>
      <c r="O3869" s="1">
        <f t="shared" si="545"/>
        <v>13</v>
      </c>
      <c r="P3869" s="1">
        <f t="shared" si="546"/>
        <v>6.6326530612244898</v>
      </c>
    </row>
    <row r="3870" spans="1:16">
      <c r="A3870" s="2">
        <v>37446</v>
      </c>
      <c r="B3870" s="1">
        <v>15.05</v>
      </c>
      <c r="C3870" s="1">
        <v>16.03</v>
      </c>
      <c r="D3870" s="1">
        <v>14.98</v>
      </c>
      <c r="E3870" s="1">
        <v>15.6</v>
      </c>
      <c r="F3870" s="1">
        <v>7528600</v>
      </c>
      <c r="G3870" s="1">
        <v>15.6</v>
      </c>
      <c r="H3870" s="1">
        <f t="shared" si="540"/>
        <v>1.0500000000000007</v>
      </c>
      <c r="I3870" s="9">
        <f t="shared" si="547"/>
        <v>7.0093457943925283E-2</v>
      </c>
      <c r="J3870" s="1">
        <f t="shared" si="548"/>
        <v>0.66000000000000014</v>
      </c>
      <c r="K3870" s="9">
        <f t="shared" si="541"/>
        <v>4.4176706827309245E-2</v>
      </c>
      <c r="L3870" s="1">
        <f t="shared" si="542"/>
        <v>1</v>
      </c>
      <c r="M3870" s="1">
        <f t="shared" si="543"/>
        <v>16.03</v>
      </c>
      <c r="N3870" s="1">
        <f t="shared" si="544"/>
        <v>14.98</v>
      </c>
      <c r="O3870" s="1">
        <f t="shared" si="545"/>
        <v>13.64</v>
      </c>
      <c r="P3870" s="1">
        <f t="shared" si="546"/>
        <v>6.9591836734693882</v>
      </c>
    </row>
    <row r="3871" spans="1:16">
      <c r="A3871" s="2">
        <v>37445</v>
      </c>
      <c r="B3871" s="1">
        <v>14.95</v>
      </c>
      <c r="C3871" s="1">
        <v>15.85</v>
      </c>
      <c r="D3871" s="1">
        <v>14.68</v>
      </c>
      <c r="E3871" s="1">
        <v>14.94</v>
      </c>
      <c r="F3871" s="1">
        <v>5890000</v>
      </c>
      <c r="G3871" s="1">
        <v>14.94</v>
      </c>
      <c r="H3871" s="1">
        <f t="shared" si="540"/>
        <v>1.17</v>
      </c>
      <c r="I3871" s="9">
        <f t="shared" si="547"/>
        <v>7.970027247956403E-2</v>
      </c>
      <c r="J3871" s="1">
        <f t="shared" si="548"/>
        <v>-0.27000000000000135</v>
      </c>
      <c r="K3871" s="9">
        <f t="shared" si="541"/>
        <v>-1.7751479289940916E-2</v>
      </c>
      <c r="L3871" s="1">
        <f t="shared" si="542"/>
        <v>1</v>
      </c>
      <c r="M3871" s="1">
        <f t="shared" si="543"/>
        <v>15.85</v>
      </c>
      <c r="N3871" s="1">
        <f t="shared" si="544"/>
        <v>14.68</v>
      </c>
      <c r="O3871" s="1">
        <f t="shared" si="545"/>
        <v>12.98</v>
      </c>
      <c r="P3871" s="1">
        <f t="shared" si="546"/>
        <v>6.6224489795918373</v>
      </c>
    </row>
    <row r="3872" spans="1:16">
      <c r="A3872" s="2">
        <v>37442</v>
      </c>
      <c r="B3872" s="1">
        <v>14.39</v>
      </c>
      <c r="C3872" s="1">
        <v>15.23</v>
      </c>
      <c r="D3872" s="1">
        <v>14.37</v>
      </c>
      <c r="E3872" s="1">
        <v>15.21</v>
      </c>
      <c r="F3872" s="1">
        <v>3366900</v>
      </c>
      <c r="G3872" s="1">
        <v>15.21</v>
      </c>
      <c r="H3872" s="1">
        <f t="shared" si="540"/>
        <v>0.86000000000000121</v>
      </c>
      <c r="I3872" s="9">
        <f t="shared" si="547"/>
        <v>5.9846903270702939E-2</v>
      </c>
      <c r="J3872" s="1">
        <f t="shared" si="548"/>
        <v>0.96000000000000085</v>
      </c>
      <c r="K3872" s="9">
        <f t="shared" si="541"/>
        <v>6.7368421052631633E-2</v>
      </c>
      <c r="L3872" s="1">
        <f t="shared" si="542"/>
        <v>1</v>
      </c>
      <c r="M3872" s="1">
        <f t="shared" si="543"/>
        <v>15.23</v>
      </c>
      <c r="N3872" s="1">
        <f t="shared" si="544"/>
        <v>14.37</v>
      </c>
      <c r="O3872" s="1">
        <f t="shared" si="545"/>
        <v>13.25</v>
      </c>
      <c r="P3872" s="1">
        <f t="shared" si="546"/>
        <v>6.7602040816326534</v>
      </c>
    </row>
    <row r="3873" spans="1:16">
      <c r="A3873" s="2">
        <v>37440</v>
      </c>
      <c r="B3873" s="1">
        <v>13.38</v>
      </c>
      <c r="C3873" s="1">
        <v>14.46</v>
      </c>
      <c r="D3873" s="1">
        <v>12.89</v>
      </c>
      <c r="E3873" s="1">
        <v>14.25</v>
      </c>
      <c r="F3873" s="1">
        <v>7703700</v>
      </c>
      <c r="G3873" s="1">
        <v>14.25</v>
      </c>
      <c r="H3873" s="1">
        <f t="shared" si="540"/>
        <v>1.5700000000000003</v>
      </c>
      <c r="I3873" s="9">
        <f t="shared" si="547"/>
        <v>0.121799844840962</v>
      </c>
      <c r="J3873" s="1">
        <f t="shared" si="548"/>
        <v>0.92999999999999972</v>
      </c>
      <c r="K3873" s="9">
        <f t="shared" si="541"/>
        <v>6.9819819819819801E-2</v>
      </c>
      <c r="L3873" s="1">
        <f t="shared" si="542"/>
        <v>1</v>
      </c>
      <c r="M3873" s="1">
        <f t="shared" si="543"/>
        <v>14.46</v>
      </c>
      <c r="N3873" s="1">
        <f t="shared" si="544"/>
        <v>12.89</v>
      </c>
      <c r="O3873" s="1">
        <f t="shared" si="545"/>
        <v>12.29</v>
      </c>
      <c r="P3873" s="1">
        <f t="shared" si="546"/>
        <v>6.2704081632653059</v>
      </c>
    </row>
    <row r="3874" spans="1:16">
      <c r="A3874" s="2">
        <v>37439</v>
      </c>
      <c r="B3874" s="1">
        <v>13.6</v>
      </c>
      <c r="C3874" s="1">
        <v>14.16</v>
      </c>
      <c r="D3874" s="1">
        <v>13</v>
      </c>
      <c r="E3874" s="1">
        <v>13.32</v>
      </c>
      <c r="F3874" s="1">
        <v>8669900</v>
      </c>
      <c r="G3874" s="1">
        <v>13.32</v>
      </c>
      <c r="H3874" s="1">
        <f t="shared" si="540"/>
        <v>1.1600000000000001</v>
      </c>
      <c r="I3874" s="9">
        <f t="shared" si="547"/>
        <v>8.9230769230769238E-2</v>
      </c>
      <c r="J3874" s="1">
        <f t="shared" si="548"/>
        <v>-0.23000000000000043</v>
      </c>
      <c r="K3874" s="9">
        <f t="shared" si="541"/>
        <v>-1.6974169741697447E-2</v>
      </c>
      <c r="L3874" s="1">
        <f t="shared" si="542"/>
        <v>1</v>
      </c>
      <c r="M3874" s="1">
        <f t="shared" si="543"/>
        <v>14.16</v>
      </c>
      <c r="N3874" s="1">
        <f t="shared" si="544"/>
        <v>13</v>
      </c>
      <c r="O3874" s="1">
        <f t="shared" si="545"/>
        <v>11.36</v>
      </c>
      <c r="P3874" s="1">
        <f t="shared" si="546"/>
        <v>5.795918367346939</v>
      </c>
    </row>
    <row r="3875" spans="1:16">
      <c r="A3875" s="2">
        <v>37438</v>
      </c>
      <c r="B3875" s="1">
        <v>16.170000000000002</v>
      </c>
      <c r="C3875" s="1">
        <v>16.170000000000002</v>
      </c>
      <c r="D3875" s="1">
        <v>13.52</v>
      </c>
      <c r="E3875" s="1">
        <v>13.55</v>
      </c>
      <c r="F3875" s="1">
        <v>13536500</v>
      </c>
      <c r="G3875" s="1">
        <v>13.55</v>
      </c>
      <c r="H3875" s="1">
        <f t="shared" si="540"/>
        <v>2.6500000000000021</v>
      </c>
      <c r="I3875" s="9">
        <f t="shared" si="547"/>
        <v>0.19600591715976348</v>
      </c>
      <c r="J3875" s="1">
        <f t="shared" si="548"/>
        <v>-2.6999999999999993</v>
      </c>
      <c r="K3875" s="9">
        <f t="shared" si="541"/>
        <v>-0.1661538461538461</v>
      </c>
      <c r="L3875" s="1">
        <f t="shared" si="542"/>
        <v>1</v>
      </c>
      <c r="M3875" s="1">
        <f t="shared" si="543"/>
        <v>16.170000000000002</v>
      </c>
      <c r="N3875" s="1">
        <f t="shared" si="544"/>
        <v>13.52</v>
      </c>
      <c r="O3875" s="1">
        <f t="shared" si="545"/>
        <v>11.59</v>
      </c>
      <c r="P3875" s="1">
        <f t="shared" si="546"/>
        <v>5.9132653061224492</v>
      </c>
    </row>
    <row r="3876" spans="1:16">
      <c r="A3876" s="2">
        <v>37435</v>
      </c>
      <c r="B3876" s="1">
        <v>15.69</v>
      </c>
      <c r="C3876" s="1">
        <v>16.36</v>
      </c>
      <c r="D3876" s="1">
        <v>15.4</v>
      </c>
      <c r="E3876" s="1">
        <v>16.25</v>
      </c>
      <c r="F3876" s="1">
        <v>6237900</v>
      </c>
      <c r="G3876" s="1">
        <v>16.25</v>
      </c>
      <c r="H3876" s="1">
        <f t="shared" si="540"/>
        <v>0.95999999999999908</v>
      </c>
      <c r="I3876" s="9">
        <f t="shared" si="547"/>
        <v>6.2337662337662275E-2</v>
      </c>
      <c r="J3876" s="1">
        <f t="shared" si="548"/>
        <v>0.39000000000000057</v>
      </c>
      <c r="K3876" s="9">
        <f t="shared" si="541"/>
        <v>2.4590163934426267E-2</v>
      </c>
      <c r="L3876" s="1">
        <f t="shared" si="542"/>
        <v>1</v>
      </c>
      <c r="M3876" s="1">
        <f t="shared" si="543"/>
        <v>16.36</v>
      </c>
      <c r="N3876" s="1">
        <f t="shared" si="544"/>
        <v>15.4</v>
      </c>
      <c r="O3876" s="1">
        <f t="shared" si="545"/>
        <v>14.29</v>
      </c>
      <c r="P3876" s="1">
        <f t="shared" si="546"/>
        <v>7.2908163265306118</v>
      </c>
    </row>
    <row r="3877" spans="1:16">
      <c r="A3877" s="2">
        <v>37434</v>
      </c>
      <c r="B3877" s="1">
        <v>16.11</v>
      </c>
      <c r="C3877" s="1">
        <v>16.47</v>
      </c>
      <c r="D3877" s="1">
        <v>15.3</v>
      </c>
      <c r="E3877" s="1">
        <v>15.86</v>
      </c>
      <c r="F3877" s="1">
        <v>6192000</v>
      </c>
      <c r="G3877" s="1">
        <v>15.86</v>
      </c>
      <c r="H3877" s="1">
        <f t="shared" si="540"/>
        <v>1.1699999999999982</v>
      </c>
      <c r="I3877" s="9">
        <f t="shared" si="547"/>
        <v>7.6470588235293999E-2</v>
      </c>
      <c r="J3877" s="1">
        <f t="shared" si="548"/>
        <v>9.9999999999997868E-3</v>
      </c>
      <c r="K3877" s="9">
        <f t="shared" si="541"/>
        <v>6.3091482649840931E-4</v>
      </c>
      <c r="L3877" s="1">
        <f t="shared" si="542"/>
        <v>1</v>
      </c>
      <c r="M3877" s="1">
        <f t="shared" si="543"/>
        <v>16.47</v>
      </c>
      <c r="N3877" s="1">
        <f t="shared" si="544"/>
        <v>15.3</v>
      </c>
      <c r="O3877" s="1">
        <f t="shared" si="545"/>
        <v>13.899999999999999</v>
      </c>
      <c r="P3877" s="1">
        <f t="shared" si="546"/>
        <v>7.0918367346938771</v>
      </c>
    </row>
    <row r="3878" spans="1:16">
      <c r="A3878" s="2">
        <v>37433</v>
      </c>
      <c r="B3878" s="1">
        <v>14.69</v>
      </c>
      <c r="C3878" s="1">
        <v>15.93</v>
      </c>
      <c r="D3878" s="1">
        <v>14.68</v>
      </c>
      <c r="E3878" s="1">
        <v>15.85</v>
      </c>
      <c r="F3878" s="1">
        <v>8272200</v>
      </c>
      <c r="G3878" s="1">
        <v>15.85</v>
      </c>
      <c r="H3878" s="1">
        <f t="shared" si="540"/>
        <v>1.25</v>
      </c>
      <c r="I3878" s="9">
        <f t="shared" si="547"/>
        <v>8.5149863760217992E-2</v>
      </c>
      <c r="J3878" s="1">
        <f t="shared" si="548"/>
        <v>0.50999999999999979</v>
      </c>
      <c r="K3878" s="9">
        <f t="shared" si="541"/>
        <v>3.3246414602346792E-2</v>
      </c>
      <c r="L3878" s="1">
        <f t="shared" si="542"/>
        <v>1</v>
      </c>
      <c r="M3878" s="1">
        <f t="shared" si="543"/>
        <v>15.93</v>
      </c>
      <c r="N3878" s="1">
        <f t="shared" si="544"/>
        <v>14.68</v>
      </c>
      <c r="O3878" s="1">
        <f t="shared" si="545"/>
        <v>13.89</v>
      </c>
      <c r="P3878" s="1">
        <f t="shared" si="546"/>
        <v>7.0867346938775517</v>
      </c>
    </row>
    <row r="3879" spans="1:16">
      <c r="A3879" s="2">
        <v>37432</v>
      </c>
      <c r="B3879" s="1">
        <v>16.89</v>
      </c>
      <c r="C3879" s="1">
        <v>16.95</v>
      </c>
      <c r="D3879" s="1">
        <v>15.04</v>
      </c>
      <c r="E3879" s="1">
        <v>15.34</v>
      </c>
      <c r="F3879" s="1">
        <v>15304000</v>
      </c>
      <c r="G3879" s="1">
        <v>15.34</v>
      </c>
      <c r="H3879" s="1">
        <f t="shared" si="540"/>
        <v>1.9100000000000001</v>
      </c>
      <c r="I3879" s="9">
        <f t="shared" si="547"/>
        <v>0.12699468085106386</v>
      </c>
      <c r="J3879" s="1">
        <f t="shared" si="548"/>
        <v>-2.1700000000000017</v>
      </c>
      <c r="K3879" s="9">
        <f t="shared" si="541"/>
        <v>-0.12392918332381504</v>
      </c>
      <c r="L3879" s="1">
        <f t="shared" si="542"/>
        <v>1</v>
      </c>
      <c r="M3879" s="1">
        <f t="shared" si="543"/>
        <v>16.95</v>
      </c>
      <c r="N3879" s="1">
        <f t="shared" si="544"/>
        <v>15.04</v>
      </c>
      <c r="O3879" s="1">
        <f t="shared" si="545"/>
        <v>13.379999999999999</v>
      </c>
      <c r="P3879" s="1">
        <f t="shared" si="546"/>
        <v>6.8265306122448974</v>
      </c>
    </row>
    <row r="3880" spans="1:16">
      <c r="A3880" s="2">
        <v>37431</v>
      </c>
      <c r="B3880" s="1">
        <v>17.43</v>
      </c>
      <c r="C3880" s="1">
        <v>17.78</v>
      </c>
      <c r="D3880" s="1">
        <v>16.940000000000001</v>
      </c>
      <c r="E3880" s="1">
        <v>17.510000000000002</v>
      </c>
      <c r="F3880" s="1">
        <v>5956800</v>
      </c>
      <c r="G3880" s="1">
        <v>17.510000000000002</v>
      </c>
      <c r="H3880" s="1">
        <f t="shared" si="540"/>
        <v>0.83999999999999986</v>
      </c>
      <c r="I3880" s="9">
        <f t="shared" si="547"/>
        <v>4.958677685950412E-2</v>
      </c>
      <c r="J3880" s="1">
        <f t="shared" si="548"/>
        <v>-1.9999999999999574E-2</v>
      </c>
      <c r="K3880" s="9">
        <f t="shared" si="541"/>
        <v>-1.1409013120364845E-3</v>
      </c>
      <c r="L3880" s="1">
        <f t="shared" si="542"/>
        <v>1</v>
      </c>
      <c r="M3880" s="1">
        <f t="shared" si="543"/>
        <v>17.78</v>
      </c>
      <c r="N3880" s="1">
        <f t="shared" si="544"/>
        <v>16.940000000000001</v>
      </c>
      <c r="O3880" s="1">
        <f t="shared" si="545"/>
        <v>15.55</v>
      </c>
      <c r="P3880" s="1">
        <f t="shared" si="546"/>
        <v>7.933673469387756</v>
      </c>
    </row>
    <row r="3881" spans="1:16">
      <c r="A3881" s="2">
        <v>37428</v>
      </c>
      <c r="B3881" s="1">
        <v>17.600000000000001</v>
      </c>
      <c r="C3881" s="1">
        <v>17.79</v>
      </c>
      <c r="D3881" s="1">
        <v>17.34</v>
      </c>
      <c r="E3881" s="1">
        <v>17.53</v>
      </c>
      <c r="F3881" s="1">
        <v>5176800</v>
      </c>
      <c r="G3881" s="1">
        <v>17.53</v>
      </c>
      <c r="H3881" s="1">
        <f t="shared" si="540"/>
        <v>0.44999999999999929</v>
      </c>
      <c r="I3881" s="9">
        <f t="shared" si="547"/>
        <v>2.5951557093425566E-2</v>
      </c>
      <c r="J3881" s="1">
        <f t="shared" si="548"/>
        <v>-1.9999999999999574E-2</v>
      </c>
      <c r="K3881" s="9">
        <f t="shared" si="541"/>
        <v>-1.1396011396011152E-3</v>
      </c>
      <c r="L3881" s="1">
        <f t="shared" si="542"/>
        <v>1</v>
      </c>
      <c r="M3881" s="1">
        <f t="shared" si="543"/>
        <v>17.79</v>
      </c>
      <c r="N3881" s="1">
        <f t="shared" si="544"/>
        <v>17.34</v>
      </c>
      <c r="O3881" s="1">
        <f t="shared" si="545"/>
        <v>15.57</v>
      </c>
      <c r="P3881" s="1">
        <f t="shared" si="546"/>
        <v>7.9438775510204085</v>
      </c>
    </row>
    <row r="3882" spans="1:16">
      <c r="A3882" s="2">
        <v>37427</v>
      </c>
      <c r="B3882" s="1">
        <v>18.32</v>
      </c>
      <c r="C3882" s="1">
        <v>18.38</v>
      </c>
      <c r="D3882" s="1">
        <v>17.34</v>
      </c>
      <c r="E3882" s="1">
        <v>17.55</v>
      </c>
      <c r="F3882" s="1">
        <v>8697000</v>
      </c>
      <c r="G3882" s="1">
        <v>17.55</v>
      </c>
      <c r="H3882" s="1">
        <f t="shared" si="540"/>
        <v>1.0399999999999991</v>
      </c>
      <c r="I3882" s="9">
        <f t="shared" si="547"/>
        <v>5.9976931949250238E-2</v>
      </c>
      <c r="J3882" s="1">
        <f t="shared" si="548"/>
        <v>-0.75</v>
      </c>
      <c r="K3882" s="9">
        <f t="shared" si="541"/>
        <v>-4.0983606557377046E-2</v>
      </c>
      <c r="L3882" s="1">
        <f t="shared" si="542"/>
        <v>1</v>
      </c>
      <c r="M3882" s="1">
        <f t="shared" si="543"/>
        <v>18.38</v>
      </c>
      <c r="N3882" s="1">
        <f t="shared" si="544"/>
        <v>17.34</v>
      </c>
      <c r="O3882" s="1">
        <f t="shared" si="545"/>
        <v>15.59</v>
      </c>
      <c r="P3882" s="1">
        <f t="shared" si="546"/>
        <v>7.954081632653061</v>
      </c>
    </row>
    <row r="3883" spans="1:16">
      <c r="A3883" s="2">
        <v>37426</v>
      </c>
      <c r="B3883" s="1">
        <v>18.489999999999998</v>
      </c>
      <c r="C3883" s="1">
        <v>19.100000000000001</v>
      </c>
      <c r="D3883" s="1">
        <v>18.27</v>
      </c>
      <c r="E3883" s="1">
        <v>18.3</v>
      </c>
      <c r="F3883" s="1">
        <v>7420300</v>
      </c>
      <c r="G3883" s="1">
        <v>18.3</v>
      </c>
      <c r="H3883" s="1">
        <f t="shared" si="540"/>
        <v>0.83000000000000185</v>
      </c>
      <c r="I3883" s="9">
        <f t="shared" si="547"/>
        <v>4.5429666119321394E-2</v>
      </c>
      <c r="J3883" s="1">
        <f t="shared" si="548"/>
        <v>-0.48000000000000043</v>
      </c>
      <c r="K3883" s="9">
        <f t="shared" si="541"/>
        <v>-2.5559105431309924E-2</v>
      </c>
      <c r="L3883" s="1">
        <f t="shared" si="542"/>
        <v>1</v>
      </c>
      <c r="M3883" s="1">
        <f t="shared" si="543"/>
        <v>19.100000000000001</v>
      </c>
      <c r="N3883" s="1">
        <f t="shared" si="544"/>
        <v>18.27</v>
      </c>
      <c r="O3883" s="1">
        <f t="shared" si="545"/>
        <v>16.34</v>
      </c>
      <c r="P3883" s="1">
        <f t="shared" si="546"/>
        <v>8.3367346938775508</v>
      </c>
    </row>
    <row r="3884" spans="1:16">
      <c r="A3884" s="2">
        <v>37425</v>
      </c>
      <c r="B3884" s="1">
        <v>18.13</v>
      </c>
      <c r="C3884" s="1">
        <v>19.16</v>
      </c>
      <c r="D3884" s="1">
        <v>18.09</v>
      </c>
      <c r="E3884" s="1">
        <v>18.78</v>
      </c>
      <c r="F3884" s="1">
        <v>7962100</v>
      </c>
      <c r="G3884" s="1">
        <v>18.78</v>
      </c>
      <c r="H3884" s="1">
        <f t="shared" si="540"/>
        <v>1.0700000000000003</v>
      </c>
      <c r="I3884" s="9">
        <f t="shared" si="547"/>
        <v>5.9148700939745731E-2</v>
      </c>
      <c r="J3884" s="1">
        <f t="shared" si="548"/>
        <v>0.37000000000000099</v>
      </c>
      <c r="K3884" s="9">
        <f t="shared" si="541"/>
        <v>2.0097772949484029E-2</v>
      </c>
      <c r="L3884" s="1">
        <f t="shared" si="542"/>
        <v>1</v>
      </c>
      <c r="M3884" s="1">
        <f t="shared" si="543"/>
        <v>19.16</v>
      </c>
      <c r="N3884" s="1">
        <f t="shared" si="544"/>
        <v>18.09</v>
      </c>
      <c r="O3884" s="1">
        <f t="shared" si="545"/>
        <v>16.82</v>
      </c>
      <c r="P3884" s="1">
        <f t="shared" si="546"/>
        <v>8.5816326530612255</v>
      </c>
    </row>
    <row r="3885" spans="1:16">
      <c r="A3885" s="2">
        <v>37424</v>
      </c>
      <c r="B3885" s="1">
        <v>16.95</v>
      </c>
      <c r="C3885" s="1">
        <v>18.48</v>
      </c>
      <c r="D3885" s="1">
        <v>16.86</v>
      </c>
      <c r="E3885" s="1">
        <v>18.41</v>
      </c>
      <c r="F3885" s="1">
        <v>9051600</v>
      </c>
      <c r="G3885" s="1">
        <v>18.41</v>
      </c>
      <c r="H3885" s="1">
        <f t="shared" si="540"/>
        <v>1.620000000000001</v>
      </c>
      <c r="I3885" s="9">
        <f t="shared" si="547"/>
        <v>9.6085409252669104E-2</v>
      </c>
      <c r="J3885" s="1">
        <f t="shared" si="548"/>
        <v>1.5899999999999999</v>
      </c>
      <c r="K3885" s="9">
        <f t="shared" si="541"/>
        <v>9.453032104637335E-2</v>
      </c>
      <c r="L3885" s="1">
        <f t="shared" si="542"/>
        <v>1</v>
      </c>
      <c r="M3885" s="1">
        <f t="shared" si="543"/>
        <v>18.48</v>
      </c>
      <c r="N3885" s="1">
        <f t="shared" si="544"/>
        <v>16.86</v>
      </c>
      <c r="O3885" s="1">
        <f t="shared" si="545"/>
        <v>16.45</v>
      </c>
      <c r="P3885" s="1">
        <f t="shared" si="546"/>
        <v>8.3928571428571423</v>
      </c>
    </row>
    <row r="3886" spans="1:16">
      <c r="A3886" s="2">
        <v>37421</v>
      </c>
      <c r="B3886" s="1">
        <v>17.14</v>
      </c>
      <c r="C3886" s="1">
        <v>17.399999999999999</v>
      </c>
      <c r="D3886" s="1">
        <v>16.260000000000002</v>
      </c>
      <c r="E3886" s="1">
        <v>16.82</v>
      </c>
      <c r="F3886" s="1">
        <v>7973200</v>
      </c>
      <c r="G3886" s="1">
        <v>16.82</v>
      </c>
      <c r="H3886" s="1">
        <f t="shared" si="540"/>
        <v>1.139999999999997</v>
      </c>
      <c r="I3886" s="9">
        <f t="shared" si="547"/>
        <v>7.0110701107010884E-2</v>
      </c>
      <c r="J3886" s="1">
        <f t="shared" si="548"/>
        <v>-0.60999999999999943</v>
      </c>
      <c r="K3886" s="9">
        <f t="shared" si="541"/>
        <v>-3.4997131382673519E-2</v>
      </c>
      <c r="L3886" s="1">
        <f t="shared" si="542"/>
        <v>1</v>
      </c>
      <c r="M3886" s="1">
        <f t="shared" si="543"/>
        <v>17.399999999999999</v>
      </c>
      <c r="N3886" s="1">
        <f t="shared" si="544"/>
        <v>16.260000000000002</v>
      </c>
      <c r="O3886" s="1">
        <f t="shared" si="545"/>
        <v>14.86</v>
      </c>
      <c r="P3886" s="1">
        <f t="shared" si="546"/>
        <v>7.5816326530612246</v>
      </c>
    </row>
    <row r="3887" spans="1:16">
      <c r="A3887" s="2">
        <v>37420</v>
      </c>
      <c r="B3887" s="1">
        <v>17</v>
      </c>
      <c r="C3887" s="1">
        <v>17.5</v>
      </c>
      <c r="D3887" s="1">
        <v>16.739999999999998</v>
      </c>
      <c r="E3887" s="1">
        <v>17.43</v>
      </c>
      <c r="F3887" s="1">
        <v>4892900</v>
      </c>
      <c r="G3887" s="1">
        <v>17.43</v>
      </c>
      <c r="H3887" s="1">
        <f t="shared" si="540"/>
        <v>0.76000000000000156</v>
      </c>
      <c r="I3887" s="9">
        <f t="shared" si="547"/>
        <v>4.5400238948626145E-2</v>
      </c>
      <c r="J3887" s="1">
        <f t="shared" si="548"/>
        <v>0.35000000000000142</v>
      </c>
      <c r="K3887" s="9">
        <f t="shared" si="541"/>
        <v>2.049180327868861E-2</v>
      </c>
      <c r="L3887" s="1">
        <f t="shared" si="542"/>
        <v>1</v>
      </c>
      <c r="M3887" s="1">
        <f t="shared" si="543"/>
        <v>17.5</v>
      </c>
      <c r="N3887" s="1">
        <f t="shared" si="544"/>
        <v>16.739999999999998</v>
      </c>
      <c r="O3887" s="1">
        <f t="shared" si="545"/>
        <v>15.469999999999999</v>
      </c>
      <c r="P3887" s="1">
        <f t="shared" si="546"/>
        <v>7.8928571428571423</v>
      </c>
    </row>
    <row r="3888" spans="1:16">
      <c r="A3888" s="2">
        <v>37419</v>
      </c>
      <c r="B3888" s="1">
        <v>17.05</v>
      </c>
      <c r="C3888" s="1">
        <v>17.149999999999999</v>
      </c>
      <c r="D3888" s="1">
        <v>16.260000000000002</v>
      </c>
      <c r="E3888" s="1">
        <v>17.079999999999998</v>
      </c>
      <c r="F3888" s="1">
        <v>7331200</v>
      </c>
      <c r="G3888" s="1">
        <v>17.079999999999998</v>
      </c>
      <c r="H3888" s="1">
        <f t="shared" si="540"/>
        <v>0.88999999999999702</v>
      </c>
      <c r="I3888" s="9">
        <f t="shared" si="547"/>
        <v>5.4735547355473368E-2</v>
      </c>
      <c r="J3888" s="1">
        <f t="shared" si="548"/>
        <v>-6.0000000000002274E-2</v>
      </c>
      <c r="K3888" s="9">
        <f t="shared" si="541"/>
        <v>-3.5005834305718944E-3</v>
      </c>
      <c r="L3888" s="1">
        <f t="shared" si="542"/>
        <v>1</v>
      </c>
      <c r="M3888" s="1">
        <f t="shared" si="543"/>
        <v>17.149999999999999</v>
      </c>
      <c r="N3888" s="1">
        <f t="shared" si="544"/>
        <v>16.260000000000002</v>
      </c>
      <c r="O3888" s="1">
        <f t="shared" si="545"/>
        <v>15.119999999999997</v>
      </c>
      <c r="P3888" s="1">
        <f t="shared" si="546"/>
        <v>7.7142857142857135</v>
      </c>
    </row>
    <row r="3889" spans="1:16">
      <c r="A3889" s="2">
        <v>37418</v>
      </c>
      <c r="B3889" s="1">
        <v>17.309999999999999</v>
      </c>
      <c r="C3889" s="1">
        <v>17.79</v>
      </c>
      <c r="D3889" s="1">
        <v>17.12</v>
      </c>
      <c r="E3889" s="1">
        <v>17.14</v>
      </c>
      <c r="F3889" s="1">
        <v>5520800</v>
      </c>
      <c r="G3889" s="1">
        <v>17.14</v>
      </c>
      <c r="H3889" s="1">
        <f t="shared" si="540"/>
        <v>0.66999999999999815</v>
      </c>
      <c r="I3889" s="9">
        <f t="shared" si="547"/>
        <v>3.9135514018691475E-2</v>
      </c>
      <c r="J3889" s="1">
        <f t="shared" si="548"/>
        <v>-0.16000000000000014</v>
      </c>
      <c r="K3889" s="9">
        <f t="shared" si="541"/>
        <v>-9.2485549132948052E-3</v>
      </c>
      <c r="L3889" s="1">
        <f t="shared" si="542"/>
        <v>1</v>
      </c>
      <c r="M3889" s="1">
        <f t="shared" si="543"/>
        <v>17.79</v>
      </c>
      <c r="N3889" s="1">
        <f t="shared" si="544"/>
        <v>17.12</v>
      </c>
      <c r="O3889" s="1">
        <f t="shared" si="545"/>
        <v>15.18</v>
      </c>
      <c r="P3889" s="1">
        <f t="shared" si="546"/>
        <v>7.7448979591836737</v>
      </c>
    </row>
    <row r="3890" spans="1:16">
      <c r="A3890" s="2">
        <v>37417</v>
      </c>
      <c r="B3890" s="1">
        <v>17.899999999999999</v>
      </c>
      <c r="C3890" s="1">
        <v>18.12</v>
      </c>
      <c r="D3890" s="1">
        <v>17.02</v>
      </c>
      <c r="E3890" s="1">
        <v>17.3</v>
      </c>
      <c r="F3890" s="1">
        <v>11082400</v>
      </c>
      <c r="G3890" s="1">
        <v>17.3</v>
      </c>
      <c r="H3890" s="1">
        <f t="shared" si="540"/>
        <v>1.1000000000000014</v>
      </c>
      <c r="I3890" s="9">
        <f t="shared" si="547"/>
        <v>6.4629847238542981E-2</v>
      </c>
      <c r="J3890" s="1">
        <f t="shared" si="548"/>
        <v>-1.2799999999999976</v>
      </c>
      <c r="K3890" s="9">
        <f t="shared" si="541"/>
        <v>-6.8891280947254996E-2</v>
      </c>
      <c r="L3890" s="1">
        <f t="shared" si="542"/>
        <v>1</v>
      </c>
      <c r="M3890" s="1">
        <f t="shared" si="543"/>
        <v>18.12</v>
      </c>
      <c r="N3890" s="1">
        <f t="shared" si="544"/>
        <v>17.02</v>
      </c>
      <c r="O3890" s="1">
        <f t="shared" si="545"/>
        <v>15.34</v>
      </c>
      <c r="P3890" s="1">
        <f t="shared" si="546"/>
        <v>7.8265306122448983</v>
      </c>
    </row>
    <row r="3891" spans="1:16">
      <c r="A3891" s="2">
        <v>37414</v>
      </c>
      <c r="B3891" s="1">
        <v>17.89</v>
      </c>
      <c r="C3891" s="1">
        <v>18.649999999999999</v>
      </c>
      <c r="D3891" s="1">
        <v>17.850000000000001</v>
      </c>
      <c r="E3891" s="1">
        <v>18.579999999999998</v>
      </c>
      <c r="F3891" s="1">
        <v>5358000</v>
      </c>
      <c r="G3891" s="1">
        <v>18.579999999999998</v>
      </c>
      <c r="H3891" s="1">
        <f t="shared" si="540"/>
        <v>0.79999999999999716</v>
      </c>
      <c r="I3891" s="9">
        <f t="shared" si="547"/>
        <v>4.4817927170868181E-2</v>
      </c>
      <c r="J3891" s="1">
        <f t="shared" si="548"/>
        <v>0.40999999999999659</v>
      </c>
      <c r="K3891" s="9">
        <f t="shared" si="541"/>
        <v>2.2564667033571632E-2</v>
      </c>
      <c r="L3891" s="1">
        <f t="shared" si="542"/>
        <v>1</v>
      </c>
      <c r="M3891" s="1">
        <f t="shared" si="543"/>
        <v>18.649999999999999</v>
      </c>
      <c r="N3891" s="1">
        <f t="shared" si="544"/>
        <v>17.850000000000001</v>
      </c>
      <c r="O3891" s="1">
        <f t="shared" si="545"/>
        <v>16.619999999999997</v>
      </c>
      <c r="P3891" s="1">
        <f t="shared" si="546"/>
        <v>8.4795918367346932</v>
      </c>
    </row>
    <row r="3892" spans="1:16">
      <c r="A3892" s="2">
        <v>37413</v>
      </c>
      <c r="B3892" s="1">
        <v>17.89</v>
      </c>
      <c r="C3892" s="1">
        <v>18.41</v>
      </c>
      <c r="D3892" s="1">
        <v>17.760000000000002</v>
      </c>
      <c r="E3892" s="1">
        <v>18.170000000000002</v>
      </c>
      <c r="F3892" s="1">
        <v>5250000</v>
      </c>
      <c r="G3892" s="1">
        <v>18.170000000000002</v>
      </c>
      <c r="H3892" s="1">
        <f t="shared" si="540"/>
        <v>0.64999999999999858</v>
      </c>
      <c r="I3892" s="9">
        <f t="shared" si="547"/>
        <v>3.6599099099099017E-2</v>
      </c>
      <c r="J3892" s="1">
        <f t="shared" si="548"/>
        <v>0.18000000000000327</v>
      </c>
      <c r="K3892" s="9">
        <f t="shared" si="541"/>
        <v>1.0005558643691122E-2</v>
      </c>
      <c r="L3892" s="1">
        <f t="shared" si="542"/>
        <v>1</v>
      </c>
      <c r="M3892" s="1">
        <f t="shared" si="543"/>
        <v>18.41</v>
      </c>
      <c r="N3892" s="1">
        <f t="shared" si="544"/>
        <v>17.760000000000002</v>
      </c>
      <c r="O3892" s="1">
        <f t="shared" si="545"/>
        <v>16.21</v>
      </c>
      <c r="P3892" s="1">
        <f t="shared" si="546"/>
        <v>8.2704081632653068</v>
      </c>
    </row>
    <row r="3893" spans="1:16">
      <c r="A3893" s="2">
        <v>37412</v>
      </c>
      <c r="B3893" s="1">
        <v>17.98</v>
      </c>
      <c r="C3893" s="1">
        <v>18.18</v>
      </c>
      <c r="D3893" s="1">
        <v>17.45</v>
      </c>
      <c r="E3893" s="1">
        <v>17.989999999999998</v>
      </c>
      <c r="F3893" s="1">
        <v>4372500</v>
      </c>
      <c r="G3893" s="1">
        <v>17.989999999999998</v>
      </c>
      <c r="H3893" s="1">
        <f t="shared" si="540"/>
        <v>0.73000000000000043</v>
      </c>
      <c r="I3893" s="9">
        <f t="shared" si="547"/>
        <v>4.1833810888252172E-2</v>
      </c>
      <c r="J3893" s="1">
        <f t="shared" si="548"/>
        <v>1.9999999999999574E-2</v>
      </c>
      <c r="K3893" s="9">
        <f t="shared" si="541"/>
        <v>1.1129660545353131E-3</v>
      </c>
      <c r="L3893" s="1">
        <f t="shared" si="542"/>
        <v>1</v>
      </c>
      <c r="M3893" s="1">
        <f t="shared" si="543"/>
        <v>18.18</v>
      </c>
      <c r="N3893" s="1">
        <f t="shared" si="544"/>
        <v>17.45</v>
      </c>
      <c r="O3893" s="1">
        <f t="shared" si="545"/>
        <v>16.029999999999998</v>
      </c>
      <c r="P3893" s="1">
        <f t="shared" si="546"/>
        <v>8.178571428571427</v>
      </c>
    </row>
    <row r="3894" spans="1:16">
      <c r="A3894" s="2">
        <v>37411</v>
      </c>
      <c r="B3894" s="1">
        <v>17.8</v>
      </c>
      <c r="C3894" s="1">
        <v>18.14</v>
      </c>
      <c r="D3894" s="1">
        <v>17.47</v>
      </c>
      <c r="E3894" s="1">
        <v>17.97</v>
      </c>
      <c r="F3894" s="1">
        <v>6849700</v>
      </c>
      <c r="G3894" s="1">
        <v>17.97</v>
      </c>
      <c r="H3894" s="1">
        <f t="shared" si="540"/>
        <v>0.67000000000000171</v>
      </c>
      <c r="I3894" s="9">
        <f t="shared" si="547"/>
        <v>3.8351459645105994E-2</v>
      </c>
      <c r="J3894" s="1">
        <f t="shared" si="548"/>
        <v>9.9999999999980105E-3</v>
      </c>
      <c r="K3894" s="9">
        <f t="shared" si="541"/>
        <v>5.5679287305111411E-4</v>
      </c>
      <c r="L3894" s="1">
        <f t="shared" si="542"/>
        <v>1</v>
      </c>
      <c r="M3894" s="1">
        <f t="shared" si="543"/>
        <v>18.14</v>
      </c>
      <c r="N3894" s="1">
        <f t="shared" si="544"/>
        <v>17.47</v>
      </c>
      <c r="O3894" s="1">
        <f t="shared" si="545"/>
        <v>16.009999999999998</v>
      </c>
      <c r="P3894" s="1">
        <f t="shared" si="546"/>
        <v>8.1683673469387745</v>
      </c>
    </row>
    <row r="3895" spans="1:16">
      <c r="A3895" s="2">
        <v>37410</v>
      </c>
      <c r="B3895" s="1">
        <v>18.309999999999999</v>
      </c>
      <c r="C3895" s="1">
        <v>18.5</v>
      </c>
      <c r="D3895" s="1">
        <v>17.93</v>
      </c>
      <c r="E3895" s="1">
        <v>17.96</v>
      </c>
      <c r="F3895" s="1">
        <v>3716400</v>
      </c>
      <c r="G3895" s="1">
        <v>17.96</v>
      </c>
      <c r="H3895" s="1">
        <f t="shared" si="540"/>
        <v>0.57000000000000028</v>
      </c>
      <c r="I3895" s="9">
        <f t="shared" si="547"/>
        <v>3.1790295593976593E-2</v>
      </c>
      <c r="J3895" s="1">
        <f t="shared" si="548"/>
        <v>-0.26999999999999957</v>
      </c>
      <c r="K3895" s="9">
        <f t="shared" si="541"/>
        <v>-1.4810751508502445E-2</v>
      </c>
      <c r="L3895" s="1">
        <f t="shared" si="542"/>
        <v>1</v>
      </c>
      <c r="M3895" s="1">
        <f t="shared" si="543"/>
        <v>18.5</v>
      </c>
      <c r="N3895" s="1">
        <f t="shared" si="544"/>
        <v>17.93</v>
      </c>
      <c r="O3895" s="1">
        <f t="shared" si="545"/>
        <v>16</v>
      </c>
      <c r="P3895" s="1">
        <f t="shared" si="546"/>
        <v>8.1632653061224492</v>
      </c>
    </row>
    <row r="3896" spans="1:16">
      <c r="A3896" s="2">
        <v>37407</v>
      </c>
      <c r="B3896" s="1">
        <v>18.5</v>
      </c>
      <c r="C3896" s="1">
        <v>18.89</v>
      </c>
      <c r="D3896" s="1">
        <v>18.2</v>
      </c>
      <c r="E3896" s="1">
        <v>18.23</v>
      </c>
      <c r="F3896" s="1">
        <v>5081400</v>
      </c>
      <c r="G3896" s="1">
        <v>18.23</v>
      </c>
      <c r="H3896" s="1">
        <f t="shared" si="540"/>
        <v>0.69000000000000128</v>
      </c>
      <c r="I3896" s="9">
        <f t="shared" si="547"/>
        <v>3.7912087912087986E-2</v>
      </c>
      <c r="J3896" s="1">
        <f t="shared" si="548"/>
        <v>-0.14000000000000057</v>
      </c>
      <c r="K3896" s="9">
        <f t="shared" si="541"/>
        <v>-7.6211213935765141E-3</v>
      </c>
      <c r="L3896" s="1">
        <f t="shared" si="542"/>
        <v>1</v>
      </c>
      <c r="M3896" s="1">
        <f t="shared" si="543"/>
        <v>18.89</v>
      </c>
      <c r="N3896" s="1">
        <f t="shared" si="544"/>
        <v>18.2</v>
      </c>
      <c r="O3896" s="1">
        <f t="shared" si="545"/>
        <v>16.27</v>
      </c>
      <c r="P3896" s="1">
        <f t="shared" si="546"/>
        <v>8.3010204081632644</v>
      </c>
    </row>
    <row r="3897" spans="1:16">
      <c r="A3897" s="2">
        <v>37406</v>
      </c>
      <c r="B3897" s="1">
        <v>18.7</v>
      </c>
      <c r="C3897" s="1">
        <v>18.940000000000001</v>
      </c>
      <c r="D3897" s="1">
        <v>18.079999999999998</v>
      </c>
      <c r="E3897" s="1">
        <v>18.37</v>
      </c>
      <c r="F3897" s="1">
        <v>7432100</v>
      </c>
      <c r="G3897" s="1">
        <v>18.37</v>
      </c>
      <c r="H3897" s="1">
        <f t="shared" si="540"/>
        <v>0.86000000000000298</v>
      </c>
      <c r="I3897" s="9">
        <f t="shared" si="547"/>
        <v>4.75663716814161E-2</v>
      </c>
      <c r="J3897" s="1">
        <f t="shared" si="548"/>
        <v>-0.53999999999999915</v>
      </c>
      <c r="K3897" s="9">
        <f t="shared" si="541"/>
        <v>-2.8556319407720736E-2</v>
      </c>
      <c r="L3897" s="1">
        <f t="shared" si="542"/>
        <v>1</v>
      </c>
      <c r="M3897" s="1">
        <f t="shared" si="543"/>
        <v>18.940000000000001</v>
      </c>
      <c r="N3897" s="1">
        <f t="shared" si="544"/>
        <v>18.079999999999998</v>
      </c>
      <c r="O3897" s="1">
        <f t="shared" si="545"/>
        <v>16.41</v>
      </c>
      <c r="P3897" s="1">
        <f t="shared" si="546"/>
        <v>8.3724489795918373</v>
      </c>
    </row>
    <row r="3898" spans="1:16">
      <c r="A3898" s="2">
        <v>37405</v>
      </c>
      <c r="B3898" s="1">
        <v>18.82</v>
      </c>
      <c r="C3898" s="1">
        <v>19.100000000000001</v>
      </c>
      <c r="D3898" s="1">
        <v>18.8</v>
      </c>
      <c r="E3898" s="1">
        <v>18.91</v>
      </c>
      <c r="F3898" s="1">
        <v>3614100</v>
      </c>
      <c r="G3898" s="1">
        <v>18.91</v>
      </c>
      <c r="H3898" s="1">
        <f t="shared" si="540"/>
        <v>0.30000000000000071</v>
      </c>
      <c r="I3898" s="9">
        <f t="shared" si="547"/>
        <v>1.5957446808510675E-2</v>
      </c>
      <c r="J3898" s="1">
        <f t="shared" si="548"/>
        <v>-0.14999999999999858</v>
      </c>
      <c r="K3898" s="9">
        <f t="shared" si="541"/>
        <v>-7.8698845750261592E-3</v>
      </c>
      <c r="L3898" s="1">
        <f t="shared" si="542"/>
        <v>1</v>
      </c>
      <c r="M3898" s="1">
        <f t="shared" si="543"/>
        <v>19.100000000000001</v>
      </c>
      <c r="N3898" s="1">
        <f t="shared" si="544"/>
        <v>18.8</v>
      </c>
      <c r="O3898" s="1">
        <f t="shared" si="545"/>
        <v>16.95</v>
      </c>
      <c r="P3898" s="1">
        <f t="shared" si="546"/>
        <v>8.6479591836734695</v>
      </c>
    </row>
    <row r="3899" spans="1:16">
      <c r="A3899" s="2">
        <v>37404</v>
      </c>
      <c r="B3899" s="1">
        <v>19.57</v>
      </c>
      <c r="C3899" s="1">
        <v>19.61</v>
      </c>
      <c r="D3899" s="1">
        <v>18.77</v>
      </c>
      <c r="E3899" s="1">
        <v>19.059999999999999</v>
      </c>
      <c r="F3899" s="1">
        <v>3953300</v>
      </c>
      <c r="G3899" s="1">
        <v>19.059999999999999</v>
      </c>
      <c r="H3899" s="1">
        <f t="shared" si="540"/>
        <v>0.83999999999999986</v>
      </c>
      <c r="I3899" s="9">
        <f t="shared" si="547"/>
        <v>4.4752264251465099E-2</v>
      </c>
      <c r="J3899" s="1">
        <f t="shared" si="548"/>
        <v>-0.41000000000000014</v>
      </c>
      <c r="K3899" s="9">
        <f t="shared" si="541"/>
        <v>-2.1058038007190558E-2</v>
      </c>
      <c r="L3899" s="1">
        <f t="shared" si="542"/>
        <v>1</v>
      </c>
      <c r="M3899" s="1">
        <f t="shared" si="543"/>
        <v>19.61</v>
      </c>
      <c r="N3899" s="1">
        <f t="shared" si="544"/>
        <v>18.77</v>
      </c>
      <c r="O3899" s="1">
        <f t="shared" si="545"/>
        <v>17.099999999999998</v>
      </c>
      <c r="P3899" s="1">
        <f t="shared" si="546"/>
        <v>8.724489795918366</v>
      </c>
    </row>
    <row r="3900" spans="1:16">
      <c r="A3900" s="2">
        <v>37400</v>
      </c>
      <c r="B3900" s="1">
        <v>19.399999999999999</v>
      </c>
      <c r="C3900" s="1">
        <v>19.690000000000001</v>
      </c>
      <c r="D3900" s="1">
        <v>19.059999999999999</v>
      </c>
      <c r="E3900" s="1">
        <v>19.47</v>
      </c>
      <c r="F3900" s="1">
        <v>4250300</v>
      </c>
      <c r="G3900" s="1">
        <v>19.47</v>
      </c>
      <c r="H3900" s="1">
        <f t="shared" si="540"/>
        <v>0.63000000000000256</v>
      </c>
      <c r="I3900" s="9">
        <f t="shared" si="547"/>
        <v>3.3053515215110317E-2</v>
      </c>
      <c r="J3900" s="1">
        <f t="shared" si="548"/>
        <v>1.9999999999999574E-2</v>
      </c>
      <c r="K3900" s="9">
        <f t="shared" si="541"/>
        <v>1.0282776349614176E-3</v>
      </c>
      <c r="L3900" s="1">
        <f t="shared" si="542"/>
        <v>1</v>
      </c>
      <c r="M3900" s="1">
        <f t="shared" si="543"/>
        <v>19.690000000000001</v>
      </c>
      <c r="N3900" s="1">
        <f t="shared" si="544"/>
        <v>19.059999999999999</v>
      </c>
      <c r="O3900" s="1">
        <f t="shared" si="545"/>
        <v>17.509999999999998</v>
      </c>
      <c r="P3900" s="1">
        <f t="shared" si="546"/>
        <v>8.9336734693877542</v>
      </c>
    </row>
    <row r="3901" spans="1:16">
      <c r="A3901" s="2">
        <v>37399</v>
      </c>
      <c r="B3901" s="1">
        <v>18.84</v>
      </c>
      <c r="C3901" s="1">
        <v>19.55</v>
      </c>
      <c r="D3901" s="1">
        <v>18.61</v>
      </c>
      <c r="E3901" s="1">
        <v>19.45</v>
      </c>
      <c r="F3901" s="1">
        <v>5648200</v>
      </c>
      <c r="G3901" s="1">
        <v>19.45</v>
      </c>
      <c r="H3901" s="1">
        <f t="shared" si="540"/>
        <v>0.94000000000000128</v>
      </c>
      <c r="I3901" s="9">
        <f t="shared" si="547"/>
        <v>5.051047823750679E-2</v>
      </c>
      <c r="J3901" s="1">
        <f t="shared" si="548"/>
        <v>0.69999999999999929</v>
      </c>
      <c r="K3901" s="9">
        <f t="shared" si="541"/>
        <v>3.7333333333333295E-2</v>
      </c>
      <c r="L3901" s="1">
        <f t="shared" si="542"/>
        <v>1</v>
      </c>
      <c r="M3901" s="1">
        <f t="shared" si="543"/>
        <v>19.55</v>
      </c>
      <c r="N3901" s="1">
        <f t="shared" si="544"/>
        <v>18.61</v>
      </c>
      <c r="O3901" s="1">
        <f t="shared" si="545"/>
        <v>17.489999999999998</v>
      </c>
      <c r="P3901" s="1">
        <f t="shared" si="546"/>
        <v>8.9234693877551017</v>
      </c>
    </row>
    <row r="3902" spans="1:16">
      <c r="A3902" s="2">
        <v>37398</v>
      </c>
      <c r="B3902" s="1">
        <v>18.670000000000002</v>
      </c>
      <c r="C3902" s="1">
        <v>19.13</v>
      </c>
      <c r="D3902" s="1">
        <v>18.22</v>
      </c>
      <c r="E3902" s="1">
        <v>18.75</v>
      </c>
      <c r="F3902" s="1">
        <v>5075200</v>
      </c>
      <c r="G3902" s="1">
        <v>18.75</v>
      </c>
      <c r="H3902" s="1">
        <f t="shared" si="540"/>
        <v>0.91000000000000014</v>
      </c>
      <c r="I3902" s="9">
        <f t="shared" si="547"/>
        <v>4.9945115257958299E-2</v>
      </c>
      <c r="J3902" s="1">
        <f t="shared" si="548"/>
        <v>-1.0000000000001563E-2</v>
      </c>
      <c r="K3902" s="9">
        <f t="shared" si="541"/>
        <v>-5.3304904051181034E-4</v>
      </c>
      <c r="L3902" s="1">
        <f t="shared" si="542"/>
        <v>1</v>
      </c>
      <c r="M3902" s="1">
        <f t="shared" si="543"/>
        <v>19.13</v>
      </c>
      <c r="N3902" s="1">
        <f t="shared" si="544"/>
        <v>18.22</v>
      </c>
      <c r="O3902" s="1">
        <f t="shared" si="545"/>
        <v>16.79</v>
      </c>
      <c r="P3902" s="1">
        <f t="shared" si="546"/>
        <v>8.566326530612244</v>
      </c>
    </row>
    <row r="3903" spans="1:16">
      <c r="A3903" s="2">
        <v>37397</v>
      </c>
      <c r="B3903" s="1">
        <v>19.54</v>
      </c>
      <c r="C3903" s="1">
        <v>19.8</v>
      </c>
      <c r="D3903" s="1">
        <v>18.55</v>
      </c>
      <c r="E3903" s="1">
        <v>18.760000000000002</v>
      </c>
      <c r="F3903" s="1">
        <v>7763500</v>
      </c>
      <c r="G3903" s="1">
        <v>18.760000000000002</v>
      </c>
      <c r="H3903" s="1">
        <f t="shared" si="540"/>
        <v>1.25</v>
      </c>
      <c r="I3903" s="9">
        <f t="shared" si="547"/>
        <v>6.7385444743935305E-2</v>
      </c>
      <c r="J3903" s="1">
        <f t="shared" si="548"/>
        <v>-0.62999999999999901</v>
      </c>
      <c r="K3903" s="9">
        <f t="shared" si="541"/>
        <v>-3.2490974729241826E-2</v>
      </c>
      <c r="L3903" s="1">
        <f t="shared" si="542"/>
        <v>1</v>
      </c>
      <c r="M3903" s="1">
        <f t="shared" si="543"/>
        <v>19.8</v>
      </c>
      <c r="N3903" s="1">
        <f t="shared" si="544"/>
        <v>18.55</v>
      </c>
      <c r="O3903" s="1">
        <f t="shared" si="545"/>
        <v>16.8</v>
      </c>
      <c r="P3903" s="1">
        <f t="shared" si="546"/>
        <v>8.5714285714285712</v>
      </c>
    </row>
    <row r="3904" spans="1:16">
      <c r="A3904" s="2">
        <v>37396</v>
      </c>
      <c r="B3904" s="1">
        <v>18.8</v>
      </c>
      <c r="C3904" s="1">
        <v>19.48</v>
      </c>
      <c r="D3904" s="1">
        <v>18.77</v>
      </c>
      <c r="E3904" s="1">
        <v>19.39</v>
      </c>
      <c r="F3904" s="1">
        <v>8460800</v>
      </c>
      <c r="G3904" s="1">
        <v>19.39</v>
      </c>
      <c r="H3904" s="1">
        <f t="shared" si="540"/>
        <v>0.71000000000000085</v>
      </c>
      <c r="I3904" s="9">
        <f t="shared" si="547"/>
        <v>3.7826318593500316E-2</v>
      </c>
      <c r="J3904" s="1">
        <f t="shared" si="548"/>
        <v>0.23000000000000043</v>
      </c>
      <c r="K3904" s="9">
        <f t="shared" si="541"/>
        <v>1.200417536534449E-2</v>
      </c>
      <c r="L3904" s="1">
        <f t="shared" si="542"/>
        <v>1</v>
      </c>
      <c r="M3904" s="1">
        <f t="shared" si="543"/>
        <v>19.48</v>
      </c>
      <c r="N3904" s="1">
        <f t="shared" si="544"/>
        <v>18.77</v>
      </c>
      <c r="O3904" s="1">
        <f t="shared" si="545"/>
        <v>17.43</v>
      </c>
      <c r="P3904" s="1">
        <f t="shared" si="546"/>
        <v>8.8928571428571423</v>
      </c>
    </row>
    <row r="3905" spans="1:16">
      <c r="A3905" s="2">
        <v>37393</v>
      </c>
      <c r="B3905" s="1">
        <v>19.97</v>
      </c>
      <c r="C3905" s="1">
        <v>20</v>
      </c>
      <c r="D3905" s="1">
        <v>18.809999999999999</v>
      </c>
      <c r="E3905" s="1">
        <v>19.16</v>
      </c>
      <c r="F3905" s="1">
        <v>6446900</v>
      </c>
      <c r="G3905" s="1">
        <v>19.16</v>
      </c>
      <c r="H3905" s="1">
        <f t="shared" si="540"/>
        <v>1.1900000000000013</v>
      </c>
      <c r="I3905" s="9">
        <f t="shared" si="547"/>
        <v>6.3264221158958078E-2</v>
      </c>
      <c r="J3905" s="1">
        <f t="shared" si="548"/>
        <v>-0.44999999999999929</v>
      </c>
      <c r="K3905" s="9">
        <f t="shared" si="541"/>
        <v>-2.2947475777664421E-2</v>
      </c>
      <c r="L3905" s="1">
        <f t="shared" si="542"/>
        <v>1</v>
      </c>
      <c r="M3905" s="1">
        <f t="shared" si="543"/>
        <v>20</v>
      </c>
      <c r="N3905" s="1">
        <f t="shared" si="544"/>
        <v>18.809999999999999</v>
      </c>
      <c r="O3905" s="1">
        <f t="shared" si="545"/>
        <v>17.2</v>
      </c>
      <c r="P3905" s="1">
        <f t="shared" si="546"/>
        <v>8.7755102040816322</v>
      </c>
    </row>
    <row r="3906" spans="1:16">
      <c r="A3906" s="2">
        <v>37392</v>
      </c>
      <c r="B3906" s="1">
        <v>19.510000000000002</v>
      </c>
      <c r="C3906" s="1">
        <v>19.95</v>
      </c>
      <c r="D3906" s="1">
        <v>19.29</v>
      </c>
      <c r="E3906" s="1">
        <v>19.61</v>
      </c>
      <c r="F3906" s="1">
        <v>7815700</v>
      </c>
      <c r="G3906" s="1">
        <v>19.61</v>
      </c>
      <c r="H3906" s="1">
        <f t="shared" si="540"/>
        <v>0.66000000000000014</v>
      </c>
      <c r="I3906" s="9">
        <f t="shared" si="547"/>
        <v>3.4214618973561442E-2</v>
      </c>
      <c r="J3906" s="1">
        <f t="shared" si="548"/>
        <v>-0.33000000000000185</v>
      </c>
      <c r="K3906" s="9">
        <f t="shared" si="541"/>
        <v>-1.6549648946840613E-2</v>
      </c>
      <c r="L3906" s="1">
        <f t="shared" si="542"/>
        <v>1</v>
      </c>
      <c r="M3906" s="1">
        <f t="shared" si="543"/>
        <v>19.95</v>
      </c>
      <c r="N3906" s="1">
        <f t="shared" si="544"/>
        <v>19.29</v>
      </c>
      <c r="O3906" s="1">
        <f t="shared" si="545"/>
        <v>17.649999999999999</v>
      </c>
      <c r="P3906" s="1">
        <f t="shared" si="546"/>
        <v>9.0051020408163254</v>
      </c>
    </row>
    <row r="3907" spans="1:16">
      <c r="A3907" s="2">
        <v>37391</v>
      </c>
      <c r="B3907" s="1">
        <v>18.68</v>
      </c>
      <c r="C3907" s="1">
        <v>20.399999999999999</v>
      </c>
      <c r="D3907" s="1">
        <v>18.350000000000001</v>
      </c>
      <c r="E3907" s="1">
        <v>19.940000000000001</v>
      </c>
      <c r="F3907" s="1">
        <v>12898100</v>
      </c>
      <c r="G3907" s="1">
        <v>19.940000000000001</v>
      </c>
      <c r="H3907" s="1">
        <f t="shared" ref="H3907:H3970" si="549">C3907-D3907</f>
        <v>2.0499999999999972</v>
      </c>
      <c r="I3907" s="9">
        <f t="shared" si="547"/>
        <v>0.11171662125340583</v>
      </c>
      <c r="J3907" s="1">
        <f t="shared" si="548"/>
        <v>1.1300000000000026</v>
      </c>
      <c r="K3907" s="9">
        <f t="shared" ref="K3907:K3970" si="550">(G3907-G3908)/G3908</f>
        <v>6.0074428495481266E-2</v>
      </c>
      <c r="L3907" s="1">
        <f t="shared" ref="L3907:L3970" si="551">G3907/E3907</f>
        <v>1</v>
      </c>
      <c r="M3907" s="1">
        <f t="shared" ref="M3907:M3970" si="552">L3907*C3907</f>
        <v>20.399999999999999</v>
      </c>
      <c r="N3907" s="1">
        <f t="shared" ref="N3907:N3970" si="553">L3907*D3907</f>
        <v>18.350000000000001</v>
      </c>
      <c r="O3907" s="1">
        <f t="shared" ref="O3907:O3970" si="554">G3907-$G$5163</f>
        <v>17.98</v>
      </c>
      <c r="P3907" s="1">
        <f t="shared" ref="P3907:P3970" si="555">(G3907-$G$5163)/$G$5163</f>
        <v>9.1734693877551017</v>
      </c>
    </row>
    <row r="3908" spans="1:16">
      <c r="A3908" s="2">
        <v>37390</v>
      </c>
      <c r="B3908" s="1">
        <v>18.04</v>
      </c>
      <c r="C3908" s="1">
        <v>19.45</v>
      </c>
      <c r="D3908" s="1">
        <v>18.02</v>
      </c>
      <c r="E3908" s="1">
        <v>18.809999999999999</v>
      </c>
      <c r="F3908" s="1">
        <v>14659700</v>
      </c>
      <c r="G3908" s="1">
        <v>18.809999999999999</v>
      </c>
      <c r="H3908" s="1">
        <f t="shared" si="549"/>
        <v>1.4299999999999997</v>
      </c>
      <c r="I3908" s="9">
        <f t="shared" ref="I3908:I3971" si="556">(C3908-D3908)/D3908</f>
        <v>7.9356270810210863E-2</v>
      </c>
      <c r="J3908" s="1">
        <f t="shared" ref="J3908:J3971" si="557">G3908-G3909</f>
        <v>1.4899999999999984</v>
      </c>
      <c r="K3908" s="9">
        <f t="shared" si="550"/>
        <v>8.6027713625865962E-2</v>
      </c>
      <c r="L3908" s="1">
        <f t="shared" si="551"/>
        <v>1</v>
      </c>
      <c r="M3908" s="1">
        <f t="shared" si="552"/>
        <v>19.45</v>
      </c>
      <c r="N3908" s="1">
        <f t="shared" si="553"/>
        <v>18.02</v>
      </c>
      <c r="O3908" s="1">
        <f t="shared" si="554"/>
        <v>16.849999999999998</v>
      </c>
      <c r="P3908" s="1">
        <f t="shared" si="555"/>
        <v>8.5969387755102034</v>
      </c>
    </row>
    <row r="3909" spans="1:16">
      <c r="A3909" s="2">
        <v>37389</v>
      </c>
      <c r="B3909" s="1">
        <v>17.170000000000002</v>
      </c>
      <c r="C3909" s="1">
        <v>17.63</v>
      </c>
      <c r="D3909" s="1">
        <v>16.850000000000001</v>
      </c>
      <c r="E3909" s="1">
        <v>17.32</v>
      </c>
      <c r="F3909" s="1">
        <v>6700100</v>
      </c>
      <c r="G3909" s="1">
        <v>17.32</v>
      </c>
      <c r="H3909" s="1">
        <f t="shared" si="549"/>
        <v>0.77999999999999758</v>
      </c>
      <c r="I3909" s="9">
        <f t="shared" si="556"/>
        <v>4.6290801186943474E-2</v>
      </c>
      <c r="J3909" s="1">
        <f t="shared" si="557"/>
        <v>0.37999999999999901</v>
      </c>
      <c r="K3909" s="9">
        <f t="shared" si="550"/>
        <v>2.243211334120419E-2</v>
      </c>
      <c r="L3909" s="1">
        <f t="shared" si="551"/>
        <v>1</v>
      </c>
      <c r="M3909" s="1">
        <f t="shared" si="552"/>
        <v>17.63</v>
      </c>
      <c r="N3909" s="1">
        <f t="shared" si="553"/>
        <v>16.850000000000001</v>
      </c>
      <c r="O3909" s="1">
        <f t="shared" si="554"/>
        <v>15.36</v>
      </c>
      <c r="P3909" s="1">
        <f t="shared" si="555"/>
        <v>7.8367346938775508</v>
      </c>
    </row>
    <row r="3910" spans="1:16">
      <c r="A3910" s="2">
        <v>37386</v>
      </c>
      <c r="B3910" s="1">
        <v>17.89</v>
      </c>
      <c r="C3910" s="1">
        <v>17.96</v>
      </c>
      <c r="D3910" s="1">
        <v>16.8</v>
      </c>
      <c r="E3910" s="1">
        <v>16.940000000000001</v>
      </c>
      <c r="F3910" s="1">
        <v>7572800</v>
      </c>
      <c r="G3910" s="1">
        <v>16.940000000000001</v>
      </c>
      <c r="H3910" s="1">
        <f t="shared" si="549"/>
        <v>1.1600000000000001</v>
      </c>
      <c r="I3910" s="9">
        <f t="shared" si="556"/>
        <v>6.9047619047619052E-2</v>
      </c>
      <c r="J3910" s="1">
        <f t="shared" si="557"/>
        <v>-0.78999999999999915</v>
      </c>
      <c r="K3910" s="9">
        <f t="shared" si="550"/>
        <v>-4.455724760293283E-2</v>
      </c>
      <c r="L3910" s="1">
        <f t="shared" si="551"/>
        <v>1</v>
      </c>
      <c r="M3910" s="1">
        <f t="shared" si="552"/>
        <v>17.96</v>
      </c>
      <c r="N3910" s="1">
        <f t="shared" si="553"/>
        <v>16.8</v>
      </c>
      <c r="O3910" s="1">
        <f t="shared" si="554"/>
        <v>14.98</v>
      </c>
      <c r="P3910" s="1">
        <f t="shared" si="555"/>
        <v>7.6428571428571432</v>
      </c>
    </row>
    <row r="3911" spans="1:16">
      <c r="A3911" s="2">
        <v>37385</v>
      </c>
      <c r="B3911" s="1">
        <v>17.12</v>
      </c>
      <c r="C3911" s="1">
        <v>18.23</v>
      </c>
      <c r="D3911" s="1">
        <v>17.100000000000001</v>
      </c>
      <c r="E3911" s="1">
        <v>17.73</v>
      </c>
      <c r="F3911" s="1">
        <v>11002300</v>
      </c>
      <c r="G3911" s="1">
        <v>17.73</v>
      </c>
      <c r="H3911" s="1">
        <f t="shared" si="549"/>
        <v>1.129999999999999</v>
      </c>
      <c r="I3911" s="9">
        <f t="shared" si="556"/>
        <v>6.6081871345029172E-2</v>
      </c>
      <c r="J3911" s="1">
        <f t="shared" si="557"/>
        <v>0.41000000000000014</v>
      </c>
      <c r="K3911" s="9">
        <f t="shared" si="550"/>
        <v>2.3672055427251738E-2</v>
      </c>
      <c r="L3911" s="1">
        <f t="shared" si="551"/>
        <v>1</v>
      </c>
      <c r="M3911" s="1">
        <f t="shared" si="552"/>
        <v>18.23</v>
      </c>
      <c r="N3911" s="1">
        <f t="shared" si="553"/>
        <v>17.100000000000001</v>
      </c>
      <c r="O3911" s="1">
        <f t="shared" si="554"/>
        <v>15.77</v>
      </c>
      <c r="P3911" s="1">
        <f t="shared" si="555"/>
        <v>8.045918367346939</v>
      </c>
    </row>
    <row r="3912" spans="1:16">
      <c r="A3912" s="2">
        <v>37384</v>
      </c>
      <c r="B3912" s="1">
        <v>16.55</v>
      </c>
      <c r="C3912" s="1">
        <v>17.46</v>
      </c>
      <c r="D3912" s="1">
        <v>16.5</v>
      </c>
      <c r="E3912" s="1">
        <v>17.32</v>
      </c>
      <c r="F3912" s="1">
        <v>7888400</v>
      </c>
      <c r="G3912" s="1">
        <v>17.32</v>
      </c>
      <c r="H3912" s="1">
        <f t="shared" si="549"/>
        <v>0.96000000000000085</v>
      </c>
      <c r="I3912" s="9">
        <f t="shared" si="556"/>
        <v>5.818181818181823E-2</v>
      </c>
      <c r="J3912" s="1">
        <f t="shared" si="557"/>
        <v>1.2100000000000009</v>
      </c>
      <c r="K3912" s="9">
        <f t="shared" si="550"/>
        <v>7.5108628181253939E-2</v>
      </c>
      <c r="L3912" s="1">
        <f t="shared" si="551"/>
        <v>1</v>
      </c>
      <c r="M3912" s="1">
        <f t="shared" si="552"/>
        <v>17.46</v>
      </c>
      <c r="N3912" s="1">
        <f t="shared" si="553"/>
        <v>16.5</v>
      </c>
      <c r="O3912" s="1">
        <f t="shared" si="554"/>
        <v>15.36</v>
      </c>
      <c r="P3912" s="1">
        <f t="shared" si="555"/>
        <v>7.8367346938775508</v>
      </c>
    </row>
    <row r="3913" spans="1:16">
      <c r="A3913" s="2">
        <v>37383</v>
      </c>
      <c r="B3913" s="1">
        <v>16.11</v>
      </c>
      <c r="C3913" s="1">
        <v>16.350000000000001</v>
      </c>
      <c r="D3913" s="1">
        <v>16.03</v>
      </c>
      <c r="E3913" s="1">
        <v>16.11</v>
      </c>
      <c r="F3913" s="1">
        <v>5543700</v>
      </c>
      <c r="G3913" s="1">
        <v>16.11</v>
      </c>
      <c r="H3913" s="1">
        <f t="shared" si="549"/>
        <v>0.32000000000000028</v>
      </c>
      <c r="I3913" s="9">
        <f t="shared" si="556"/>
        <v>1.996257018091081E-2</v>
      </c>
      <c r="J3913" s="1">
        <f t="shared" si="557"/>
        <v>-1.0000000000001563E-2</v>
      </c>
      <c r="K3913" s="9">
        <f t="shared" si="550"/>
        <v>-6.2034739454103986E-4</v>
      </c>
      <c r="L3913" s="1">
        <f t="shared" si="551"/>
        <v>1</v>
      </c>
      <c r="M3913" s="1">
        <f t="shared" si="552"/>
        <v>16.350000000000001</v>
      </c>
      <c r="N3913" s="1">
        <f t="shared" si="553"/>
        <v>16.03</v>
      </c>
      <c r="O3913" s="1">
        <f t="shared" si="554"/>
        <v>14.149999999999999</v>
      </c>
      <c r="P3913" s="1">
        <f t="shared" si="555"/>
        <v>7.2193877551020398</v>
      </c>
    </row>
    <row r="3914" spans="1:16">
      <c r="A3914" s="2">
        <v>37382</v>
      </c>
      <c r="B3914" s="1">
        <v>15.94</v>
      </c>
      <c r="C3914" s="1">
        <v>16.489999999999998</v>
      </c>
      <c r="D3914" s="1">
        <v>15.75</v>
      </c>
      <c r="E3914" s="1">
        <v>16.12</v>
      </c>
      <c r="F3914" s="1">
        <v>5352600</v>
      </c>
      <c r="G3914" s="1">
        <v>16.12</v>
      </c>
      <c r="H3914" s="1">
        <f t="shared" si="549"/>
        <v>0.73999999999999844</v>
      </c>
      <c r="I3914" s="9">
        <f t="shared" si="556"/>
        <v>4.6984126984126885E-2</v>
      </c>
      <c r="J3914" s="1">
        <f t="shared" si="557"/>
        <v>7.0000000000000284E-2</v>
      </c>
      <c r="K3914" s="9">
        <f t="shared" si="550"/>
        <v>4.3613707165109207E-3</v>
      </c>
      <c r="L3914" s="1">
        <f t="shared" si="551"/>
        <v>1</v>
      </c>
      <c r="M3914" s="1">
        <f t="shared" si="552"/>
        <v>16.489999999999998</v>
      </c>
      <c r="N3914" s="1">
        <f t="shared" si="553"/>
        <v>15.75</v>
      </c>
      <c r="O3914" s="1">
        <f t="shared" si="554"/>
        <v>14.16</v>
      </c>
      <c r="P3914" s="1">
        <f t="shared" si="555"/>
        <v>7.2244897959183678</v>
      </c>
    </row>
    <row r="3915" spans="1:16">
      <c r="A3915" s="2">
        <v>37379</v>
      </c>
      <c r="B3915" s="1">
        <v>16.23</v>
      </c>
      <c r="C3915" s="1">
        <v>16.399999999999999</v>
      </c>
      <c r="D3915" s="1">
        <v>15.75</v>
      </c>
      <c r="E3915" s="1">
        <v>16.05</v>
      </c>
      <c r="F3915" s="1">
        <v>5161000</v>
      </c>
      <c r="G3915" s="1">
        <v>16.05</v>
      </c>
      <c r="H3915" s="1">
        <f t="shared" si="549"/>
        <v>0.64999999999999858</v>
      </c>
      <c r="I3915" s="9">
        <f t="shared" si="556"/>
        <v>4.1269841269841179E-2</v>
      </c>
      <c r="J3915" s="1">
        <f t="shared" si="557"/>
        <v>-0.26999999999999957</v>
      </c>
      <c r="K3915" s="9">
        <f t="shared" si="550"/>
        <v>-1.6544117647058796E-2</v>
      </c>
      <c r="L3915" s="1">
        <f t="shared" si="551"/>
        <v>1</v>
      </c>
      <c r="M3915" s="1">
        <f t="shared" si="552"/>
        <v>16.399999999999999</v>
      </c>
      <c r="N3915" s="1">
        <f t="shared" si="553"/>
        <v>15.75</v>
      </c>
      <c r="O3915" s="1">
        <f t="shared" si="554"/>
        <v>14.09</v>
      </c>
      <c r="P3915" s="1">
        <f t="shared" si="555"/>
        <v>7.1887755102040813</v>
      </c>
    </row>
    <row r="3916" spans="1:16">
      <c r="A3916" s="2">
        <v>37378</v>
      </c>
      <c r="B3916" s="1">
        <v>16.43</v>
      </c>
      <c r="C3916" s="1">
        <v>16.649999999999999</v>
      </c>
      <c r="D3916" s="1">
        <v>16.25</v>
      </c>
      <c r="E3916" s="1">
        <v>16.32</v>
      </c>
      <c r="F3916" s="1">
        <v>4819000</v>
      </c>
      <c r="G3916" s="1">
        <v>16.32</v>
      </c>
      <c r="H3916" s="1">
        <f t="shared" si="549"/>
        <v>0.39999999999999858</v>
      </c>
      <c r="I3916" s="9">
        <f t="shared" si="556"/>
        <v>2.4615384615384529E-2</v>
      </c>
      <c r="J3916" s="1">
        <f t="shared" si="557"/>
        <v>-0.16999999999999815</v>
      </c>
      <c r="K3916" s="9">
        <f t="shared" si="550"/>
        <v>-1.0309278350515353E-2</v>
      </c>
      <c r="L3916" s="1">
        <f t="shared" si="551"/>
        <v>1</v>
      </c>
      <c r="M3916" s="1">
        <f t="shared" si="552"/>
        <v>16.649999999999999</v>
      </c>
      <c r="N3916" s="1">
        <f t="shared" si="553"/>
        <v>16.25</v>
      </c>
      <c r="O3916" s="1">
        <f t="shared" si="554"/>
        <v>14.36</v>
      </c>
      <c r="P3916" s="1">
        <f t="shared" si="555"/>
        <v>7.3265306122448974</v>
      </c>
    </row>
    <row r="3917" spans="1:16">
      <c r="A3917" s="2">
        <v>37377</v>
      </c>
      <c r="B3917" s="1">
        <v>16.55</v>
      </c>
      <c r="C3917" s="1">
        <v>17.05</v>
      </c>
      <c r="D3917" s="1">
        <v>16.420000000000002</v>
      </c>
      <c r="E3917" s="1">
        <v>16.489999999999998</v>
      </c>
      <c r="F3917" s="1">
        <v>7701300</v>
      </c>
      <c r="G3917" s="1">
        <v>16.489999999999998</v>
      </c>
      <c r="H3917" s="1">
        <f t="shared" si="549"/>
        <v>0.62999999999999901</v>
      </c>
      <c r="I3917" s="9">
        <f t="shared" si="556"/>
        <v>3.8367844092569971E-2</v>
      </c>
      <c r="J3917" s="1">
        <f t="shared" si="557"/>
        <v>-0.20000000000000284</v>
      </c>
      <c r="K3917" s="9">
        <f t="shared" si="550"/>
        <v>-1.1983223487118205E-2</v>
      </c>
      <c r="L3917" s="1">
        <f t="shared" si="551"/>
        <v>1</v>
      </c>
      <c r="M3917" s="1">
        <f t="shared" si="552"/>
        <v>17.05</v>
      </c>
      <c r="N3917" s="1">
        <f t="shared" si="553"/>
        <v>16.420000000000002</v>
      </c>
      <c r="O3917" s="1">
        <f t="shared" si="554"/>
        <v>14.529999999999998</v>
      </c>
      <c r="P3917" s="1">
        <f t="shared" si="555"/>
        <v>7.4132653061224483</v>
      </c>
    </row>
    <row r="3918" spans="1:16">
      <c r="A3918" s="2">
        <v>37376</v>
      </c>
      <c r="B3918" s="1">
        <v>16.13</v>
      </c>
      <c r="C3918" s="1">
        <v>16.760000000000002</v>
      </c>
      <c r="D3918" s="1">
        <v>15.93</v>
      </c>
      <c r="E3918" s="1">
        <v>16.690000000000001</v>
      </c>
      <c r="F3918" s="1">
        <v>6420800</v>
      </c>
      <c r="G3918" s="1">
        <v>16.690000000000001</v>
      </c>
      <c r="H3918" s="1">
        <f t="shared" si="549"/>
        <v>0.83000000000000185</v>
      </c>
      <c r="I3918" s="9">
        <f t="shared" si="556"/>
        <v>5.2102950408035267E-2</v>
      </c>
      <c r="J3918" s="1">
        <f t="shared" si="557"/>
        <v>0.51000000000000156</v>
      </c>
      <c r="K3918" s="9">
        <f t="shared" si="550"/>
        <v>3.1520395550061898E-2</v>
      </c>
      <c r="L3918" s="1">
        <f t="shared" si="551"/>
        <v>1</v>
      </c>
      <c r="M3918" s="1">
        <f t="shared" si="552"/>
        <v>16.760000000000002</v>
      </c>
      <c r="N3918" s="1">
        <f t="shared" si="553"/>
        <v>15.93</v>
      </c>
      <c r="O3918" s="1">
        <f t="shared" si="554"/>
        <v>14.73</v>
      </c>
      <c r="P3918" s="1">
        <f t="shared" si="555"/>
        <v>7.5153061224489797</v>
      </c>
    </row>
    <row r="3919" spans="1:16">
      <c r="A3919" s="2">
        <v>37375</v>
      </c>
      <c r="B3919" s="1">
        <v>16.75</v>
      </c>
      <c r="C3919" s="1">
        <v>17</v>
      </c>
      <c r="D3919" s="1">
        <v>15.9</v>
      </c>
      <c r="E3919" s="1">
        <v>16.18</v>
      </c>
      <c r="F3919" s="1">
        <v>8415200</v>
      </c>
      <c r="G3919" s="1">
        <v>16.18</v>
      </c>
      <c r="H3919" s="1">
        <f t="shared" si="549"/>
        <v>1.0999999999999996</v>
      </c>
      <c r="I3919" s="9">
        <f t="shared" si="556"/>
        <v>6.9182389937106889E-2</v>
      </c>
      <c r="J3919" s="1">
        <f t="shared" si="557"/>
        <v>-0.73000000000000043</v>
      </c>
      <c r="K3919" s="9">
        <f t="shared" si="550"/>
        <v>-4.3169722057953899E-2</v>
      </c>
      <c r="L3919" s="1">
        <f t="shared" si="551"/>
        <v>1</v>
      </c>
      <c r="M3919" s="1">
        <f t="shared" si="552"/>
        <v>17</v>
      </c>
      <c r="N3919" s="1">
        <f t="shared" si="553"/>
        <v>15.9</v>
      </c>
      <c r="O3919" s="1">
        <f t="shared" si="554"/>
        <v>14.219999999999999</v>
      </c>
      <c r="P3919" s="1">
        <f t="shared" si="555"/>
        <v>7.2551020408163263</v>
      </c>
    </row>
    <row r="3920" spans="1:16">
      <c r="A3920" s="2">
        <v>37372</v>
      </c>
      <c r="B3920" s="1">
        <v>16.86</v>
      </c>
      <c r="C3920" s="1">
        <v>16.95</v>
      </c>
      <c r="D3920" s="1">
        <v>16.32</v>
      </c>
      <c r="E3920" s="1">
        <v>16.91</v>
      </c>
      <c r="F3920" s="1">
        <v>8135700</v>
      </c>
      <c r="G3920" s="1">
        <v>16.91</v>
      </c>
      <c r="H3920" s="1">
        <f t="shared" si="549"/>
        <v>0.62999999999999901</v>
      </c>
      <c r="I3920" s="9">
        <f t="shared" si="556"/>
        <v>3.8602941176470527E-2</v>
      </c>
      <c r="J3920" s="1">
        <f t="shared" si="557"/>
        <v>8.9999999999999858E-2</v>
      </c>
      <c r="K3920" s="9">
        <f t="shared" si="550"/>
        <v>5.3507728894173516E-3</v>
      </c>
      <c r="L3920" s="1">
        <f t="shared" si="551"/>
        <v>1</v>
      </c>
      <c r="M3920" s="1">
        <f t="shared" si="552"/>
        <v>16.95</v>
      </c>
      <c r="N3920" s="1">
        <f t="shared" si="553"/>
        <v>16.32</v>
      </c>
      <c r="O3920" s="1">
        <f t="shared" si="554"/>
        <v>14.95</v>
      </c>
      <c r="P3920" s="1">
        <f t="shared" si="555"/>
        <v>7.6275510204081627</v>
      </c>
    </row>
    <row r="3921" spans="1:16">
      <c r="A3921" s="2">
        <v>37371</v>
      </c>
      <c r="B3921" s="1">
        <v>16.510000000000002</v>
      </c>
      <c r="C3921" s="1">
        <v>17.05</v>
      </c>
      <c r="D3921" s="1">
        <v>16.41</v>
      </c>
      <c r="E3921" s="1">
        <v>16.82</v>
      </c>
      <c r="F3921" s="1">
        <v>11730200</v>
      </c>
      <c r="G3921" s="1">
        <v>16.82</v>
      </c>
      <c r="H3921" s="1">
        <f t="shared" si="549"/>
        <v>0.64000000000000057</v>
      </c>
      <c r="I3921" s="9">
        <f t="shared" si="556"/>
        <v>3.900060938452167E-2</v>
      </c>
      <c r="J3921" s="1">
        <f t="shared" si="557"/>
        <v>3.0000000000001137E-2</v>
      </c>
      <c r="K3921" s="9">
        <f t="shared" si="550"/>
        <v>1.7867778439548028E-3</v>
      </c>
      <c r="L3921" s="1">
        <f t="shared" si="551"/>
        <v>1</v>
      </c>
      <c r="M3921" s="1">
        <f t="shared" si="552"/>
        <v>17.05</v>
      </c>
      <c r="N3921" s="1">
        <f t="shared" si="553"/>
        <v>16.41</v>
      </c>
      <c r="O3921" s="1">
        <f t="shared" si="554"/>
        <v>14.86</v>
      </c>
      <c r="P3921" s="1">
        <f t="shared" si="555"/>
        <v>7.5816326530612246</v>
      </c>
    </row>
    <row r="3922" spans="1:16">
      <c r="A3922" s="2">
        <v>37370</v>
      </c>
      <c r="B3922" s="1">
        <v>15.23</v>
      </c>
      <c r="C3922" s="1">
        <v>16.850000000000001</v>
      </c>
      <c r="D3922" s="1">
        <v>15.05</v>
      </c>
      <c r="E3922" s="1">
        <v>16.79</v>
      </c>
      <c r="F3922" s="1">
        <v>34459400</v>
      </c>
      <c r="G3922" s="1">
        <v>16.79</v>
      </c>
      <c r="H3922" s="1">
        <f t="shared" si="549"/>
        <v>1.8000000000000007</v>
      </c>
      <c r="I3922" s="9">
        <f t="shared" si="556"/>
        <v>0.11960132890365453</v>
      </c>
      <c r="J3922" s="1">
        <f t="shared" si="557"/>
        <v>2.7299999999999986</v>
      </c>
      <c r="K3922" s="9">
        <f t="shared" si="550"/>
        <v>0.1941678520625888</v>
      </c>
      <c r="L3922" s="1">
        <f t="shared" si="551"/>
        <v>1</v>
      </c>
      <c r="M3922" s="1">
        <f t="shared" si="552"/>
        <v>16.850000000000001</v>
      </c>
      <c r="N3922" s="1">
        <f t="shared" si="553"/>
        <v>15.05</v>
      </c>
      <c r="O3922" s="1">
        <f t="shared" si="554"/>
        <v>14.829999999999998</v>
      </c>
      <c r="P3922" s="1">
        <f t="shared" si="555"/>
        <v>7.566326530612244</v>
      </c>
    </row>
    <row r="3923" spans="1:16">
      <c r="A3923" s="2">
        <v>37369</v>
      </c>
      <c r="B3923" s="1">
        <v>14.35</v>
      </c>
      <c r="C3923" s="1">
        <v>14.75</v>
      </c>
      <c r="D3923" s="1">
        <v>13.88</v>
      </c>
      <c r="E3923" s="1">
        <v>14.06</v>
      </c>
      <c r="F3923" s="1">
        <v>8076900</v>
      </c>
      <c r="G3923" s="1">
        <v>14.06</v>
      </c>
      <c r="H3923" s="1">
        <f t="shared" si="549"/>
        <v>0.86999999999999922</v>
      </c>
      <c r="I3923" s="9">
        <f t="shared" si="556"/>
        <v>6.268011527377515E-2</v>
      </c>
      <c r="J3923" s="1">
        <f t="shared" si="557"/>
        <v>-0.25</v>
      </c>
      <c r="K3923" s="9">
        <f t="shared" si="550"/>
        <v>-1.7470300489168412E-2</v>
      </c>
      <c r="L3923" s="1">
        <f t="shared" si="551"/>
        <v>1</v>
      </c>
      <c r="M3923" s="1">
        <f t="shared" si="552"/>
        <v>14.75</v>
      </c>
      <c r="N3923" s="1">
        <f t="shared" si="553"/>
        <v>13.88</v>
      </c>
      <c r="O3923" s="1">
        <f t="shared" si="554"/>
        <v>12.100000000000001</v>
      </c>
      <c r="P3923" s="1">
        <f t="shared" si="555"/>
        <v>6.1734693877551026</v>
      </c>
    </row>
    <row r="3924" spans="1:16">
      <c r="A3924" s="2">
        <v>37368</v>
      </c>
      <c r="B3924" s="1">
        <v>14.58</v>
      </c>
      <c r="C3924" s="1">
        <v>14.85</v>
      </c>
      <c r="D3924" s="1">
        <v>14.15</v>
      </c>
      <c r="E3924" s="1">
        <v>14.31</v>
      </c>
      <c r="F3924" s="1">
        <v>5290300</v>
      </c>
      <c r="G3924" s="1">
        <v>14.31</v>
      </c>
      <c r="H3924" s="1">
        <f t="shared" si="549"/>
        <v>0.69999999999999929</v>
      </c>
      <c r="I3924" s="9">
        <f t="shared" si="556"/>
        <v>4.9469964664310903E-2</v>
      </c>
      <c r="J3924" s="1">
        <f t="shared" si="557"/>
        <v>-0.21999999999999886</v>
      </c>
      <c r="K3924" s="9">
        <f t="shared" si="550"/>
        <v>-1.5141087405368125E-2</v>
      </c>
      <c r="L3924" s="1">
        <f t="shared" si="551"/>
        <v>1</v>
      </c>
      <c r="M3924" s="1">
        <f t="shared" si="552"/>
        <v>14.85</v>
      </c>
      <c r="N3924" s="1">
        <f t="shared" si="553"/>
        <v>14.15</v>
      </c>
      <c r="O3924" s="1">
        <f t="shared" si="554"/>
        <v>12.350000000000001</v>
      </c>
      <c r="P3924" s="1">
        <f t="shared" si="555"/>
        <v>6.3010204081632661</v>
      </c>
    </row>
    <row r="3925" spans="1:16">
      <c r="A3925" s="2">
        <v>37365</v>
      </c>
      <c r="B3925" s="1">
        <v>14.38</v>
      </c>
      <c r="C3925" s="1">
        <v>14.74</v>
      </c>
      <c r="D3925" s="1">
        <v>14.15</v>
      </c>
      <c r="E3925" s="1">
        <v>14.53</v>
      </c>
      <c r="F3925" s="1">
        <v>3727600</v>
      </c>
      <c r="G3925" s="1">
        <v>14.53</v>
      </c>
      <c r="H3925" s="1">
        <f t="shared" si="549"/>
        <v>0.58999999999999986</v>
      </c>
      <c r="I3925" s="9">
        <f t="shared" si="556"/>
        <v>4.1696113074204934E-2</v>
      </c>
      <c r="J3925" s="1">
        <f t="shared" si="557"/>
        <v>0.26999999999999957</v>
      </c>
      <c r="K3925" s="9">
        <f t="shared" si="550"/>
        <v>1.8934081346423534E-2</v>
      </c>
      <c r="L3925" s="1">
        <f t="shared" si="551"/>
        <v>1</v>
      </c>
      <c r="M3925" s="1">
        <f t="shared" si="552"/>
        <v>14.74</v>
      </c>
      <c r="N3925" s="1">
        <f t="shared" si="553"/>
        <v>14.15</v>
      </c>
      <c r="O3925" s="1">
        <f t="shared" si="554"/>
        <v>12.57</v>
      </c>
      <c r="P3925" s="1">
        <f t="shared" si="555"/>
        <v>6.4132653061224492</v>
      </c>
    </row>
    <row r="3926" spans="1:16">
      <c r="A3926" s="2">
        <v>37364</v>
      </c>
      <c r="B3926" s="1">
        <v>14.7</v>
      </c>
      <c r="C3926" s="1">
        <v>14.86</v>
      </c>
      <c r="D3926" s="1">
        <v>13.95</v>
      </c>
      <c r="E3926" s="1">
        <v>14.26</v>
      </c>
      <c r="F3926" s="1">
        <v>3876400</v>
      </c>
      <c r="G3926" s="1">
        <v>14.26</v>
      </c>
      <c r="H3926" s="1">
        <f t="shared" si="549"/>
        <v>0.91000000000000014</v>
      </c>
      <c r="I3926" s="9">
        <f t="shared" si="556"/>
        <v>6.5232974910394273E-2</v>
      </c>
      <c r="J3926" s="1">
        <f t="shared" si="557"/>
        <v>-0.5600000000000005</v>
      </c>
      <c r="K3926" s="9">
        <f t="shared" si="550"/>
        <v>-3.7786774628879922E-2</v>
      </c>
      <c r="L3926" s="1">
        <f t="shared" si="551"/>
        <v>1</v>
      </c>
      <c r="M3926" s="1">
        <f t="shared" si="552"/>
        <v>14.86</v>
      </c>
      <c r="N3926" s="1">
        <f t="shared" si="553"/>
        <v>13.95</v>
      </c>
      <c r="O3926" s="1">
        <f t="shared" si="554"/>
        <v>12.3</v>
      </c>
      <c r="P3926" s="1">
        <f t="shared" si="555"/>
        <v>6.2755102040816331</v>
      </c>
    </row>
    <row r="3927" spans="1:16">
      <c r="A3927" s="2">
        <v>37363</v>
      </c>
      <c r="B3927" s="1">
        <v>14.24</v>
      </c>
      <c r="C3927" s="1">
        <v>15</v>
      </c>
      <c r="D3927" s="1">
        <v>14.24</v>
      </c>
      <c r="E3927" s="1">
        <v>14.82</v>
      </c>
      <c r="F3927" s="1">
        <v>7756100</v>
      </c>
      <c r="G3927" s="1">
        <v>14.82</v>
      </c>
      <c r="H3927" s="1">
        <f t="shared" si="549"/>
        <v>0.75999999999999979</v>
      </c>
      <c r="I3927" s="9">
        <f t="shared" si="556"/>
        <v>5.3370786516853917E-2</v>
      </c>
      <c r="J3927" s="1">
        <f t="shared" si="557"/>
        <v>0.8100000000000005</v>
      </c>
      <c r="K3927" s="9">
        <f t="shared" si="550"/>
        <v>5.7815845824411169E-2</v>
      </c>
      <c r="L3927" s="1">
        <f t="shared" si="551"/>
        <v>1</v>
      </c>
      <c r="M3927" s="1">
        <f t="shared" si="552"/>
        <v>15</v>
      </c>
      <c r="N3927" s="1">
        <f t="shared" si="553"/>
        <v>14.24</v>
      </c>
      <c r="O3927" s="1">
        <f t="shared" si="554"/>
        <v>12.86</v>
      </c>
      <c r="P3927" s="1">
        <f t="shared" si="555"/>
        <v>6.5612244897959178</v>
      </c>
    </row>
    <row r="3928" spans="1:16">
      <c r="A3928" s="2">
        <v>37362</v>
      </c>
      <c r="B3928" s="1">
        <v>14.18</v>
      </c>
      <c r="C3928" s="1">
        <v>14.29</v>
      </c>
      <c r="D3928" s="1">
        <v>13.72</v>
      </c>
      <c r="E3928" s="1">
        <v>14.01</v>
      </c>
      <c r="F3928" s="1">
        <v>3681000</v>
      </c>
      <c r="G3928" s="1">
        <v>14.01</v>
      </c>
      <c r="H3928" s="1">
        <f t="shared" si="549"/>
        <v>0.56999999999999851</v>
      </c>
      <c r="I3928" s="9">
        <f t="shared" si="556"/>
        <v>4.1545189504373067E-2</v>
      </c>
      <c r="J3928" s="1">
        <f t="shared" si="557"/>
        <v>0.11999999999999922</v>
      </c>
      <c r="K3928" s="9">
        <f t="shared" si="550"/>
        <v>8.63930885529152E-3</v>
      </c>
      <c r="L3928" s="1">
        <f t="shared" si="551"/>
        <v>1</v>
      </c>
      <c r="M3928" s="1">
        <f t="shared" si="552"/>
        <v>14.29</v>
      </c>
      <c r="N3928" s="1">
        <f t="shared" si="553"/>
        <v>13.72</v>
      </c>
      <c r="O3928" s="1">
        <f t="shared" si="554"/>
        <v>12.05</v>
      </c>
      <c r="P3928" s="1">
        <f t="shared" si="555"/>
        <v>6.1479591836734695</v>
      </c>
    </row>
    <row r="3929" spans="1:16">
      <c r="A3929" s="2">
        <v>37361</v>
      </c>
      <c r="B3929" s="1">
        <v>13.42</v>
      </c>
      <c r="C3929" s="1">
        <v>14.1</v>
      </c>
      <c r="D3929" s="1">
        <v>13.35</v>
      </c>
      <c r="E3929" s="1">
        <v>13.89</v>
      </c>
      <c r="F3929" s="1">
        <v>4753700</v>
      </c>
      <c r="G3929" s="1">
        <v>13.89</v>
      </c>
      <c r="H3929" s="1">
        <f t="shared" si="549"/>
        <v>0.75</v>
      </c>
      <c r="I3929" s="9">
        <f t="shared" si="556"/>
        <v>5.6179775280898875E-2</v>
      </c>
      <c r="J3929" s="1">
        <f t="shared" si="557"/>
        <v>0.58000000000000007</v>
      </c>
      <c r="K3929" s="9">
        <f t="shared" si="550"/>
        <v>4.3576258452291516E-2</v>
      </c>
      <c r="L3929" s="1">
        <f t="shared" si="551"/>
        <v>1</v>
      </c>
      <c r="M3929" s="1">
        <f t="shared" si="552"/>
        <v>14.1</v>
      </c>
      <c r="N3929" s="1">
        <f t="shared" si="553"/>
        <v>13.35</v>
      </c>
      <c r="O3929" s="1">
        <f t="shared" si="554"/>
        <v>11.93</v>
      </c>
      <c r="P3929" s="1">
        <f t="shared" si="555"/>
        <v>6.0867346938775508</v>
      </c>
    </row>
    <row r="3930" spans="1:16">
      <c r="A3930" s="2">
        <v>37358</v>
      </c>
      <c r="B3930" s="1">
        <v>12.9</v>
      </c>
      <c r="C3930" s="1">
        <v>13.61</v>
      </c>
      <c r="D3930" s="1">
        <v>12.85</v>
      </c>
      <c r="E3930" s="1">
        <v>13.31</v>
      </c>
      <c r="F3930" s="1">
        <v>5379100</v>
      </c>
      <c r="G3930" s="1">
        <v>13.31</v>
      </c>
      <c r="H3930" s="1">
        <f t="shared" si="549"/>
        <v>0.75999999999999979</v>
      </c>
      <c r="I3930" s="9">
        <f t="shared" si="556"/>
        <v>5.9143968871595315E-2</v>
      </c>
      <c r="J3930" s="1">
        <f t="shared" si="557"/>
        <v>0.57000000000000028</v>
      </c>
      <c r="K3930" s="9">
        <f t="shared" si="550"/>
        <v>4.4740973312401906E-2</v>
      </c>
      <c r="L3930" s="1">
        <f t="shared" si="551"/>
        <v>1</v>
      </c>
      <c r="M3930" s="1">
        <f t="shared" si="552"/>
        <v>13.61</v>
      </c>
      <c r="N3930" s="1">
        <f t="shared" si="553"/>
        <v>12.85</v>
      </c>
      <c r="O3930" s="1">
        <f t="shared" si="554"/>
        <v>11.350000000000001</v>
      </c>
      <c r="P3930" s="1">
        <f t="shared" si="555"/>
        <v>5.7908163265306127</v>
      </c>
    </row>
    <row r="3931" spans="1:16">
      <c r="A3931" s="2">
        <v>37357</v>
      </c>
      <c r="B3931" s="1">
        <v>13.28</v>
      </c>
      <c r="C3931" s="1">
        <v>13.28</v>
      </c>
      <c r="D3931" s="1">
        <v>12.52</v>
      </c>
      <c r="E3931" s="1">
        <v>12.74</v>
      </c>
      <c r="F3931" s="1">
        <v>5957600</v>
      </c>
      <c r="G3931" s="1">
        <v>12.74</v>
      </c>
      <c r="H3931" s="1">
        <f t="shared" si="549"/>
        <v>0.75999999999999979</v>
      </c>
      <c r="I3931" s="9">
        <f t="shared" si="556"/>
        <v>6.0702875399361006E-2</v>
      </c>
      <c r="J3931" s="1">
        <f t="shared" si="557"/>
        <v>-0.74000000000000021</v>
      </c>
      <c r="K3931" s="9">
        <f t="shared" si="550"/>
        <v>-5.4896142433234436E-2</v>
      </c>
      <c r="L3931" s="1">
        <f t="shared" si="551"/>
        <v>1</v>
      </c>
      <c r="M3931" s="1">
        <f t="shared" si="552"/>
        <v>13.28</v>
      </c>
      <c r="N3931" s="1">
        <f t="shared" si="553"/>
        <v>12.52</v>
      </c>
      <c r="O3931" s="1">
        <f t="shared" si="554"/>
        <v>10.780000000000001</v>
      </c>
      <c r="P3931" s="1">
        <f t="shared" si="555"/>
        <v>5.5000000000000009</v>
      </c>
    </row>
    <row r="3932" spans="1:16">
      <c r="A3932" s="2">
        <v>37356</v>
      </c>
      <c r="B3932" s="1">
        <v>13.76</v>
      </c>
      <c r="C3932" s="1">
        <v>14</v>
      </c>
      <c r="D3932" s="1">
        <v>13.05</v>
      </c>
      <c r="E3932" s="1">
        <v>13.48</v>
      </c>
      <c r="F3932" s="1">
        <v>5256700</v>
      </c>
      <c r="G3932" s="1">
        <v>13.48</v>
      </c>
      <c r="H3932" s="1">
        <f t="shared" si="549"/>
        <v>0.94999999999999929</v>
      </c>
      <c r="I3932" s="9">
        <f t="shared" si="556"/>
        <v>7.2796934865900331E-2</v>
      </c>
      <c r="J3932" s="1">
        <f t="shared" si="557"/>
        <v>-0.11999999999999922</v>
      </c>
      <c r="K3932" s="9">
        <f t="shared" si="550"/>
        <v>-8.8235294117646485E-3</v>
      </c>
      <c r="L3932" s="1">
        <f t="shared" si="551"/>
        <v>1</v>
      </c>
      <c r="M3932" s="1">
        <f t="shared" si="552"/>
        <v>14</v>
      </c>
      <c r="N3932" s="1">
        <f t="shared" si="553"/>
        <v>13.05</v>
      </c>
      <c r="O3932" s="1">
        <f t="shared" si="554"/>
        <v>11.52</v>
      </c>
      <c r="P3932" s="1">
        <f t="shared" si="555"/>
        <v>5.8775510204081636</v>
      </c>
    </row>
    <row r="3933" spans="1:16">
      <c r="A3933" s="2">
        <v>37355</v>
      </c>
      <c r="B3933" s="1">
        <v>14.07</v>
      </c>
      <c r="C3933" s="1">
        <v>14.59</v>
      </c>
      <c r="D3933" s="1">
        <v>13.56</v>
      </c>
      <c r="E3933" s="1">
        <v>13.6</v>
      </c>
      <c r="F3933" s="1">
        <v>6459000</v>
      </c>
      <c r="G3933" s="1">
        <v>13.6</v>
      </c>
      <c r="H3933" s="1">
        <f t="shared" si="549"/>
        <v>1.0299999999999994</v>
      </c>
      <c r="I3933" s="9">
        <f t="shared" si="556"/>
        <v>7.5958702064896702E-2</v>
      </c>
      <c r="J3933" s="1">
        <f t="shared" si="557"/>
        <v>-0.34999999999999964</v>
      </c>
      <c r="K3933" s="9">
        <f t="shared" si="550"/>
        <v>-2.5089605734767002E-2</v>
      </c>
      <c r="L3933" s="1">
        <f t="shared" si="551"/>
        <v>1</v>
      </c>
      <c r="M3933" s="1">
        <f t="shared" si="552"/>
        <v>14.59</v>
      </c>
      <c r="N3933" s="1">
        <f t="shared" si="553"/>
        <v>13.56</v>
      </c>
      <c r="O3933" s="1">
        <f t="shared" si="554"/>
        <v>11.64</v>
      </c>
      <c r="P3933" s="1">
        <f t="shared" si="555"/>
        <v>5.9387755102040822</v>
      </c>
    </row>
    <row r="3934" spans="1:16">
      <c r="A3934" s="2">
        <v>37354</v>
      </c>
      <c r="B3934" s="1">
        <v>12.97</v>
      </c>
      <c r="C3934" s="1">
        <v>13.96</v>
      </c>
      <c r="D3934" s="1">
        <v>12.96</v>
      </c>
      <c r="E3934" s="1">
        <v>13.95</v>
      </c>
      <c r="F3934" s="1">
        <v>5277800</v>
      </c>
      <c r="G3934" s="1">
        <v>13.95</v>
      </c>
      <c r="H3934" s="1">
        <f t="shared" si="549"/>
        <v>1</v>
      </c>
      <c r="I3934" s="9">
        <f t="shared" si="556"/>
        <v>7.716049382716049E-2</v>
      </c>
      <c r="J3934" s="1">
        <f t="shared" si="557"/>
        <v>0.44999999999999929</v>
      </c>
      <c r="K3934" s="9">
        <f t="shared" si="550"/>
        <v>3.3333333333333277E-2</v>
      </c>
      <c r="L3934" s="1">
        <f t="shared" si="551"/>
        <v>1</v>
      </c>
      <c r="M3934" s="1">
        <f t="shared" si="552"/>
        <v>13.96</v>
      </c>
      <c r="N3934" s="1">
        <f t="shared" si="553"/>
        <v>12.96</v>
      </c>
      <c r="O3934" s="1">
        <f t="shared" si="554"/>
        <v>11.989999999999998</v>
      </c>
      <c r="P3934" s="1">
        <f t="shared" si="555"/>
        <v>6.1173469387755093</v>
      </c>
    </row>
    <row r="3935" spans="1:16">
      <c r="A3935" s="2">
        <v>37351</v>
      </c>
      <c r="B3935" s="1">
        <v>13.67</v>
      </c>
      <c r="C3935" s="1">
        <v>14.04</v>
      </c>
      <c r="D3935" s="1">
        <v>13.31</v>
      </c>
      <c r="E3935" s="1">
        <v>13.5</v>
      </c>
      <c r="F3935" s="1">
        <v>4500000</v>
      </c>
      <c r="G3935" s="1">
        <v>13.5</v>
      </c>
      <c r="H3935" s="1">
        <f t="shared" si="549"/>
        <v>0.72999999999999865</v>
      </c>
      <c r="I3935" s="9">
        <f t="shared" si="556"/>
        <v>5.4845980465815077E-2</v>
      </c>
      <c r="J3935" s="1">
        <f t="shared" si="557"/>
        <v>-3.9999999999999147E-2</v>
      </c>
      <c r="K3935" s="9">
        <f t="shared" si="550"/>
        <v>-2.9542097488921087E-3</v>
      </c>
      <c r="L3935" s="1">
        <f t="shared" si="551"/>
        <v>1</v>
      </c>
      <c r="M3935" s="1">
        <f t="shared" si="552"/>
        <v>14.04</v>
      </c>
      <c r="N3935" s="1">
        <f t="shared" si="553"/>
        <v>13.31</v>
      </c>
      <c r="O3935" s="1">
        <f t="shared" si="554"/>
        <v>11.54</v>
      </c>
      <c r="P3935" s="1">
        <f t="shared" si="555"/>
        <v>5.8877551020408161</v>
      </c>
    </row>
    <row r="3936" spans="1:16">
      <c r="A3936" s="2">
        <v>37350</v>
      </c>
      <c r="B3936" s="1">
        <v>13.73</v>
      </c>
      <c r="C3936" s="1">
        <v>13.8</v>
      </c>
      <c r="D3936" s="1">
        <v>13.23</v>
      </c>
      <c r="E3936" s="1">
        <v>13.54</v>
      </c>
      <c r="F3936" s="1">
        <v>5731700</v>
      </c>
      <c r="G3936" s="1">
        <v>13.54</v>
      </c>
      <c r="H3936" s="1">
        <f t="shared" si="549"/>
        <v>0.57000000000000028</v>
      </c>
      <c r="I3936" s="9">
        <f t="shared" si="556"/>
        <v>4.3083900226757392E-2</v>
      </c>
      <c r="J3936" s="1">
        <f t="shared" si="557"/>
        <v>-0.13000000000000078</v>
      </c>
      <c r="K3936" s="9">
        <f t="shared" si="550"/>
        <v>-9.5098756400878413E-3</v>
      </c>
      <c r="L3936" s="1">
        <f t="shared" si="551"/>
        <v>1</v>
      </c>
      <c r="M3936" s="1">
        <f t="shared" si="552"/>
        <v>13.8</v>
      </c>
      <c r="N3936" s="1">
        <f t="shared" si="553"/>
        <v>13.23</v>
      </c>
      <c r="O3936" s="1">
        <f t="shared" si="554"/>
        <v>11.579999999999998</v>
      </c>
      <c r="P3936" s="1">
        <f t="shared" si="555"/>
        <v>5.908163265306122</v>
      </c>
    </row>
    <row r="3937" spans="1:16">
      <c r="A3937" s="2">
        <v>37349</v>
      </c>
      <c r="B3937" s="1">
        <v>14.37</v>
      </c>
      <c r="C3937" s="1">
        <v>14.45</v>
      </c>
      <c r="D3937" s="1">
        <v>13.6</v>
      </c>
      <c r="E3937" s="1">
        <v>13.67</v>
      </c>
      <c r="F3937" s="1">
        <v>4534100</v>
      </c>
      <c r="G3937" s="1">
        <v>13.67</v>
      </c>
      <c r="H3937" s="1">
        <f t="shared" si="549"/>
        <v>0.84999999999999964</v>
      </c>
      <c r="I3937" s="9">
        <f t="shared" si="556"/>
        <v>6.2499999999999972E-2</v>
      </c>
      <c r="J3937" s="1">
        <f t="shared" si="557"/>
        <v>-0.58000000000000007</v>
      </c>
      <c r="K3937" s="9">
        <f t="shared" si="550"/>
        <v>-4.0701754385964919E-2</v>
      </c>
      <c r="L3937" s="1">
        <f t="shared" si="551"/>
        <v>1</v>
      </c>
      <c r="M3937" s="1">
        <f t="shared" si="552"/>
        <v>14.45</v>
      </c>
      <c r="N3937" s="1">
        <f t="shared" si="553"/>
        <v>13.6</v>
      </c>
      <c r="O3937" s="1">
        <f t="shared" si="554"/>
        <v>11.71</v>
      </c>
      <c r="P3937" s="1">
        <f t="shared" si="555"/>
        <v>5.9744897959183678</v>
      </c>
    </row>
    <row r="3938" spans="1:16">
      <c r="A3938" s="2">
        <v>37348</v>
      </c>
      <c r="B3938" s="1">
        <v>14.64</v>
      </c>
      <c r="C3938" s="1">
        <v>15.09</v>
      </c>
      <c r="D3938" s="1">
        <v>14.19</v>
      </c>
      <c r="E3938" s="1">
        <v>14.25</v>
      </c>
      <c r="F3938" s="1">
        <v>4771400</v>
      </c>
      <c r="G3938" s="1">
        <v>14.25</v>
      </c>
      <c r="H3938" s="1">
        <f t="shared" si="549"/>
        <v>0.90000000000000036</v>
      </c>
      <c r="I3938" s="9">
        <f t="shared" si="556"/>
        <v>6.3424947145877403E-2</v>
      </c>
      <c r="J3938" s="1">
        <f t="shared" si="557"/>
        <v>-0.55000000000000071</v>
      </c>
      <c r="K3938" s="9">
        <f t="shared" si="550"/>
        <v>-3.7162162162162206E-2</v>
      </c>
      <c r="L3938" s="1">
        <f t="shared" si="551"/>
        <v>1</v>
      </c>
      <c r="M3938" s="1">
        <f t="shared" si="552"/>
        <v>15.09</v>
      </c>
      <c r="N3938" s="1">
        <f t="shared" si="553"/>
        <v>14.19</v>
      </c>
      <c r="O3938" s="1">
        <f t="shared" si="554"/>
        <v>12.29</v>
      </c>
      <c r="P3938" s="1">
        <f t="shared" si="555"/>
        <v>6.2704081632653059</v>
      </c>
    </row>
    <row r="3939" spans="1:16">
      <c r="A3939" s="2">
        <v>37347</v>
      </c>
      <c r="B3939" s="1">
        <v>14.28</v>
      </c>
      <c r="C3939" s="1">
        <v>14.8</v>
      </c>
      <c r="D3939" s="1">
        <v>14.14</v>
      </c>
      <c r="E3939" s="1">
        <v>14.8</v>
      </c>
      <c r="F3939" s="1">
        <v>4767900</v>
      </c>
      <c r="G3939" s="1">
        <v>14.8</v>
      </c>
      <c r="H3939" s="1">
        <f t="shared" si="549"/>
        <v>0.66000000000000014</v>
      </c>
      <c r="I3939" s="9">
        <f t="shared" si="556"/>
        <v>4.6676096181046685E-2</v>
      </c>
      <c r="J3939" s="1">
        <f t="shared" si="557"/>
        <v>0.5</v>
      </c>
      <c r="K3939" s="9">
        <f t="shared" si="550"/>
        <v>3.4965034965034961E-2</v>
      </c>
      <c r="L3939" s="1">
        <f t="shared" si="551"/>
        <v>1</v>
      </c>
      <c r="M3939" s="1">
        <f t="shared" si="552"/>
        <v>14.8</v>
      </c>
      <c r="N3939" s="1">
        <f t="shared" si="553"/>
        <v>14.14</v>
      </c>
      <c r="O3939" s="1">
        <f t="shared" si="554"/>
        <v>12.84</v>
      </c>
      <c r="P3939" s="1">
        <f t="shared" si="555"/>
        <v>6.5510204081632653</v>
      </c>
    </row>
    <row r="3940" spans="1:16">
      <c r="A3940" s="2">
        <v>37343</v>
      </c>
      <c r="B3940" s="1">
        <v>14.4</v>
      </c>
      <c r="C3940" s="1">
        <v>14.65</v>
      </c>
      <c r="D3940" s="1">
        <v>14.25</v>
      </c>
      <c r="E3940" s="1">
        <v>14.3</v>
      </c>
      <c r="F3940" s="1">
        <v>3122500</v>
      </c>
      <c r="G3940" s="1">
        <v>14.3</v>
      </c>
      <c r="H3940" s="1">
        <f t="shared" si="549"/>
        <v>0.40000000000000036</v>
      </c>
      <c r="I3940" s="9">
        <f t="shared" si="556"/>
        <v>2.8070175438596516E-2</v>
      </c>
      <c r="J3940" s="1">
        <f t="shared" si="557"/>
        <v>5.0000000000000711E-2</v>
      </c>
      <c r="K3940" s="9">
        <f t="shared" si="550"/>
        <v>3.5087719298246113E-3</v>
      </c>
      <c r="L3940" s="1">
        <f t="shared" si="551"/>
        <v>1</v>
      </c>
      <c r="M3940" s="1">
        <f t="shared" si="552"/>
        <v>14.65</v>
      </c>
      <c r="N3940" s="1">
        <f t="shared" si="553"/>
        <v>14.25</v>
      </c>
      <c r="O3940" s="1">
        <f t="shared" si="554"/>
        <v>12.34</v>
      </c>
      <c r="P3940" s="1">
        <f t="shared" si="555"/>
        <v>6.295918367346939</v>
      </c>
    </row>
    <row r="3941" spans="1:16">
      <c r="A3941" s="2">
        <v>37342</v>
      </c>
      <c r="B3941" s="1">
        <v>13.9</v>
      </c>
      <c r="C3941" s="1">
        <v>14.35</v>
      </c>
      <c r="D3941" s="1">
        <v>13.7</v>
      </c>
      <c r="E3941" s="1">
        <v>14.25</v>
      </c>
      <c r="F3941" s="1">
        <v>8146300</v>
      </c>
      <c r="G3941" s="1">
        <v>14.25</v>
      </c>
      <c r="H3941" s="1">
        <f t="shared" si="549"/>
        <v>0.65000000000000036</v>
      </c>
      <c r="I3941" s="9">
        <f t="shared" si="556"/>
        <v>4.744525547445258E-2</v>
      </c>
      <c r="J3941" s="1">
        <f t="shared" si="557"/>
        <v>-0.58000000000000007</v>
      </c>
      <c r="K3941" s="9">
        <f t="shared" si="550"/>
        <v>-3.9109912339851657E-2</v>
      </c>
      <c r="L3941" s="1">
        <f t="shared" si="551"/>
        <v>1</v>
      </c>
      <c r="M3941" s="1">
        <f t="shared" si="552"/>
        <v>14.35</v>
      </c>
      <c r="N3941" s="1">
        <f t="shared" si="553"/>
        <v>13.7</v>
      </c>
      <c r="O3941" s="1">
        <f t="shared" si="554"/>
        <v>12.29</v>
      </c>
      <c r="P3941" s="1">
        <f t="shared" si="555"/>
        <v>6.2704081632653059</v>
      </c>
    </row>
    <row r="3942" spans="1:16">
      <c r="A3942" s="2">
        <v>37341</v>
      </c>
      <c r="B3942" s="1">
        <v>14.64</v>
      </c>
      <c r="C3942" s="1">
        <v>15.45</v>
      </c>
      <c r="D3942" s="1">
        <v>14.55</v>
      </c>
      <c r="E3942" s="1">
        <v>14.83</v>
      </c>
      <c r="F3942" s="1">
        <v>4925100</v>
      </c>
      <c r="G3942" s="1">
        <v>14.83</v>
      </c>
      <c r="H3942" s="1">
        <f t="shared" si="549"/>
        <v>0.89999999999999858</v>
      </c>
      <c r="I3942" s="9">
        <f t="shared" si="556"/>
        <v>6.1855670103092682E-2</v>
      </c>
      <c r="J3942" s="1">
        <f t="shared" si="557"/>
        <v>8.9999999999999858E-2</v>
      </c>
      <c r="K3942" s="9">
        <f t="shared" si="550"/>
        <v>6.1058344640434097E-3</v>
      </c>
      <c r="L3942" s="1">
        <f t="shared" si="551"/>
        <v>1</v>
      </c>
      <c r="M3942" s="1">
        <f t="shared" si="552"/>
        <v>15.45</v>
      </c>
      <c r="N3942" s="1">
        <f t="shared" si="553"/>
        <v>14.55</v>
      </c>
      <c r="O3942" s="1">
        <f t="shared" si="554"/>
        <v>12.870000000000001</v>
      </c>
      <c r="P3942" s="1">
        <f t="shared" si="555"/>
        <v>6.5663265306122458</v>
      </c>
    </row>
    <row r="3943" spans="1:16">
      <c r="A3943" s="2">
        <v>37340</v>
      </c>
      <c r="B3943" s="1">
        <v>15.47</v>
      </c>
      <c r="C3943" s="1">
        <v>15.73</v>
      </c>
      <c r="D3943" s="1">
        <v>14.72</v>
      </c>
      <c r="E3943" s="1">
        <v>14.74</v>
      </c>
      <c r="F3943" s="1">
        <v>5116100</v>
      </c>
      <c r="G3943" s="1">
        <v>14.74</v>
      </c>
      <c r="H3943" s="1">
        <f t="shared" si="549"/>
        <v>1.0099999999999998</v>
      </c>
      <c r="I3943" s="9">
        <f t="shared" si="556"/>
        <v>6.8614130434782594E-2</v>
      </c>
      <c r="J3943" s="1">
        <f t="shared" si="557"/>
        <v>-0.78999999999999915</v>
      </c>
      <c r="K3943" s="9">
        <f t="shared" si="550"/>
        <v>-5.0869285254346371E-2</v>
      </c>
      <c r="L3943" s="1">
        <f t="shared" si="551"/>
        <v>1</v>
      </c>
      <c r="M3943" s="1">
        <f t="shared" si="552"/>
        <v>15.73</v>
      </c>
      <c r="N3943" s="1">
        <f t="shared" si="553"/>
        <v>14.72</v>
      </c>
      <c r="O3943" s="1">
        <f t="shared" si="554"/>
        <v>12.780000000000001</v>
      </c>
      <c r="P3943" s="1">
        <f t="shared" si="555"/>
        <v>6.5204081632653068</v>
      </c>
    </row>
    <row r="3944" spans="1:16">
      <c r="A3944" s="2">
        <v>37337</v>
      </c>
      <c r="B3944" s="1">
        <v>15.12</v>
      </c>
      <c r="C3944" s="1">
        <v>15.6</v>
      </c>
      <c r="D3944" s="1">
        <v>15.1</v>
      </c>
      <c r="E3944" s="1">
        <v>15.53</v>
      </c>
      <c r="F3944" s="1">
        <v>5185000</v>
      </c>
      <c r="G3944" s="1">
        <v>15.53</v>
      </c>
      <c r="H3944" s="1">
        <f t="shared" si="549"/>
        <v>0.5</v>
      </c>
      <c r="I3944" s="9">
        <f t="shared" si="556"/>
        <v>3.3112582781456956E-2</v>
      </c>
      <c r="J3944" s="1">
        <f t="shared" si="557"/>
        <v>0.35999999999999943</v>
      </c>
      <c r="K3944" s="9">
        <f t="shared" si="550"/>
        <v>2.3731048121291988E-2</v>
      </c>
      <c r="L3944" s="1">
        <f t="shared" si="551"/>
        <v>1</v>
      </c>
      <c r="M3944" s="1">
        <f t="shared" si="552"/>
        <v>15.6</v>
      </c>
      <c r="N3944" s="1">
        <f t="shared" si="553"/>
        <v>15.1</v>
      </c>
      <c r="O3944" s="1">
        <f t="shared" si="554"/>
        <v>13.57</v>
      </c>
      <c r="P3944" s="1">
        <f t="shared" si="555"/>
        <v>6.9234693877551026</v>
      </c>
    </row>
    <row r="3945" spans="1:16">
      <c r="A3945" s="2">
        <v>37336</v>
      </c>
      <c r="B3945" s="1">
        <v>14.62</v>
      </c>
      <c r="C3945" s="1">
        <v>15.24</v>
      </c>
      <c r="D3945" s="1">
        <v>14.56</v>
      </c>
      <c r="E3945" s="1">
        <v>15.17</v>
      </c>
      <c r="F3945" s="1">
        <v>5577900</v>
      </c>
      <c r="G3945" s="1">
        <v>15.17</v>
      </c>
      <c r="H3945" s="1">
        <f t="shared" si="549"/>
        <v>0.67999999999999972</v>
      </c>
      <c r="I3945" s="9">
        <f t="shared" si="556"/>
        <v>4.6703296703296683E-2</v>
      </c>
      <c r="J3945" s="1">
        <f t="shared" si="557"/>
        <v>0.66999999999999993</v>
      </c>
      <c r="K3945" s="9">
        <f t="shared" si="550"/>
        <v>4.6206896551724136E-2</v>
      </c>
      <c r="L3945" s="1">
        <f t="shared" si="551"/>
        <v>1</v>
      </c>
      <c r="M3945" s="1">
        <f t="shared" si="552"/>
        <v>15.24</v>
      </c>
      <c r="N3945" s="1">
        <f t="shared" si="553"/>
        <v>14.56</v>
      </c>
      <c r="O3945" s="1">
        <f t="shared" si="554"/>
        <v>13.21</v>
      </c>
      <c r="P3945" s="1">
        <f t="shared" si="555"/>
        <v>6.7397959183673475</v>
      </c>
    </row>
    <row r="3946" spans="1:16">
      <c r="A3946" s="2">
        <v>37335</v>
      </c>
      <c r="B3946" s="1">
        <v>14.48</v>
      </c>
      <c r="C3946" s="1">
        <v>15.13</v>
      </c>
      <c r="D3946" s="1">
        <v>14.3</v>
      </c>
      <c r="E3946" s="1">
        <v>14.5</v>
      </c>
      <c r="F3946" s="1">
        <v>7179300</v>
      </c>
      <c r="G3946" s="1">
        <v>14.5</v>
      </c>
      <c r="H3946" s="1">
        <f t="shared" si="549"/>
        <v>0.83000000000000007</v>
      </c>
      <c r="I3946" s="9">
        <f t="shared" si="556"/>
        <v>5.8041958041958046E-2</v>
      </c>
      <c r="J3946" s="1">
        <f t="shared" si="557"/>
        <v>-0.16000000000000014</v>
      </c>
      <c r="K3946" s="9">
        <f t="shared" si="550"/>
        <v>-1.0914051841746257E-2</v>
      </c>
      <c r="L3946" s="1">
        <f t="shared" si="551"/>
        <v>1</v>
      </c>
      <c r="M3946" s="1">
        <f t="shared" si="552"/>
        <v>15.13</v>
      </c>
      <c r="N3946" s="1">
        <f t="shared" si="553"/>
        <v>14.3</v>
      </c>
      <c r="O3946" s="1">
        <f t="shared" si="554"/>
        <v>12.54</v>
      </c>
      <c r="P3946" s="1">
        <f t="shared" si="555"/>
        <v>6.3979591836734695</v>
      </c>
    </row>
    <row r="3947" spans="1:16">
      <c r="A3947" s="2">
        <v>37334</v>
      </c>
      <c r="B3947" s="1">
        <v>15.15</v>
      </c>
      <c r="C3947" s="1">
        <v>15.4</v>
      </c>
      <c r="D3947" s="1">
        <v>14.56</v>
      </c>
      <c r="E3947" s="1">
        <v>14.66</v>
      </c>
      <c r="F3947" s="1">
        <v>4893700</v>
      </c>
      <c r="G3947" s="1">
        <v>14.66</v>
      </c>
      <c r="H3947" s="1">
        <f t="shared" si="549"/>
        <v>0.83999999999999986</v>
      </c>
      <c r="I3947" s="9">
        <f t="shared" si="556"/>
        <v>5.7692307692307682E-2</v>
      </c>
      <c r="J3947" s="1">
        <f t="shared" si="557"/>
        <v>-0.34999999999999964</v>
      </c>
      <c r="K3947" s="9">
        <f t="shared" si="550"/>
        <v>-2.3317788141239151E-2</v>
      </c>
      <c r="L3947" s="1">
        <f t="shared" si="551"/>
        <v>1</v>
      </c>
      <c r="M3947" s="1">
        <f t="shared" si="552"/>
        <v>15.4</v>
      </c>
      <c r="N3947" s="1">
        <f t="shared" si="553"/>
        <v>14.56</v>
      </c>
      <c r="O3947" s="1">
        <f t="shared" si="554"/>
        <v>12.7</v>
      </c>
      <c r="P3947" s="1">
        <f t="shared" si="555"/>
        <v>6.4795918367346932</v>
      </c>
    </row>
    <row r="3948" spans="1:16">
      <c r="A3948" s="2">
        <v>37333</v>
      </c>
      <c r="B3948" s="1">
        <v>14.15</v>
      </c>
      <c r="C3948" s="1">
        <v>15.28</v>
      </c>
      <c r="D3948" s="1">
        <v>14.14</v>
      </c>
      <c r="E3948" s="1">
        <v>15.01</v>
      </c>
      <c r="F3948" s="1">
        <v>9831800</v>
      </c>
      <c r="G3948" s="1">
        <v>15.01</v>
      </c>
      <c r="H3948" s="1">
        <f t="shared" si="549"/>
        <v>1.1399999999999988</v>
      </c>
      <c r="I3948" s="9">
        <f t="shared" si="556"/>
        <v>8.0622347949080533E-2</v>
      </c>
      <c r="J3948" s="1">
        <f t="shared" si="557"/>
        <v>0.98000000000000043</v>
      </c>
      <c r="K3948" s="9">
        <f t="shared" si="550"/>
        <v>6.9850320741268748E-2</v>
      </c>
      <c r="L3948" s="1">
        <f t="shared" si="551"/>
        <v>1</v>
      </c>
      <c r="M3948" s="1">
        <f t="shared" si="552"/>
        <v>15.28</v>
      </c>
      <c r="N3948" s="1">
        <f t="shared" si="553"/>
        <v>14.14</v>
      </c>
      <c r="O3948" s="1">
        <f t="shared" si="554"/>
        <v>13.05</v>
      </c>
      <c r="P3948" s="1">
        <f t="shared" si="555"/>
        <v>6.6581632653061229</v>
      </c>
    </row>
    <row r="3949" spans="1:16">
      <c r="A3949" s="2">
        <v>37330</v>
      </c>
      <c r="B3949" s="1">
        <v>14.27</v>
      </c>
      <c r="C3949" s="1">
        <v>14.29</v>
      </c>
      <c r="D3949" s="1">
        <v>13.55</v>
      </c>
      <c r="E3949" s="1">
        <v>14.03</v>
      </c>
      <c r="F3949" s="1">
        <v>12320700</v>
      </c>
      <c r="G3949" s="1">
        <v>14.03</v>
      </c>
      <c r="H3949" s="1">
        <f t="shared" si="549"/>
        <v>0.73999999999999844</v>
      </c>
      <c r="I3949" s="9">
        <f t="shared" si="556"/>
        <v>5.4612546125461139E-2</v>
      </c>
      <c r="J3949" s="1">
        <f t="shared" si="557"/>
        <v>-0.45000000000000107</v>
      </c>
      <c r="K3949" s="9">
        <f t="shared" si="550"/>
        <v>-3.1077348066298416E-2</v>
      </c>
      <c r="L3949" s="1">
        <f t="shared" si="551"/>
        <v>1</v>
      </c>
      <c r="M3949" s="1">
        <f t="shared" si="552"/>
        <v>14.29</v>
      </c>
      <c r="N3949" s="1">
        <f t="shared" si="553"/>
        <v>13.55</v>
      </c>
      <c r="O3949" s="1">
        <f t="shared" si="554"/>
        <v>12.07</v>
      </c>
      <c r="P3949" s="1">
        <f t="shared" si="555"/>
        <v>6.1581632653061229</v>
      </c>
    </row>
    <row r="3950" spans="1:16">
      <c r="A3950" s="2">
        <v>37329</v>
      </c>
      <c r="B3950" s="1">
        <v>14.99</v>
      </c>
      <c r="C3950" s="1">
        <v>15.5</v>
      </c>
      <c r="D3950" s="1">
        <v>14.28</v>
      </c>
      <c r="E3950" s="1">
        <v>14.48</v>
      </c>
      <c r="F3950" s="1">
        <v>15169300</v>
      </c>
      <c r="G3950" s="1">
        <v>14.48</v>
      </c>
      <c r="H3950" s="1">
        <f t="shared" si="549"/>
        <v>1.2200000000000006</v>
      </c>
      <c r="I3950" s="9">
        <f t="shared" si="556"/>
        <v>8.5434173669467831E-2</v>
      </c>
      <c r="J3950" s="1">
        <f t="shared" si="557"/>
        <v>-1.2599999999999998</v>
      </c>
      <c r="K3950" s="9">
        <f t="shared" si="550"/>
        <v>-8.0050825921219801E-2</v>
      </c>
      <c r="L3950" s="1">
        <f t="shared" si="551"/>
        <v>1</v>
      </c>
      <c r="M3950" s="1">
        <f t="shared" si="552"/>
        <v>15.5</v>
      </c>
      <c r="N3950" s="1">
        <f t="shared" si="553"/>
        <v>14.28</v>
      </c>
      <c r="O3950" s="1">
        <f t="shared" si="554"/>
        <v>12.52</v>
      </c>
      <c r="P3950" s="1">
        <f t="shared" si="555"/>
        <v>6.3877551020408161</v>
      </c>
    </row>
    <row r="3951" spans="1:16">
      <c r="A3951" s="2">
        <v>37328</v>
      </c>
      <c r="B3951" s="1">
        <v>16.05</v>
      </c>
      <c r="C3951" s="1">
        <v>16.34</v>
      </c>
      <c r="D3951" s="1">
        <v>15.64</v>
      </c>
      <c r="E3951" s="1">
        <v>15.74</v>
      </c>
      <c r="F3951" s="1">
        <v>5559400</v>
      </c>
      <c r="G3951" s="1">
        <v>15.74</v>
      </c>
      <c r="H3951" s="1">
        <f t="shared" si="549"/>
        <v>0.69999999999999929</v>
      </c>
      <c r="I3951" s="9">
        <f t="shared" si="556"/>
        <v>4.4757033248081793E-2</v>
      </c>
      <c r="J3951" s="1">
        <f t="shared" si="557"/>
        <v>-0.56999999999999851</v>
      </c>
      <c r="K3951" s="9">
        <f t="shared" si="550"/>
        <v>-3.494788473329237E-2</v>
      </c>
      <c r="L3951" s="1">
        <f t="shared" si="551"/>
        <v>1</v>
      </c>
      <c r="M3951" s="1">
        <f t="shared" si="552"/>
        <v>16.34</v>
      </c>
      <c r="N3951" s="1">
        <f t="shared" si="553"/>
        <v>15.64</v>
      </c>
      <c r="O3951" s="1">
        <f t="shared" si="554"/>
        <v>13.780000000000001</v>
      </c>
      <c r="P3951" s="1">
        <f t="shared" si="555"/>
        <v>7.0306122448979602</v>
      </c>
    </row>
    <row r="3952" spans="1:16">
      <c r="A3952" s="2">
        <v>37327</v>
      </c>
      <c r="B3952" s="1">
        <v>16.350000000000001</v>
      </c>
      <c r="C3952" s="1">
        <v>16.59</v>
      </c>
      <c r="D3952" s="1">
        <v>16.04</v>
      </c>
      <c r="E3952" s="1">
        <v>16.309999999999999</v>
      </c>
      <c r="F3952" s="1">
        <v>5619100</v>
      </c>
      <c r="G3952" s="1">
        <v>16.309999999999999</v>
      </c>
      <c r="H3952" s="1">
        <f t="shared" si="549"/>
        <v>0.55000000000000071</v>
      </c>
      <c r="I3952" s="9">
        <f t="shared" si="556"/>
        <v>3.4289276807980093E-2</v>
      </c>
      <c r="J3952" s="1">
        <f t="shared" si="557"/>
        <v>-0.40000000000000213</v>
      </c>
      <c r="K3952" s="9">
        <f t="shared" si="550"/>
        <v>-2.3937761819270025E-2</v>
      </c>
      <c r="L3952" s="1">
        <f t="shared" si="551"/>
        <v>1</v>
      </c>
      <c r="M3952" s="1">
        <f t="shared" si="552"/>
        <v>16.59</v>
      </c>
      <c r="N3952" s="1">
        <f t="shared" si="553"/>
        <v>16.04</v>
      </c>
      <c r="O3952" s="1">
        <f t="shared" si="554"/>
        <v>14.349999999999998</v>
      </c>
      <c r="P3952" s="1">
        <f t="shared" si="555"/>
        <v>7.3214285714285703</v>
      </c>
    </row>
    <row r="3953" spans="1:16">
      <c r="A3953" s="2">
        <v>37326</v>
      </c>
      <c r="B3953" s="1">
        <v>16.04</v>
      </c>
      <c r="C3953" s="1">
        <v>16.88</v>
      </c>
      <c r="D3953" s="1">
        <v>15.86</v>
      </c>
      <c r="E3953" s="1">
        <v>16.71</v>
      </c>
      <c r="F3953" s="1">
        <v>6624700</v>
      </c>
      <c r="G3953" s="1">
        <v>16.71</v>
      </c>
      <c r="H3953" s="1">
        <f t="shared" si="549"/>
        <v>1.0199999999999996</v>
      </c>
      <c r="I3953" s="9">
        <f t="shared" si="556"/>
        <v>6.4312736443883967E-2</v>
      </c>
      <c r="J3953" s="1">
        <f t="shared" si="557"/>
        <v>0.35999999999999943</v>
      </c>
      <c r="K3953" s="9">
        <f t="shared" si="550"/>
        <v>2.2018348623853174E-2</v>
      </c>
      <c r="L3953" s="1">
        <f t="shared" si="551"/>
        <v>1</v>
      </c>
      <c r="M3953" s="1">
        <f t="shared" si="552"/>
        <v>16.88</v>
      </c>
      <c r="N3953" s="1">
        <f t="shared" si="553"/>
        <v>15.86</v>
      </c>
      <c r="O3953" s="1">
        <f t="shared" si="554"/>
        <v>14.75</v>
      </c>
      <c r="P3953" s="1">
        <f t="shared" si="555"/>
        <v>7.5255102040816331</v>
      </c>
    </row>
    <row r="3954" spans="1:16">
      <c r="A3954" s="2">
        <v>37323</v>
      </c>
      <c r="B3954" s="1">
        <v>16.25</v>
      </c>
      <c r="C3954" s="1">
        <v>16.96</v>
      </c>
      <c r="D3954" s="1">
        <v>15.93</v>
      </c>
      <c r="E3954" s="1">
        <v>16.350000000000001</v>
      </c>
      <c r="F3954" s="1">
        <v>9434800</v>
      </c>
      <c r="G3954" s="1">
        <v>16.350000000000001</v>
      </c>
      <c r="H3954" s="1">
        <f t="shared" si="549"/>
        <v>1.0300000000000011</v>
      </c>
      <c r="I3954" s="9">
        <f t="shared" si="556"/>
        <v>6.4657878217200329E-2</v>
      </c>
      <c r="J3954" s="1">
        <f t="shared" si="557"/>
        <v>0.7300000000000022</v>
      </c>
      <c r="K3954" s="9">
        <f t="shared" si="550"/>
        <v>4.6734955185659552E-2</v>
      </c>
      <c r="L3954" s="1">
        <f t="shared" si="551"/>
        <v>1</v>
      </c>
      <c r="M3954" s="1">
        <f t="shared" si="552"/>
        <v>16.96</v>
      </c>
      <c r="N3954" s="1">
        <f t="shared" si="553"/>
        <v>15.93</v>
      </c>
      <c r="O3954" s="1">
        <f t="shared" si="554"/>
        <v>14.39</v>
      </c>
      <c r="P3954" s="1">
        <f t="shared" si="555"/>
        <v>7.341836734693878</v>
      </c>
    </row>
    <row r="3955" spans="1:16">
      <c r="A3955" s="2">
        <v>37322</v>
      </c>
      <c r="B3955" s="1">
        <v>16.41</v>
      </c>
      <c r="C3955" s="1">
        <v>16.95</v>
      </c>
      <c r="D3955" s="1">
        <v>15.4</v>
      </c>
      <c r="E3955" s="1">
        <v>15.62</v>
      </c>
      <c r="F3955" s="1">
        <v>9272300</v>
      </c>
      <c r="G3955" s="1">
        <v>15.62</v>
      </c>
      <c r="H3955" s="1">
        <f t="shared" si="549"/>
        <v>1.5499999999999989</v>
      </c>
      <c r="I3955" s="9">
        <f t="shared" si="556"/>
        <v>0.10064935064935057</v>
      </c>
      <c r="J3955" s="1">
        <f t="shared" si="557"/>
        <v>-0.70999999999999908</v>
      </c>
      <c r="K3955" s="9">
        <f t="shared" si="550"/>
        <v>-4.3478260869565168E-2</v>
      </c>
      <c r="L3955" s="1">
        <f t="shared" si="551"/>
        <v>1</v>
      </c>
      <c r="M3955" s="1">
        <f t="shared" si="552"/>
        <v>16.95</v>
      </c>
      <c r="N3955" s="1">
        <f t="shared" si="553"/>
        <v>15.4</v>
      </c>
      <c r="O3955" s="1">
        <f t="shared" si="554"/>
        <v>13.66</v>
      </c>
      <c r="P3955" s="1">
        <f t="shared" si="555"/>
        <v>6.9693877551020407</v>
      </c>
    </row>
    <row r="3956" spans="1:16">
      <c r="A3956" s="2">
        <v>37321</v>
      </c>
      <c r="B3956" s="1">
        <v>14.82</v>
      </c>
      <c r="C3956" s="1">
        <v>16.59</v>
      </c>
      <c r="D3956" s="1">
        <v>14.82</v>
      </c>
      <c r="E3956" s="1">
        <v>16.329999999999998</v>
      </c>
      <c r="F3956" s="1">
        <v>14262700</v>
      </c>
      <c r="G3956" s="1">
        <v>16.329999999999998</v>
      </c>
      <c r="H3956" s="1">
        <f t="shared" si="549"/>
        <v>1.7699999999999996</v>
      </c>
      <c r="I3956" s="9">
        <f t="shared" si="556"/>
        <v>0.11943319838056678</v>
      </c>
      <c r="J3956" s="1">
        <f t="shared" si="557"/>
        <v>0.35999999999999766</v>
      </c>
      <c r="K3956" s="9">
        <f t="shared" si="550"/>
        <v>2.2542266750156397E-2</v>
      </c>
      <c r="L3956" s="1">
        <f t="shared" si="551"/>
        <v>1</v>
      </c>
      <c r="M3956" s="1">
        <f t="shared" si="552"/>
        <v>16.59</v>
      </c>
      <c r="N3956" s="1">
        <f t="shared" si="553"/>
        <v>14.82</v>
      </c>
      <c r="O3956" s="1">
        <f t="shared" si="554"/>
        <v>14.369999999999997</v>
      </c>
      <c r="P3956" s="1">
        <f t="shared" si="555"/>
        <v>7.3316326530612237</v>
      </c>
    </row>
    <row r="3957" spans="1:16">
      <c r="A3957" s="2">
        <v>37320</v>
      </c>
      <c r="B3957" s="1">
        <v>16</v>
      </c>
      <c r="C3957" s="1">
        <v>16.68</v>
      </c>
      <c r="D3957" s="1">
        <v>15.53</v>
      </c>
      <c r="E3957" s="1">
        <v>15.97</v>
      </c>
      <c r="F3957" s="1">
        <v>8809700</v>
      </c>
      <c r="G3957" s="1">
        <v>15.97</v>
      </c>
      <c r="H3957" s="1">
        <f t="shared" si="549"/>
        <v>1.1500000000000004</v>
      </c>
      <c r="I3957" s="9">
        <f t="shared" si="556"/>
        <v>7.4050225370251146E-2</v>
      </c>
      <c r="J3957" s="1">
        <f t="shared" si="557"/>
        <v>-0.50999999999999979</v>
      </c>
      <c r="K3957" s="9">
        <f t="shared" si="550"/>
        <v>-3.0946601941747559E-2</v>
      </c>
      <c r="L3957" s="1">
        <f t="shared" si="551"/>
        <v>1</v>
      </c>
      <c r="M3957" s="1">
        <f t="shared" si="552"/>
        <v>16.68</v>
      </c>
      <c r="N3957" s="1">
        <f t="shared" si="553"/>
        <v>15.53</v>
      </c>
      <c r="O3957" s="1">
        <f t="shared" si="554"/>
        <v>14.010000000000002</v>
      </c>
      <c r="P3957" s="1">
        <f t="shared" si="555"/>
        <v>7.1479591836734704</v>
      </c>
    </row>
    <row r="3958" spans="1:16">
      <c r="A3958" s="2">
        <v>37319</v>
      </c>
      <c r="B3958" s="1">
        <v>15.42</v>
      </c>
      <c r="C3958" s="1">
        <v>16.489999999999998</v>
      </c>
      <c r="D3958" s="1">
        <v>15.4</v>
      </c>
      <c r="E3958" s="1">
        <v>16.48</v>
      </c>
      <c r="F3958" s="1">
        <v>13928200</v>
      </c>
      <c r="G3958" s="1">
        <v>16.48</v>
      </c>
      <c r="H3958" s="1">
        <f t="shared" si="549"/>
        <v>1.0899999999999981</v>
      </c>
      <c r="I3958" s="9">
        <f t="shared" si="556"/>
        <v>7.077922077922065E-2</v>
      </c>
      <c r="J3958" s="1">
        <f t="shared" si="557"/>
        <v>1.0899999999999999</v>
      </c>
      <c r="K3958" s="9">
        <f t="shared" si="550"/>
        <v>7.0825211176088351E-2</v>
      </c>
      <c r="L3958" s="1">
        <f t="shared" si="551"/>
        <v>1</v>
      </c>
      <c r="M3958" s="1">
        <f t="shared" si="552"/>
        <v>16.489999999999998</v>
      </c>
      <c r="N3958" s="1">
        <f t="shared" si="553"/>
        <v>15.4</v>
      </c>
      <c r="O3958" s="1">
        <f t="shared" si="554"/>
        <v>14.52</v>
      </c>
      <c r="P3958" s="1">
        <f t="shared" si="555"/>
        <v>7.408163265306122</v>
      </c>
    </row>
    <row r="3959" spans="1:16">
      <c r="A3959" s="2">
        <v>37316</v>
      </c>
      <c r="B3959" s="1">
        <v>14.13</v>
      </c>
      <c r="C3959" s="1">
        <v>15.4</v>
      </c>
      <c r="D3959" s="1">
        <v>14.12</v>
      </c>
      <c r="E3959" s="1">
        <v>15.39</v>
      </c>
      <c r="F3959" s="1">
        <v>9839200</v>
      </c>
      <c r="G3959" s="1">
        <v>15.39</v>
      </c>
      <c r="H3959" s="1">
        <f t="shared" si="549"/>
        <v>1.2800000000000011</v>
      </c>
      <c r="I3959" s="9">
        <f t="shared" si="556"/>
        <v>9.0651558073654478E-2</v>
      </c>
      <c r="J3959" s="1">
        <f t="shared" si="557"/>
        <v>1.2900000000000009</v>
      </c>
      <c r="K3959" s="9">
        <f t="shared" si="550"/>
        <v>9.1489361702127722E-2</v>
      </c>
      <c r="L3959" s="1">
        <f t="shared" si="551"/>
        <v>1</v>
      </c>
      <c r="M3959" s="1">
        <f t="shared" si="552"/>
        <v>15.4</v>
      </c>
      <c r="N3959" s="1">
        <f t="shared" si="553"/>
        <v>14.12</v>
      </c>
      <c r="O3959" s="1">
        <f t="shared" si="554"/>
        <v>13.43</v>
      </c>
      <c r="P3959" s="1">
        <f t="shared" si="555"/>
        <v>6.8520408163265305</v>
      </c>
    </row>
    <row r="3960" spans="1:16">
      <c r="A3960" s="2">
        <v>37315</v>
      </c>
      <c r="B3960" s="1">
        <v>14.29</v>
      </c>
      <c r="C3960" s="1">
        <v>14.75</v>
      </c>
      <c r="D3960" s="1">
        <v>13.93</v>
      </c>
      <c r="E3960" s="1">
        <v>14.1</v>
      </c>
      <c r="F3960" s="1">
        <v>6052400</v>
      </c>
      <c r="G3960" s="1">
        <v>14.1</v>
      </c>
      <c r="H3960" s="1">
        <f t="shared" si="549"/>
        <v>0.82000000000000028</v>
      </c>
      <c r="I3960" s="9">
        <f t="shared" si="556"/>
        <v>5.8865757358219695E-2</v>
      </c>
      <c r="J3960" s="1">
        <f t="shared" si="557"/>
        <v>-0.16999999999999993</v>
      </c>
      <c r="K3960" s="9">
        <f t="shared" si="550"/>
        <v>-1.1913104414856338E-2</v>
      </c>
      <c r="L3960" s="1">
        <f t="shared" si="551"/>
        <v>1</v>
      </c>
      <c r="M3960" s="1">
        <f t="shared" si="552"/>
        <v>14.75</v>
      </c>
      <c r="N3960" s="1">
        <f t="shared" si="553"/>
        <v>13.93</v>
      </c>
      <c r="O3960" s="1">
        <f t="shared" si="554"/>
        <v>12.14</v>
      </c>
      <c r="P3960" s="1">
        <f t="shared" si="555"/>
        <v>6.1938775510204085</v>
      </c>
    </row>
    <row r="3961" spans="1:16">
      <c r="A3961" s="2">
        <v>37314</v>
      </c>
      <c r="B3961" s="1">
        <v>14.55</v>
      </c>
      <c r="C3961" s="1">
        <v>14.73</v>
      </c>
      <c r="D3961" s="1">
        <v>14.12</v>
      </c>
      <c r="E3961" s="1">
        <v>14.27</v>
      </c>
      <c r="F3961" s="1">
        <v>8550600</v>
      </c>
      <c r="G3961" s="1">
        <v>14.27</v>
      </c>
      <c r="H3961" s="1">
        <f t="shared" si="549"/>
        <v>0.61000000000000121</v>
      </c>
      <c r="I3961" s="9">
        <f t="shared" si="556"/>
        <v>4.320113314447601E-2</v>
      </c>
      <c r="J3961" s="1">
        <f t="shared" si="557"/>
        <v>-0.13000000000000078</v>
      </c>
      <c r="K3961" s="9">
        <f t="shared" si="550"/>
        <v>-9.0277777777778324E-3</v>
      </c>
      <c r="L3961" s="1">
        <f t="shared" si="551"/>
        <v>1</v>
      </c>
      <c r="M3961" s="1">
        <f t="shared" si="552"/>
        <v>14.73</v>
      </c>
      <c r="N3961" s="1">
        <f t="shared" si="553"/>
        <v>14.12</v>
      </c>
      <c r="O3961" s="1">
        <f t="shared" si="554"/>
        <v>12.309999999999999</v>
      </c>
      <c r="P3961" s="1">
        <f t="shared" si="555"/>
        <v>6.2806122448979584</v>
      </c>
    </row>
    <row r="3962" spans="1:16">
      <c r="A3962" s="2">
        <v>37313</v>
      </c>
      <c r="B3962" s="1">
        <v>13.51</v>
      </c>
      <c r="C3962" s="1">
        <v>14.49</v>
      </c>
      <c r="D3962" s="1">
        <v>13.45</v>
      </c>
      <c r="E3962" s="1">
        <v>14.4</v>
      </c>
      <c r="F3962" s="1">
        <v>8310500</v>
      </c>
      <c r="G3962" s="1">
        <v>14.4</v>
      </c>
      <c r="H3962" s="1">
        <f t="shared" si="549"/>
        <v>1.0400000000000009</v>
      </c>
      <c r="I3962" s="9">
        <f t="shared" si="556"/>
        <v>7.7323420074349516E-2</v>
      </c>
      <c r="J3962" s="1">
        <f t="shared" si="557"/>
        <v>0.66999999999999993</v>
      </c>
      <c r="K3962" s="9">
        <f t="shared" si="550"/>
        <v>4.8798252002913323E-2</v>
      </c>
      <c r="L3962" s="1">
        <f t="shared" si="551"/>
        <v>1</v>
      </c>
      <c r="M3962" s="1">
        <f t="shared" si="552"/>
        <v>14.49</v>
      </c>
      <c r="N3962" s="1">
        <f t="shared" si="553"/>
        <v>13.45</v>
      </c>
      <c r="O3962" s="1">
        <f t="shared" si="554"/>
        <v>12.440000000000001</v>
      </c>
      <c r="P3962" s="1">
        <f t="shared" si="555"/>
        <v>6.3469387755102051</v>
      </c>
    </row>
    <row r="3963" spans="1:16">
      <c r="A3963" s="2">
        <v>37312</v>
      </c>
      <c r="B3963" s="1">
        <v>13.09</v>
      </c>
      <c r="C3963" s="1">
        <v>13.74</v>
      </c>
      <c r="D3963" s="1">
        <v>13</v>
      </c>
      <c r="E3963" s="1">
        <v>13.73</v>
      </c>
      <c r="F3963" s="1">
        <v>5734700</v>
      </c>
      <c r="G3963" s="1">
        <v>13.73</v>
      </c>
      <c r="H3963" s="1">
        <f t="shared" si="549"/>
        <v>0.74000000000000021</v>
      </c>
      <c r="I3963" s="9">
        <f t="shared" si="556"/>
        <v>5.6923076923076937E-2</v>
      </c>
      <c r="J3963" s="1">
        <f t="shared" si="557"/>
        <v>0.66000000000000014</v>
      </c>
      <c r="K3963" s="9">
        <f t="shared" si="550"/>
        <v>5.0497322111706204E-2</v>
      </c>
      <c r="L3963" s="1">
        <f t="shared" si="551"/>
        <v>1</v>
      </c>
      <c r="M3963" s="1">
        <f t="shared" si="552"/>
        <v>13.74</v>
      </c>
      <c r="N3963" s="1">
        <f t="shared" si="553"/>
        <v>13</v>
      </c>
      <c r="O3963" s="1">
        <f t="shared" si="554"/>
        <v>11.77</v>
      </c>
      <c r="P3963" s="1">
        <f t="shared" si="555"/>
        <v>6.0051020408163263</v>
      </c>
    </row>
    <row r="3964" spans="1:16">
      <c r="A3964" s="2">
        <v>37309</v>
      </c>
      <c r="B3964" s="1">
        <v>13.05</v>
      </c>
      <c r="C3964" s="1">
        <v>13.23</v>
      </c>
      <c r="D3964" s="1">
        <v>12.7</v>
      </c>
      <c r="E3964" s="1">
        <v>13.07</v>
      </c>
      <c r="F3964" s="1">
        <v>7865400</v>
      </c>
      <c r="G3964" s="1">
        <v>13.07</v>
      </c>
      <c r="H3964" s="1">
        <f t="shared" si="549"/>
        <v>0.53000000000000114</v>
      </c>
      <c r="I3964" s="9">
        <f t="shared" si="556"/>
        <v>4.1732283464567019E-2</v>
      </c>
      <c r="J3964" s="1">
        <f t="shared" si="557"/>
        <v>-0.1899999999999995</v>
      </c>
      <c r="K3964" s="9">
        <f t="shared" si="550"/>
        <v>-1.4328808446455468E-2</v>
      </c>
      <c r="L3964" s="1">
        <f t="shared" si="551"/>
        <v>1</v>
      </c>
      <c r="M3964" s="1">
        <f t="shared" si="552"/>
        <v>13.23</v>
      </c>
      <c r="N3964" s="1">
        <f t="shared" si="553"/>
        <v>12.7</v>
      </c>
      <c r="O3964" s="1">
        <f t="shared" si="554"/>
        <v>11.11</v>
      </c>
      <c r="P3964" s="1">
        <f t="shared" si="555"/>
        <v>5.6683673469387754</v>
      </c>
    </row>
    <row r="3965" spans="1:16">
      <c r="A3965" s="2">
        <v>37308</v>
      </c>
      <c r="B3965" s="1">
        <v>12.91</v>
      </c>
      <c r="C3965" s="1">
        <v>13.65</v>
      </c>
      <c r="D3965" s="1">
        <v>12.9</v>
      </c>
      <c r="E3965" s="1">
        <v>13.26</v>
      </c>
      <c r="F3965" s="1">
        <v>8276200</v>
      </c>
      <c r="G3965" s="1">
        <v>13.26</v>
      </c>
      <c r="H3965" s="1">
        <f t="shared" si="549"/>
        <v>0.75</v>
      </c>
      <c r="I3965" s="9">
        <f t="shared" si="556"/>
        <v>5.8139534883720929E-2</v>
      </c>
      <c r="J3965" s="1">
        <f t="shared" si="557"/>
        <v>0.29999999999999893</v>
      </c>
      <c r="K3965" s="9">
        <f t="shared" si="550"/>
        <v>2.3148148148148064E-2</v>
      </c>
      <c r="L3965" s="1">
        <f t="shared" si="551"/>
        <v>1</v>
      </c>
      <c r="M3965" s="1">
        <f t="shared" si="552"/>
        <v>13.65</v>
      </c>
      <c r="N3965" s="1">
        <f t="shared" si="553"/>
        <v>12.9</v>
      </c>
      <c r="O3965" s="1">
        <f t="shared" si="554"/>
        <v>11.3</v>
      </c>
      <c r="P3965" s="1">
        <f t="shared" si="555"/>
        <v>5.7653061224489797</v>
      </c>
    </row>
    <row r="3966" spans="1:16">
      <c r="A3966" s="2">
        <v>37307</v>
      </c>
      <c r="B3966" s="1">
        <v>13.19</v>
      </c>
      <c r="C3966" s="1">
        <v>13.4</v>
      </c>
      <c r="D3966" s="1">
        <v>12.15</v>
      </c>
      <c r="E3966" s="1">
        <v>12.96</v>
      </c>
      <c r="F3966" s="1">
        <v>8016100</v>
      </c>
      <c r="G3966" s="1">
        <v>12.96</v>
      </c>
      <c r="H3966" s="1">
        <f t="shared" si="549"/>
        <v>1.25</v>
      </c>
      <c r="I3966" s="9">
        <f t="shared" si="556"/>
        <v>0.102880658436214</v>
      </c>
      <c r="J3966" s="1">
        <f t="shared" si="557"/>
        <v>-4.9999999999998934E-2</v>
      </c>
      <c r="K3966" s="9">
        <f t="shared" si="550"/>
        <v>-3.8431975403534924E-3</v>
      </c>
      <c r="L3966" s="1">
        <f t="shared" si="551"/>
        <v>1</v>
      </c>
      <c r="M3966" s="1">
        <f t="shared" si="552"/>
        <v>13.4</v>
      </c>
      <c r="N3966" s="1">
        <f t="shared" si="553"/>
        <v>12.15</v>
      </c>
      <c r="O3966" s="1">
        <f t="shared" si="554"/>
        <v>11</v>
      </c>
      <c r="P3966" s="1">
        <f t="shared" si="555"/>
        <v>5.6122448979591839</v>
      </c>
    </row>
    <row r="3967" spans="1:16">
      <c r="A3967" s="2">
        <v>37306</v>
      </c>
      <c r="B3967" s="1">
        <v>12.95</v>
      </c>
      <c r="C3967" s="1">
        <v>13.84</v>
      </c>
      <c r="D3967" s="1">
        <v>12.8</v>
      </c>
      <c r="E3967" s="1">
        <v>13.01</v>
      </c>
      <c r="F3967" s="1">
        <v>8291900</v>
      </c>
      <c r="G3967" s="1">
        <v>13.01</v>
      </c>
      <c r="H3967" s="1">
        <f t="shared" si="549"/>
        <v>1.0399999999999991</v>
      </c>
      <c r="I3967" s="9">
        <f t="shared" si="556"/>
        <v>8.1249999999999933E-2</v>
      </c>
      <c r="J3967" s="1">
        <f t="shared" si="557"/>
        <v>-0.40000000000000036</v>
      </c>
      <c r="K3967" s="9">
        <f t="shared" si="550"/>
        <v>-2.9828486204325155E-2</v>
      </c>
      <c r="L3967" s="1">
        <f t="shared" si="551"/>
        <v>1</v>
      </c>
      <c r="M3967" s="1">
        <f t="shared" si="552"/>
        <v>13.84</v>
      </c>
      <c r="N3967" s="1">
        <f t="shared" si="553"/>
        <v>12.8</v>
      </c>
      <c r="O3967" s="1">
        <f t="shared" si="554"/>
        <v>11.05</v>
      </c>
      <c r="P3967" s="1">
        <f t="shared" si="555"/>
        <v>5.637755102040817</v>
      </c>
    </row>
    <row r="3968" spans="1:16">
      <c r="A3968" s="2">
        <v>37302</v>
      </c>
      <c r="B3968" s="1">
        <v>13.91</v>
      </c>
      <c r="C3968" s="1">
        <v>14.04</v>
      </c>
      <c r="D3968" s="1">
        <v>13.27</v>
      </c>
      <c r="E3968" s="1">
        <v>13.41</v>
      </c>
      <c r="F3968" s="1">
        <v>7265400</v>
      </c>
      <c r="G3968" s="1">
        <v>13.41</v>
      </c>
      <c r="H3968" s="1">
        <f t="shared" si="549"/>
        <v>0.76999999999999957</v>
      </c>
      <c r="I3968" s="9">
        <f t="shared" si="556"/>
        <v>5.8025621703089648E-2</v>
      </c>
      <c r="J3968" s="1">
        <f t="shared" si="557"/>
        <v>-0.47000000000000064</v>
      </c>
      <c r="K3968" s="9">
        <f t="shared" si="550"/>
        <v>-3.386167146974068E-2</v>
      </c>
      <c r="L3968" s="1">
        <f t="shared" si="551"/>
        <v>1</v>
      </c>
      <c r="M3968" s="1">
        <f t="shared" si="552"/>
        <v>14.04</v>
      </c>
      <c r="N3968" s="1">
        <f t="shared" si="553"/>
        <v>13.27</v>
      </c>
      <c r="O3968" s="1">
        <f t="shared" si="554"/>
        <v>11.45</v>
      </c>
      <c r="P3968" s="1">
        <f t="shared" si="555"/>
        <v>5.8418367346938771</v>
      </c>
    </row>
    <row r="3969" spans="1:16">
      <c r="A3969" s="2">
        <v>37301</v>
      </c>
      <c r="B3969" s="1">
        <v>13.34</v>
      </c>
      <c r="C3969" s="1">
        <v>14.26</v>
      </c>
      <c r="D3969" s="1">
        <v>13.3</v>
      </c>
      <c r="E3969" s="1">
        <v>13.88</v>
      </c>
      <c r="F3969" s="1">
        <v>9281500</v>
      </c>
      <c r="G3969" s="1">
        <v>13.88</v>
      </c>
      <c r="H3969" s="1">
        <f t="shared" si="549"/>
        <v>0.95999999999999908</v>
      </c>
      <c r="I3969" s="9">
        <f t="shared" si="556"/>
        <v>7.218045112781947E-2</v>
      </c>
      <c r="J3969" s="1">
        <f t="shared" si="557"/>
        <v>0.59000000000000163</v>
      </c>
      <c r="K3969" s="9">
        <f t="shared" si="550"/>
        <v>4.4394281414597565E-2</v>
      </c>
      <c r="L3969" s="1">
        <f t="shared" si="551"/>
        <v>1</v>
      </c>
      <c r="M3969" s="1">
        <f t="shared" si="552"/>
        <v>14.26</v>
      </c>
      <c r="N3969" s="1">
        <f t="shared" si="553"/>
        <v>13.3</v>
      </c>
      <c r="O3969" s="1">
        <f t="shared" si="554"/>
        <v>11.920000000000002</v>
      </c>
      <c r="P3969" s="1">
        <f t="shared" si="555"/>
        <v>6.0816326530612255</v>
      </c>
    </row>
    <row r="3970" spans="1:16">
      <c r="A3970" s="2">
        <v>37300</v>
      </c>
      <c r="B3970" s="1">
        <v>13.1</v>
      </c>
      <c r="C3970" s="1">
        <v>13.33</v>
      </c>
      <c r="D3970" s="1">
        <v>13.06</v>
      </c>
      <c r="E3970" s="1">
        <v>13.29</v>
      </c>
      <c r="F3970" s="1">
        <v>6040800</v>
      </c>
      <c r="G3970" s="1">
        <v>13.29</v>
      </c>
      <c r="H3970" s="1">
        <f t="shared" si="549"/>
        <v>0.26999999999999957</v>
      </c>
      <c r="I3970" s="9">
        <f t="shared" si="556"/>
        <v>2.0673813169984654E-2</v>
      </c>
      <c r="J3970" s="1">
        <f t="shared" si="557"/>
        <v>0.38999999999999879</v>
      </c>
      <c r="K3970" s="9">
        <f t="shared" si="550"/>
        <v>3.023255813953479E-2</v>
      </c>
      <c r="L3970" s="1">
        <f t="shared" si="551"/>
        <v>1</v>
      </c>
      <c r="M3970" s="1">
        <f t="shared" si="552"/>
        <v>13.33</v>
      </c>
      <c r="N3970" s="1">
        <f t="shared" si="553"/>
        <v>13.06</v>
      </c>
      <c r="O3970" s="1">
        <f t="shared" si="554"/>
        <v>11.329999999999998</v>
      </c>
      <c r="P3970" s="1">
        <f t="shared" si="555"/>
        <v>5.7806122448979584</v>
      </c>
    </row>
    <row r="3971" spans="1:16">
      <c r="A3971" s="2">
        <v>37299</v>
      </c>
      <c r="B3971" s="1">
        <v>13.03</v>
      </c>
      <c r="C3971" s="1">
        <v>13.24</v>
      </c>
      <c r="D3971" s="1">
        <v>12.5</v>
      </c>
      <c r="E3971" s="1">
        <v>12.9</v>
      </c>
      <c r="F3971" s="1">
        <v>7463400</v>
      </c>
      <c r="G3971" s="1">
        <v>12.9</v>
      </c>
      <c r="H3971" s="1">
        <f t="shared" ref="H3971:H4034" si="558">C3971-D3971</f>
        <v>0.74000000000000021</v>
      </c>
      <c r="I3971" s="9">
        <f t="shared" si="556"/>
        <v>5.9200000000000016E-2</v>
      </c>
      <c r="J3971" s="1">
        <f t="shared" si="557"/>
        <v>-0.40000000000000036</v>
      </c>
      <c r="K3971" s="9">
        <f t="shared" ref="K3971:K4034" si="559">(G3971-G3972)/G3972</f>
        <v>-3.0075187969924838E-2</v>
      </c>
      <c r="L3971" s="1">
        <f t="shared" ref="L3971:L4034" si="560">G3971/E3971</f>
        <v>1</v>
      </c>
      <c r="M3971" s="1">
        <f t="shared" ref="M3971:M4034" si="561">L3971*C3971</f>
        <v>13.24</v>
      </c>
      <c r="N3971" s="1">
        <f t="shared" ref="N3971:N4034" si="562">L3971*D3971</f>
        <v>12.5</v>
      </c>
      <c r="O3971" s="1">
        <f t="shared" ref="O3971:O4034" si="563">G3971-$G$5163</f>
        <v>10.940000000000001</v>
      </c>
      <c r="P3971" s="1">
        <f t="shared" ref="P3971:P4034" si="564">(G3971-$G$5163)/$G$5163</f>
        <v>5.5816326530612255</v>
      </c>
    </row>
    <row r="3972" spans="1:16">
      <c r="A3972" s="2">
        <v>37298</v>
      </c>
      <c r="B3972" s="1">
        <v>12.64</v>
      </c>
      <c r="C3972" s="1">
        <v>13.5</v>
      </c>
      <c r="D3972" s="1">
        <v>12.54</v>
      </c>
      <c r="E3972" s="1">
        <v>13.3</v>
      </c>
      <c r="F3972" s="1">
        <v>9469700</v>
      </c>
      <c r="G3972" s="1">
        <v>13.3</v>
      </c>
      <c r="H3972" s="1">
        <f t="shared" si="558"/>
        <v>0.96000000000000085</v>
      </c>
      <c r="I3972" s="9">
        <f t="shared" ref="I3972:I4035" si="565">(C3972-D3972)/D3972</f>
        <v>7.6555023923445042E-2</v>
      </c>
      <c r="J3972" s="1">
        <f t="shared" ref="J3972:J4035" si="566">G3972-G3973</f>
        <v>0.78000000000000114</v>
      </c>
      <c r="K3972" s="9">
        <f t="shared" si="559"/>
        <v>6.2300319488817986E-2</v>
      </c>
      <c r="L3972" s="1">
        <f t="shared" si="560"/>
        <v>1</v>
      </c>
      <c r="M3972" s="1">
        <f t="shared" si="561"/>
        <v>13.5</v>
      </c>
      <c r="N3972" s="1">
        <f t="shared" si="562"/>
        <v>12.54</v>
      </c>
      <c r="O3972" s="1">
        <f t="shared" si="563"/>
        <v>11.34</v>
      </c>
      <c r="P3972" s="1">
        <f t="shared" si="564"/>
        <v>5.7857142857142856</v>
      </c>
    </row>
    <row r="3973" spans="1:16">
      <c r="A3973" s="2">
        <v>37295</v>
      </c>
      <c r="B3973" s="1">
        <v>11.51</v>
      </c>
      <c r="C3973" s="1">
        <v>12.67</v>
      </c>
      <c r="D3973" s="1">
        <v>11.5</v>
      </c>
      <c r="E3973" s="1">
        <v>12.52</v>
      </c>
      <c r="F3973" s="1">
        <v>6085600</v>
      </c>
      <c r="G3973" s="1">
        <v>12.52</v>
      </c>
      <c r="H3973" s="1">
        <f t="shared" si="558"/>
        <v>1.17</v>
      </c>
      <c r="I3973" s="9">
        <f t="shared" si="565"/>
        <v>0.1017391304347826</v>
      </c>
      <c r="J3973" s="1">
        <f t="shared" si="566"/>
        <v>1.2799999999999994</v>
      </c>
      <c r="K3973" s="9">
        <f t="shared" si="559"/>
        <v>0.1138790035587188</v>
      </c>
      <c r="L3973" s="1">
        <f t="shared" si="560"/>
        <v>1</v>
      </c>
      <c r="M3973" s="1">
        <f t="shared" si="561"/>
        <v>12.67</v>
      </c>
      <c r="N3973" s="1">
        <f t="shared" si="562"/>
        <v>11.5</v>
      </c>
      <c r="O3973" s="1">
        <f t="shared" si="563"/>
        <v>10.559999999999999</v>
      </c>
      <c r="P3973" s="1">
        <f t="shared" si="564"/>
        <v>5.3877551020408161</v>
      </c>
    </row>
    <row r="3974" spans="1:16">
      <c r="A3974" s="2">
        <v>37294</v>
      </c>
      <c r="B3974" s="1">
        <v>11.25</v>
      </c>
      <c r="C3974" s="1">
        <v>11.85</v>
      </c>
      <c r="D3974" s="1">
        <v>11.06</v>
      </c>
      <c r="E3974" s="1">
        <v>11.24</v>
      </c>
      <c r="F3974" s="1">
        <v>7172400</v>
      </c>
      <c r="G3974" s="1">
        <v>11.24</v>
      </c>
      <c r="H3974" s="1">
        <f t="shared" si="558"/>
        <v>0.78999999999999915</v>
      </c>
      <c r="I3974" s="9">
        <f t="shared" si="565"/>
        <v>7.1428571428571341E-2</v>
      </c>
      <c r="J3974" s="1">
        <f t="shared" si="566"/>
        <v>-1.9999999999999574E-2</v>
      </c>
      <c r="K3974" s="9">
        <f t="shared" si="559"/>
        <v>-1.7761989342806016E-3</v>
      </c>
      <c r="L3974" s="1">
        <f t="shared" si="560"/>
        <v>1</v>
      </c>
      <c r="M3974" s="1">
        <f t="shared" si="561"/>
        <v>11.85</v>
      </c>
      <c r="N3974" s="1">
        <f t="shared" si="562"/>
        <v>11.06</v>
      </c>
      <c r="O3974" s="1">
        <f t="shared" si="563"/>
        <v>9.2800000000000011</v>
      </c>
      <c r="P3974" s="1">
        <f t="shared" si="564"/>
        <v>4.7346938775510212</v>
      </c>
    </row>
    <row r="3975" spans="1:16">
      <c r="A3975" s="2">
        <v>37293</v>
      </c>
      <c r="B3975" s="1">
        <v>11.9</v>
      </c>
      <c r="C3975" s="1">
        <v>12</v>
      </c>
      <c r="D3975" s="1">
        <v>11.2</v>
      </c>
      <c r="E3975" s="1">
        <v>11.26</v>
      </c>
      <c r="F3975" s="1">
        <v>8859400</v>
      </c>
      <c r="G3975" s="1">
        <v>11.26</v>
      </c>
      <c r="H3975" s="1">
        <f t="shared" si="558"/>
        <v>0.80000000000000071</v>
      </c>
      <c r="I3975" s="9">
        <f t="shared" si="565"/>
        <v>7.1428571428571494E-2</v>
      </c>
      <c r="J3975" s="1">
        <f t="shared" si="566"/>
        <v>-0.24000000000000021</v>
      </c>
      <c r="K3975" s="9">
        <f t="shared" si="559"/>
        <v>-2.0869565217391323E-2</v>
      </c>
      <c r="L3975" s="1">
        <f t="shared" si="560"/>
        <v>1</v>
      </c>
      <c r="M3975" s="1">
        <f t="shared" si="561"/>
        <v>12</v>
      </c>
      <c r="N3975" s="1">
        <f t="shared" si="562"/>
        <v>11.2</v>
      </c>
      <c r="O3975" s="1">
        <f t="shared" si="563"/>
        <v>9.3000000000000007</v>
      </c>
      <c r="P3975" s="1">
        <f t="shared" si="564"/>
        <v>4.7448979591836737</v>
      </c>
    </row>
    <row r="3976" spans="1:16">
      <c r="A3976" s="2">
        <v>37292</v>
      </c>
      <c r="B3976" s="1">
        <v>11.98</v>
      </c>
      <c r="C3976" s="1">
        <v>12.29</v>
      </c>
      <c r="D3976" s="1">
        <v>11.16</v>
      </c>
      <c r="E3976" s="1">
        <v>11.5</v>
      </c>
      <c r="F3976" s="1">
        <v>14315700</v>
      </c>
      <c r="G3976" s="1">
        <v>11.5</v>
      </c>
      <c r="H3976" s="1">
        <f t="shared" si="558"/>
        <v>1.129999999999999</v>
      </c>
      <c r="I3976" s="9">
        <f t="shared" si="565"/>
        <v>0.10125448028673827</v>
      </c>
      <c r="J3976" s="1">
        <f t="shared" si="566"/>
        <v>-1.0299999999999994</v>
      </c>
      <c r="K3976" s="9">
        <f t="shared" si="559"/>
        <v>-8.2202713487629642E-2</v>
      </c>
      <c r="L3976" s="1">
        <f t="shared" si="560"/>
        <v>1</v>
      </c>
      <c r="M3976" s="1">
        <f t="shared" si="561"/>
        <v>12.29</v>
      </c>
      <c r="N3976" s="1">
        <f t="shared" si="562"/>
        <v>11.16</v>
      </c>
      <c r="O3976" s="1">
        <f t="shared" si="563"/>
        <v>9.5399999999999991</v>
      </c>
      <c r="P3976" s="1">
        <f t="shared" si="564"/>
        <v>4.8673469387755102</v>
      </c>
    </row>
    <row r="3977" spans="1:16">
      <c r="A3977" s="2">
        <v>37291</v>
      </c>
      <c r="B3977" s="1">
        <v>12.91</v>
      </c>
      <c r="C3977" s="1">
        <v>13.09</v>
      </c>
      <c r="D3977" s="1">
        <v>12.43</v>
      </c>
      <c r="E3977" s="1">
        <v>12.53</v>
      </c>
      <c r="F3977" s="1">
        <v>19135800</v>
      </c>
      <c r="G3977" s="1">
        <v>12.53</v>
      </c>
      <c r="H3977" s="1">
        <f t="shared" si="558"/>
        <v>0.66000000000000014</v>
      </c>
      <c r="I3977" s="9">
        <f t="shared" si="565"/>
        <v>5.3097345132743376E-2</v>
      </c>
      <c r="J3977" s="1">
        <f t="shared" si="566"/>
        <v>-1.2000000000000011</v>
      </c>
      <c r="K3977" s="9">
        <f t="shared" si="559"/>
        <v>-8.739985433357618E-2</v>
      </c>
      <c r="L3977" s="1">
        <f t="shared" si="560"/>
        <v>1</v>
      </c>
      <c r="M3977" s="1">
        <f t="shared" si="561"/>
        <v>13.09</v>
      </c>
      <c r="N3977" s="1">
        <f t="shared" si="562"/>
        <v>12.43</v>
      </c>
      <c r="O3977" s="1">
        <f t="shared" si="563"/>
        <v>10.57</v>
      </c>
      <c r="P3977" s="1">
        <f t="shared" si="564"/>
        <v>5.3928571428571432</v>
      </c>
    </row>
    <row r="3978" spans="1:16">
      <c r="A3978" s="2">
        <v>37288</v>
      </c>
      <c r="B3978" s="1">
        <v>14.07</v>
      </c>
      <c r="C3978" s="1">
        <v>14.09</v>
      </c>
      <c r="D3978" s="1">
        <v>13.35</v>
      </c>
      <c r="E3978" s="1">
        <v>13.73</v>
      </c>
      <c r="F3978" s="1">
        <v>7801400</v>
      </c>
      <c r="G3978" s="1">
        <v>13.73</v>
      </c>
      <c r="H3978" s="1">
        <f t="shared" si="558"/>
        <v>0.74000000000000021</v>
      </c>
      <c r="I3978" s="9">
        <f t="shared" si="565"/>
        <v>5.5430711610486912E-2</v>
      </c>
      <c r="J3978" s="1">
        <f t="shared" si="566"/>
        <v>-0.45999999999999908</v>
      </c>
      <c r="K3978" s="9">
        <f t="shared" si="559"/>
        <v>-3.2417195207892817E-2</v>
      </c>
      <c r="L3978" s="1">
        <f t="shared" si="560"/>
        <v>1</v>
      </c>
      <c r="M3978" s="1">
        <f t="shared" si="561"/>
        <v>14.09</v>
      </c>
      <c r="N3978" s="1">
        <f t="shared" si="562"/>
        <v>13.35</v>
      </c>
      <c r="O3978" s="1">
        <f t="shared" si="563"/>
        <v>11.77</v>
      </c>
      <c r="P3978" s="1">
        <f t="shared" si="564"/>
        <v>6.0051020408163263</v>
      </c>
    </row>
    <row r="3979" spans="1:16">
      <c r="A3979" s="2">
        <v>37287</v>
      </c>
      <c r="B3979" s="1">
        <v>14.12</v>
      </c>
      <c r="C3979" s="1">
        <v>14.49</v>
      </c>
      <c r="D3979" s="1">
        <v>13.41</v>
      </c>
      <c r="E3979" s="1">
        <v>14.19</v>
      </c>
      <c r="F3979" s="1">
        <v>10485300</v>
      </c>
      <c r="G3979" s="1">
        <v>14.19</v>
      </c>
      <c r="H3979" s="1">
        <f t="shared" si="558"/>
        <v>1.08</v>
      </c>
      <c r="I3979" s="9">
        <f t="shared" si="565"/>
        <v>8.0536912751677861E-2</v>
      </c>
      <c r="J3979" s="1">
        <f t="shared" si="566"/>
        <v>0.28999999999999915</v>
      </c>
      <c r="K3979" s="9">
        <f t="shared" si="559"/>
        <v>2.0863309352517925E-2</v>
      </c>
      <c r="L3979" s="1">
        <f t="shared" si="560"/>
        <v>1</v>
      </c>
      <c r="M3979" s="1">
        <f t="shared" si="561"/>
        <v>14.49</v>
      </c>
      <c r="N3979" s="1">
        <f t="shared" si="562"/>
        <v>13.41</v>
      </c>
      <c r="O3979" s="1">
        <f t="shared" si="563"/>
        <v>12.23</v>
      </c>
      <c r="P3979" s="1">
        <f t="shared" si="564"/>
        <v>6.2397959183673475</v>
      </c>
    </row>
    <row r="3980" spans="1:16">
      <c r="A3980" s="2">
        <v>37286</v>
      </c>
      <c r="B3980" s="1">
        <v>13.98</v>
      </c>
      <c r="C3980" s="1">
        <v>14.25</v>
      </c>
      <c r="D3980" s="1">
        <v>13.2</v>
      </c>
      <c r="E3980" s="1">
        <v>13.9</v>
      </c>
      <c r="F3980" s="1">
        <v>14751800</v>
      </c>
      <c r="G3980" s="1">
        <v>13.9</v>
      </c>
      <c r="H3980" s="1">
        <f t="shared" si="558"/>
        <v>1.0500000000000007</v>
      </c>
      <c r="I3980" s="9">
        <f t="shared" si="565"/>
        <v>7.95454545454546E-2</v>
      </c>
      <c r="J3980" s="1">
        <f t="shared" si="566"/>
        <v>-0.32000000000000028</v>
      </c>
      <c r="K3980" s="9">
        <f t="shared" si="559"/>
        <v>-2.2503516174402268E-2</v>
      </c>
      <c r="L3980" s="1">
        <f t="shared" si="560"/>
        <v>1</v>
      </c>
      <c r="M3980" s="1">
        <f t="shared" si="561"/>
        <v>14.25</v>
      </c>
      <c r="N3980" s="1">
        <f t="shared" si="562"/>
        <v>13.2</v>
      </c>
      <c r="O3980" s="1">
        <f t="shared" si="563"/>
        <v>11.940000000000001</v>
      </c>
      <c r="P3980" s="1">
        <f t="shared" si="564"/>
        <v>6.091836734693878</v>
      </c>
    </row>
    <row r="3981" spans="1:16">
      <c r="A3981" s="2">
        <v>37285</v>
      </c>
      <c r="B3981" s="1">
        <v>15.54</v>
      </c>
      <c r="C3981" s="1">
        <v>15.55</v>
      </c>
      <c r="D3981" s="1">
        <v>13.97</v>
      </c>
      <c r="E3981" s="1">
        <v>14.22</v>
      </c>
      <c r="F3981" s="1">
        <v>20244900</v>
      </c>
      <c r="G3981" s="1">
        <v>14.22</v>
      </c>
      <c r="H3981" s="1">
        <f t="shared" si="558"/>
        <v>1.58</v>
      </c>
      <c r="I3981" s="9">
        <f t="shared" si="565"/>
        <v>0.11309949892627058</v>
      </c>
      <c r="J3981" s="1">
        <f t="shared" si="566"/>
        <v>-1.2799999999999994</v>
      </c>
      <c r="K3981" s="9">
        <f t="shared" si="559"/>
        <v>-8.2580645161290281E-2</v>
      </c>
      <c r="L3981" s="1">
        <f t="shared" si="560"/>
        <v>1</v>
      </c>
      <c r="M3981" s="1">
        <f t="shared" si="561"/>
        <v>15.55</v>
      </c>
      <c r="N3981" s="1">
        <f t="shared" si="562"/>
        <v>13.97</v>
      </c>
      <c r="O3981" s="1">
        <f t="shared" si="563"/>
        <v>12.260000000000002</v>
      </c>
      <c r="P3981" s="1">
        <f t="shared" si="564"/>
        <v>6.2551020408163271</v>
      </c>
    </row>
    <row r="3982" spans="1:16">
      <c r="A3982" s="2">
        <v>37284</v>
      </c>
      <c r="B3982" s="1">
        <v>14.86</v>
      </c>
      <c r="C3982" s="1">
        <v>15.77</v>
      </c>
      <c r="D3982" s="1">
        <v>14.76</v>
      </c>
      <c r="E3982" s="1">
        <v>15.5</v>
      </c>
      <c r="F3982" s="1">
        <v>23016000</v>
      </c>
      <c r="G3982" s="1">
        <v>15.5</v>
      </c>
      <c r="H3982" s="1">
        <f t="shared" si="558"/>
        <v>1.0099999999999998</v>
      </c>
      <c r="I3982" s="9">
        <f t="shared" si="565"/>
        <v>6.8428184281842802E-2</v>
      </c>
      <c r="J3982" s="1">
        <f t="shared" si="566"/>
        <v>1.0600000000000005</v>
      </c>
      <c r="K3982" s="9">
        <f t="shared" si="559"/>
        <v>7.3407202216066517E-2</v>
      </c>
      <c r="L3982" s="1">
        <f t="shared" si="560"/>
        <v>1</v>
      </c>
      <c r="M3982" s="1">
        <f t="shared" si="561"/>
        <v>15.77</v>
      </c>
      <c r="N3982" s="1">
        <f t="shared" si="562"/>
        <v>14.76</v>
      </c>
      <c r="O3982" s="1">
        <f t="shared" si="563"/>
        <v>13.54</v>
      </c>
      <c r="P3982" s="1">
        <f t="shared" si="564"/>
        <v>6.908163265306122</v>
      </c>
    </row>
    <row r="3983" spans="1:16">
      <c r="A3983" s="2">
        <v>37281</v>
      </c>
      <c r="B3983" s="1">
        <v>13.56</v>
      </c>
      <c r="C3983" s="1">
        <v>15.39</v>
      </c>
      <c r="D3983" s="1">
        <v>13.39</v>
      </c>
      <c r="E3983" s="1">
        <v>14.44</v>
      </c>
      <c r="F3983" s="1">
        <v>30276500</v>
      </c>
      <c r="G3983" s="1">
        <v>14.44</v>
      </c>
      <c r="H3983" s="1">
        <f t="shared" si="558"/>
        <v>2</v>
      </c>
      <c r="I3983" s="9">
        <f t="shared" si="565"/>
        <v>0.14936519790888722</v>
      </c>
      <c r="J3983" s="1">
        <f t="shared" si="566"/>
        <v>0.42999999999999972</v>
      </c>
      <c r="K3983" s="9">
        <f t="shared" si="559"/>
        <v>3.0692362598144163E-2</v>
      </c>
      <c r="L3983" s="1">
        <f t="shared" si="560"/>
        <v>1</v>
      </c>
      <c r="M3983" s="1">
        <f t="shared" si="561"/>
        <v>15.39</v>
      </c>
      <c r="N3983" s="1">
        <f t="shared" si="562"/>
        <v>13.39</v>
      </c>
      <c r="O3983" s="1">
        <f t="shared" si="563"/>
        <v>12.48</v>
      </c>
      <c r="P3983" s="1">
        <f t="shared" si="564"/>
        <v>6.3673469387755102</v>
      </c>
    </row>
    <row r="3984" spans="1:16">
      <c r="A3984" s="2">
        <v>37280</v>
      </c>
      <c r="B3984" s="1">
        <v>12.75</v>
      </c>
      <c r="C3984" s="1">
        <v>14.06</v>
      </c>
      <c r="D3984" s="1">
        <v>12.71</v>
      </c>
      <c r="E3984" s="1">
        <v>14.01</v>
      </c>
      <c r="F3984" s="1">
        <v>23468600</v>
      </c>
      <c r="G3984" s="1">
        <v>14.01</v>
      </c>
      <c r="H3984" s="1">
        <f t="shared" si="558"/>
        <v>1.3499999999999996</v>
      </c>
      <c r="I3984" s="9">
        <f t="shared" si="565"/>
        <v>0.10621557828481507</v>
      </c>
      <c r="J3984" s="1">
        <f t="shared" si="566"/>
        <v>1.5399999999999991</v>
      </c>
      <c r="K3984" s="9">
        <f t="shared" si="559"/>
        <v>0.12349639133921404</v>
      </c>
      <c r="L3984" s="1">
        <f t="shared" si="560"/>
        <v>1</v>
      </c>
      <c r="M3984" s="1">
        <f t="shared" si="561"/>
        <v>14.06</v>
      </c>
      <c r="N3984" s="1">
        <f t="shared" si="562"/>
        <v>12.71</v>
      </c>
      <c r="O3984" s="1">
        <f t="shared" si="563"/>
        <v>12.05</v>
      </c>
      <c r="P3984" s="1">
        <f t="shared" si="564"/>
        <v>6.1479591836734695</v>
      </c>
    </row>
    <row r="3985" spans="1:16">
      <c r="A3985" s="2">
        <v>37279</v>
      </c>
      <c r="B3985" s="1">
        <v>12.49</v>
      </c>
      <c r="C3985" s="1">
        <v>12.6</v>
      </c>
      <c r="D3985" s="1">
        <v>11.9</v>
      </c>
      <c r="E3985" s="1">
        <v>12.47</v>
      </c>
      <c r="F3985" s="1">
        <v>18031600</v>
      </c>
      <c r="G3985" s="1">
        <v>12.47</v>
      </c>
      <c r="H3985" s="1">
        <f t="shared" si="558"/>
        <v>0.69999999999999929</v>
      </c>
      <c r="I3985" s="9">
        <f t="shared" si="565"/>
        <v>5.8823529411764643E-2</v>
      </c>
      <c r="J3985" s="1">
        <f t="shared" si="566"/>
        <v>-0.12999999999999901</v>
      </c>
      <c r="K3985" s="9">
        <f t="shared" si="559"/>
        <v>-1.0317460317460239E-2</v>
      </c>
      <c r="L3985" s="1">
        <f t="shared" si="560"/>
        <v>1</v>
      </c>
      <c r="M3985" s="1">
        <f t="shared" si="561"/>
        <v>12.6</v>
      </c>
      <c r="N3985" s="1">
        <f t="shared" si="562"/>
        <v>11.9</v>
      </c>
      <c r="O3985" s="1">
        <f t="shared" si="563"/>
        <v>10.510000000000002</v>
      </c>
      <c r="P3985" s="1">
        <f t="shared" si="564"/>
        <v>5.3622448979591848</v>
      </c>
    </row>
    <row r="3986" spans="1:16">
      <c r="A3986" s="2">
        <v>37278</v>
      </c>
      <c r="B3986" s="1">
        <v>12.74</v>
      </c>
      <c r="C3986" s="1">
        <v>12.79</v>
      </c>
      <c r="D3986" s="1">
        <v>12.14</v>
      </c>
      <c r="E3986" s="1">
        <v>12.6</v>
      </c>
      <c r="F3986" s="1">
        <v>56645900</v>
      </c>
      <c r="G3986" s="1">
        <v>12.6</v>
      </c>
      <c r="H3986" s="1">
        <f t="shared" si="558"/>
        <v>0.64999999999999858</v>
      </c>
      <c r="I3986" s="9">
        <f t="shared" si="565"/>
        <v>5.354200988467863E-2</v>
      </c>
      <c r="J3986" s="1">
        <f t="shared" si="566"/>
        <v>2.4399999999999995</v>
      </c>
      <c r="K3986" s="9">
        <f t="shared" si="559"/>
        <v>0.24015748031496056</v>
      </c>
      <c r="L3986" s="1">
        <f t="shared" si="560"/>
        <v>1</v>
      </c>
      <c r="M3986" s="1">
        <f t="shared" si="561"/>
        <v>12.79</v>
      </c>
      <c r="N3986" s="1">
        <f t="shared" si="562"/>
        <v>12.14</v>
      </c>
      <c r="O3986" s="1">
        <f t="shared" si="563"/>
        <v>10.64</v>
      </c>
      <c r="P3986" s="1">
        <f t="shared" si="564"/>
        <v>5.4285714285714288</v>
      </c>
    </row>
    <row r="3987" spans="1:16">
      <c r="A3987" s="2">
        <v>37274</v>
      </c>
      <c r="B3987" s="1">
        <v>9.6</v>
      </c>
      <c r="C3987" s="1">
        <v>10.55</v>
      </c>
      <c r="D3987" s="1">
        <v>9.39</v>
      </c>
      <c r="E3987" s="1">
        <v>10.16</v>
      </c>
      <c r="F3987" s="1">
        <v>11493500</v>
      </c>
      <c r="G3987" s="1">
        <v>10.16</v>
      </c>
      <c r="H3987" s="1">
        <f t="shared" si="558"/>
        <v>1.1600000000000001</v>
      </c>
      <c r="I3987" s="9">
        <f t="shared" si="565"/>
        <v>0.12353567625133122</v>
      </c>
      <c r="J3987" s="1">
        <f t="shared" si="566"/>
        <v>0.41999999999999993</v>
      </c>
      <c r="K3987" s="9">
        <f t="shared" si="559"/>
        <v>4.3121149897330589E-2</v>
      </c>
      <c r="L3987" s="1">
        <f t="shared" si="560"/>
        <v>1</v>
      </c>
      <c r="M3987" s="1">
        <f t="shared" si="561"/>
        <v>10.55</v>
      </c>
      <c r="N3987" s="1">
        <f t="shared" si="562"/>
        <v>9.39</v>
      </c>
      <c r="O3987" s="1">
        <f t="shared" si="563"/>
        <v>8.1999999999999993</v>
      </c>
      <c r="P3987" s="1">
        <f t="shared" si="564"/>
        <v>4.1836734693877551</v>
      </c>
    </row>
    <row r="3988" spans="1:16">
      <c r="A3988" s="2">
        <v>37273</v>
      </c>
      <c r="B3988" s="1">
        <v>9.82</v>
      </c>
      <c r="C3988" s="1">
        <v>9.85</v>
      </c>
      <c r="D3988" s="1">
        <v>9.4</v>
      </c>
      <c r="E3988" s="1">
        <v>9.74</v>
      </c>
      <c r="F3988" s="1">
        <v>16630700</v>
      </c>
      <c r="G3988" s="1">
        <v>9.74</v>
      </c>
      <c r="H3988" s="1">
        <f t="shared" si="558"/>
        <v>0.44999999999999929</v>
      </c>
      <c r="I3988" s="9">
        <f t="shared" si="565"/>
        <v>4.7872340425531838E-2</v>
      </c>
      <c r="J3988" s="1">
        <f t="shared" si="566"/>
        <v>0.60999999999999943</v>
      </c>
      <c r="K3988" s="9">
        <f t="shared" si="559"/>
        <v>6.6812705366922173E-2</v>
      </c>
      <c r="L3988" s="1">
        <f t="shared" si="560"/>
        <v>1</v>
      </c>
      <c r="M3988" s="1">
        <f t="shared" si="561"/>
        <v>9.85</v>
      </c>
      <c r="N3988" s="1">
        <f t="shared" si="562"/>
        <v>9.4</v>
      </c>
      <c r="O3988" s="1">
        <f t="shared" si="563"/>
        <v>7.78</v>
      </c>
      <c r="P3988" s="1">
        <f t="shared" si="564"/>
        <v>3.9693877551020411</v>
      </c>
    </row>
    <row r="3989" spans="1:16">
      <c r="A3989" s="2">
        <v>37272</v>
      </c>
      <c r="B3989" s="1">
        <v>10.01</v>
      </c>
      <c r="C3989" s="1">
        <v>10.01</v>
      </c>
      <c r="D3989" s="1">
        <v>9.0299999999999994</v>
      </c>
      <c r="E3989" s="1">
        <v>9.1300000000000008</v>
      </c>
      <c r="F3989" s="1">
        <v>15039900</v>
      </c>
      <c r="G3989" s="1">
        <v>9.1300000000000008</v>
      </c>
      <c r="H3989" s="1">
        <f t="shared" si="558"/>
        <v>0.98000000000000043</v>
      </c>
      <c r="I3989" s="9">
        <f t="shared" si="565"/>
        <v>0.10852713178294579</v>
      </c>
      <c r="J3989" s="1">
        <f t="shared" si="566"/>
        <v>-1.1599999999999984</v>
      </c>
      <c r="K3989" s="9">
        <f t="shared" si="559"/>
        <v>-0.11273080660835748</v>
      </c>
      <c r="L3989" s="1">
        <f t="shared" si="560"/>
        <v>1</v>
      </c>
      <c r="M3989" s="1">
        <f t="shared" si="561"/>
        <v>10.01</v>
      </c>
      <c r="N3989" s="1">
        <f t="shared" si="562"/>
        <v>9.0299999999999994</v>
      </c>
      <c r="O3989" s="1">
        <f t="shared" si="563"/>
        <v>7.1700000000000008</v>
      </c>
      <c r="P3989" s="1">
        <f t="shared" si="564"/>
        <v>3.6581632653061229</v>
      </c>
    </row>
    <row r="3990" spans="1:16">
      <c r="A3990" s="2">
        <v>37271</v>
      </c>
      <c r="B3990" s="1">
        <v>10.34</v>
      </c>
      <c r="C3990" s="1">
        <v>10.42</v>
      </c>
      <c r="D3990" s="1">
        <v>10.16</v>
      </c>
      <c r="E3990" s="1">
        <v>10.29</v>
      </c>
      <c r="F3990" s="1">
        <v>5092300</v>
      </c>
      <c r="G3990" s="1">
        <v>10.29</v>
      </c>
      <c r="H3990" s="1">
        <f t="shared" si="558"/>
        <v>0.25999999999999979</v>
      </c>
      <c r="I3990" s="9">
        <f t="shared" si="565"/>
        <v>2.5590551181102341E-2</v>
      </c>
      <c r="J3990" s="1">
        <f t="shared" si="566"/>
        <v>0.17999999999999972</v>
      </c>
      <c r="K3990" s="9">
        <f t="shared" si="559"/>
        <v>1.7804154302670596E-2</v>
      </c>
      <c r="L3990" s="1">
        <f t="shared" si="560"/>
        <v>1</v>
      </c>
      <c r="M3990" s="1">
        <f t="shared" si="561"/>
        <v>10.42</v>
      </c>
      <c r="N3990" s="1">
        <f t="shared" si="562"/>
        <v>10.16</v>
      </c>
      <c r="O3990" s="1">
        <f t="shared" si="563"/>
        <v>8.3299999999999983</v>
      </c>
      <c r="P3990" s="1">
        <f t="shared" si="564"/>
        <v>4.2499999999999991</v>
      </c>
    </row>
    <row r="3991" spans="1:16">
      <c r="A3991" s="2">
        <v>37270</v>
      </c>
      <c r="B3991" s="1">
        <v>10.8</v>
      </c>
      <c r="C3991" s="1">
        <v>10.83</v>
      </c>
      <c r="D3991" s="1">
        <v>10.09</v>
      </c>
      <c r="E3991" s="1">
        <v>10.11</v>
      </c>
      <c r="F3991" s="1">
        <v>5973300</v>
      </c>
      <c r="G3991" s="1">
        <v>10.11</v>
      </c>
      <c r="H3991" s="1">
        <f t="shared" si="558"/>
        <v>0.74000000000000021</v>
      </c>
      <c r="I3991" s="9">
        <f t="shared" si="565"/>
        <v>7.3339940535183376E-2</v>
      </c>
      <c r="J3991" s="1">
        <f t="shared" si="566"/>
        <v>-0.91999999999999993</v>
      </c>
      <c r="K3991" s="9">
        <f t="shared" si="559"/>
        <v>-8.3408884859474161E-2</v>
      </c>
      <c r="L3991" s="1">
        <f t="shared" si="560"/>
        <v>1</v>
      </c>
      <c r="M3991" s="1">
        <f t="shared" si="561"/>
        <v>10.83</v>
      </c>
      <c r="N3991" s="1">
        <f t="shared" si="562"/>
        <v>10.09</v>
      </c>
      <c r="O3991" s="1">
        <f t="shared" si="563"/>
        <v>8.1499999999999986</v>
      </c>
      <c r="P3991" s="1">
        <f t="shared" si="564"/>
        <v>4.158163265306122</v>
      </c>
    </row>
    <row r="3992" spans="1:16">
      <c r="A3992" s="2">
        <v>37267</v>
      </c>
      <c r="B3992" s="1">
        <v>11.03</v>
      </c>
      <c r="C3992" s="1">
        <v>11.34</v>
      </c>
      <c r="D3992" s="1">
        <v>10.93</v>
      </c>
      <c r="E3992" s="1">
        <v>11.03</v>
      </c>
      <c r="F3992" s="1">
        <v>4276800</v>
      </c>
      <c r="G3992" s="1">
        <v>11.03</v>
      </c>
      <c r="H3992" s="1">
        <f t="shared" si="558"/>
        <v>0.41000000000000014</v>
      </c>
      <c r="I3992" s="9">
        <f t="shared" si="565"/>
        <v>3.7511436413540725E-2</v>
      </c>
      <c r="J3992" s="1">
        <f t="shared" si="566"/>
        <v>-9.9999999999997868E-3</v>
      </c>
      <c r="K3992" s="9">
        <f t="shared" si="559"/>
        <v>-9.0579710144925607E-4</v>
      </c>
      <c r="L3992" s="1">
        <f t="shared" si="560"/>
        <v>1</v>
      </c>
      <c r="M3992" s="1">
        <f t="shared" si="561"/>
        <v>11.34</v>
      </c>
      <c r="N3992" s="1">
        <f t="shared" si="562"/>
        <v>10.93</v>
      </c>
      <c r="O3992" s="1">
        <f t="shared" si="563"/>
        <v>9.07</v>
      </c>
      <c r="P3992" s="1">
        <f t="shared" si="564"/>
        <v>4.6275510204081636</v>
      </c>
    </row>
    <row r="3993" spans="1:16">
      <c r="A3993" s="2">
        <v>37266</v>
      </c>
      <c r="B3993" s="1">
        <v>11.66</v>
      </c>
      <c r="C3993" s="1">
        <v>11.67</v>
      </c>
      <c r="D3993" s="1">
        <v>10.87</v>
      </c>
      <c r="E3993" s="1">
        <v>11.04</v>
      </c>
      <c r="F3993" s="1">
        <v>8125900</v>
      </c>
      <c r="G3993" s="1">
        <v>11.04</v>
      </c>
      <c r="H3993" s="1">
        <f t="shared" si="558"/>
        <v>0.80000000000000071</v>
      </c>
      <c r="I3993" s="9">
        <f t="shared" si="565"/>
        <v>7.3597056117755355E-2</v>
      </c>
      <c r="J3993" s="1">
        <f t="shared" si="566"/>
        <v>-0.49000000000000021</v>
      </c>
      <c r="K3993" s="9">
        <f t="shared" si="559"/>
        <v>-4.2497831743278425E-2</v>
      </c>
      <c r="L3993" s="1">
        <f t="shared" si="560"/>
        <v>1</v>
      </c>
      <c r="M3993" s="1">
        <f t="shared" si="561"/>
        <v>11.67</v>
      </c>
      <c r="N3993" s="1">
        <f t="shared" si="562"/>
        <v>10.87</v>
      </c>
      <c r="O3993" s="1">
        <f t="shared" si="563"/>
        <v>9.0799999999999983</v>
      </c>
      <c r="P3993" s="1">
        <f t="shared" si="564"/>
        <v>4.6326530612244889</v>
      </c>
    </row>
    <row r="3994" spans="1:16">
      <c r="A3994" s="2">
        <v>37265</v>
      </c>
      <c r="B3994" s="1">
        <v>11.96</v>
      </c>
      <c r="C3994" s="1">
        <v>12.17</v>
      </c>
      <c r="D3994" s="1">
        <v>11.3</v>
      </c>
      <c r="E3994" s="1">
        <v>11.53</v>
      </c>
      <c r="F3994" s="1">
        <v>10879600</v>
      </c>
      <c r="G3994" s="1">
        <v>11.53</v>
      </c>
      <c r="H3994" s="1">
        <f t="shared" si="558"/>
        <v>0.86999999999999922</v>
      </c>
      <c r="I3994" s="9">
        <f t="shared" si="565"/>
        <v>7.6991150442477799E-2</v>
      </c>
      <c r="J3994" s="1">
        <f t="shared" si="566"/>
        <v>-0.32000000000000028</v>
      </c>
      <c r="K3994" s="9">
        <f t="shared" si="559"/>
        <v>-2.7004219409282725E-2</v>
      </c>
      <c r="L3994" s="1">
        <f t="shared" si="560"/>
        <v>1</v>
      </c>
      <c r="M3994" s="1">
        <f t="shared" si="561"/>
        <v>12.17</v>
      </c>
      <c r="N3994" s="1">
        <f t="shared" si="562"/>
        <v>11.3</v>
      </c>
      <c r="O3994" s="1">
        <f t="shared" si="563"/>
        <v>9.57</v>
      </c>
      <c r="P3994" s="1">
        <f t="shared" si="564"/>
        <v>4.8826530612244898</v>
      </c>
    </row>
    <row r="3995" spans="1:16">
      <c r="A3995" s="2">
        <v>37264</v>
      </c>
      <c r="B3995" s="1">
        <v>12.27</v>
      </c>
      <c r="C3995" s="1">
        <v>12.32</v>
      </c>
      <c r="D3995" s="1">
        <v>11.75</v>
      </c>
      <c r="E3995" s="1">
        <v>11.85</v>
      </c>
      <c r="F3995" s="1">
        <v>6041100</v>
      </c>
      <c r="G3995" s="1">
        <v>11.85</v>
      </c>
      <c r="H3995" s="1">
        <f t="shared" si="558"/>
        <v>0.57000000000000028</v>
      </c>
      <c r="I3995" s="9">
        <f t="shared" si="565"/>
        <v>4.8510638297872367E-2</v>
      </c>
      <c r="J3995" s="1">
        <f t="shared" si="566"/>
        <v>-0.49000000000000021</v>
      </c>
      <c r="K3995" s="9">
        <f t="shared" si="559"/>
        <v>-3.9708265802269063E-2</v>
      </c>
      <c r="L3995" s="1">
        <f t="shared" si="560"/>
        <v>1</v>
      </c>
      <c r="M3995" s="1">
        <f t="shared" si="561"/>
        <v>12.32</v>
      </c>
      <c r="N3995" s="1">
        <f t="shared" si="562"/>
        <v>11.75</v>
      </c>
      <c r="O3995" s="1">
        <f t="shared" si="563"/>
        <v>9.89</v>
      </c>
      <c r="P3995" s="1">
        <f t="shared" si="564"/>
        <v>5.045918367346939</v>
      </c>
    </row>
    <row r="3996" spans="1:16">
      <c r="A3996" s="2">
        <v>37263</v>
      </c>
      <c r="B3996" s="1">
        <v>12.08</v>
      </c>
      <c r="C3996" s="1">
        <v>12.51</v>
      </c>
      <c r="D3996" s="1">
        <v>12.08</v>
      </c>
      <c r="E3996" s="1">
        <v>12.34</v>
      </c>
      <c r="F3996" s="1">
        <v>12182900</v>
      </c>
      <c r="G3996" s="1">
        <v>12.34</v>
      </c>
      <c r="H3996" s="1">
        <f t="shared" si="558"/>
        <v>0.42999999999999972</v>
      </c>
      <c r="I3996" s="9">
        <f t="shared" si="565"/>
        <v>3.5596026490066199E-2</v>
      </c>
      <c r="J3996" s="1">
        <f t="shared" si="566"/>
        <v>8.9999999999999858E-2</v>
      </c>
      <c r="K3996" s="9">
        <f t="shared" si="559"/>
        <v>7.3469387755101924E-3</v>
      </c>
      <c r="L3996" s="1">
        <f t="shared" si="560"/>
        <v>1</v>
      </c>
      <c r="M3996" s="1">
        <f t="shared" si="561"/>
        <v>12.51</v>
      </c>
      <c r="N3996" s="1">
        <f t="shared" si="562"/>
        <v>12.08</v>
      </c>
      <c r="O3996" s="1">
        <f t="shared" si="563"/>
        <v>10.379999999999999</v>
      </c>
      <c r="P3996" s="1">
        <f t="shared" si="564"/>
        <v>5.2959183673469381</v>
      </c>
    </row>
    <row r="3997" spans="1:16">
      <c r="A3997" s="2">
        <v>37260</v>
      </c>
      <c r="B3997" s="1">
        <v>12.02</v>
      </c>
      <c r="C3997" s="1">
        <v>12.4</v>
      </c>
      <c r="D3997" s="1">
        <v>11.95</v>
      </c>
      <c r="E3997" s="1">
        <v>12.25</v>
      </c>
      <c r="F3997" s="1">
        <v>12687300</v>
      </c>
      <c r="G3997" s="1">
        <v>12.25</v>
      </c>
      <c r="H3997" s="1">
        <f t="shared" si="558"/>
        <v>0.45000000000000107</v>
      </c>
      <c r="I3997" s="9">
        <f t="shared" si="565"/>
        <v>3.7656903765690468E-2</v>
      </c>
      <c r="J3997" s="1">
        <f t="shared" si="566"/>
        <v>0.34999999999999964</v>
      </c>
      <c r="K3997" s="9">
        <f t="shared" si="559"/>
        <v>2.9411764705882321E-2</v>
      </c>
      <c r="L3997" s="1">
        <f t="shared" si="560"/>
        <v>1</v>
      </c>
      <c r="M3997" s="1">
        <f t="shared" si="561"/>
        <v>12.4</v>
      </c>
      <c r="N3997" s="1">
        <f t="shared" si="562"/>
        <v>11.95</v>
      </c>
      <c r="O3997" s="1">
        <f t="shared" si="563"/>
        <v>10.29</v>
      </c>
      <c r="P3997" s="1">
        <f t="shared" si="564"/>
        <v>5.25</v>
      </c>
    </row>
    <row r="3998" spans="1:16">
      <c r="A3998" s="2">
        <v>37259</v>
      </c>
      <c r="B3998" s="1">
        <v>11.13</v>
      </c>
      <c r="C3998" s="1">
        <v>11.94</v>
      </c>
      <c r="D3998" s="1">
        <v>11.05</v>
      </c>
      <c r="E3998" s="1">
        <v>11.9</v>
      </c>
      <c r="F3998" s="1">
        <v>10875700</v>
      </c>
      <c r="G3998" s="1">
        <v>11.9</v>
      </c>
      <c r="H3998" s="1">
        <f t="shared" si="558"/>
        <v>0.88999999999999879</v>
      </c>
      <c r="I3998" s="9">
        <f t="shared" si="565"/>
        <v>8.0542986425339247E-2</v>
      </c>
      <c r="J3998" s="1">
        <f t="shared" si="566"/>
        <v>0.9399999999999995</v>
      </c>
      <c r="K3998" s="9">
        <f t="shared" si="559"/>
        <v>8.5766423357664184E-2</v>
      </c>
      <c r="L3998" s="1">
        <f t="shared" si="560"/>
        <v>1</v>
      </c>
      <c r="M3998" s="1">
        <f t="shared" si="561"/>
        <v>11.94</v>
      </c>
      <c r="N3998" s="1">
        <f t="shared" si="562"/>
        <v>11.05</v>
      </c>
      <c r="O3998" s="1">
        <f t="shared" si="563"/>
        <v>9.9400000000000013</v>
      </c>
      <c r="P3998" s="1">
        <f t="shared" si="564"/>
        <v>5.0714285714285721</v>
      </c>
    </row>
    <row r="3999" spans="1:16">
      <c r="A3999" s="2">
        <v>37258</v>
      </c>
      <c r="B3999" s="1">
        <v>10.93</v>
      </c>
      <c r="C3999" s="1">
        <v>11</v>
      </c>
      <c r="D3999" s="1">
        <v>10.48</v>
      </c>
      <c r="E3999" s="1">
        <v>10.96</v>
      </c>
      <c r="F3999" s="1">
        <v>6519600</v>
      </c>
      <c r="G3999" s="1">
        <v>10.96</v>
      </c>
      <c r="H3999" s="1">
        <f t="shared" si="558"/>
        <v>0.51999999999999957</v>
      </c>
      <c r="I3999" s="9">
        <f t="shared" si="565"/>
        <v>4.9618320610686981E-2</v>
      </c>
      <c r="J3999" s="1">
        <f t="shared" si="566"/>
        <v>0.14000000000000057</v>
      </c>
      <c r="K3999" s="9">
        <f t="shared" si="559"/>
        <v>1.2939001848428888E-2</v>
      </c>
      <c r="L3999" s="1">
        <f t="shared" si="560"/>
        <v>1</v>
      </c>
      <c r="M3999" s="1">
        <f t="shared" si="561"/>
        <v>11</v>
      </c>
      <c r="N3999" s="1">
        <f t="shared" si="562"/>
        <v>10.48</v>
      </c>
      <c r="O3999" s="1">
        <f t="shared" si="563"/>
        <v>9</v>
      </c>
      <c r="P3999" s="1">
        <f t="shared" si="564"/>
        <v>4.591836734693878</v>
      </c>
    </row>
    <row r="4000" spans="1:16">
      <c r="A4000" s="2">
        <v>37256</v>
      </c>
      <c r="B4000" s="1">
        <v>11.07</v>
      </c>
      <c r="C4000" s="1">
        <v>11.19</v>
      </c>
      <c r="D4000" s="1">
        <v>10.74</v>
      </c>
      <c r="E4000" s="1">
        <v>10.82</v>
      </c>
      <c r="F4000" s="1">
        <v>6034700</v>
      </c>
      <c r="G4000" s="1">
        <v>10.82</v>
      </c>
      <c r="H4000" s="1">
        <f t="shared" si="558"/>
        <v>0.44999999999999929</v>
      </c>
      <c r="I4000" s="9">
        <f t="shared" si="565"/>
        <v>4.1899441340782058E-2</v>
      </c>
      <c r="J4000" s="1">
        <f t="shared" si="566"/>
        <v>-8.0000000000000071E-2</v>
      </c>
      <c r="K4000" s="9">
        <f t="shared" si="559"/>
        <v>-7.3394495412844101E-3</v>
      </c>
      <c r="L4000" s="1">
        <f t="shared" si="560"/>
        <v>1</v>
      </c>
      <c r="M4000" s="1">
        <f t="shared" si="561"/>
        <v>11.19</v>
      </c>
      <c r="N4000" s="1">
        <f t="shared" si="562"/>
        <v>10.74</v>
      </c>
      <c r="O4000" s="1">
        <f t="shared" si="563"/>
        <v>8.86</v>
      </c>
      <c r="P4000" s="1">
        <f t="shared" si="564"/>
        <v>4.5204081632653059</v>
      </c>
    </row>
    <row r="4001" spans="1:16">
      <c r="A4001" s="2">
        <v>37253</v>
      </c>
      <c r="B4001" s="1">
        <v>10.91</v>
      </c>
      <c r="C4001" s="1">
        <v>11.08</v>
      </c>
      <c r="D4001" s="1">
        <v>10.69</v>
      </c>
      <c r="E4001" s="1">
        <v>10.9</v>
      </c>
      <c r="F4001" s="1">
        <v>10257900</v>
      </c>
      <c r="G4001" s="1">
        <v>10.9</v>
      </c>
      <c r="H4001" s="1">
        <f t="shared" si="558"/>
        <v>0.39000000000000057</v>
      </c>
      <c r="I4001" s="9">
        <f t="shared" si="565"/>
        <v>3.6482694106641775E-2</v>
      </c>
      <c r="J4001" s="1">
        <f t="shared" si="566"/>
        <v>0.30000000000000071</v>
      </c>
      <c r="K4001" s="9">
        <f t="shared" si="559"/>
        <v>2.8301886792452897E-2</v>
      </c>
      <c r="L4001" s="1">
        <f t="shared" si="560"/>
        <v>1</v>
      </c>
      <c r="M4001" s="1">
        <f t="shared" si="561"/>
        <v>11.08</v>
      </c>
      <c r="N4001" s="1">
        <f t="shared" si="562"/>
        <v>10.69</v>
      </c>
      <c r="O4001" s="1">
        <f t="shared" si="563"/>
        <v>8.9400000000000013</v>
      </c>
      <c r="P4001" s="1">
        <f t="shared" si="564"/>
        <v>4.5612244897959195</v>
      </c>
    </row>
    <row r="4002" spans="1:16">
      <c r="A4002" s="2">
        <v>37252</v>
      </c>
      <c r="B4002" s="1">
        <v>11.33</v>
      </c>
      <c r="C4002" s="1">
        <v>11.49</v>
      </c>
      <c r="D4002" s="1">
        <v>10.57</v>
      </c>
      <c r="E4002" s="1">
        <v>10.6</v>
      </c>
      <c r="F4002" s="1">
        <v>10840100</v>
      </c>
      <c r="G4002" s="1">
        <v>10.6</v>
      </c>
      <c r="H4002" s="1">
        <f t="shared" si="558"/>
        <v>0.91999999999999993</v>
      </c>
      <c r="I4002" s="9">
        <f t="shared" si="565"/>
        <v>8.7038789025543989E-2</v>
      </c>
      <c r="J4002" s="1">
        <f t="shared" si="566"/>
        <v>-0.5</v>
      </c>
      <c r="K4002" s="9">
        <f t="shared" si="559"/>
        <v>-4.504504504504505E-2</v>
      </c>
      <c r="L4002" s="1">
        <f t="shared" si="560"/>
        <v>1</v>
      </c>
      <c r="M4002" s="1">
        <f t="shared" si="561"/>
        <v>11.49</v>
      </c>
      <c r="N4002" s="1">
        <f t="shared" si="562"/>
        <v>10.57</v>
      </c>
      <c r="O4002" s="1">
        <f t="shared" si="563"/>
        <v>8.64</v>
      </c>
      <c r="P4002" s="1">
        <f t="shared" si="564"/>
        <v>4.4081632653061229</v>
      </c>
    </row>
    <row r="4003" spans="1:16">
      <c r="A4003" s="2">
        <v>37251</v>
      </c>
      <c r="B4003" s="1">
        <v>10.97</v>
      </c>
      <c r="C4003" s="1">
        <v>11.28</v>
      </c>
      <c r="D4003" s="1">
        <v>10.87</v>
      </c>
      <c r="E4003" s="1">
        <v>11.1</v>
      </c>
      <c r="F4003" s="1">
        <v>18198500</v>
      </c>
      <c r="G4003" s="1">
        <v>11.1</v>
      </c>
      <c r="H4003" s="1">
        <f t="shared" si="558"/>
        <v>0.41000000000000014</v>
      </c>
      <c r="I4003" s="9">
        <f t="shared" si="565"/>
        <v>3.7718491260349603E-2</v>
      </c>
      <c r="J4003" s="1">
        <f t="shared" si="566"/>
        <v>1.2699999999999996</v>
      </c>
      <c r="K4003" s="9">
        <f t="shared" si="559"/>
        <v>0.12919633774160727</v>
      </c>
      <c r="L4003" s="1">
        <f t="shared" si="560"/>
        <v>1</v>
      </c>
      <c r="M4003" s="1">
        <f t="shared" si="561"/>
        <v>11.28</v>
      </c>
      <c r="N4003" s="1">
        <f t="shared" si="562"/>
        <v>10.87</v>
      </c>
      <c r="O4003" s="1">
        <f t="shared" si="563"/>
        <v>9.14</v>
      </c>
      <c r="P4003" s="1">
        <f t="shared" si="564"/>
        <v>4.6632653061224492</v>
      </c>
    </row>
    <row r="4004" spans="1:16">
      <c r="A4004" s="2">
        <v>37249</v>
      </c>
      <c r="B4004" s="1">
        <v>10.15</v>
      </c>
      <c r="C4004" s="1">
        <v>10.220000000000001</v>
      </c>
      <c r="D4004" s="1">
        <v>9.51</v>
      </c>
      <c r="E4004" s="1">
        <v>9.83</v>
      </c>
      <c r="F4004" s="1">
        <v>6236900</v>
      </c>
      <c r="G4004" s="1">
        <v>9.83</v>
      </c>
      <c r="H4004" s="1">
        <f t="shared" si="558"/>
        <v>0.71000000000000085</v>
      </c>
      <c r="I4004" s="9">
        <f t="shared" si="565"/>
        <v>7.4658254468980112E-2</v>
      </c>
      <c r="J4004" s="1">
        <f t="shared" si="566"/>
        <v>-0.16999999999999993</v>
      </c>
      <c r="K4004" s="9">
        <f t="shared" si="559"/>
        <v>-1.6999999999999994E-2</v>
      </c>
      <c r="L4004" s="1">
        <f t="shared" si="560"/>
        <v>1</v>
      </c>
      <c r="M4004" s="1">
        <f t="shared" si="561"/>
        <v>10.220000000000001</v>
      </c>
      <c r="N4004" s="1">
        <f t="shared" si="562"/>
        <v>9.51</v>
      </c>
      <c r="O4004" s="1">
        <f t="shared" si="563"/>
        <v>7.87</v>
      </c>
      <c r="P4004" s="1">
        <f t="shared" si="564"/>
        <v>4.0153061224489797</v>
      </c>
    </row>
    <row r="4005" spans="1:16">
      <c r="A4005" s="2">
        <v>37246</v>
      </c>
      <c r="B4005" s="1">
        <v>10.31</v>
      </c>
      <c r="C4005" s="1">
        <v>11.06</v>
      </c>
      <c r="D4005" s="1">
        <v>10</v>
      </c>
      <c r="E4005" s="1">
        <v>10</v>
      </c>
      <c r="F4005" s="1">
        <v>13944900</v>
      </c>
      <c r="G4005" s="1">
        <v>10</v>
      </c>
      <c r="H4005" s="1">
        <f t="shared" si="558"/>
        <v>1.0600000000000005</v>
      </c>
      <c r="I4005" s="9">
        <f t="shared" si="565"/>
        <v>0.10600000000000005</v>
      </c>
      <c r="J4005" s="1">
        <f t="shared" si="566"/>
        <v>-0.15000000000000036</v>
      </c>
      <c r="K4005" s="9">
        <f t="shared" si="559"/>
        <v>-1.4778325123152743E-2</v>
      </c>
      <c r="L4005" s="1">
        <f t="shared" si="560"/>
        <v>1</v>
      </c>
      <c r="M4005" s="1">
        <f t="shared" si="561"/>
        <v>11.06</v>
      </c>
      <c r="N4005" s="1">
        <f t="shared" si="562"/>
        <v>10</v>
      </c>
      <c r="O4005" s="1">
        <f t="shared" si="563"/>
        <v>8.0399999999999991</v>
      </c>
      <c r="P4005" s="1">
        <f t="shared" si="564"/>
        <v>4.1020408163265305</v>
      </c>
    </row>
    <row r="4006" spans="1:16">
      <c r="A4006" s="2">
        <v>37245</v>
      </c>
      <c r="B4006" s="1">
        <v>10.57</v>
      </c>
      <c r="C4006" s="1">
        <v>10.83</v>
      </c>
      <c r="D4006" s="1">
        <v>10.14</v>
      </c>
      <c r="E4006" s="1">
        <v>10.15</v>
      </c>
      <c r="F4006" s="1">
        <v>7851200</v>
      </c>
      <c r="G4006" s="1">
        <v>10.15</v>
      </c>
      <c r="H4006" s="1">
        <f t="shared" si="558"/>
        <v>0.6899999999999995</v>
      </c>
      <c r="I4006" s="9">
        <f t="shared" si="565"/>
        <v>6.8047337278106454E-2</v>
      </c>
      <c r="J4006" s="1">
        <f t="shared" si="566"/>
        <v>-0.5600000000000005</v>
      </c>
      <c r="K4006" s="9">
        <f t="shared" si="559"/>
        <v>-5.2287581699346448E-2</v>
      </c>
      <c r="L4006" s="1">
        <f t="shared" si="560"/>
        <v>1</v>
      </c>
      <c r="M4006" s="1">
        <f t="shared" si="561"/>
        <v>10.83</v>
      </c>
      <c r="N4006" s="1">
        <f t="shared" si="562"/>
        <v>10.14</v>
      </c>
      <c r="O4006" s="1">
        <f t="shared" si="563"/>
        <v>8.1900000000000013</v>
      </c>
      <c r="P4006" s="1">
        <f t="shared" si="564"/>
        <v>4.1785714285714297</v>
      </c>
    </row>
    <row r="4007" spans="1:16">
      <c r="A4007" s="2">
        <v>37244</v>
      </c>
      <c r="B4007" s="1">
        <v>10.73</v>
      </c>
      <c r="C4007" s="1">
        <v>11.15</v>
      </c>
      <c r="D4007" s="1">
        <v>10.51</v>
      </c>
      <c r="E4007" s="1">
        <v>10.71</v>
      </c>
      <c r="F4007" s="1">
        <v>7003700</v>
      </c>
      <c r="G4007" s="1">
        <v>10.71</v>
      </c>
      <c r="H4007" s="1">
        <f t="shared" si="558"/>
        <v>0.64000000000000057</v>
      </c>
      <c r="I4007" s="9">
        <f t="shared" si="565"/>
        <v>6.0894386298763141E-2</v>
      </c>
      <c r="J4007" s="1">
        <f t="shared" si="566"/>
        <v>-0.14999999999999858</v>
      </c>
      <c r="K4007" s="9">
        <f t="shared" si="559"/>
        <v>-1.3812154696132466E-2</v>
      </c>
      <c r="L4007" s="1">
        <f t="shared" si="560"/>
        <v>1</v>
      </c>
      <c r="M4007" s="1">
        <f t="shared" si="561"/>
        <v>11.15</v>
      </c>
      <c r="N4007" s="1">
        <f t="shared" si="562"/>
        <v>10.51</v>
      </c>
      <c r="O4007" s="1">
        <f t="shared" si="563"/>
        <v>8.75</v>
      </c>
      <c r="P4007" s="1">
        <f t="shared" si="564"/>
        <v>4.4642857142857144</v>
      </c>
    </row>
    <row r="4008" spans="1:16">
      <c r="A4008" s="2">
        <v>37243</v>
      </c>
      <c r="B4008" s="1">
        <v>11.05</v>
      </c>
      <c r="C4008" s="1">
        <v>11.36</v>
      </c>
      <c r="D4008" s="1">
        <v>10.62</v>
      </c>
      <c r="E4008" s="1">
        <v>10.86</v>
      </c>
      <c r="F4008" s="1">
        <v>7354200</v>
      </c>
      <c r="G4008" s="1">
        <v>10.86</v>
      </c>
      <c r="H4008" s="1">
        <f t="shared" si="558"/>
        <v>0.74000000000000021</v>
      </c>
      <c r="I4008" s="9">
        <f t="shared" si="565"/>
        <v>6.9679849340866309E-2</v>
      </c>
      <c r="J4008" s="1">
        <f t="shared" si="566"/>
        <v>4.9999999999998934E-2</v>
      </c>
      <c r="K4008" s="9">
        <f t="shared" si="559"/>
        <v>4.6253469010174774E-3</v>
      </c>
      <c r="L4008" s="1">
        <f t="shared" si="560"/>
        <v>1</v>
      </c>
      <c r="M4008" s="1">
        <f t="shared" si="561"/>
        <v>11.36</v>
      </c>
      <c r="N4008" s="1">
        <f t="shared" si="562"/>
        <v>10.62</v>
      </c>
      <c r="O4008" s="1">
        <f t="shared" si="563"/>
        <v>8.8999999999999986</v>
      </c>
      <c r="P4008" s="1">
        <f t="shared" si="564"/>
        <v>4.5408163265306118</v>
      </c>
    </row>
    <row r="4009" spans="1:16">
      <c r="A4009" s="2">
        <v>37242</v>
      </c>
      <c r="B4009" s="1">
        <v>11.1</v>
      </c>
      <c r="C4009" s="1">
        <v>11.14</v>
      </c>
      <c r="D4009" s="1">
        <v>10.18</v>
      </c>
      <c r="E4009" s="1">
        <v>10.81</v>
      </c>
      <c r="F4009" s="1">
        <v>8599300</v>
      </c>
      <c r="G4009" s="1">
        <v>10.81</v>
      </c>
      <c r="H4009" s="1">
        <f t="shared" si="558"/>
        <v>0.96000000000000085</v>
      </c>
      <c r="I4009" s="9">
        <f t="shared" si="565"/>
        <v>9.4302554027504995E-2</v>
      </c>
      <c r="J4009" s="1">
        <f t="shared" si="566"/>
        <v>-0.1899999999999995</v>
      </c>
      <c r="K4009" s="9">
        <f t="shared" si="559"/>
        <v>-1.7272727272727228E-2</v>
      </c>
      <c r="L4009" s="1">
        <f t="shared" si="560"/>
        <v>1</v>
      </c>
      <c r="M4009" s="1">
        <f t="shared" si="561"/>
        <v>11.14</v>
      </c>
      <c r="N4009" s="1">
        <f t="shared" si="562"/>
        <v>10.18</v>
      </c>
      <c r="O4009" s="1">
        <f t="shared" si="563"/>
        <v>8.8500000000000014</v>
      </c>
      <c r="P4009" s="1">
        <f t="shared" si="564"/>
        <v>4.5153061224489806</v>
      </c>
    </row>
    <row r="4010" spans="1:16">
      <c r="A4010" s="2">
        <v>37239</v>
      </c>
      <c r="B4010" s="1">
        <v>11.1</v>
      </c>
      <c r="C4010" s="1">
        <v>11.2</v>
      </c>
      <c r="D4010" s="1">
        <v>10.07</v>
      </c>
      <c r="E4010" s="1">
        <v>11</v>
      </c>
      <c r="F4010" s="1">
        <v>10024600</v>
      </c>
      <c r="G4010" s="1">
        <v>11</v>
      </c>
      <c r="H4010" s="1">
        <f t="shared" si="558"/>
        <v>1.129999999999999</v>
      </c>
      <c r="I4010" s="9">
        <f t="shared" si="565"/>
        <v>0.1122144985104269</v>
      </c>
      <c r="J4010" s="1">
        <f t="shared" si="566"/>
        <v>0.10999999999999943</v>
      </c>
      <c r="K4010" s="9">
        <f t="shared" si="559"/>
        <v>1.0101010101010048E-2</v>
      </c>
      <c r="L4010" s="1">
        <f t="shared" si="560"/>
        <v>1</v>
      </c>
      <c r="M4010" s="1">
        <f t="shared" si="561"/>
        <v>11.2</v>
      </c>
      <c r="N4010" s="1">
        <f t="shared" si="562"/>
        <v>10.07</v>
      </c>
      <c r="O4010" s="1">
        <f t="shared" si="563"/>
        <v>9.0399999999999991</v>
      </c>
      <c r="P4010" s="1">
        <f t="shared" si="564"/>
        <v>4.612244897959183</v>
      </c>
    </row>
    <row r="4011" spans="1:16">
      <c r="A4011" s="2">
        <v>37238</v>
      </c>
      <c r="B4011" s="1">
        <v>11.54</v>
      </c>
      <c r="C4011" s="1">
        <v>11.8</v>
      </c>
      <c r="D4011" s="1">
        <v>10.85</v>
      </c>
      <c r="E4011" s="1">
        <v>10.89</v>
      </c>
      <c r="F4011" s="1">
        <v>7874100</v>
      </c>
      <c r="G4011" s="1">
        <v>10.89</v>
      </c>
      <c r="H4011" s="1">
        <f t="shared" si="558"/>
        <v>0.95000000000000107</v>
      </c>
      <c r="I4011" s="9">
        <f t="shared" si="565"/>
        <v>8.7557603686636051E-2</v>
      </c>
      <c r="J4011" s="1">
        <f t="shared" si="566"/>
        <v>-1.0199999999999996</v>
      </c>
      <c r="K4011" s="9">
        <f t="shared" si="559"/>
        <v>-8.5642317380352606E-2</v>
      </c>
      <c r="L4011" s="1">
        <f t="shared" si="560"/>
        <v>1</v>
      </c>
      <c r="M4011" s="1">
        <f t="shared" si="561"/>
        <v>11.8</v>
      </c>
      <c r="N4011" s="1">
        <f t="shared" si="562"/>
        <v>10.85</v>
      </c>
      <c r="O4011" s="1">
        <f t="shared" si="563"/>
        <v>8.93</v>
      </c>
      <c r="P4011" s="1">
        <f t="shared" si="564"/>
        <v>4.5561224489795915</v>
      </c>
    </row>
    <row r="4012" spans="1:16">
      <c r="A4012" s="2">
        <v>37237</v>
      </c>
      <c r="B4012" s="1">
        <v>12.43</v>
      </c>
      <c r="C4012" s="1">
        <v>12.43</v>
      </c>
      <c r="D4012" s="1">
        <v>11.63</v>
      </c>
      <c r="E4012" s="1">
        <v>11.91</v>
      </c>
      <c r="F4012" s="1">
        <v>8075100</v>
      </c>
      <c r="G4012" s="1">
        <v>11.91</v>
      </c>
      <c r="H4012" s="1">
        <f t="shared" si="558"/>
        <v>0.79999999999999893</v>
      </c>
      <c r="I4012" s="9">
        <f t="shared" si="565"/>
        <v>6.8787618228718733E-2</v>
      </c>
      <c r="J4012" s="1">
        <f t="shared" si="566"/>
        <v>-0.33000000000000007</v>
      </c>
      <c r="K4012" s="9">
        <f t="shared" si="559"/>
        <v>-2.6960784313725495E-2</v>
      </c>
      <c r="L4012" s="1">
        <f t="shared" si="560"/>
        <v>1</v>
      </c>
      <c r="M4012" s="1">
        <f t="shared" si="561"/>
        <v>12.43</v>
      </c>
      <c r="N4012" s="1">
        <f t="shared" si="562"/>
        <v>11.63</v>
      </c>
      <c r="O4012" s="1">
        <f t="shared" si="563"/>
        <v>9.9499999999999993</v>
      </c>
      <c r="P4012" s="1">
        <f t="shared" si="564"/>
        <v>5.0765306122448974</v>
      </c>
    </row>
    <row r="4013" spans="1:16">
      <c r="A4013" s="2">
        <v>37236</v>
      </c>
      <c r="B4013" s="1">
        <v>12</v>
      </c>
      <c r="C4013" s="1">
        <v>12.43</v>
      </c>
      <c r="D4013" s="1">
        <v>11.78</v>
      </c>
      <c r="E4013" s="1">
        <v>12.24</v>
      </c>
      <c r="F4013" s="1">
        <v>14134000</v>
      </c>
      <c r="G4013" s="1">
        <v>12.24</v>
      </c>
      <c r="H4013" s="1">
        <f t="shared" si="558"/>
        <v>0.65000000000000036</v>
      </c>
      <c r="I4013" s="9">
        <f t="shared" si="565"/>
        <v>5.517826825127338E-2</v>
      </c>
      <c r="J4013" s="1">
        <f t="shared" si="566"/>
        <v>0.58999999999999986</v>
      </c>
      <c r="K4013" s="9">
        <f t="shared" si="559"/>
        <v>5.0643776824034321E-2</v>
      </c>
      <c r="L4013" s="1">
        <f t="shared" si="560"/>
        <v>1</v>
      </c>
      <c r="M4013" s="1">
        <f t="shared" si="561"/>
        <v>12.43</v>
      </c>
      <c r="N4013" s="1">
        <f t="shared" si="562"/>
        <v>11.78</v>
      </c>
      <c r="O4013" s="1">
        <f t="shared" si="563"/>
        <v>10.280000000000001</v>
      </c>
      <c r="P4013" s="1">
        <f t="shared" si="564"/>
        <v>5.2448979591836737</v>
      </c>
    </row>
    <row r="4014" spans="1:16">
      <c r="A4014" s="2">
        <v>37235</v>
      </c>
      <c r="B4014" s="1">
        <v>11.55</v>
      </c>
      <c r="C4014" s="1">
        <v>12.15</v>
      </c>
      <c r="D4014" s="1">
        <v>11.44</v>
      </c>
      <c r="E4014" s="1">
        <v>11.65</v>
      </c>
      <c r="F4014" s="1">
        <v>8515900</v>
      </c>
      <c r="G4014" s="1">
        <v>11.65</v>
      </c>
      <c r="H4014" s="1">
        <f t="shared" si="558"/>
        <v>0.71000000000000085</v>
      </c>
      <c r="I4014" s="9">
        <f t="shared" si="565"/>
        <v>6.206293706293714E-2</v>
      </c>
      <c r="J4014" s="1">
        <f t="shared" si="566"/>
        <v>-6.0000000000000497E-2</v>
      </c>
      <c r="K4014" s="9">
        <f t="shared" si="559"/>
        <v>-5.1238257899231844E-3</v>
      </c>
      <c r="L4014" s="1">
        <f t="shared" si="560"/>
        <v>1</v>
      </c>
      <c r="M4014" s="1">
        <f t="shared" si="561"/>
        <v>12.15</v>
      </c>
      <c r="N4014" s="1">
        <f t="shared" si="562"/>
        <v>11.44</v>
      </c>
      <c r="O4014" s="1">
        <f t="shared" si="563"/>
        <v>9.6900000000000013</v>
      </c>
      <c r="P4014" s="1">
        <f t="shared" si="564"/>
        <v>4.9438775510204085</v>
      </c>
    </row>
    <row r="4015" spans="1:16">
      <c r="A4015" s="2">
        <v>37232</v>
      </c>
      <c r="B4015" s="1">
        <v>12.29</v>
      </c>
      <c r="C4015" s="1">
        <v>12.3</v>
      </c>
      <c r="D4015" s="1">
        <v>11.5</v>
      </c>
      <c r="E4015" s="1">
        <v>11.71</v>
      </c>
      <c r="F4015" s="1">
        <v>7088000</v>
      </c>
      <c r="G4015" s="1">
        <v>11.71</v>
      </c>
      <c r="H4015" s="1">
        <f t="shared" si="558"/>
        <v>0.80000000000000071</v>
      </c>
      <c r="I4015" s="9">
        <f t="shared" si="565"/>
        <v>6.9565217391304404E-2</v>
      </c>
      <c r="J4015" s="1">
        <f t="shared" si="566"/>
        <v>-0.38999999999999879</v>
      </c>
      <c r="K4015" s="9">
        <f t="shared" si="559"/>
        <v>-3.2231404958677587E-2</v>
      </c>
      <c r="L4015" s="1">
        <f t="shared" si="560"/>
        <v>1</v>
      </c>
      <c r="M4015" s="1">
        <f t="shared" si="561"/>
        <v>12.3</v>
      </c>
      <c r="N4015" s="1">
        <f t="shared" si="562"/>
        <v>11.5</v>
      </c>
      <c r="O4015" s="1">
        <f t="shared" si="563"/>
        <v>9.75</v>
      </c>
      <c r="P4015" s="1">
        <f t="shared" si="564"/>
        <v>4.9744897959183678</v>
      </c>
    </row>
    <row r="4016" spans="1:16">
      <c r="A4016" s="2">
        <v>37231</v>
      </c>
      <c r="B4016" s="1">
        <v>12.04</v>
      </c>
      <c r="C4016" s="1">
        <v>12.4</v>
      </c>
      <c r="D4016" s="1">
        <v>11.85</v>
      </c>
      <c r="E4016" s="1">
        <v>12.1</v>
      </c>
      <c r="F4016" s="1">
        <v>12484600</v>
      </c>
      <c r="G4016" s="1">
        <v>12.1</v>
      </c>
      <c r="H4016" s="1">
        <f t="shared" si="558"/>
        <v>0.55000000000000071</v>
      </c>
      <c r="I4016" s="9">
        <f t="shared" si="565"/>
        <v>4.6413502109704706E-2</v>
      </c>
      <c r="J4016" s="1">
        <f t="shared" si="566"/>
        <v>0.33999999999999986</v>
      </c>
      <c r="K4016" s="9">
        <f t="shared" si="559"/>
        <v>2.8911564625850327E-2</v>
      </c>
      <c r="L4016" s="1">
        <f t="shared" si="560"/>
        <v>1</v>
      </c>
      <c r="M4016" s="1">
        <f t="shared" si="561"/>
        <v>12.4</v>
      </c>
      <c r="N4016" s="1">
        <f t="shared" si="562"/>
        <v>11.85</v>
      </c>
      <c r="O4016" s="1">
        <f t="shared" si="563"/>
        <v>10.14</v>
      </c>
      <c r="P4016" s="1">
        <f t="shared" si="564"/>
        <v>5.1734693877551026</v>
      </c>
    </row>
    <row r="4017" spans="1:16">
      <c r="A4017" s="2">
        <v>37230</v>
      </c>
      <c r="B4017" s="1">
        <v>12.4</v>
      </c>
      <c r="C4017" s="1">
        <v>12.8</v>
      </c>
      <c r="D4017" s="1">
        <v>11.75</v>
      </c>
      <c r="E4017" s="1">
        <v>11.76</v>
      </c>
      <c r="F4017" s="1">
        <v>23912200</v>
      </c>
      <c r="G4017" s="1">
        <v>11.76</v>
      </c>
      <c r="H4017" s="1">
        <f t="shared" si="558"/>
        <v>1.0500000000000007</v>
      </c>
      <c r="I4017" s="9">
        <f t="shared" si="565"/>
        <v>8.9361702127659634E-2</v>
      </c>
      <c r="J4017" s="1">
        <f t="shared" si="566"/>
        <v>-0.16999999999999993</v>
      </c>
      <c r="K4017" s="9">
        <f t="shared" si="559"/>
        <v>-1.4249790444258167E-2</v>
      </c>
      <c r="L4017" s="1">
        <f t="shared" si="560"/>
        <v>1</v>
      </c>
      <c r="M4017" s="1">
        <f t="shared" si="561"/>
        <v>12.8</v>
      </c>
      <c r="N4017" s="1">
        <f t="shared" si="562"/>
        <v>11.75</v>
      </c>
      <c r="O4017" s="1">
        <f t="shared" si="563"/>
        <v>9.8000000000000007</v>
      </c>
      <c r="P4017" s="1">
        <f t="shared" si="564"/>
        <v>5.0000000000000009</v>
      </c>
    </row>
    <row r="4018" spans="1:16">
      <c r="A4018" s="2">
        <v>37229</v>
      </c>
      <c r="B4018" s="1">
        <v>10.93</v>
      </c>
      <c r="C4018" s="1">
        <v>12.05</v>
      </c>
      <c r="D4018" s="1">
        <v>10.71</v>
      </c>
      <c r="E4018" s="1">
        <v>11.93</v>
      </c>
      <c r="F4018" s="1">
        <v>14499700</v>
      </c>
      <c r="G4018" s="1">
        <v>11.93</v>
      </c>
      <c r="H4018" s="1">
        <f t="shared" si="558"/>
        <v>1.3399999999999999</v>
      </c>
      <c r="I4018" s="9">
        <f t="shared" si="565"/>
        <v>0.12511671335200744</v>
      </c>
      <c r="J4018" s="1">
        <f t="shared" si="566"/>
        <v>1.4399999999999995</v>
      </c>
      <c r="K4018" s="9">
        <f t="shared" si="559"/>
        <v>0.13727359389895133</v>
      </c>
      <c r="L4018" s="1">
        <f t="shared" si="560"/>
        <v>1</v>
      </c>
      <c r="M4018" s="1">
        <f t="shared" si="561"/>
        <v>12.05</v>
      </c>
      <c r="N4018" s="1">
        <f t="shared" si="562"/>
        <v>10.71</v>
      </c>
      <c r="O4018" s="1">
        <f t="shared" si="563"/>
        <v>9.9699999999999989</v>
      </c>
      <c r="P4018" s="1">
        <f t="shared" si="564"/>
        <v>5.0867346938775508</v>
      </c>
    </row>
    <row r="4019" spans="1:16">
      <c r="A4019" s="2">
        <v>37228</v>
      </c>
      <c r="B4019" s="1">
        <v>11.02</v>
      </c>
      <c r="C4019" s="1">
        <v>11.08</v>
      </c>
      <c r="D4019" s="1">
        <v>10.48</v>
      </c>
      <c r="E4019" s="1">
        <v>10.49</v>
      </c>
      <c r="F4019" s="1">
        <v>9525900</v>
      </c>
      <c r="G4019" s="1">
        <v>10.49</v>
      </c>
      <c r="H4019" s="1">
        <f t="shared" si="558"/>
        <v>0.59999999999999964</v>
      </c>
      <c r="I4019" s="9">
        <f t="shared" si="565"/>
        <v>5.7251908396946528E-2</v>
      </c>
      <c r="J4019" s="1">
        <f t="shared" si="566"/>
        <v>-0.83000000000000007</v>
      </c>
      <c r="K4019" s="9">
        <f t="shared" si="559"/>
        <v>-7.3321554770318029E-2</v>
      </c>
      <c r="L4019" s="1">
        <f t="shared" si="560"/>
        <v>1</v>
      </c>
      <c r="M4019" s="1">
        <f t="shared" si="561"/>
        <v>11.08</v>
      </c>
      <c r="N4019" s="1">
        <f t="shared" si="562"/>
        <v>10.48</v>
      </c>
      <c r="O4019" s="1">
        <f t="shared" si="563"/>
        <v>8.5300000000000011</v>
      </c>
      <c r="P4019" s="1">
        <f t="shared" si="564"/>
        <v>4.3520408163265314</v>
      </c>
    </row>
    <row r="4020" spans="1:16">
      <c r="A4020" s="2">
        <v>37225</v>
      </c>
      <c r="B4020" s="1">
        <v>11.3</v>
      </c>
      <c r="C4020" s="1">
        <v>11.55</v>
      </c>
      <c r="D4020" s="1">
        <v>10.8</v>
      </c>
      <c r="E4020" s="1">
        <v>11.32</v>
      </c>
      <c r="F4020" s="1">
        <v>8888800</v>
      </c>
      <c r="G4020" s="1">
        <v>11.32</v>
      </c>
      <c r="H4020" s="1">
        <f t="shared" si="558"/>
        <v>0.75</v>
      </c>
      <c r="I4020" s="9">
        <f t="shared" si="565"/>
        <v>6.9444444444444434E-2</v>
      </c>
      <c r="J4020" s="1">
        <f t="shared" si="566"/>
        <v>0.16999999999999993</v>
      </c>
      <c r="K4020" s="9">
        <f t="shared" si="559"/>
        <v>1.5246636771300441E-2</v>
      </c>
      <c r="L4020" s="1">
        <f t="shared" si="560"/>
        <v>1</v>
      </c>
      <c r="M4020" s="1">
        <f t="shared" si="561"/>
        <v>11.55</v>
      </c>
      <c r="N4020" s="1">
        <f t="shared" si="562"/>
        <v>10.8</v>
      </c>
      <c r="O4020" s="1">
        <f t="shared" si="563"/>
        <v>9.36</v>
      </c>
      <c r="P4020" s="1">
        <f t="shared" si="564"/>
        <v>4.7755102040816322</v>
      </c>
    </row>
    <row r="4021" spans="1:16">
      <c r="A4021" s="2">
        <v>37224</v>
      </c>
      <c r="B4021" s="1">
        <v>11.89</v>
      </c>
      <c r="C4021" s="1">
        <v>11.9</v>
      </c>
      <c r="D4021" s="1">
        <v>10.79</v>
      </c>
      <c r="E4021" s="1">
        <v>11.15</v>
      </c>
      <c r="F4021" s="1">
        <v>20274000</v>
      </c>
      <c r="G4021" s="1">
        <v>11.15</v>
      </c>
      <c r="H4021" s="1">
        <f t="shared" si="558"/>
        <v>1.1100000000000012</v>
      </c>
      <c r="I4021" s="9">
        <f t="shared" si="565"/>
        <v>0.10287303058387408</v>
      </c>
      <c r="J4021" s="1">
        <f t="shared" si="566"/>
        <v>-0.4399999999999995</v>
      </c>
      <c r="K4021" s="9">
        <f t="shared" si="559"/>
        <v>-3.7963761863675539E-2</v>
      </c>
      <c r="L4021" s="1">
        <f t="shared" si="560"/>
        <v>1</v>
      </c>
      <c r="M4021" s="1">
        <f t="shared" si="561"/>
        <v>11.9</v>
      </c>
      <c r="N4021" s="1">
        <f t="shared" si="562"/>
        <v>10.79</v>
      </c>
      <c r="O4021" s="1">
        <f t="shared" si="563"/>
        <v>9.1900000000000013</v>
      </c>
      <c r="P4021" s="1">
        <f t="shared" si="564"/>
        <v>4.6887755102040822</v>
      </c>
    </row>
    <row r="4022" spans="1:16">
      <c r="A4022" s="2">
        <v>37223</v>
      </c>
      <c r="B4022" s="1">
        <v>11.24</v>
      </c>
      <c r="C4022" s="1">
        <v>12.4</v>
      </c>
      <c r="D4022" s="1">
        <v>11.18</v>
      </c>
      <c r="E4022" s="1">
        <v>11.59</v>
      </c>
      <c r="F4022" s="1">
        <v>48516200</v>
      </c>
      <c r="G4022" s="1">
        <v>11.59</v>
      </c>
      <c r="H4022" s="1">
        <f t="shared" si="558"/>
        <v>1.2200000000000006</v>
      </c>
      <c r="I4022" s="9">
        <f t="shared" si="565"/>
        <v>0.10912343470483012</v>
      </c>
      <c r="J4022" s="1">
        <f t="shared" si="566"/>
        <v>0.10999999999999943</v>
      </c>
      <c r="K4022" s="9">
        <f t="shared" si="559"/>
        <v>9.5818815331009961E-3</v>
      </c>
      <c r="L4022" s="1">
        <f t="shared" si="560"/>
        <v>1</v>
      </c>
      <c r="M4022" s="1">
        <f t="shared" si="561"/>
        <v>12.4</v>
      </c>
      <c r="N4022" s="1">
        <f t="shared" si="562"/>
        <v>11.18</v>
      </c>
      <c r="O4022" s="1">
        <f t="shared" si="563"/>
        <v>9.629999999999999</v>
      </c>
      <c r="P4022" s="1">
        <f t="shared" si="564"/>
        <v>4.9132653061224483</v>
      </c>
    </row>
    <row r="4023" spans="1:16">
      <c r="A4023" s="2">
        <v>37222</v>
      </c>
      <c r="B4023" s="1">
        <v>12.05</v>
      </c>
      <c r="C4023" s="1">
        <v>12.25</v>
      </c>
      <c r="D4023" s="1">
        <v>11.22</v>
      </c>
      <c r="E4023" s="1">
        <v>11.48</v>
      </c>
      <c r="F4023" s="1">
        <v>34308800</v>
      </c>
      <c r="G4023" s="1">
        <v>11.48</v>
      </c>
      <c r="H4023" s="1">
        <f t="shared" si="558"/>
        <v>1.0299999999999994</v>
      </c>
      <c r="I4023" s="9">
        <f t="shared" si="565"/>
        <v>9.1800356506238801E-2</v>
      </c>
      <c r="J4023" s="1">
        <f t="shared" si="566"/>
        <v>-0.73000000000000043</v>
      </c>
      <c r="K4023" s="9">
        <f t="shared" si="559"/>
        <v>-5.9787059787059817E-2</v>
      </c>
      <c r="L4023" s="1">
        <f t="shared" si="560"/>
        <v>1</v>
      </c>
      <c r="M4023" s="1">
        <f t="shared" si="561"/>
        <v>12.25</v>
      </c>
      <c r="N4023" s="1">
        <f t="shared" si="562"/>
        <v>11.22</v>
      </c>
      <c r="O4023" s="1">
        <f t="shared" si="563"/>
        <v>9.52</v>
      </c>
      <c r="P4023" s="1">
        <f t="shared" si="564"/>
        <v>4.8571428571428568</v>
      </c>
    </row>
    <row r="4024" spans="1:16">
      <c r="A4024" s="2">
        <v>37221</v>
      </c>
      <c r="B4024" s="1">
        <v>9.83</v>
      </c>
      <c r="C4024" s="1">
        <v>12.22</v>
      </c>
      <c r="D4024" s="1">
        <v>9.8000000000000007</v>
      </c>
      <c r="E4024" s="1">
        <v>12.21</v>
      </c>
      <c r="F4024" s="1">
        <v>50689200</v>
      </c>
      <c r="G4024" s="1">
        <v>12.21</v>
      </c>
      <c r="H4024" s="1">
        <f t="shared" si="558"/>
        <v>2.42</v>
      </c>
      <c r="I4024" s="9">
        <f t="shared" si="565"/>
        <v>0.24693877551020404</v>
      </c>
      <c r="J4024" s="1">
        <f t="shared" si="566"/>
        <v>3.1300000000000008</v>
      </c>
      <c r="K4024" s="9">
        <f t="shared" si="559"/>
        <v>0.34471365638766527</v>
      </c>
      <c r="L4024" s="1">
        <f t="shared" si="560"/>
        <v>1</v>
      </c>
      <c r="M4024" s="1">
        <f t="shared" si="561"/>
        <v>12.22</v>
      </c>
      <c r="N4024" s="1">
        <f t="shared" si="562"/>
        <v>9.8000000000000007</v>
      </c>
      <c r="O4024" s="1">
        <f t="shared" si="563"/>
        <v>10.25</v>
      </c>
      <c r="P4024" s="1">
        <f t="shared" si="564"/>
        <v>5.2295918367346941</v>
      </c>
    </row>
    <row r="4025" spans="1:16">
      <c r="A4025" s="2">
        <v>37218</v>
      </c>
      <c r="B4025" s="1">
        <v>8.9</v>
      </c>
      <c r="C4025" s="1">
        <v>9.14</v>
      </c>
      <c r="D4025" s="1">
        <v>8.56</v>
      </c>
      <c r="E4025" s="1">
        <v>9.08</v>
      </c>
      <c r="F4025" s="1">
        <v>4072800</v>
      </c>
      <c r="G4025" s="1">
        <v>9.08</v>
      </c>
      <c r="H4025" s="1">
        <f t="shared" si="558"/>
        <v>0.58000000000000007</v>
      </c>
      <c r="I4025" s="9">
        <f t="shared" si="565"/>
        <v>6.77570093457944E-2</v>
      </c>
      <c r="J4025" s="1">
        <f t="shared" si="566"/>
        <v>0.27999999999999936</v>
      </c>
      <c r="K4025" s="9">
        <f t="shared" si="559"/>
        <v>3.1818181818181746E-2</v>
      </c>
      <c r="L4025" s="1">
        <f t="shared" si="560"/>
        <v>1</v>
      </c>
      <c r="M4025" s="1">
        <f t="shared" si="561"/>
        <v>9.14</v>
      </c>
      <c r="N4025" s="1">
        <f t="shared" si="562"/>
        <v>8.56</v>
      </c>
      <c r="O4025" s="1">
        <f t="shared" si="563"/>
        <v>7.12</v>
      </c>
      <c r="P4025" s="1">
        <f t="shared" si="564"/>
        <v>3.6326530612244898</v>
      </c>
    </row>
    <row r="4026" spans="1:16">
      <c r="A4026" s="2">
        <v>37216</v>
      </c>
      <c r="B4026" s="1">
        <v>8.74</v>
      </c>
      <c r="C4026" s="1">
        <v>8.9700000000000006</v>
      </c>
      <c r="D4026" s="1">
        <v>8.0399999999999991</v>
      </c>
      <c r="E4026" s="1">
        <v>8.8000000000000007</v>
      </c>
      <c r="F4026" s="1">
        <v>8996600</v>
      </c>
      <c r="G4026" s="1">
        <v>8.8000000000000007</v>
      </c>
      <c r="H4026" s="1">
        <f t="shared" si="558"/>
        <v>0.93000000000000149</v>
      </c>
      <c r="I4026" s="9">
        <f t="shared" si="565"/>
        <v>0.11567164179104497</v>
      </c>
      <c r="J4026" s="1">
        <f t="shared" si="566"/>
        <v>0.20000000000000107</v>
      </c>
      <c r="K4026" s="9">
        <f t="shared" si="559"/>
        <v>2.3255813953488497E-2</v>
      </c>
      <c r="L4026" s="1">
        <f t="shared" si="560"/>
        <v>1</v>
      </c>
      <c r="M4026" s="1">
        <f t="shared" si="561"/>
        <v>8.9700000000000006</v>
      </c>
      <c r="N4026" s="1">
        <f t="shared" si="562"/>
        <v>8.0399999999999991</v>
      </c>
      <c r="O4026" s="1">
        <f t="shared" si="563"/>
        <v>6.8400000000000007</v>
      </c>
      <c r="P4026" s="1">
        <f t="shared" si="564"/>
        <v>3.4897959183673475</v>
      </c>
    </row>
    <row r="4027" spans="1:16">
      <c r="A4027" s="2">
        <v>37215</v>
      </c>
      <c r="B4027" s="1">
        <v>9.07</v>
      </c>
      <c r="C4027" s="1">
        <v>9.3000000000000007</v>
      </c>
      <c r="D4027" s="1">
        <v>8.6</v>
      </c>
      <c r="E4027" s="1">
        <v>8.6</v>
      </c>
      <c r="F4027" s="1">
        <v>7452000</v>
      </c>
      <c r="G4027" s="1">
        <v>8.6</v>
      </c>
      <c r="H4027" s="1">
        <f t="shared" si="558"/>
        <v>0.70000000000000107</v>
      </c>
      <c r="I4027" s="9">
        <f t="shared" si="565"/>
        <v>8.1395348837209433E-2</v>
      </c>
      <c r="J4027" s="1">
        <f t="shared" si="566"/>
        <v>-0.58999999999999986</v>
      </c>
      <c r="K4027" s="9">
        <f t="shared" si="559"/>
        <v>-6.4200217627856354E-2</v>
      </c>
      <c r="L4027" s="1">
        <f t="shared" si="560"/>
        <v>1</v>
      </c>
      <c r="M4027" s="1">
        <f t="shared" si="561"/>
        <v>9.3000000000000007</v>
      </c>
      <c r="N4027" s="1">
        <f t="shared" si="562"/>
        <v>8.6</v>
      </c>
      <c r="O4027" s="1">
        <f t="shared" si="563"/>
        <v>6.64</v>
      </c>
      <c r="P4027" s="1">
        <f t="shared" si="564"/>
        <v>3.3877551020408161</v>
      </c>
    </row>
    <row r="4028" spans="1:16">
      <c r="A4028" s="2">
        <v>37214</v>
      </c>
      <c r="B4028" s="1">
        <v>9.35</v>
      </c>
      <c r="C4028" s="1">
        <v>9.5</v>
      </c>
      <c r="D4028" s="1">
        <v>9</v>
      </c>
      <c r="E4028" s="1">
        <v>9.19</v>
      </c>
      <c r="F4028" s="1">
        <v>10011400</v>
      </c>
      <c r="G4028" s="1">
        <v>9.19</v>
      </c>
      <c r="H4028" s="1">
        <f t="shared" si="558"/>
        <v>0.5</v>
      </c>
      <c r="I4028" s="9">
        <f t="shared" si="565"/>
        <v>5.5555555555555552E-2</v>
      </c>
      <c r="J4028" s="1">
        <f t="shared" si="566"/>
        <v>0.24000000000000021</v>
      </c>
      <c r="K4028" s="9">
        <f t="shared" si="559"/>
        <v>2.6815642458100586E-2</v>
      </c>
      <c r="L4028" s="1">
        <f t="shared" si="560"/>
        <v>1</v>
      </c>
      <c r="M4028" s="1">
        <f t="shared" si="561"/>
        <v>9.5</v>
      </c>
      <c r="N4028" s="1">
        <f t="shared" si="562"/>
        <v>9</v>
      </c>
      <c r="O4028" s="1">
        <f t="shared" si="563"/>
        <v>7.2299999999999995</v>
      </c>
      <c r="P4028" s="1">
        <f t="shared" si="564"/>
        <v>3.6887755102040813</v>
      </c>
    </row>
    <row r="4029" spans="1:16">
      <c r="A4029" s="2">
        <v>37211</v>
      </c>
      <c r="B4029" s="1">
        <v>9.2100000000000009</v>
      </c>
      <c r="C4029" s="1">
        <v>9.35</v>
      </c>
      <c r="D4029" s="1">
        <v>8.75</v>
      </c>
      <c r="E4029" s="1">
        <v>8.9499999999999993</v>
      </c>
      <c r="F4029" s="1">
        <v>13062000</v>
      </c>
      <c r="G4029" s="1">
        <v>8.9499999999999993</v>
      </c>
      <c r="H4029" s="1">
        <f t="shared" si="558"/>
        <v>0.59999999999999964</v>
      </c>
      <c r="I4029" s="9">
        <f t="shared" si="565"/>
        <v>6.8571428571428533E-2</v>
      </c>
      <c r="J4029" s="1">
        <f t="shared" si="566"/>
        <v>-0.10000000000000142</v>
      </c>
      <c r="K4029" s="9">
        <f t="shared" si="559"/>
        <v>-1.1049723756906233E-2</v>
      </c>
      <c r="L4029" s="1">
        <f t="shared" si="560"/>
        <v>1</v>
      </c>
      <c r="M4029" s="1">
        <f t="shared" si="561"/>
        <v>9.35</v>
      </c>
      <c r="N4029" s="1">
        <f t="shared" si="562"/>
        <v>8.75</v>
      </c>
      <c r="O4029" s="1">
        <f t="shared" si="563"/>
        <v>6.9899999999999993</v>
      </c>
      <c r="P4029" s="1">
        <f t="shared" si="564"/>
        <v>3.5663265306122445</v>
      </c>
    </row>
    <row r="4030" spans="1:16">
      <c r="A4030" s="2">
        <v>37210</v>
      </c>
      <c r="B4030" s="1">
        <v>9.2200000000000006</v>
      </c>
      <c r="C4030" s="1">
        <v>9.9</v>
      </c>
      <c r="D4030" s="1">
        <v>8.75</v>
      </c>
      <c r="E4030" s="1">
        <v>9.0500000000000007</v>
      </c>
      <c r="F4030" s="1">
        <v>20948200</v>
      </c>
      <c r="G4030" s="1">
        <v>9.0500000000000007</v>
      </c>
      <c r="H4030" s="1">
        <f t="shared" si="558"/>
        <v>1.1500000000000004</v>
      </c>
      <c r="I4030" s="9">
        <f t="shared" si="565"/>
        <v>0.13142857142857148</v>
      </c>
      <c r="J4030" s="1">
        <f t="shared" si="566"/>
        <v>-0.4399999999999995</v>
      </c>
      <c r="K4030" s="9">
        <f t="shared" si="559"/>
        <v>-4.6364594309799737E-2</v>
      </c>
      <c r="L4030" s="1">
        <f t="shared" si="560"/>
        <v>1</v>
      </c>
      <c r="M4030" s="1">
        <f t="shared" si="561"/>
        <v>9.9</v>
      </c>
      <c r="N4030" s="1">
        <f t="shared" si="562"/>
        <v>8.75</v>
      </c>
      <c r="O4030" s="1">
        <f t="shared" si="563"/>
        <v>7.0900000000000007</v>
      </c>
      <c r="P4030" s="1">
        <f t="shared" si="564"/>
        <v>3.6173469387755106</v>
      </c>
    </row>
    <row r="4031" spans="1:16">
      <c r="A4031" s="2">
        <v>37209</v>
      </c>
      <c r="B4031" s="1">
        <v>7.63</v>
      </c>
      <c r="C4031" s="1">
        <v>9.49</v>
      </c>
      <c r="D4031" s="1">
        <v>7.6</v>
      </c>
      <c r="E4031" s="1">
        <v>9.49</v>
      </c>
      <c r="F4031" s="1">
        <v>29529800</v>
      </c>
      <c r="G4031" s="1">
        <v>9.49</v>
      </c>
      <c r="H4031" s="1">
        <f t="shared" si="558"/>
        <v>1.8900000000000006</v>
      </c>
      <c r="I4031" s="9">
        <f t="shared" si="565"/>
        <v>0.24868421052631587</v>
      </c>
      <c r="J4031" s="1">
        <f t="shared" si="566"/>
        <v>2.2000000000000002</v>
      </c>
      <c r="K4031" s="9">
        <f t="shared" si="559"/>
        <v>0.30178326474622774</v>
      </c>
      <c r="L4031" s="1">
        <f t="shared" si="560"/>
        <v>1</v>
      </c>
      <c r="M4031" s="1">
        <f t="shared" si="561"/>
        <v>9.49</v>
      </c>
      <c r="N4031" s="1">
        <f t="shared" si="562"/>
        <v>7.6</v>
      </c>
      <c r="O4031" s="1">
        <f t="shared" si="563"/>
        <v>7.53</v>
      </c>
      <c r="P4031" s="1">
        <f t="shared" si="564"/>
        <v>3.8418367346938775</v>
      </c>
    </row>
    <row r="4032" spans="1:16">
      <c r="A4032" s="2">
        <v>37208</v>
      </c>
      <c r="B4032" s="1">
        <v>7.44</v>
      </c>
      <c r="C4032" s="1">
        <v>7.53</v>
      </c>
      <c r="D4032" s="1">
        <v>7.2</v>
      </c>
      <c r="E4032" s="1">
        <v>7.29</v>
      </c>
      <c r="F4032" s="1">
        <v>6136300</v>
      </c>
      <c r="G4032" s="1">
        <v>7.29</v>
      </c>
      <c r="H4032" s="1">
        <f t="shared" si="558"/>
        <v>0.33000000000000007</v>
      </c>
      <c r="I4032" s="9">
        <f t="shared" si="565"/>
        <v>4.5833333333333344E-2</v>
      </c>
      <c r="J4032" s="1">
        <f t="shared" si="566"/>
        <v>0.24000000000000021</v>
      </c>
      <c r="K4032" s="9">
        <f t="shared" si="559"/>
        <v>3.404255319148939E-2</v>
      </c>
      <c r="L4032" s="1">
        <f t="shared" si="560"/>
        <v>1</v>
      </c>
      <c r="M4032" s="1">
        <f t="shared" si="561"/>
        <v>7.53</v>
      </c>
      <c r="N4032" s="1">
        <f t="shared" si="562"/>
        <v>7.2</v>
      </c>
      <c r="O4032" s="1">
        <f t="shared" si="563"/>
        <v>5.33</v>
      </c>
      <c r="P4032" s="1">
        <f t="shared" si="564"/>
        <v>2.7193877551020411</v>
      </c>
    </row>
    <row r="4033" spans="1:16">
      <c r="A4033" s="2">
        <v>37207</v>
      </c>
      <c r="B4033" s="1">
        <v>7.16</v>
      </c>
      <c r="C4033" s="1">
        <v>7.24</v>
      </c>
      <c r="D4033" s="1">
        <v>6.8</v>
      </c>
      <c r="E4033" s="1">
        <v>7.05</v>
      </c>
      <c r="F4033" s="1">
        <v>3827300</v>
      </c>
      <c r="G4033" s="1">
        <v>7.05</v>
      </c>
      <c r="H4033" s="1">
        <f t="shared" si="558"/>
        <v>0.44000000000000039</v>
      </c>
      <c r="I4033" s="9">
        <f t="shared" si="565"/>
        <v>6.4705882352941238E-2</v>
      </c>
      <c r="J4033" s="1">
        <f t="shared" si="566"/>
        <v>-7.0000000000000284E-2</v>
      </c>
      <c r="K4033" s="9">
        <f t="shared" si="559"/>
        <v>-9.831460674157343E-3</v>
      </c>
      <c r="L4033" s="1">
        <f t="shared" si="560"/>
        <v>1</v>
      </c>
      <c r="M4033" s="1">
        <f t="shared" si="561"/>
        <v>7.24</v>
      </c>
      <c r="N4033" s="1">
        <f t="shared" si="562"/>
        <v>6.8</v>
      </c>
      <c r="O4033" s="1">
        <f t="shared" si="563"/>
        <v>5.09</v>
      </c>
      <c r="P4033" s="1">
        <f t="shared" si="564"/>
        <v>2.5969387755102042</v>
      </c>
    </row>
    <row r="4034" spans="1:16">
      <c r="A4034" s="2">
        <v>37204</v>
      </c>
      <c r="B4034" s="1">
        <v>7.05</v>
      </c>
      <c r="C4034" s="1">
        <v>7.22</v>
      </c>
      <c r="D4034" s="1">
        <v>6.97</v>
      </c>
      <c r="E4034" s="1">
        <v>7.12</v>
      </c>
      <c r="F4034" s="1">
        <v>4400400</v>
      </c>
      <c r="G4034" s="1">
        <v>7.12</v>
      </c>
      <c r="H4034" s="1">
        <f t="shared" si="558"/>
        <v>0.25</v>
      </c>
      <c r="I4034" s="9">
        <f t="shared" si="565"/>
        <v>3.5868005738880916E-2</v>
      </c>
      <c r="J4034" s="1">
        <f t="shared" si="566"/>
        <v>0.15000000000000036</v>
      </c>
      <c r="K4034" s="9">
        <f t="shared" si="559"/>
        <v>2.1520803443328601E-2</v>
      </c>
      <c r="L4034" s="1">
        <f t="shared" si="560"/>
        <v>1</v>
      </c>
      <c r="M4034" s="1">
        <f t="shared" si="561"/>
        <v>7.22</v>
      </c>
      <c r="N4034" s="1">
        <f t="shared" si="562"/>
        <v>6.97</v>
      </c>
      <c r="O4034" s="1">
        <f t="shared" si="563"/>
        <v>5.16</v>
      </c>
      <c r="P4034" s="1">
        <f t="shared" si="564"/>
        <v>2.6326530612244898</v>
      </c>
    </row>
    <row r="4035" spans="1:16">
      <c r="A4035" s="2">
        <v>37203</v>
      </c>
      <c r="B4035" s="1">
        <v>7.66</v>
      </c>
      <c r="C4035" s="1">
        <v>7.67</v>
      </c>
      <c r="D4035" s="1">
        <v>6.74</v>
      </c>
      <c r="E4035" s="1">
        <v>6.97</v>
      </c>
      <c r="F4035" s="1">
        <v>9489700</v>
      </c>
      <c r="G4035" s="1">
        <v>6.97</v>
      </c>
      <c r="H4035" s="1">
        <f t="shared" ref="H4035:H4098" si="567">C4035-D4035</f>
        <v>0.92999999999999972</v>
      </c>
      <c r="I4035" s="9">
        <f t="shared" si="565"/>
        <v>0.13798219584569729</v>
      </c>
      <c r="J4035" s="1">
        <f t="shared" si="566"/>
        <v>-0.45999999999999996</v>
      </c>
      <c r="K4035" s="9">
        <f t="shared" ref="K4035:K4098" si="568">(G4035-G4036)/G4036</f>
        <v>-6.1911170928667561E-2</v>
      </c>
      <c r="L4035" s="1">
        <f t="shared" ref="L4035:L4098" si="569">G4035/E4035</f>
        <v>1</v>
      </c>
      <c r="M4035" s="1">
        <f t="shared" ref="M4035:M4098" si="570">L4035*C4035</f>
        <v>7.67</v>
      </c>
      <c r="N4035" s="1">
        <f t="shared" ref="N4035:N4098" si="571">L4035*D4035</f>
        <v>6.74</v>
      </c>
      <c r="O4035" s="1">
        <f t="shared" ref="O4035:O4098" si="572">G4035-$G$5163</f>
        <v>5.01</v>
      </c>
      <c r="P4035" s="1">
        <f t="shared" ref="P4035:P4098" si="573">(G4035-$G$5163)/$G$5163</f>
        <v>2.556122448979592</v>
      </c>
    </row>
    <row r="4036" spans="1:16">
      <c r="A4036" s="2">
        <v>37202</v>
      </c>
      <c r="B4036" s="1">
        <v>7.01</v>
      </c>
      <c r="C4036" s="1">
        <v>7.68</v>
      </c>
      <c r="D4036" s="1">
        <v>7</v>
      </c>
      <c r="E4036" s="1">
        <v>7.43</v>
      </c>
      <c r="F4036" s="1">
        <v>9715600</v>
      </c>
      <c r="G4036" s="1">
        <v>7.43</v>
      </c>
      <c r="H4036" s="1">
        <f t="shared" si="567"/>
        <v>0.67999999999999972</v>
      </c>
      <c r="I4036" s="9">
        <f t="shared" ref="I4036:I4099" si="574">(C4036-D4036)/D4036</f>
        <v>9.71428571428571E-2</v>
      </c>
      <c r="J4036" s="1">
        <f t="shared" ref="J4036:J4099" si="575">G4036-G4037</f>
        <v>0.37999999999999989</v>
      </c>
      <c r="K4036" s="9">
        <f t="shared" si="568"/>
        <v>5.3900709219858144E-2</v>
      </c>
      <c r="L4036" s="1">
        <f t="shared" si="569"/>
        <v>1</v>
      </c>
      <c r="M4036" s="1">
        <f t="shared" si="570"/>
        <v>7.68</v>
      </c>
      <c r="N4036" s="1">
        <f t="shared" si="571"/>
        <v>7</v>
      </c>
      <c r="O4036" s="1">
        <f t="shared" si="572"/>
        <v>5.47</v>
      </c>
      <c r="P4036" s="1">
        <f t="shared" si="573"/>
        <v>2.7908163265306123</v>
      </c>
    </row>
    <row r="4037" spans="1:16">
      <c r="A4037" s="2">
        <v>37201</v>
      </c>
      <c r="B4037" s="1">
        <v>7.08</v>
      </c>
      <c r="C4037" s="1">
        <v>7.13</v>
      </c>
      <c r="D4037" s="1">
        <v>6.91</v>
      </c>
      <c r="E4037" s="1">
        <v>7.05</v>
      </c>
      <c r="F4037" s="1">
        <v>5607800</v>
      </c>
      <c r="G4037" s="1">
        <v>7.05</v>
      </c>
      <c r="H4037" s="1">
        <f t="shared" si="567"/>
        <v>0.21999999999999975</v>
      </c>
      <c r="I4037" s="9">
        <f t="shared" si="574"/>
        <v>3.1837916063675795E-2</v>
      </c>
      <c r="J4037" s="1">
        <f t="shared" si="575"/>
        <v>5.9999999999999609E-2</v>
      </c>
      <c r="K4037" s="9">
        <f t="shared" si="568"/>
        <v>8.583690987124408E-3</v>
      </c>
      <c r="L4037" s="1">
        <f t="shared" si="569"/>
        <v>1</v>
      </c>
      <c r="M4037" s="1">
        <f t="shared" si="570"/>
        <v>7.13</v>
      </c>
      <c r="N4037" s="1">
        <f t="shared" si="571"/>
        <v>6.91</v>
      </c>
      <c r="O4037" s="1">
        <f t="shared" si="572"/>
        <v>5.09</v>
      </c>
      <c r="P4037" s="1">
        <f t="shared" si="573"/>
        <v>2.5969387755102042</v>
      </c>
    </row>
    <row r="4038" spans="1:16">
      <c r="A4038" s="2">
        <v>37200</v>
      </c>
      <c r="B4038" s="1">
        <v>7.1</v>
      </c>
      <c r="C4038" s="1">
        <v>7.2</v>
      </c>
      <c r="D4038" s="1">
        <v>6.96</v>
      </c>
      <c r="E4038" s="1">
        <v>6.99</v>
      </c>
      <c r="F4038" s="1">
        <v>6287800</v>
      </c>
      <c r="G4038" s="1">
        <v>6.99</v>
      </c>
      <c r="H4038" s="1">
        <f t="shared" si="567"/>
        <v>0.24000000000000021</v>
      </c>
      <c r="I4038" s="9">
        <f t="shared" si="574"/>
        <v>3.4482758620689689E-2</v>
      </c>
      <c r="J4038" s="1">
        <f t="shared" si="575"/>
        <v>0.28000000000000025</v>
      </c>
      <c r="K4038" s="9">
        <f t="shared" si="568"/>
        <v>4.1728763040238488E-2</v>
      </c>
      <c r="L4038" s="1">
        <f t="shared" si="569"/>
        <v>1</v>
      </c>
      <c r="M4038" s="1">
        <f t="shared" si="570"/>
        <v>7.2</v>
      </c>
      <c r="N4038" s="1">
        <f t="shared" si="571"/>
        <v>6.96</v>
      </c>
      <c r="O4038" s="1">
        <f t="shared" si="572"/>
        <v>5.03</v>
      </c>
      <c r="P4038" s="1">
        <f t="shared" si="573"/>
        <v>2.5663265306122449</v>
      </c>
    </row>
    <row r="4039" spans="1:16">
      <c r="A4039" s="2">
        <v>37197</v>
      </c>
      <c r="B4039" s="1">
        <v>6.95</v>
      </c>
      <c r="C4039" s="1">
        <v>6.95</v>
      </c>
      <c r="D4039" s="1">
        <v>6.67</v>
      </c>
      <c r="E4039" s="1">
        <v>6.71</v>
      </c>
      <c r="F4039" s="1">
        <v>3697100</v>
      </c>
      <c r="G4039" s="1">
        <v>6.71</v>
      </c>
      <c r="H4039" s="1">
        <f t="shared" si="567"/>
        <v>0.28000000000000025</v>
      </c>
      <c r="I4039" s="9">
        <f t="shared" si="574"/>
        <v>4.197901049475266E-2</v>
      </c>
      <c r="J4039" s="1">
        <f t="shared" si="575"/>
        <v>-0.24000000000000021</v>
      </c>
      <c r="K4039" s="9">
        <f t="shared" si="568"/>
        <v>-3.4532374100719451E-2</v>
      </c>
      <c r="L4039" s="1">
        <f t="shared" si="569"/>
        <v>1</v>
      </c>
      <c r="M4039" s="1">
        <f t="shared" si="570"/>
        <v>6.95</v>
      </c>
      <c r="N4039" s="1">
        <f t="shared" si="571"/>
        <v>6.67</v>
      </c>
      <c r="O4039" s="1">
        <f t="shared" si="572"/>
        <v>4.75</v>
      </c>
      <c r="P4039" s="1">
        <f t="shared" si="573"/>
        <v>2.4234693877551021</v>
      </c>
    </row>
    <row r="4040" spans="1:16">
      <c r="A4040" s="2">
        <v>37196</v>
      </c>
      <c r="B4040" s="1">
        <v>7.08</v>
      </c>
      <c r="C4040" s="1">
        <v>7.1</v>
      </c>
      <c r="D4040" s="1">
        <v>6.6</v>
      </c>
      <c r="E4040" s="1">
        <v>6.95</v>
      </c>
      <c r="F4040" s="1">
        <v>5053500</v>
      </c>
      <c r="G4040" s="1">
        <v>6.95</v>
      </c>
      <c r="H4040" s="1">
        <f t="shared" si="567"/>
        <v>0.5</v>
      </c>
      <c r="I4040" s="9">
        <f t="shared" si="574"/>
        <v>7.575757575757576E-2</v>
      </c>
      <c r="J4040" s="1">
        <f t="shared" si="575"/>
        <v>-3.0000000000000249E-2</v>
      </c>
      <c r="K4040" s="9">
        <f t="shared" si="568"/>
        <v>-4.2979942693410099E-3</v>
      </c>
      <c r="L4040" s="1">
        <f t="shared" si="569"/>
        <v>1</v>
      </c>
      <c r="M4040" s="1">
        <f t="shared" si="570"/>
        <v>7.1</v>
      </c>
      <c r="N4040" s="1">
        <f t="shared" si="571"/>
        <v>6.6</v>
      </c>
      <c r="O4040" s="1">
        <f t="shared" si="572"/>
        <v>4.99</v>
      </c>
      <c r="P4040" s="1">
        <f t="shared" si="573"/>
        <v>2.545918367346939</v>
      </c>
    </row>
    <row r="4041" spans="1:16">
      <c r="A4041" s="2">
        <v>37195</v>
      </c>
      <c r="B4041" s="1">
        <v>6.79</v>
      </c>
      <c r="C4041" s="1">
        <v>7.02</v>
      </c>
      <c r="D4041" s="1">
        <v>6.55</v>
      </c>
      <c r="E4041" s="1">
        <v>6.98</v>
      </c>
      <c r="F4041" s="1">
        <v>7741500</v>
      </c>
      <c r="G4041" s="1">
        <v>6.98</v>
      </c>
      <c r="H4041" s="1">
        <f t="shared" si="567"/>
        <v>0.46999999999999975</v>
      </c>
      <c r="I4041" s="9">
        <f t="shared" si="574"/>
        <v>7.1755725190839656E-2</v>
      </c>
      <c r="J4041" s="1">
        <f t="shared" si="575"/>
        <v>0.5600000000000005</v>
      </c>
      <c r="K4041" s="9">
        <f t="shared" si="568"/>
        <v>8.7227414330218148E-2</v>
      </c>
      <c r="L4041" s="1">
        <f t="shared" si="569"/>
        <v>1</v>
      </c>
      <c r="M4041" s="1">
        <f t="shared" si="570"/>
        <v>7.02</v>
      </c>
      <c r="N4041" s="1">
        <f t="shared" si="571"/>
        <v>6.55</v>
      </c>
      <c r="O4041" s="1">
        <f t="shared" si="572"/>
        <v>5.0200000000000005</v>
      </c>
      <c r="P4041" s="1">
        <f t="shared" si="573"/>
        <v>2.5612244897959187</v>
      </c>
    </row>
    <row r="4042" spans="1:16">
      <c r="A4042" s="2">
        <v>37194</v>
      </c>
      <c r="B4042" s="1">
        <v>7.01</v>
      </c>
      <c r="C4042" s="1">
        <v>7.03</v>
      </c>
      <c r="D4042" s="1">
        <v>6.32</v>
      </c>
      <c r="E4042" s="1">
        <v>6.42</v>
      </c>
      <c r="F4042" s="1">
        <v>10055500</v>
      </c>
      <c r="G4042" s="1">
        <v>6.42</v>
      </c>
      <c r="H4042" s="1">
        <f t="shared" si="567"/>
        <v>0.71</v>
      </c>
      <c r="I4042" s="9">
        <f t="shared" si="574"/>
        <v>0.11234177215189872</v>
      </c>
      <c r="J4042" s="1">
        <f t="shared" si="575"/>
        <v>-0.62999999999999989</v>
      </c>
      <c r="K4042" s="9">
        <f t="shared" si="568"/>
        <v>-8.9361702127659565E-2</v>
      </c>
      <c r="L4042" s="1">
        <f t="shared" si="569"/>
        <v>1</v>
      </c>
      <c r="M4042" s="1">
        <f t="shared" si="570"/>
        <v>7.03</v>
      </c>
      <c r="N4042" s="1">
        <f t="shared" si="571"/>
        <v>6.32</v>
      </c>
      <c r="O4042" s="1">
        <f t="shared" si="572"/>
        <v>4.46</v>
      </c>
      <c r="P4042" s="1">
        <f t="shared" si="573"/>
        <v>2.2755102040816326</v>
      </c>
    </row>
    <row r="4043" spans="1:16">
      <c r="A4043" s="2">
        <v>37193</v>
      </c>
      <c r="B4043" s="1">
        <v>7.61</v>
      </c>
      <c r="C4043" s="1">
        <v>7.66</v>
      </c>
      <c r="D4043" s="1">
        <v>7.04</v>
      </c>
      <c r="E4043" s="1">
        <v>7.05</v>
      </c>
      <c r="F4043" s="1">
        <v>5161800</v>
      </c>
      <c r="G4043" s="1">
        <v>7.05</v>
      </c>
      <c r="H4043" s="1">
        <f t="shared" si="567"/>
        <v>0.62000000000000011</v>
      </c>
      <c r="I4043" s="9">
        <f t="shared" si="574"/>
        <v>8.8068181818181837E-2</v>
      </c>
      <c r="J4043" s="1">
        <f t="shared" si="575"/>
        <v>-0.50999999999999979</v>
      </c>
      <c r="K4043" s="9">
        <f t="shared" si="568"/>
        <v>-6.7460317460317429E-2</v>
      </c>
      <c r="L4043" s="1">
        <f t="shared" si="569"/>
        <v>1</v>
      </c>
      <c r="M4043" s="1">
        <f t="shared" si="570"/>
        <v>7.66</v>
      </c>
      <c r="N4043" s="1">
        <f t="shared" si="571"/>
        <v>7.04</v>
      </c>
      <c r="O4043" s="1">
        <f t="shared" si="572"/>
        <v>5.09</v>
      </c>
      <c r="P4043" s="1">
        <f t="shared" si="573"/>
        <v>2.5969387755102042</v>
      </c>
    </row>
    <row r="4044" spans="1:16">
      <c r="A4044" s="2">
        <v>37190</v>
      </c>
      <c r="B4044" s="1">
        <v>7.63</v>
      </c>
      <c r="C4044" s="1">
        <v>8.01</v>
      </c>
      <c r="D4044" s="1">
        <v>7.51</v>
      </c>
      <c r="E4044" s="1">
        <v>7.56</v>
      </c>
      <c r="F4044" s="1">
        <v>6107100</v>
      </c>
      <c r="G4044" s="1">
        <v>7.56</v>
      </c>
      <c r="H4044" s="1">
        <f t="shared" si="567"/>
        <v>0.5</v>
      </c>
      <c r="I4044" s="9">
        <f t="shared" si="574"/>
        <v>6.6577896138482029E-2</v>
      </c>
      <c r="J4044" s="1">
        <f t="shared" si="575"/>
        <v>-0.20999999999999996</v>
      </c>
      <c r="K4044" s="9">
        <f t="shared" si="568"/>
        <v>-2.7027027027027025E-2</v>
      </c>
      <c r="L4044" s="1">
        <f t="shared" si="569"/>
        <v>1</v>
      </c>
      <c r="M4044" s="1">
        <f t="shared" si="570"/>
        <v>8.01</v>
      </c>
      <c r="N4044" s="1">
        <f t="shared" si="571"/>
        <v>7.51</v>
      </c>
      <c r="O4044" s="1">
        <f t="shared" si="572"/>
        <v>5.6</v>
      </c>
      <c r="P4044" s="1">
        <f t="shared" si="573"/>
        <v>2.8571428571428572</v>
      </c>
    </row>
    <row r="4045" spans="1:16">
      <c r="A4045" s="2">
        <v>37189</v>
      </c>
      <c r="B4045" s="1">
        <v>7.39</v>
      </c>
      <c r="C4045" s="1">
        <v>7.78</v>
      </c>
      <c r="D4045" s="1">
        <v>7.15</v>
      </c>
      <c r="E4045" s="1">
        <v>7.77</v>
      </c>
      <c r="F4045" s="1">
        <v>9267800</v>
      </c>
      <c r="G4045" s="1">
        <v>7.77</v>
      </c>
      <c r="H4045" s="1">
        <f t="shared" si="567"/>
        <v>0.62999999999999989</v>
      </c>
      <c r="I4045" s="9">
        <f t="shared" si="574"/>
        <v>8.8111888111888095E-2</v>
      </c>
      <c r="J4045" s="1">
        <f t="shared" si="575"/>
        <v>0.12999999999999989</v>
      </c>
      <c r="K4045" s="9">
        <f t="shared" si="568"/>
        <v>1.7015706806282709E-2</v>
      </c>
      <c r="L4045" s="1">
        <f t="shared" si="569"/>
        <v>1</v>
      </c>
      <c r="M4045" s="1">
        <f t="shared" si="570"/>
        <v>7.78</v>
      </c>
      <c r="N4045" s="1">
        <f t="shared" si="571"/>
        <v>7.15</v>
      </c>
      <c r="O4045" s="1">
        <f t="shared" si="572"/>
        <v>5.81</v>
      </c>
      <c r="P4045" s="1">
        <f t="shared" si="573"/>
        <v>2.964285714285714</v>
      </c>
    </row>
    <row r="4046" spans="1:16">
      <c r="A4046" s="2">
        <v>37188</v>
      </c>
      <c r="B4046" s="1">
        <v>8.0500000000000007</v>
      </c>
      <c r="C4046" s="1">
        <v>8.15</v>
      </c>
      <c r="D4046" s="1">
        <v>7.4</v>
      </c>
      <c r="E4046" s="1">
        <v>7.64</v>
      </c>
      <c r="F4046" s="1">
        <v>26692400</v>
      </c>
      <c r="G4046" s="1">
        <v>7.64</v>
      </c>
      <c r="H4046" s="1">
        <f t="shared" si="567"/>
        <v>0.75</v>
      </c>
      <c r="I4046" s="9">
        <f t="shared" si="574"/>
        <v>0.10135135135135134</v>
      </c>
      <c r="J4046" s="1">
        <f t="shared" si="575"/>
        <v>-1.910000000000001</v>
      </c>
      <c r="K4046" s="9">
        <f t="shared" si="568"/>
        <v>-0.20000000000000009</v>
      </c>
      <c r="L4046" s="1">
        <f t="shared" si="569"/>
        <v>1</v>
      </c>
      <c r="M4046" s="1">
        <f t="shared" si="570"/>
        <v>8.15</v>
      </c>
      <c r="N4046" s="1">
        <f t="shared" si="571"/>
        <v>7.4</v>
      </c>
      <c r="O4046" s="1">
        <f t="shared" si="572"/>
        <v>5.68</v>
      </c>
      <c r="P4046" s="1">
        <f t="shared" si="573"/>
        <v>2.8979591836734695</v>
      </c>
    </row>
    <row r="4047" spans="1:16">
      <c r="A4047" s="2">
        <v>37187</v>
      </c>
      <c r="B4047" s="1">
        <v>9.25</v>
      </c>
      <c r="C4047" s="1">
        <v>9.6</v>
      </c>
      <c r="D4047" s="1">
        <v>8.85</v>
      </c>
      <c r="E4047" s="1">
        <v>9.5500000000000007</v>
      </c>
      <c r="F4047" s="1">
        <v>12226400</v>
      </c>
      <c r="G4047" s="1">
        <v>9.5500000000000007</v>
      </c>
      <c r="H4047" s="1">
        <f t="shared" si="567"/>
        <v>0.75</v>
      </c>
      <c r="I4047" s="9">
        <f t="shared" si="574"/>
        <v>8.4745762711864417E-2</v>
      </c>
      <c r="J4047" s="1">
        <f t="shared" si="575"/>
        <v>0.78000000000000114</v>
      </c>
      <c r="K4047" s="9">
        <f t="shared" si="568"/>
        <v>8.8939566704675163E-2</v>
      </c>
      <c r="L4047" s="1">
        <f t="shared" si="569"/>
        <v>1</v>
      </c>
      <c r="M4047" s="1">
        <f t="shared" si="570"/>
        <v>9.6</v>
      </c>
      <c r="N4047" s="1">
        <f t="shared" si="571"/>
        <v>8.85</v>
      </c>
      <c r="O4047" s="1">
        <f t="shared" si="572"/>
        <v>7.5900000000000007</v>
      </c>
      <c r="P4047" s="1">
        <f t="shared" si="573"/>
        <v>3.8724489795918373</v>
      </c>
    </row>
    <row r="4048" spans="1:16">
      <c r="A4048" s="2">
        <v>37186</v>
      </c>
      <c r="B4048" s="1">
        <v>8.07</v>
      </c>
      <c r="C4048" s="1">
        <v>8.83</v>
      </c>
      <c r="D4048" s="1">
        <v>8.0399999999999991</v>
      </c>
      <c r="E4048" s="1">
        <v>8.77</v>
      </c>
      <c r="F4048" s="1">
        <v>4231000</v>
      </c>
      <c r="G4048" s="1">
        <v>8.77</v>
      </c>
      <c r="H4048" s="1">
        <f t="shared" si="567"/>
        <v>0.79000000000000092</v>
      </c>
      <c r="I4048" s="9">
        <f t="shared" si="574"/>
        <v>9.8258706467661813E-2</v>
      </c>
      <c r="J4048" s="1">
        <f t="shared" si="575"/>
        <v>0.75999999999999979</v>
      </c>
      <c r="K4048" s="9">
        <f t="shared" si="568"/>
        <v>9.4881398252184751E-2</v>
      </c>
      <c r="L4048" s="1">
        <f t="shared" si="569"/>
        <v>1</v>
      </c>
      <c r="M4048" s="1">
        <f t="shared" si="570"/>
        <v>8.83</v>
      </c>
      <c r="N4048" s="1">
        <f t="shared" si="571"/>
        <v>8.0399999999999991</v>
      </c>
      <c r="O4048" s="1">
        <f t="shared" si="572"/>
        <v>6.81</v>
      </c>
      <c r="P4048" s="1">
        <f t="shared" si="573"/>
        <v>3.4744897959183674</v>
      </c>
    </row>
    <row r="4049" spans="1:16">
      <c r="A4049" s="2">
        <v>37183</v>
      </c>
      <c r="B4049" s="1">
        <v>8.49</v>
      </c>
      <c r="C4049" s="1">
        <v>8.52</v>
      </c>
      <c r="D4049" s="1">
        <v>7.5</v>
      </c>
      <c r="E4049" s="1">
        <v>8.01</v>
      </c>
      <c r="F4049" s="1">
        <v>7007300</v>
      </c>
      <c r="G4049" s="1">
        <v>8.01</v>
      </c>
      <c r="H4049" s="1">
        <f t="shared" si="567"/>
        <v>1.0199999999999996</v>
      </c>
      <c r="I4049" s="9">
        <f t="shared" si="574"/>
        <v>0.13599999999999995</v>
      </c>
      <c r="J4049" s="1">
        <f t="shared" si="575"/>
        <v>-0.46000000000000085</v>
      </c>
      <c r="K4049" s="9">
        <f t="shared" si="568"/>
        <v>-5.430932703659986E-2</v>
      </c>
      <c r="L4049" s="1">
        <f t="shared" si="569"/>
        <v>1</v>
      </c>
      <c r="M4049" s="1">
        <f t="shared" si="570"/>
        <v>8.52</v>
      </c>
      <c r="N4049" s="1">
        <f t="shared" si="571"/>
        <v>7.5</v>
      </c>
      <c r="O4049" s="1">
        <f t="shared" si="572"/>
        <v>6.05</v>
      </c>
      <c r="P4049" s="1">
        <f t="shared" si="573"/>
        <v>3.0867346938775508</v>
      </c>
    </row>
    <row r="4050" spans="1:16">
      <c r="A4050" s="2">
        <v>37182</v>
      </c>
      <c r="B4050" s="1">
        <v>8.91</v>
      </c>
      <c r="C4050" s="1">
        <v>9.23</v>
      </c>
      <c r="D4050" s="1">
        <v>8.3800000000000008</v>
      </c>
      <c r="E4050" s="1">
        <v>8.4700000000000006</v>
      </c>
      <c r="F4050" s="1">
        <v>4353300</v>
      </c>
      <c r="G4050" s="1">
        <v>8.4700000000000006</v>
      </c>
      <c r="H4050" s="1">
        <f t="shared" si="567"/>
        <v>0.84999999999999964</v>
      </c>
      <c r="I4050" s="9">
        <f t="shared" si="574"/>
        <v>0.1014319809069212</v>
      </c>
      <c r="J4050" s="1">
        <f t="shared" si="575"/>
        <v>-0.44999999999999929</v>
      </c>
      <c r="K4050" s="9">
        <f t="shared" si="568"/>
        <v>-5.0448430493273466E-2</v>
      </c>
      <c r="L4050" s="1">
        <f t="shared" si="569"/>
        <v>1</v>
      </c>
      <c r="M4050" s="1">
        <f t="shared" si="570"/>
        <v>9.23</v>
      </c>
      <c r="N4050" s="1">
        <f t="shared" si="571"/>
        <v>8.3800000000000008</v>
      </c>
      <c r="O4050" s="1">
        <f t="shared" si="572"/>
        <v>6.5100000000000007</v>
      </c>
      <c r="P4050" s="1">
        <f t="shared" si="573"/>
        <v>3.3214285714285716</v>
      </c>
    </row>
    <row r="4051" spans="1:16">
      <c r="A4051" s="2">
        <v>37181</v>
      </c>
      <c r="B4051" s="1">
        <v>9.98</v>
      </c>
      <c r="C4051" s="1">
        <v>9.99</v>
      </c>
      <c r="D4051" s="1">
        <v>8.85</v>
      </c>
      <c r="E4051" s="1">
        <v>8.92</v>
      </c>
      <c r="F4051" s="1">
        <v>8944500</v>
      </c>
      <c r="G4051" s="1">
        <v>8.92</v>
      </c>
      <c r="H4051" s="1">
        <f t="shared" si="567"/>
        <v>1.1400000000000006</v>
      </c>
      <c r="I4051" s="9">
        <f t="shared" si="574"/>
        <v>0.12881355932203398</v>
      </c>
      <c r="J4051" s="1">
        <f t="shared" si="575"/>
        <v>-0.64000000000000057</v>
      </c>
      <c r="K4051" s="9">
        <f t="shared" si="568"/>
        <v>-6.6945606694560719E-2</v>
      </c>
      <c r="L4051" s="1">
        <f t="shared" si="569"/>
        <v>1</v>
      </c>
      <c r="M4051" s="1">
        <f t="shared" si="570"/>
        <v>9.99</v>
      </c>
      <c r="N4051" s="1">
        <f t="shared" si="571"/>
        <v>8.85</v>
      </c>
      <c r="O4051" s="1">
        <f t="shared" si="572"/>
        <v>6.96</v>
      </c>
      <c r="P4051" s="1">
        <f t="shared" si="573"/>
        <v>3.5510204081632653</v>
      </c>
    </row>
    <row r="4052" spans="1:16">
      <c r="A4052" s="2">
        <v>37180</v>
      </c>
      <c r="B4052" s="1">
        <v>9.23</v>
      </c>
      <c r="C4052" s="1">
        <v>9.75</v>
      </c>
      <c r="D4052" s="1">
        <v>9.11</v>
      </c>
      <c r="E4052" s="1">
        <v>9.56</v>
      </c>
      <c r="F4052" s="1">
        <v>8299600</v>
      </c>
      <c r="G4052" s="1">
        <v>9.56</v>
      </c>
      <c r="H4052" s="1">
        <f t="shared" si="567"/>
        <v>0.64000000000000057</v>
      </c>
      <c r="I4052" s="9">
        <f t="shared" si="574"/>
        <v>7.0252469813391949E-2</v>
      </c>
      <c r="J4052" s="1">
        <f t="shared" si="575"/>
        <v>0.67999999999999972</v>
      </c>
      <c r="K4052" s="9">
        <f t="shared" si="568"/>
        <v>7.6576576576576544E-2</v>
      </c>
      <c r="L4052" s="1">
        <f t="shared" si="569"/>
        <v>1</v>
      </c>
      <c r="M4052" s="1">
        <f t="shared" si="570"/>
        <v>9.75</v>
      </c>
      <c r="N4052" s="1">
        <f t="shared" si="571"/>
        <v>9.11</v>
      </c>
      <c r="O4052" s="1">
        <f t="shared" si="572"/>
        <v>7.6000000000000005</v>
      </c>
      <c r="P4052" s="1">
        <f t="shared" si="573"/>
        <v>3.8775510204081636</v>
      </c>
    </row>
    <row r="4053" spans="1:16">
      <c r="A4053" s="2">
        <v>37179</v>
      </c>
      <c r="B4053" s="1">
        <v>8.24</v>
      </c>
      <c r="C4053" s="1">
        <v>9.1999999999999993</v>
      </c>
      <c r="D4053" s="1">
        <v>8.23</v>
      </c>
      <c r="E4053" s="1">
        <v>8.8800000000000008</v>
      </c>
      <c r="F4053" s="1">
        <v>8601800</v>
      </c>
      <c r="G4053" s="1">
        <v>8.8800000000000008</v>
      </c>
      <c r="H4053" s="1">
        <f t="shared" si="567"/>
        <v>0.96999999999999886</v>
      </c>
      <c r="I4053" s="9">
        <f t="shared" si="574"/>
        <v>0.11786148238153084</v>
      </c>
      <c r="J4053" s="1">
        <f t="shared" si="575"/>
        <v>0.8100000000000005</v>
      </c>
      <c r="K4053" s="9">
        <f t="shared" si="568"/>
        <v>0.10037174721189597</v>
      </c>
      <c r="L4053" s="1">
        <f t="shared" si="569"/>
        <v>1</v>
      </c>
      <c r="M4053" s="1">
        <f t="shared" si="570"/>
        <v>9.1999999999999993</v>
      </c>
      <c r="N4053" s="1">
        <f t="shared" si="571"/>
        <v>8.23</v>
      </c>
      <c r="O4053" s="1">
        <f t="shared" si="572"/>
        <v>6.9200000000000008</v>
      </c>
      <c r="P4053" s="1">
        <f t="shared" si="573"/>
        <v>3.5306122448979598</v>
      </c>
    </row>
    <row r="4054" spans="1:16">
      <c r="A4054" s="2">
        <v>37176</v>
      </c>
      <c r="B4054" s="1">
        <v>7.76</v>
      </c>
      <c r="C4054" s="1">
        <v>8.15</v>
      </c>
      <c r="D4054" s="1">
        <v>7.47</v>
      </c>
      <c r="E4054" s="1">
        <v>8.07</v>
      </c>
      <c r="F4054" s="1">
        <v>3629600</v>
      </c>
      <c r="G4054" s="1">
        <v>8.07</v>
      </c>
      <c r="H4054" s="1">
        <f t="shared" si="567"/>
        <v>0.6800000000000006</v>
      </c>
      <c r="I4054" s="9">
        <f t="shared" si="574"/>
        <v>9.1030789825970626E-2</v>
      </c>
      <c r="J4054" s="1">
        <f t="shared" si="575"/>
        <v>0.22000000000000064</v>
      </c>
      <c r="K4054" s="9">
        <f t="shared" si="568"/>
        <v>2.8025477707006453E-2</v>
      </c>
      <c r="L4054" s="1">
        <f t="shared" si="569"/>
        <v>1</v>
      </c>
      <c r="M4054" s="1">
        <f t="shared" si="570"/>
        <v>8.15</v>
      </c>
      <c r="N4054" s="1">
        <f t="shared" si="571"/>
        <v>7.47</v>
      </c>
      <c r="O4054" s="1">
        <f t="shared" si="572"/>
        <v>6.11</v>
      </c>
      <c r="P4054" s="1">
        <f t="shared" si="573"/>
        <v>3.1173469387755106</v>
      </c>
    </row>
    <row r="4055" spans="1:16">
      <c r="A4055" s="2">
        <v>37175</v>
      </c>
      <c r="B4055" s="1">
        <v>7.54</v>
      </c>
      <c r="C4055" s="1">
        <v>8.16</v>
      </c>
      <c r="D4055" s="1">
        <v>7.5</v>
      </c>
      <c r="E4055" s="1">
        <v>7.85</v>
      </c>
      <c r="F4055" s="1">
        <v>6665300</v>
      </c>
      <c r="G4055" s="1">
        <v>7.85</v>
      </c>
      <c r="H4055" s="1">
        <f t="shared" si="567"/>
        <v>0.66000000000000014</v>
      </c>
      <c r="I4055" s="9">
        <f t="shared" si="574"/>
        <v>8.8000000000000023E-2</v>
      </c>
      <c r="J4055" s="1">
        <f t="shared" si="575"/>
        <v>0.58999999999999986</v>
      </c>
      <c r="K4055" s="9">
        <f t="shared" si="568"/>
        <v>8.1267217630853983E-2</v>
      </c>
      <c r="L4055" s="1">
        <f t="shared" si="569"/>
        <v>1</v>
      </c>
      <c r="M4055" s="1">
        <f t="shared" si="570"/>
        <v>8.16</v>
      </c>
      <c r="N4055" s="1">
        <f t="shared" si="571"/>
        <v>7.5</v>
      </c>
      <c r="O4055" s="1">
        <f t="shared" si="572"/>
        <v>5.89</v>
      </c>
      <c r="P4055" s="1">
        <f t="shared" si="573"/>
        <v>3.0051020408163263</v>
      </c>
    </row>
    <row r="4056" spans="1:16">
      <c r="A4056" s="2">
        <v>37174</v>
      </c>
      <c r="B4056" s="1">
        <v>6.9</v>
      </c>
      <c r="C4056" s="1">
        <v>7.31</v>
      </c>
      <c r="D4056" s="1">
        <v>6.8</v>
      </c>
      <c r="E4056" s="1">
        <v>7.26</v>
      </c>
      <c r="F4056" s="1">
        <v>3083000</v>
      </c>
      <c r="G4056" s="1">
        <v>7.26</v>
      </c>
      <c r="H4056" s="1">
        <f t="shared" si="567"/>
        <v>0.50999999999999979</v>
      </c>
      <c r="I4056" s="9">
        <f t="shared" si="574"/>
        <v>7.4999999999999969E-2</v>
      </c>
      <c r="J4056" s="1">
        <f t="shared" si="575"/>
        <v>0.34999999999999964</v>
      </c>
      <c r="K4056" s="9">
        <f t="shared" si="568"/>
        <v>5.0651230101302409E-2</v>
      </c>
      <c r="L4056" s="1">
        <f t="shared" si="569"/>
        <v>1</v>
      </c>
      <c r="M4056" s="1">
        <f t="shared" si="570"/>
        <v>7.31</v>
      </c>
      <c r="N4056" s="1">
        <f t="shared" si="571"/>
        <v>6.8</v>
      </c>
      <c r="O4056" s="1">
        <f t="shared" si="572"/>
        <v>5.3</v>
      </c>
      <c r="P4056" s="1">
        <f t="shared" si="573"/>
        <v>2.704081632653061</v>
      </c>
    </row>
    <row r="4057" spans="1:16">
      <c r="A4057" s="2">
        <v>37173</v>
      </c>
      <c r="B4057" s="1">
        <v>7.11</v>
      </c>
      <c r="C4057" s="1">
        <v>7.12</v>
      </c>
      <c r="D4057" s="1">
        <v>6.67</v>
      </c>
      <c r="E4057" s="1">
        <v>6.91</v>
      </c>
      <c r="F4057" s="1">
        <v>2766800</v>
      </c>
      <c r="G4057" s="1">
        <v>6.91</v>
      </c>
      <c r="H4057" s="1">
        <f t="shared" si="567"/>
        <v>0.45000000000000018</v>
      </c>
      <c r="I4057" s="9">
        <f t="shared" si="574"/>
        <v>6.7466266866566746E-2</v>
      </c>
      <c r="J4057" s="1">
        <f t="shared" si="575"/>
        <v>-0.20999999999999996</v>
      </c>
      <c r="K4057" s="9">
        <f t="shared" si="568"/>
        <v>-2.9494382022471906E-2</v>
      </c>
      <c r="L4057" s="1">
        <f t="shared" si="569"/>
        <v>1</v>
      </c>
      <c r="M4057" s="1">
        <f t="shared" si="570"/>
        <v>7.12</v>
      </c>
      <c r="N4057" s="1">
        <f t="shared" si="571"/>
        <v>6.67</v>
      </c>
      <c r="O4057" s="1">
        <f t="shared" si="572"/>
        <v>4.95</v>
      </c>
      <c r="P4057" s="1">
        <f t="shared" si="573"/>
        <v>2.5255102040816326</v>
      </c>
    </row>
    <row r="4058" spans="1:16">
      <c r="A4058" s="2">
        <v>37172</v>
      </c>
      <c r="B4058" s="1">
        <v>7.07</v>
      </c>
      <c r="C4058" s="1">
        <v>7.3</v>
      </c>
      <c r="D4058" s="1">
        <v>6.91</v>
      </c>
      <c r="E4058" s="1">
        <v>7.12</v>
      </c>
      <c r="F4058" s="1">
        <v>3934400</v>
      </c>
      <c r="G4058" s="1">
        <v>7.12</v>
      </c>
      <c r="H4058" s="1">
        <f t="shared" si="567"/>
        <v>0.38999999999999968</v>
      </c>
      <c r="I4058" s="9">
        <f t="shared" si="574"/>
        <v>5.6439942112879837E-2</v>
      </c>
      <c r="J4058" s="1">
        <f t="shared" si="575"/>
        <v>-8.0000000000000071E-2</v>
      </c>
      <c r="K4058" s="9">
        <f t="shared" si="568"/>
        <v>-1.111111111111112E-2</v>
      </c>
      <c r="L4058" s="1">
        <f t="shared" si="569"/>
        <v>1</v>
      </c>
      <c r="M4058" s="1">
        <f t="shared" si="570"/>
        <v>7.3</v>
      </c>
      <c r="N4058" s="1">
        <f t="shared" si="571"/>
        <v>6.91</v>
      </c>
      <c r="O4058" s="1">
        <f t="shared" si="572"/>
        <v>5.16</v>
      </c>
      <c r="P4058" s="1">
        <f t="shared" si="573"/>
        <v>2.6326530612244898</v>
      </c>
    </row>
    <row r="4059" spans="1:16">
      <c r="A4059" s="2">
        <v>37169</v>
      </c>
      <c r="B4059" s="1">
        <v>6.97</v>
      </c>
      <c r="C4059" s="1">
        <v>7.9</v>
      </c>
      <c r="D4059" s="1">
        <v>6.74</v>
      </c>
      <c r="E4059" s="1">
        <v>7.2</v>
      </c>
      <c r="F4059" s="1">
        <v>5900900</v>
      </c>
      <c r="G4059" s="1">
        <v>7.2</v>
      </c>
      <c r="H4059" s="1">
        <f t="shared" si="567"/>
        <v>1.1600000000000001</v>
      </c>
      <c r="I4059" s="9">
        <f t="shared" si="574"/>
        <v>0.17210682492581603</v>
      </c>
      <c r="J4059" s="1">
        <f t="shared" si="575"/>
        <v>0.16000000000000014</v>
      </c>
      <c r="K4059" s="9">
        <f t="shared" si="568"/>
        <v>2.2727272727272749E-2</v>
      </c>
      <c r="L4059" s="1">
        <f t="shared" si="569"/>
        <v>1</v>
      </c>
      <c r="M4059" s="1">
        <f t="shared" si="570"/>
        <v>7.9</v>
      </c>
      <c r="N4059" s="1">
        <f t="shared" si="571"/>
        <v>6.74</v>
      </c>
      <c r="O4059" s="1">
        <f t="shared" si="572"/>
        <v>5.24</v>
      </c>
      <c r="P4059" s="1">
        <f t="shared" si="573"/>
        <v>2.6734693877551021</v>
      </c>
    </row>
    <row r="4060" spans="1:16">
      <c r="A4060" s="2">
        <v>37168</v>
      </c>
      <c r="B4060" s="1">
        <v>7.09</v>
      </c>
      <c r="C4060" s="1">
        <v>7.87</v>
      </c>
      <c r="D4060" s="1">
        <v>6.68</v>
      </c>
      <c r="E4060" s="1">
        <v>7.04</v>
      </c>
      <c r="F4060" s="1">
        <v>6217200</v>
      </c>
      <c r="G4060" s="1">
        <v>7.04</v>
      </c>
      <c r="H4060" s="1">
        <f t="shared" si="567"/>
        <v>1.1900000000000004</v>
      </c>
      <c r="I4060" s="9">
        <f t="shared" si="574"/>
        <v>0.17814371257485037</v>
      </c>
      <c r="J4060" s="1">
        <f t="shared" si="575"/>
        <v>0.28000000000000025</v>
      </c>
      <c r="K4060" s="9">
        <f t="shared" si="568"/>
        <v>4.1420118343195304E-2</v>
      </c>
      <c r="L4060" s="1">
        <f t="shared" si="569"/>
        <v>1</v>
      </c>
      <c r="M4060" s="1">
        <f t="shared" si="570"/>
        <v>7.87</v>
      </c>
      <c r="N4060" s="1">
        <f t="shared" si="571"/>
        <v>6.68</v>
      </c>
      <c r="O4060" s="1">
        <f t="shared" si="572"/>
        <v>5.08</v>
      </c>
      <c r="P4060" s="1">
        <f t="shared" si="573"/>
        <v>2.5918367346938775</v>
      </c>
    </row>
    <row r="4061" spans="1:16">
      <c r="A4061" s="2">
        <v>37167</v>
      </c>
      <c r="B4061" s="1">
        <v>6.17</v>
      </c>
      <c r="C4061" s="1">
        <v>7.21</v>
      </c>
      <c r="D4061" s="1">
        <v>6.02</v>
      </c>
      <c r="E4061" s="1">
        <v>6.76</v>
      </c>
      <c r="F4061" s="1">
        <v>5323500</v>
      </c>
      <c r="G4061" s="1">
        <v>6.76</v>
      </c>
      <c r="H4061" s="1">
        <f t="shared" si="567"/>
        <v>1.1900000000000004</v>
      </c>
      <c r="I4061" s="9">
        <f t="shared" si="574"/>
        <v>0.19767441860465124</v>
      </c>
      <c r="J4061" s="1">
        <f t="shared" si="575"/>
        <v>0.67999999999999972</v>
      </c>
      <c r="K4061" s="9">
        <f t="shared" si="568"/>
        <v>0.11184210526315784</v>
      </c>
      <c r="L4061" s="1">
        <f t="shared" si="569"/>
        <v>1</v>
      </c>
      <c r="M4061" s="1">
        <f t="shared" si="570"/>
        <v>7.21</v>
      </c>
      <c r="N4061" s="1">
        <f t="shared" si="571"/>
        <v>6.02</v>
      </c>
      <c r="O4061" s="1">
        <f t="shared" si="572"/>
        <v>4.8</v>
      </c>
      <c r="P4061" s="1">
        <f t="shared" si="573"/>
        <v>2.4489795918367347</v>
      </c>
    </row>
    <row r="4062" spans="1:16">
      <c r="A4062" s="2">
        <v>37166</v>
      </c>
      <c r="B4062" s="1">
        <v>6.17</v>
      </c>
      <c r="C4062" s="1">
        <v>6.17</v>
      </c>
      <c r="D4062" s="1">
        <v>5.95</v>
      </c>
      <c r="E4062" s="1">
        <v>6.08</v>
      </c>
      <c r="F4062" s="1">
        <v>5677700</v>
      </c>
      <c r="G4062" s="1">
        <v>6.08</v>
      </c>
      <c r="H4062" s="1">
        <f t="shared" si="567"/>
        <v>0.21999999999999975</v>
      </c>
      <c r="I4062" s="9">
        <f t="shared" si="574"/>
        <v>3.6974789915966345E-2</v>
      </c>
      <c r="J4062" s="1">
        <f t="shared" si="575"/>
        <v>7.0000000000000284E-2</v>
      </c>
      <c r="K4062" s="9">
        <f t="shared" si="568"/>
        <v>1.1647254575707202E-2</v>
      </c>
      <c r="L4062" s="1">
        <f t="shared" si="569"/>
        <v>1</v>
      </c>
      <c r="M4062" s="1">
        <f t="shared" si="570"/>
        <v>6.17</v>
      </c>
      <c r="N4062" s="1">
        <f t="shared" si="571"/>
        <v>5.95</v>
      </c>
      <c r="O4062" s="1">
        <f t="shared" si="572"/>
        <v>4.12</v>
      </c>
      <c r="P4062" s="1">
        <f t="shared" si="573"/>
        <v>2.1020408163265305</v>
      </c>
    </row>
    <row r="4063" spans="1:16">
      <c r="A4063" s="2">
        <v>37165</v>
      </c>
      <c r="B4063" s="1">
        <v>5.91</v>
      </c>
      <c r="C4063" s="1">
        <v>6.1</v>
      </c>
      <c r="D4063" s="1">
        <v>5.51</v>
      </c>
      <c r="E4063" s="1">
        <v>6.01</v>
      </c>
      <c r="F4063" s="1">
        <v>7994400</v>
      </c>
      <c r="G4063" s="1">
        <v>6.01</v>
      </c>
      <c r="H4063" s="1">
        <f t="shared" si="567"/>
        <v>0.58999999999999986</v>
      </c>
      <c r="I4063" s="9">
        <f t="shared" si="574"/>
        <v>0.10707803992740469</v>
      </c>
      <c r="J4063" s="1">
        <f t="shared" si="575"/>
        <v>4.0000000000000036E-2</v>
      </c>
      <c r="K4063" s="9">
        <f t="shared" si="568"/>
        <v>6.7001675041876109E-3</v>
      </c>
      <c r="L4063" s="1">
        <f t="shared" si="569"/>
        <v>1</v>
      </c>
      <c r="M4063" s="1">
        <f t="shared" si="570"/>
        <v>6.1</v>
      </c>
      <c r="N4063" s="1">
        <f t="shared" si="571"/>
        <v>5.51</v>
      </c>
      <c r="O4063" s="1">
        <f t="shared" si="572"/>
        <v>4.05</v>
      </c>
      <c r="P4063" s="1">
        <f t="shared" si="573"/>
        <v>2.0663265306122449</v>
      </c>
    </row>
    <row r="4064" spans="1:16">
      <c r="A4064" s="2">
        <v>37162</v>
      </c>
      <c r="B4064" s="1">
        <v>6.25</v>
      </c>
      <c r="C4064" s="1">
        <v>6.47</v>
      </c>
      <c r="D4064" s="1">
        <v>5.83</v>
      </c>
      <c r="E4064" s="1">
        <v>5.97</v>
      </c>
      <c r="F4064" s="1">
        <v>6967200</v>
      </c>
      <c r="G4064" s="1">
        <v>5.97</v>
      </c>
      <c r="H4064" s="1">
        <f t="shared" si="567"/>
        <v>0.63999999999999968</v>
      </c>
      <c r="I4064" s="9">
        <f t="shared" si="574"/>
        <v>0.10977701543739274</v>
      </c>
      <c r="J4064" s="1">
        <f t="shared" si="575"/>
        <v>-0.23000000000000043</v>
      </c>
      <c r="K4064" s="9">
        <f t="shared" si="568"/>
        <v>-3.7096774193548454E-2</v>
      </c>
      <c r="L4064" s="1">
        <f t="shared" si="569"/>
        <v>1</v>
      </c>
      <c r="M4064" s="1">
        <f t="shared" si="570"/>
        <v>6.47</v>
      </c>
      <c r="N4064" s="1">
        <f t="shared" si="571"/>
        <v>5.83</v>
      </c>
      <c r="O4064" s="1">
        <f t="shared" si="572"/>
        <v>4.01</v>
      </c>
      <c r="P4064" s="1">
        <f t="shared" si="573"/>
        <v>2.0459183673469385</v>
      </c>
    </row>
    <row r="4065" spans="1:16">
      <c r="A4065" s="2">
        <v>37161</v>
      </c>
      <c r="B4065" s="1">
        <v>6.47</v>
      </c>
      <c r="C4065" s="1">
        <v>6.64</v>
      </c>
      <c r="D4065" s="1">
        <v>5.67</v>
      </c>
      <c r="E4065" s="1">
        <v>6.2</v>
      </c>
      <c r="F4065" s="1">
        <v>8275000</v>
      </c>
      <c r="G4065" s="1">
        <v>6.2</v>
      </c>
      <c r="H4065" s="1">
        <f t="shared" si="567"/>
        <v>0.96999999999999975</v>
      </c>
      <c r="I4065" s="9">
        <f t="shared" si="574"/>
        <v>0.17107583774250437</v>
      </c>
      <c r="J4065" s="1">
        <f t="shared" si="575"/>
        <v>-0.14999999999999947</v>
      </c>
      <c r="K4065" s="9">
        <f t="shared" si="568"/>
        <v>-2.3622047244094405E-2</v>
      </c>
      <c r="L4065" s="1">
        <f t="shared" si="569"/>
        <v>1</v>
      </c>
      <c r="M4065" s="1">
        <f t="shared" si="570"/>
        <v>6.64</v>
      </c>
      <c r="N4065" s="1">
        <f t="shared" si="571"/>
        <v>5.67</v>
      </c>
      <c r="O4065" s="1">
        <f t="shared" si="572"/>
        <v>4.24</v>
      </c>
      <c r="P4065" s="1">
        <f t="shared" si="573"/>
        <v>2.1632653061224492</v>
      </c>
    </row>
    <row r="4066" spans="1:16">
      <c r="A4066" s="2">
        <v>37160</v>
      </c>
      <c r="B4066" s="1">
        <v>7.2</v>
      </c>
      <c r="C4066" s="1">
        <v>7.23</v>
      </c>
      <c r="D4066" s="1">
        <v>6</v>
      </c>
      <c r="E4066" s="1">
        <v>6.35</v>
      </c>
      <c r="F4066" s="1">
        <v>7839100</v>
      </c>
      <c r="G4066" s="1">
        <v>6.35</v>
      </c>
      <c r="H4066" s="1">
        <f t="shared" si="567"/>
        <v>1.2300000000000004</v>
      </c>
      <c r="I4066" s="9">
        <f t="shared" si="574"/>
        <v>0.20500000000000007</v>
      </c>
      <c r="J4066" s="1">
        <f t="shared" si="575"/>
        <v>-0.74000000000000021</v>
      </c>
      <c r="K4066" s="9">
        <f t="shared" si="568"/>
        <v>-0.10437235543018339</v>
      </c>
      <c r="L4066" s="1">
        <f t="shared" si="569"/>
        <v>1</v>
      </c>
      <c r="M4066" s="1">
        <f t="shared" si="570"/>
        <v>7.23</v>
      </c>
      <c r="N4066" s="1">
        <f t="shared" si="571"/>
        <v>6</v>
      </c>
      <c r="O4066" s="1">
        <f t="shared" si="572"/>
        <v>4.3899999999999997</v>
      </c>
      <c r="P4066" s="1">
        <f t="shared" si="573"/>
        <v>2.2397959183673466</v>
      </c>
    </row>
    <row r="4067" spans="1:16">
      <c r="A4067" s="2">
        <v>37159</v>
      </c>
      <c r="B4067" s="1">
        <v>7.49</v>
      </c>
      <c r="C4067" s="1">
        <v>7.57</v>
      </c>
      <c r="D4067" s="1">
        <v>7.02</v>
      </c>
      <c r="E4067" s="1">
        <v>7.09</v>
      </c>
      <c r="F4067" s="1">
        <v>4863100</v>
      </c>
      <c r="G4067" s="1">
        <v>7.09</v>
      </c>
      <c r="H4067" s="1">
        <f t="shared" si="567"/>
        <v>0.55000000000000071</v>
      </c>
      <c r="I4067" s="9">
        <f t="shared" si="574"/>
        <v>7.8347578347578453E-2</v>
      </c>
      <c r="J4067" s="1">
        <f t="shared" si="575"/>
        <v>-0.37000000000000011</v>
      </c>
      <c r="K4067" s="9">
        <f t="shared" si="568"/>
        <v>-4.959785522788205E-2</v>
      </c>
      <c r="L4067" s="1">
        <f t="shared" si="569"/>
        <v>1</v>
      </c>
      <c r="M4067" s="1">
        <f t="shared" si="570"/>
        <v>7.57</v>
      </c>
      <c r="N4067" s="1">
        <f t="shared" si="571"/>
        <v>7.02</v>
      </c>
      <c r="O4067" s="1">
        <f t="shared" si="572"/>
        <v>5.13</v>
      </c>
      <c r="P4067" s="1">
        <f t="shared" si="573"/>
        <v>2.6173469387755102</v>
      </c>
    </row>
    <row r="4068" spans="1:16">
      <c r="A4068" s="2">
        <v>37158</v>
      </c>
      <c r="B4068" s="1">
        <v>7.7</v>
      </c>
      <c r="C4068" s="1">
        <v>7.83</v>
      </c>
      <c r="D4068" s="1">
        <v>7.34</v>
      </c>
      <c r="E4068" s="1">
        <v>7.46</v>
      </c>
      <c r="F4068" s="1">
        <v>5102700</v>
      </c>
      <c r="G4068" s="1">
        <v>7.46</v>
      </c>
      <c r="H4068" s="1">
        <f t="shared" si="567"/>
        <v>0.49000000000000021</v>
      </c>
      <c r="I4068" s="9">
        <f t="shared" si="574"/>
        <v>6.6757493188010927E-2</v>
      </c>
      <c r="J4068" s="1">
        <f t="shared" si="575"/>
        <v>-2.0000000000000462E-2</v>
      </c>
      <c r="K4068" s="9">
        <f t="shared" si="568"/>
        <v>-2.6737967914439117E-3</v>
      </c>
      <c r="L4068" s="1">
        <f t="shared" si="569"/>
        <v>1</v>
      </c>
      <c r="M4068" s="1">
        <f t="shared" si="570"/>
        <v>7.83</v>
      </c>
      <c r="N4068" s="1">
        <f t="shared" si="571"/>
        <v>7.34</v>
      </c>
      <c r="O4068" s="1">
        <f t="shared" si="572"/>
        <v>5.5</v>
      </c>
      <c r="P4068" s="1">
        <f t="shared" si="573"/>
        <v>2.806122448979592</v>
      </c>
    </row>
    <row r="4069" spans="1:16">
      <c r="A4069" s="2">
        <v>37155</v>
      </c>
      <c r="B4069" s="1">
        <v>6.95</v>
      </c>
      <c r="C4069" s="1">
        <v>7.72</v>
      </c>
      <c r="D4069" s="1">
        <v>6.69</v>
      </c>
      <c r="E4069" s="1">
        <v>7.48</v>
      </c>
      <c r="F4069" s="1">
        <v>12866100</v>
      </c>
      <c r="G4069" s="1">
        <v>7.48</v>
      </c>
      <c r="H4069" s="1">
        <f t="shared" si="567"/>
        <v>1.0299999999999994</v>
      </c>
      <c r="I4069" s="9">
        <f t="shared" si="574"/>
        <v>0.1539611360239162</v>
      </c>
      <c r="J4069" s="1">
        <f t="shared" si="575"/>
        <v>0</v>
      </c>
      <c r="K4069" s="9">
        <f t="shared" si="568"/>
        <v>0</v>
      </c>
      <c r="L4069" s="1">
        <f t="shared" si="569"/>
        <v>1</v>
      </c>
      <c r="M4069" s="1">
        <f t="shared" si="570"/>
        <v>7.72</v>
      </c>
      <c r="N4069" s="1">
        <f t="shared" si="571"/>
        <v>6.69</v>
      </c>
      <c r="O4069" s="1">
        <f t="shared" si="572"/>
        <v>5.5200000000000005</v>
      </c>
      <c r="P4069" s="1">
        <f t="shared" si="573"/>
        <v>2.8163265306122454</v>
      </c>
    </row>
    <row r="4070" spans="1:16">
      <c r="A4070" s="2">
        <v>37154</v>
      </c>
      <c r="B4070" s="1">
        <v>7.11</v>
      </c>
      <c r="C4070" s="1">
        <v>7.64</v>
      </c>
      <c r="D4070" s="1">
        <v>7.05</v>
      </c>
      <c r="E4070" s="1">
        <v>7.48</v>
      </c>
      <c r="F4070" s="1">
        <v>8630900</v>
      </c>
      <c r="G4070" s="1">
        <v>7.48</v>
      </c>
      <c r="H4070" s="1">
        <f t="shared" si="567"/>
        <v>0.58999999999999986</v>
      </c>
      <c r="I4070" s="9">
        <f t="shared" si="574"/>
        <v>8.368794326241133E-2</v>
      </c>
      <c r="J4070" s="1">
        <f t="shared" si="575"/>
        <v>0.17000000000000082</v>
      </c>
      <c r="K4070" s="9">
        <f t="shared" si="568"/>
        <v>2.3255813953488486E-2</v>
      </c>
      <c r="L4070" s="1">
        <f t="shared" si="569"/>
        <v>1</v>
      </c>
      <c r="M4070" s="1">
        <f t="shared" si="570"/>
        <v>7.64</v>
      </c>
      <c r="N4070" s="1">
        <f t="shared" si="571"/>
        <v>7.05</v>
      </c>
      <c r="O4070" s="1">
        <f t="shared" si="572"/>
        <v>5.5200000000000005</v>
      </c>
      <c r="P4070" s="1">
        <f t="shared" si="573"/>
        <v>2.8163265306122454</v>
      </c>
    </row>
    <row r="4071" spans="1:16">
      <c r="A4071" s="2">
        <v>37153</v>
      </c>
      <c r="B4071" s="1">
        <v>7.35</v>
      </c>
      <c r="C4071" s="1">
        <v>7.45</v>
      </c>
      <c r="D4071" s="1">
        <v>6.64</v>
      </c>
      <c r="E4071" s="1">
        <v>7.31</v>
      </c>
      <c r="F4071" s="1">
        <v>9436500</v>
      </c>
      <c r="G4071" s="1">
        <v>7.31</v>
      </c>
      <c r="H4071" s="1">
        <f t="shared" si="567"/>
        <v>0.8100000000000005</v>
      </c>
      <c r="I4071" s="9">
        <f t="shared" si="574"/>
        <v>0.121987951807229</v>
      </c>
      <c r="J4071" s="1">
        <f t="shared" si="575"/>
        <v>1.9999999999999574E-2</v>
      </c>
      <c r="K4071" s="9">
        <f t="shared" si="568"/>
        <v>2.7434842249656481E-3</v>
      </c>
      <c r="L4071" s="1">
        <f t="shared" si="569"/>
        <v>1</v>
      </c>
      <c r="M4071" s="1">
        <f t="shared" si="570"/>
        <v>7.45</v>
      </c>
      <c r="N4071" s="1">
        <f t="shared" si="571"/>
        <v>6.64</v>
      </c>
      <c r="O4071" s="1">
        <f t="shared" si="572"/>
        <v>5.35</v>
      </c>
      <c r="P4071" s="1">
        <f t="shared" si="573"/>
        <v>2.7295918367346936</v>
      </c>
    </row>
    <row r="4072" spans="1:16">
      <c r="A4072" s="2">
        <v>37152</v>
      </c>
      <c r="B4072" s="1">
        <v>7.59</v>
      </c>
      <c r="C4072" s="1">
        <v>7.75</v>
      </c>
      <c r="D4072" s="1">
        <v>7.25</v>
      </c>
      <c r="E4072" s="1">
        <v>7.29</v>
      </c>
      <c r="F4072" s="1">
        <v>6270900</v>
      </c>
      <c r="G4072" s="1">
        <v>7.29</v>
      </c>
      <c r="H4072" s="1">
        <f t="shared" si="567"/>
        <v>0.5</v>
      </c>
      <c r="I4072" s="9">
        <f t="shared" si="574"/>
        <v>6.8965517241379309E-2</v>
      </c>
      <c r="J4072" s="1">
        <f t="shared" si="575"/>
        <v>-0.20000000000000018</v>
      </c>
      <c r="K4072" s="9">
        <f t="shared" si="568"/>
        <v>-2.670226969292392E-2</v>
      </c>
      <c r="L4072" s="1">
        <f t="shared" si="569"/>
        <v>1</v>
      </c>
      <c r="M4072" s="1">
        <f t="shared" si="570"/>
        <v>7.75</v>
      </c>
      <c r="N4072" s="1">
        <f t="shared" si="571"/>
        <v>7.25</v>
      </c>
      <c r="O4072" s="1">
        <f t="shared" si="572"/>
        <v>5.33</v>
      </c>
      <c r="P4072" s="1">
        <f t="shared" si="573"/>
        <v>2.7193877551020411</v>
      </c>
    </row>
    <row r="4073" spans="1:16">
      <c r="A4073" s="2">
        <v>37151</v>
      </c>
      <c r="B4073" s="1">
        <v>7.3</v>
      </c>
      <c r="C4073" s="1">
        <v>8.0500000000000007</v>
      </c>
      <c r="D4073" s="1">
        <v>7.05</v>
      </c>
      <c r="E4073" s="1">
        <v>7.49</v>
      </c>
      <c r="F4073" s="1">
        <v>10573500</v>
      </c>
      <c r="G4073" s="1">
        <v>7.49</v>
      </c>
      <c r="H4073" s="1">
        <f t="shared" si="567"/>
        <v>1.0000000000000009</v>
      </c>
      <c r="I4073" s="9">
        <f t="shared" si="574"/>
        <v>0.1418439716312058</v>
      </c>
      <c r="J4073" s="1">
        <f t="shared" si="575"/>
        <v>-1.1400000000000006</v>
      </c>
      <c r="K4073" s="9">
        <f t="shared" si="568"/>
        <v>-0.13209733487833145</v>
      </c>
      <c r="L4073" s="1">
        <f t="shared" si="569"/>
        <v>1</v>
      </c>
      <c r="M4073" s="1">
        <f t="shared" si="570"/>
        <v>8.0500000000000007</v>
      </c>
      <c r="N4073" s="1">
        <f t="shared" si="571"/>
        <v>7.05</v>
      </c>
      <c r="O4073" s="1">
        <f t="shared" si="572"/>
        <v>5.53</v>
      </c>
      <c r="P4073" s="1">
        <f t="shared" si="573"/>
        <v>2.8214285714285716</v>
      </c>
    </row>
    <row r="4074" spans="1:16">
      <c r="A4074" s="2">
        <v>37144</v>
      </c>
      <c r="B4074" s="1">
        <v>8.4</v>
      </c>
      <c r="C4074" s="1">
        <v>8.65</v>
      </c>
      <c r="D4074" s="1">
        <v>8.06</v>
      </c>
      <c r="E4074" s="1">
        <v>8.6300000000000008</v>
      </c>
      <c r="F4074" s="1">
        <v>5833600</v>
      </c>
      <c r="G4074" s="1">
        <v>8.6300000000000008</v>
      </c>
      <c r="H4074" s="1">
        <f t="shared" si="567"/>
        <v>0.58999999999999986</v>
      </c>
      <c r="I4074" s="9">
        <f t="shared" si="574"/>
        <v>7.3200992555831249E-2</v>
      </c>
      <c r="J4074" s="1">
        <f t="shared" si="575"/>
        <v>0.12000000000000099</v>
      </c>
      <c r="K4074" s="9">
        <f t="shared" si="568"/>
        <v>1.4101057579318566E-2</v>
      </c>
      <c r="L4074" s="1">
        <f t="shared" si="569"/>
        <v>1</v>
      </c>
      <c r="M4074" s="1">
        <f t="shared" si="570"/>
        <v>8.65</v>
      </c>
      <c r="N4074" s="1">
        <f t="shared" si="571"/>
        <v>8.06</v>
      </c>
      <c r="O4074" s="1">
        <f t="shared" si="572"/>
        <v>6.6700000000000008</v>
      </c>
      <c r="P4074" s="1">
        <f t="shared" si="573"/>
        <v>3.4030612244897962</v>
      </c>
    </row>
    <row r="4075" spans="1:16">
      <c r="A4075" s="2">
        <v>37141</v>
      </c>
      <c r="B4075" s="1">
        <v>7.96</v>
      </c>
      <c r="C4075" s="1">
        <v>8.61</v>
      </c>
      <c r="D4075" s="1">
        <v>7.85</v>
      </c>
      <c r="E4075" s="1">
        <v>8.51</v>
      </c>
      <c r="F4075" s="1">
        <v>7122100</v>
      </c>
      <c r="G4075" s="1">
        <v>8.51</v>
      </c>
      <c r="H4075" s="1">
        <f t="shared" si="567"/>
        <v>0.75999999999999979</v>
      </c>
      <c r="I4075" s="9">
        <f t="shared" si="574"/>
        <v>9.68152866242038E-2</v>
      </c>
      <c r="J4075" s="1">
        <f t="shared" si="575"/>
        <v>0.35999999999999943</v>
      </c>
      <c r="K4075" s="9">
        <f t="shared" si="568"/>
        <v>4.417177914110422E-2</v>
      </c>
      <c r="L4075" s="1">
        <f t="shared" si="569"/>
        <v>1</v>
      </c>
      <c r="M4075" s="1">
        <f t="shared" si="570"/>
        <v>8.61</v>
      </c>
      <c r="N4075" s="1">
        <f t="shared" si="571"/>
        <v>7.85</v>
      </c>
      <c r="O4075" s="1">
        <f t="shared" si="572"/>
        <v>6.55</v>
      </c>
      <c r="P4075" s="1">
        <f t="shared" si="573"/>
        <v>3.3418367346938775</v>
      </c>
    </row>
    <row r="4076" spans="1:16">
      <c r="A4076" s="2">
        <v>37140</v>
      </c>
      <c r="B4076" s="1">
        <v>7.84</v>
      </c>
      <c r="C4076" s="1">
        <v>8.19</v>
      </c>
      <c r="D4076" s="1">
        <v>7.67</v>
      </c>
      <c r="E4076" s="1">
        <v>8.15</v>
      </c>
      <c r="F4076" s="1">
        <v>7131600</v>
      </c>
      <c r="G4076" s="1">
        <v>8.15</v>
      </c>
      <c r="H4076" s="1">
        <f t="shared" si="567"/>
        <v>0.51999999999999957</v>
      </c>
      <c r="I4076" s="9">
        <f t="shared" si="574"/>
        <v>6.779661016949147E-2</v>
      </c>
      <c r="J4076" s="1">
        <f t="shared" si="575"/>
        <v>0.5</v>
      </c>
      <c r="K4076" s="9">
        <f t="shared" si="568"/>
        <v>6.535947712418301E-2</v>
      </c>
      <c r="L4076" s="1">
        <f t="shared" si="569"/>
        <v>1</v>
      </c>
      <c r="M4076" s="1">
        <f t="shared" si="570"/>
        <v>8.19</v>
      </c>
      <c r="N4076" s="1">
        <f t="shared" si="571"/>
        <v>7.67</v>
      </c>
      <c r="O4076" s="1">
        <f t="shared" si="572"/>
        <v>6.19</v>
      </c>
      <c r="P4076" s="1">
        <f t="shared" si="573"/>
        <v>3.1581632653061229</v>
      </c>
    </row>
    <row r="4077" spans="1:16">
      <c r="A4077" s="2">
        <v>37139</v>
      </c>
      <c r="B4077" s="1">
        <v>8.66</v>
      </c>
      <c r="C4077" s="1">
        <v>8.68</v>
      </c>
      <c r="D4077" s="1">
        <v>6.85</v>
      </c>
      <c r="E4077" s="1">
        <v>7.65</v>
      </c>
      <c r="F4077" s="1">
        <v>21073400</v>
      </c>
      <c r="G4077" s="1">
        <v>7.65</v>
      </c>
      <c r="H4077" s="1">
        <f t="shared" si="567"/>
        <v>1.83</v>
      </c>
      <c r="I4077" s="9">
        <f t="shared" si="574"/>
        <v>0.26715328467153288</v>
      </c>
      <c r="J4077" s="1">
        <f t="shared" si="575"/>
        <v>-0.9399999999999995</v>
      </c>
      <c r="K4077" s="9">
        <f t="shared" si="568"/>
        <v>-0.10942956926658901</v>
      </c>
      <c r="L4077" s="1">
        <f t="shared" si="569"/>
        <v>1</v>
      </c>
      <c r="M4077" s="1">
        <f t="shared" si="570"/>
        <v>8.68</v>
      </c>
      <c r="N4077" s="1">
        <f t="shared" si="571"/>
        <v>6.85</v>
      </c>
      <c r="O4077" s="1">
        <f t="shared" si="572"/>
        <v>5.69</v>
      </c>
      <c r="P4077" s="1">
        <f t="shared" si="573"/>
        <v>2.9030612244897962</v>
      </c>
    </row>
    <row r="4078" spans="1:16">
      <c r="A4078" s="2">
        <v>37138</v>
      </c>
      <c r="B4078" s="1">
        <v>8.9499999999999993</v>
      </c>
      <c r="C4078" s="1">
        <v>9.19</v>
      </c>
      <c r="D4078" s="1">
        <v>8.52</v>
      </c>
      <c r="E4078" s="1">
        <v>8.59</v>
      </c>
      <c r="F4078" s="1">
        <v>4857700</v>
      </c>
      <c r="G4078" s="1">
        <v>8.59</v>
      </c>
      <c r="H4078" s="1">
        <f t="shared" si="567"/>
        <v>0.66999999999999993</v>
      </c>
      <c r="I4078" s="9">
        <f t="shared" si="574"/>
        <v>7.8638497652582157E-2</v>
      </c>
      <c r="J4078" s="1">
        <f t="shared" si="575"/>
        <v>-0.34999999999999964</v>
      </c>
      <c r="K4078" s="9">
        <f t="shared" si="568"/>
        <v>-3.9149888143176693E-2</v>
      </c>
      <c r="L4078" s="1">
        <f t="shared" si="569"/>
        <v>1</v>
      </c>
      <c r="M4078" s="1">
        <f t="shared" si="570"/>
        <v>9.19</v>
      </c>
      <c r="N4078" s="1">
        <f t="shared" si="571"/>
        <v>8.52</v>
      </c>
      <c r="O4078" s="1">
        <f t="shared" si="572"/>
        <v>6.63</v>
      </c>
      <c r="P4078" s="1">
        <f t="shared" si="573"/>
        <v>3.3826530612244898</v>
      </c>
    </row>
    <row r="4079" spans="1:16">
      <c r="A4079" s="2">
        <v>37134</v>
      </c>
      <c r="B4079" s="1">
        <v>8.6999999999999993</v>
      </c>
      <c r="C4079" s="1">
        <v>9.3000000000000007</v>
      </c>
      <c r="D4079" s="1">
        <v>8.69</v>
      </c>
      <c r="E4079" s="1">
        <v>8.94</v>
      </c>
      <c r="F4079" s="1">
        <v>3641600</v>
      </c>
      <c r="G4079" s="1">
        <v>8.94</v>
      </c>
      <c r="H4079" s="1">
        <f t="shared" si="567"/>
        <v>0.61000000000000121</v>
      </c>
      <c r="I4079" s="9">
        <f t="shared" si="574"/>
        <v>7.0195627157652624E-2</v>
      </c>
      <c r="J4079" s="1">
        <f t="shared" si="575"/>
        <v>0.25</v>
      </c>
      <c r="K4079" s="9">
        <f t="shared" si="568"/>
        <v>2.8768699654775607E-2</v>
      </c>
      <c r="L4079" s="1">
        <f t="shared" si="569"/>
        <v>1</v>
      </c>
      <c r="M4079" s="1">
        <f t="shared" si="570"/>
        <v>9.3000000000000007</v>
      </c>
      <c r="N4079" s="1">
        <f t="shared" si="571"/>
        <v>8.69</v>
      </c>
      <c r="O4079" s="1">
        <f t="shared" si="572"/>
        <v>6.9799999999999995</v>
      </c>
      <c r="P4079" s="1">
        <f t="shared" si="573"/>
        <v>3.5612244897959182</v>
      </c>
    </row>
    <row r="4080" spans="1:16">
      <c r="A4080" s="2">
        <v>37133</v>
      </c>
      <c r="B4080" s="1">
        <v>9.06</v>
      </c>
      <c r="C4080" s="1">
        <v>9.49</v>
      </c>
      <c r="D4080" s="1">
        <v>8.5500000000000007</v>
      </c>
      <c r="E4080" s="1">
        <v>8.69</v>
      </c>
      <c r="F4080" s="1">
        <v>5851400</v>
      </c>
      <c r="G4080" s="1">
        <v>8.69</v>
      </c>
      <c r="H4080" s="1">
        <f t="shared" si="567"/>
        <v>0.9399999999999995</v>
      </c>
      <c r="I4080" s="9">
        <f t="shared" si="574"/>
        <v>0.10994152046783619</v>
      </c>
      <c r="J4080" s="1">
        <f t="shared" si="575"/>
        <v>-0.5</v>
      </c>
      <c r="K4080" s="9">
        <f t="shared" si="568"/>
        <v>-5.4406964091403699E-2</v>
      </c>
      <c r="L4080" s="1">
        <f t="shared" si="569"/>
        <v>1</v>
      </c>
      <c r="M4080" s="1">
        <f t="shared" si="570"/>
        <v>9.49</v>
      </c>
      <c r="N4080" s="1">
        <f t="shared" si="571"/>
        <v>8.5500000000000007</v>
      </c>
      <c r="O4080" s="1">
        <f t="shared" si="572"/>
        <v>6.7299999999999995</v>
      </c>
      <c r="P4080" s="1">
        <f t="shared" si="573"/>
        <v>3.4336734693877551</v>
      </c>
    </row>
    <row r="4081" spans="1:16">
      <c r="A4081" s="2">
        <v>37132</v>
      </c>
      <c r="B4081" s="1">
        <v>10.039999999999999</v>
      </c>
      <c r="C4081" s="1">
        <v>10.050000000000001</v>
      </c>
      <c r="D4081" s="1">
        <v>9.01</v>
      </c>
      <c r="E4081" s="1">
        <v>9.19</v>
      </c>
      <c r="F4081" s="1">
        <v>3803600</v>
      </c>
      <c r="G4081" s="1">
        <v>9.19</v>
      </c>
      <c r="H4081" s="1">
        <f t="shared" si="567"/>
        <v>1.0400000000000009</v>
      </c>
      <c r="I4081" s="9">
        <f t="shared" si="574"/>
        <v>0.11542730299667048</v>
      </c>
      <c r="J4081" s="1">
        <f t="shared" si="575"/>
        <v>-0.78000000000000114</v>
      </c>
      <c r="K4081" s="9">
        <f t="shared" si="568"/>
        <v>-7.8234704112337114E-2</v>
      </c>
      <c r="L4081" s="1">
        <f t="shared" si="569"/>
        <v>1</v>
      </c>
      <c r="M4081" s="1">
        <f t="shared" si="570"/>
        <v>10.050000000000001</v>
      </c>
      <c r="N4081" s="1">
        <f t="shared" si="571"/>
        <v>9.01</v>
      </c>
      <c r="O4081" s="1">
        <f t="shared" si="572"/>
        <v>7.2299999999999995</v>
      </c>
      <c r="P4081" s="1">
        <f t="shared" si="573"/>
        <v>3.6887755102040813</v>
      </c>
    </row>
    <row r="4082" spans="1:16">
      <c r="A4082" s="2">
        <v>37131</v>
      </c>
      <c r="B4082" s="1">
        <v>10.119999999999999</v>
      </c>
      <c r="C4082" s="1">
        <v>10.15</v>
      </c>
      <c r="D4082" s="1">
        <v>9.56</v>
      </c>
      <c r="E4082" s="1">
        <v>9.9700000000000006</v>
      </c>
      <c r="F4082" s="1">
        <v>3229100</v>
      </c>
      <c r="G4082" s="1">
        <v>9.9700000000000006</v>
      </c>
      <c r="H4082" s="1">
        <f t="shared" si="567"/>
        <v>0.58999999999999986</v>
      </c>
      <c r="I4082" s="9">
        <f t="shared" si="574"/>
        <v>6.1715481171548098E-2</v>
      </c>
      <c r="J4082" s="1">
        <f t="shared" si="575"/>
        <v>-0.16000000000000014</v>
      </c>
      <c r="K4082" s="9">
        <f t="shared" si="568"/>
        <v>-1.5794669299111563E-2</v>
      </c>
      <c r="L4082" s="1">
        <f t="shared" si="569"/>
        <v>1</v>
      </c>
      <c r="M4082" s="1">
        <f t="shared" si="570"/>
        <v>10.15</v>
      </c>
      <c r="N4082" s="1">
        <f t="shared" si="571"/>
        <v>9.56</v>
      </c>
      <c r="O4082" s="1">
        <f t="shared" si="572"/>
        <v>8.0100000000000016</v>
      </c>
      <c r="P4082" s="1">
        <f t="shared" si="573"/>
        <v>4.0867346938775517</v>
      </c>
    </row>
    <row r="4083" spans="1:16">
      <c r="A4083" s="2">
        <v>37130</v>
      </c>
      <c r="B4083" s="1">
        <v>10.09</v>
      </c>
      <c r="C4083" s="1">
        <v>10.27</v>
      </c>
      <c r="D4083" s="1">
        <v>9.91</v>
      </c>
      <c r="E4083" s="1">
        <v>10.130000000000001</v>
      </c>
      <c r="F4083" s="1">
        <v>2618000</v>
      </c>
      <c r="G4083" s="1">
        <v>10.130000000000001</v>
      </c>
      <c r="H4083" s="1">
        <f t="shared" si="567"/>
        <v>0.35999999999999943</v>
      </c>
      <c r="I4083" s="9">
        <f t="shared" si="574"/>
        <v>3.6326942482341008E-2</v>
      </c>
      <c r="J4083" s="1">
        <f t="shared" si="575"/>
        <v>-9.9999999999999645E-2</v>
      </c>
      <c r="K4083" s="9">
        <f t="shared" si="568"/>
        <v>-9.7751710654936114E-3</v>
      </c>
      <c r="L4083" s="1">
        <f t="shared" si="569"/>
        <v>1</v>
      </c>
      <c r="M4083" s="1">
        <f t="shared" si="570"/>
        <v>10.27</v>
      </c>
      <c r="N4083" s="1">
        <f t="shared" si="571"/>
        <v>9.91</v>
      </c>
      <c r="O4083" s="1">
        <f t="shared" si="572"/>
        <v>8.1700000000000017</v>
      </c>
      <c r="P4083" s="1">
        <f t="shared" si="573"/>
        <v>4.1683673469387763</v>
      </c>
    </row>
    <row r="4084" spans="1:16">
      <c r="A4084" s="2">
        <v>37127</v>
      </c>
      <c r="B4084" s="1">
        <v>9.84</v>
      </c>
      <c r="C4084" s="1">
        <v>10.3</v>
      </c>
      <c r="D4084" s="1">
        <v>9.7200000000000006</v>
      </c>
      <c r="E4084" s="1">
        <v>10.23</v>
      </c>
      <c r="F4084" s="1">
        <v>3779900</v>
      </c>
      <c r="G4084" s="1">
        <v>10.23</v>
      </c>
      <c r="H4084" s="1">
        <f t="shared" si="567"/>
        <v>0.58000000000000007</v>
      </c>
      <c r="I4084" s="9">
        <f t="shared" si="574"/>
        <v>5.9670781893004121E-2</v>
      </c>
      <c r="J4084" s="1">
        <f t="shared" si="575"/>
        <v>0.59999999999999964</v>
      </c>
      <c r="K4084" s="9">
        <f t="shared" si="568"/>
        <v>6.2305295950155722E-2</v>
      </c>
      <c r="L4084" s="1">
        <f t="shared" si="569"/>
        <v>1</v>
      </c>
      <c r="M4084" s="1">
        <f t="shared" si="570"/>
        <v>10.3</v>
      </c>
      <c r="N4084" s="1">
        <f t="shared" si="571"/>
        <v>9.7200000000000006</v>
      </c>
      <c r="O4084" s="1">
        <f t="shared" si="572"/>
        <v>8.27</v>
      </c>
      <c r="P4084" s="1">
        <f t="shared" si="573"/>
        <v>4.2193877551020407</v>
      </c>
    </row>
    <row r="4085" spans="1:16">
      <c r="A4085" s="2">
        <v>37126</v>
      </c>
      <c r="B4085" s="1">
        <v>10.130000000000001</v>
      </c>
      <c r="C4085" s="1">
        <v>10.16</v>
      </c>
      <c r="D4085" s="1">
        <v>9.57</v>
      </c>
      <c r="E4085" s="1">
        <v>9.6300000000000008</v>
      </c>
      <c r="F4085" s="1">
        <v>4000700</v>
      </c>
      <c r="G4085" s="1">
        <v>9.6300000000000008</v>
      </c>
      <c r="H4085" s="1">
        <f t="shared" si="567"/>
        <v>0.58999999999999986</v>
      </c>
      <c r="I4085" s="9">
        <f t="shared" si="574"/>
        <v>6.1650992685475428E-2</v>
      </c>
      <c r="J4085" s="1">
        <f t="shared" si="575"/>
        <v>-0.56999999999999851</v>
      </c>
      <c r="K4085" s="9">
        <f t="shared" si="568"/>
        <v>-5.5882352941176328E-2</v>
      </c>
      <c r="L4085" s="1">
        <f t="shared" si="569"/>
        <v>1</v>
      </c>
      <c r="M4085" s="1">
        <f t="shared" si="570"/>
        <v>10.16</v>
      </c>
      <c r="N4085" s="1">
        <f t="shared" si="571"/>
        <v>9.57</v>
      </c>
      <c r="O4085" s="1">
        <f t="shared" si="572"/>
        <v>7.6700000000000008</v>
      </c>
      <c r="P4085" s="1">
        <f t="shared" si="573"/>
        <v>3.9132653061224496</v>
      </c>
    </row>
    <row r="4086" spans="1:16">
      <c r="A4086" s="2">
        <v>37125</v>
      </c>
      <c r="B4086" s="1">
        <v>10.16</v>
      </c>
      <c r="C4086" s="1">
        <v>10.23</v>
      </c>
      <c r="D4086" s="1">
        <v>9.59</v>
      </c>
      <c r="E4086" s="1">
        <v>10.199999999999999</v>
      </c>
      <c r="F4086" s="1">
        <v>4126200</v>
      </c>
      <c r="G4086" s="1">
        <v>10.199999999999999</v>
      </c>
      <c r="H4086" s="1">
        <f t="shared" si="567"/>
        <v>0.64000000000000057</v>
      </c>
      <c r="I4086" s="9">
        <f t="shared" si="574"/>
        <v>6.673618352450475E-2</v>
      </c>
      <c r="J4086" s="1">
        <f t="shared" si="575"/>
        <v>0.30999999999999872</v>
      </c>
      <c r="K4086" s="9">
        <f t="shared" si="568"/>
        <v>3.1344792719918982E-2</v>
      </c>
      <c r="L4086" s="1">
        <f t="shared" si="569"/>
        <v>1</v>
      </c>
      <c r="M4086" s="1">
        <f t="shared" si="570"/>
        <v>10.23</v>
      </c>
      <c r="N4086" s="1">
        <f t="shared" si="571"/>
        <v>9.59</v>
      </c>
      <c r="O4086" s="1">
        <f t="shared" si="572"/>
        <v>8.2399999999999984</v>
      </c>
      <c r="P4086" s="1">
        <f t="shared" si="573"/>
        <v>4.2040816326530601</v>
      </c>
    </row>
    <row r="4087" spans="1:16">
      <c r="A4087" s="2">
        <v>37124</v>
      </c>
      <c r="B4087" s="1">
        <v>10.7</v>
      </c>
      <c r="C4087" s="1">
        <v>10.79</v>
      </c>
      <c r="D4087" s="1">
        <v>9.8800000000000008</v>
      </c>
      <c r="E4087" s="1">
        <v>9.89</v>
      </c>
      <c r="F4087" s="1">
        <v>5138300</v>
      </c>
      <c r="G4087" s="1">
        <v>9.89</v>
      </c>
      <c r="H4087" s="1">
        <f t="shared" si="567"/>
        <v>0.90999999999999837</v>
      </c>
      <c r="I4087" s="9">
        <f t="shared" si="574"/>
        <v>9.2105263157894565E-2</v>
      </c>
      <c r="J4087" s="1">
        <f t="shared" si="575"/>
        <v>-0.50999999999999979</v>
      </c>
      <c r="K4087" s="9">
        <f t="shared" si="568"/>
        <v>-4.9038461538461517E-2</v>
      </c>
      <c r="L4087" s="1">
        <f t="shared" si="569"/>
        <v>1</v>
      </c>
      <c r="M4087" s="1">
        <f t="shared" si="570"/>
        <v>10.79</v>
      </c>
      <c r="N4087" s="1">
        <f t="shared" si="571"/>
        <v>9.8800000000000008</v>
      </c>
      <c r="O4087" s="1">
        <f t="shared" si="572"/>
        <v>7.9300000000000006</v>
      </c>
      <c r="P4087" s="1">
        <f t="shared" si="573"/>
        <v>4.045918367346939</v>
      </c>
    </row>
    <row r="4088" spans="1:16">
      <c r="A4088" s="2">
        <v>37123</v>
      </c>
      <c r="B4088" s="1">
        <v>10.19</v>
      </c>
      <c r="C4088" s="1">
        <v>10.41</v>
      </c>
      <c r="D4088" s="1">
        <v>9.9499999999999993</v>
      </c>
      <c r="E4088" s="1">
        <v>10.4</v>
      </c>
      <c r="F4088" s="1">
        <v>3614000</v>
      </c>
      <c r="G4088" s="1">
        <v>10.4</v>
      </c>
      <c r="H4088" s="1">
        <f t="shared" si="567"/>
        <v>0.46000000000000085</v>
      </c>
      <c r="I4088" s="9">
        <f t="shared" si="574"/>
        <v>4.6231155778894563E-2</v>
      </c>
      <c r="J4088" s="1">
        <f t="shared" si="575"/>
        <v>0.41000000000000014</v>
      </c>
      <c r="K4088" s="9">
        <f t="shared" si="568"/>
        <v>4.1041041041041053E-2</v>
      </c>
      <c r="L4088" s="1">
        <f t="shared" si="569"/>
        <v>1</v>
      </c>
      <c r="M4088" s="1">
        <f t="shared" si="570"/>
        <v>10.41</v>
      </c>
      <c r="N4088" s="1">
        <f t="shared" si="571"/>
        <v>9.9499999999999993</v>
      </c>
      <c r="O4088" s="1">
        <f t="shared" si="572"/>
        <v>8.4400000000000013</v>
      </c>
      <c r="P4088" s="1">
        <f t="shared" si="573"/>
        <v>4.3061224489795924</v>
      </c>
    </row>
    <row r="4089" spans="1:16">
      <c r="A4089" s="2">
        <v>37120</v>
      </c>
      <c r="B4089" s="1">
        <v>9.51</v>
      </c>
      <c r="C4089" s="1">
        <v>10.09</v>
      </c>
      <c r="D4089" s="1">
        <v>9.4499999999999993</v>
      </c>
      <c r="E4089" s="1">
        <v>9.99</v>
      </c>
      <c r="F4089" s="1">
        <v>5360600</v>
      </c>
      <c r="G4089" s="1">
        <v>9.99</v>
      </c>
      <c r="H4089" s="1">
        <f t="shared" si="567"/>
        <v>0.64000000000000057</v>
      </c>
      <c r="I4089" s="9">
        <f t="shared" si="574"/>
        <v>6.7724867724867785E-2</v>
      </c>
      <c r="J4089" s="1">
        <f t="shared" si="575"/>
        <v>0.17999999999999972</v>
      </c>
      <c r="K4089" s="9">
        <f t="shared" si="568"/>
        <v>1.8348623853210979E-2</v>
      </c>
      <c r="L4089" s="1">
        <f t="shared" si="569"/>
        <v>1</v>
      </c>
      <c r="M4089" s="1">
        <f t="shared" si="570"/>
        <v>10.09</v>
      </c>
      <c r="N4089" s="1">
        <f t="shared" si="571"/>
        <v>9.4499999999999993</v>
      </c>
      <c r="O4089" s="1">
        <f t="shared" si="572"/>
        <v>8.0300000000000011</v>
      </c>
      <c r="P4089" s="1">
        <f t="shared" si="573"/>
        <v>4.0969387755102051</v>
      </c>
    </row>
    <row r="4090" spans="1:16">
      <c r="A4090" s="2">
        <v>37119</v>
      </c>
      <c r="B4090" s="1">
        <v>10.08</v>
      </c>
      <c r="C4090" s="1">
        <v>10.15</v>
      </c>
      <c r="D4090" s="1">
        <v>9.4</v>
      </c>
      <c r="E4090" s="1">
        <v>9.81</v>
      </c>
      <c r="F4090" s="1">
        <v>6227100</v>
      </c>
      <c r="G4090" s="1">
        <v>9.81</v>
      </c>
      <c r="H4090" s="1">
        <f t="shared" si="567"/>
        <v>0.75</v>
      </c>
      <c r="I4090" s="9">
        <f t="shared" si="574"/>
        <v>7.9787234042553182E-2</v>
      </c>
      <c r="J4090" s="1">
        <f t="shared" si="575"/>
        <v>-0.26999999999999957</v>
      </c>
      <c r="K4090" s="9">
        <f t="shared" si="568"/>
        <v>-2.6785714285714243E-2</v>
      </c>
      <c r="L4090" s="1">
        <f t="shared" si="569"/>
        <v>1</v>
      </c>
      <c r="M4090" s="1">
        <f t="shared" si="570"/>
        <v>10.15</v>
      </c>
      <c r="N4090" s="1">
        <f t="shared" si="571"/>
        <v>9.4</v>
      </c>
      <c r="O4090" s="1">
        <f t="shared" si="572"/>
        <v>7.8500000000000005</v>
      </c>
      <c r="P4090" s="1">
        <f t="shared" si="573"/>
        <v>4.0051020408163271</v>
      </c>
    </row>
    <row r="4091" spans="1:16">
      <c r="A4091" s="2">
        <v>37118</v>
      </c>
      <c r="B4091" s="1">
        <v>10.54</v>
      </c>
      <c r="C4091" s="1">
        <v>10.83</v>
      </c>
      <c r="D4091" s="1">
        <v>10</v>
      </c>
      <c r="E4091" s="1">
        <v>10.08</v>
      </c>
      <c r="F4091" s="1">
        <v>3358500</v>
      </c>
      <c r="G4091" s="1">
        <v>10.08</v>
      </c>
      <c r="H4091" s="1">
        <f t="shared" si="567"/>
        <v>0.83000000000000007</v>
      </c>
      <c r="I4091" s="9">
        <f t="shared" si="574"/>
        <v>8.3000000000000004E-2</v>
      </c>
      <c r="J4091" s="1">
        <f t="shared" si="575"/>
        <v>-0.44999999999999929</v>
      </c>
      <c r="K4091" s="9">
        <f t="shared" si="568"/>
        <v>-4.2735042735042673E-2</v>
      </c>
      <c r="L4091" s="1">
        <f t="shared" si="569"/>
        <v>1</v>
      </c>
      <c r="M4091" s="1">
        <f t="shared" si="570"/>
        <v>10.83</v>
      </c>
      <c r="N4091" s="1">
        <f t="shared" si="571"/>
        <v>10</v>
      </c>
      <c r="O4091" s="1">
        <f t="shared" si="572"/>
        <v>8.120000000000001</v>
      </c>
      <c r="P4091" s="1">
        <f t="shared" si="573"/>
        <v>4.1428571428571432</v>
      </c>
    </row>
    <row r="4092" spans="1:16">
      <c r="A4092" s="2">
        <v>37117</v>
      </c>
      <c r="B4092" s="1">
        <v>10.32</v>
      </c>
      <c r="C4092" s="1">
        <v>11.04</v>
      </c>
      <c r="D4092" s="1">
        <v>10.27</v>
      </c>
      <c r="E4092" s="1">
        <v>10.53</v>
      </c>
      <c r="F4092" s="1">
        <v>4807100</v>
      </c>
      <c r="G4092" s="1">
        <v>10.53</v>
      </c>
      <c r="H4092" s="1">
        <f t="shared" si="567"/>
        <v>0.76999999999999957</v>
      </c>
      <c r="I4092" s="9">
        <f t="shared" si="574"/>
        <v>7.4975657254138225E-2</v>
      </c>
      <c r="J4092" s="1">
        <f t="shared" si="575"/>
        <v>0.41000000000000014</v>
      </c>
      <c r="K4092" s="9">
        <f t="shared" si="568"/>
        <v>4.0513833992094878E-2</v>
      </c>
      <c r="L4092" s="1">
        <f t="shared" si="569"/>
        <v>1</v>
      </c>
      <c r="M4092" s="1">
        <f t="shared" si="570"/>
        <v>11.04</v>
      </c>
      <c r="N4092" s="1">
        <f t="shared" si="571"/>
        <v>10.27</v>
      </c>
      <c r="O4092" s="1">
        <f t="shared" si="572"/>
        <v>8.57</v>
      </c>
      <c r="P4092" s="1">
        <f t="shared" si="573"/>
        <v>4.3724489795918373</v>
      </c>
    </row>
    <row r="4093" spans="1:16">
      <c r="A4093" s="2">
        <v>37116</v>
      </c>
      <c r="B4093" s="1">
        <v>10.1</v>
      </c>
      <c r="C4093" s="1">
        <v>10.3</v>
      </c>
      <c r="D4093" s="1">
        <v>9.77</v>
      </c>
      <c r="E4093" s="1">
        <v>10.119999999999999</v>
      </c>
      <c r="F4093" s="1">
        <v>4831500</v>
      </c>
      <c r="G4093" s="1">
        <v>10.119999999999999</v>
      </c>
      <c r="H4093" s="1">
        <f t="shared" si="567"/>
        <v>0.53000000000000114</v>
      </c>
      <c r="I4093" s="9">
        <f t="shared" si="574"/>
        <v>5.4247697031729901E-2</v>
      </c>
      <c r="J4093" s="1">
        <f t="shared" si="575"/>
        <v>0.16999999999999993</v>
      </c>
      <c r="K4093" s="9">
        <f t="shared" si="568"/>
        <v>1.7085427135678385E-2</v>
      </c>
      <c r="L4093" s="1">
        <f t="shared" si="569"/>
        <v>1</v>
      </c>
      <c r="M4093" s="1">
        <f t="shared" si="570"/>
        <v>10.3</v>
      </c>
      <c r="N4093" s="1">
        <f t="shared" si="571"/>
        <v>9.77</v>
      </c>
      <c r="O4093" s="1">
        <f t="shared" si="572"/>
        <v>8.16</v>
      </c>
      <c r="P4093" s="1">
        <f t="shared" si="573"/>
        <v>4.1632653061224492</v>
      </c>
    </row>
    <row r="4094" spans="1:16">
      <c r="A4094" s="2">
        <v>37113</v>
      </c>
      <c r="B4094" s="1">
        <v>10.58</v>
      </c>
      <c r="C4094" s="1">
        <v>10.65</v>
      </c>
      <c r="D4094" s="1">
        <v>9.94</v>
      </c>
      <c r="E4094" s="1">
        <v>9.9499999999999993</v>
      </c>
      <c r="F4094" s="1">
        <v>9187300</v>
      </c>
      <c r="G4094" s="1">
        <v>9.9499999999999993</v>
      </c>
      <c r="H4094" s="1">
        <f t="shared" si="567"/>
        <v>0.71000000000000085</v>
      </c>
      <c r="I4094" s="9">
        <f t="shared" si="574"/>
        <v>7.1428571428571522E-2</v>
      </c>
      <c r="J4094" s="1">
        <f t="shared" si="575"/>
        <v>-0.51000000000000156</v>
      </c>
      <c r="K4094" s="9">
        <f t="shared" si="568"/>
        <v>-4.8757170172084273E-2</v>
      </c>
      <c r="L4094" s="1">
        <f t="shared" si="569"/>
        <v>1</v>
      </c>
      <c r="M4094" s="1">
        <f t="shared" si="570"/>
        <v>10.65</v>
      </c>
      <c r="N4094" s="1">
        <f t="shared" si="571"/>
        <v>9.94</v>
      </c>
      <c r="O4094" s="1">
        <f t="shared" si="572"/>
        <v>7.9899999999999993</v>
      </c>
      <c r="P4094" s="1">
        <f t="shared" si="573"/>
        <v>4.0765306122448974</v>
      </c>
    </row>
    <row r="4095" spans="1:16">
      <c r="A4095" s="2">
        <v>37112</v>
      </c>
      <c r="B4095" s="1">
        <v>11.14</v>
      </c>
      <c r="C4095" s="1">
        <v>11.17</v>
      </c>
      <c r="D4095" s="1">
        <v>10.25</v>
      </c>
      <c r="E4095" s="1">
        <v>10.46</v>
      </c>
      <c r="F4095" s="1">
        <v>6049000</v>
      </c>
      <c r="G4095" s="1">
        <v>10.46</v>
      </c>
      <c r="H4095" s="1">
        <f t="shared" si="567"/>
        <v>0.91999999999999993</v>
      </c>
      <c r="I4095" s="9">
        <f t="shared" si="574"/>
        <v>8.9756097560975606E-2</v>
      </c>
      <c r="J4095" s="1">
        <f t="shared" si="575"/>
        <v>-0.64999999999999858</v>
      </c>
      <c r="K4095" s="9">
        <f t="shared" si="568"/>
        <v>-5.8505850585058382E-2</v>
      </c>
      <c r="L4095" s="1">
        <f t="shared" si="569"/>
        <v>1</v>
      </c>
      <c r="M4095" s="1">
        <f t="shared" si="570"/>
        <v>11.17</v>
      </c>
      <c r="N4095" s="1">
        <f t="shared" si="571"/>
        <v>10.25</v>
      </c>
      <c r="O4095" s="1">
        <f t="shared" si="572"/>
        <v>8.5</v>
      </c>
      <c r="P4095" s="1">
        <f t="shared" si="573"/>
        <v>4.3367346938775508</v>
      </c>
    </row>
    <row r="4096" spans="1:16">
      <c r="A4096" s="2">
        <v>37111</v>
      </c>
      <c r="B4096" s="1">
        <v>11.51</v>
      </c>
      <c r="C4096" s="1">
        <v>11.55</v>
      </c>
      <c r="D4096" s="1">
        <v>11.03</v>
      </c>
      <c r="E4096" s="1">
        <v>11.11</v>
      </c>
      <c r="F4096" s="1">
        <v>3373400</v>
      </c>
      <c r="G4096" s="1">
        <v>11.11</v>
      </c>
      <c r="H4096" s="1">
        <f t="shared" si="567"/>
        <v>0.52000000000000135</v>
      </c>
      <c r="I4096" s="9">
        <f t="shared" si="574"/>
        <v>4.7144152311876825E-2</v>
      </c>
      <c r="J4096" s="1">
        <f t="shared" si="575"/>
        <v>-0.49000000000000021</v>
      </c>
      <c r="K4096" s="9">
        <f t="shared" si="568"/>
        <v>-4.224137931034485E-2</v>
      </c>
      <c r="L4096" s="1">
        <f t="shared" si="569"/>
        <v>1</v>
      </c>
      <c r="M4096" s="1">
        <f t="shared" si="570"/>
        <v>11.55</v>
      </c>
      <c r="N4096" s="1">
        <f t="shared" si="571"/>
        <v>11.03</v>
      </c>
      <c r="O4096" s="1">
        <f t="shared" si="572"/>
        <v>9.1499999999999986</v>
      </c>
      <c r="P4096" s="1">
        <f t="shared" si="573"/>
        <v>4.6683673469387745</v>
      </c>
    </row>
    <row r="4097" spans="1:16">
      <c r="A4097" s="2">
        <v>37110</v>
      </c>
      <c r="B4097" s="1">
        <v>11.89</v>
      </c>
      <c r="C4097" s="1">
        <v>11.9</v>
      </c>
      <c r="D4097" s="1">
        <v>11.52</v>
      </c>
      <c r="E4097" s="1">
        <v>11.6</v>
      </c>
      <c r="F4097" s="1">
        <v>2560200</v>
      </c>
      <c r="G4097" s="1">
        <v>11.6</v>
      </c>
      <c r="H4097" s="1">
        <f t="shared" si="567"/>
        <v>0.38000000000000078</v>
      </c>
      <c r="I4097" s="9">
        <f t="shared" si="574"/>
        <v>3.2986111111111181E-2</v>
      </c>
      <c r="J4097" s="1">
        <f t="shared" si="575"/>
        <v>-0.30000000000000071</v>
      </c>
      <c r="K4097" s="9">
        <f t="shared" si="568"/>
        <v>-2.5210084033613505E-2</v>
      </c>
      <c r="L4097" s="1">
        <f t="shared" si="569"/>
        <v>1</v>
      </c>
      <c r="M4097" s="1">
        <f t="shared" si="570"/>
        <v>11.9</v>
      </c>
      <c r="N4097" s="1">
        <f t="shared" si="571"/>
        <v>11.52</v>
      </c>
      <c r="O4097" s="1">
        <f t="shared" si="572"/>
        <v>9.64</v>
      </c>
      <c r="P4097" s="1">
        <f t="shared" si="573"/>
        <v>4.9183673469387763</v>
      </c>
    </row>
    <row r="4098" spans="1:16">
      <c r="A4098" s="2">
        <v>37109</v>
      </c>
      <c r="B4098" s="1">
        <v>12.18</v>
      </c>
      <c r="C4098" s="1">
        <v>12.2</v>
      </c>
      <c r="D4098" s="1">
        <v>11.85</v>
      </c>
      <c r="E4098" s="1">
        <v>11.9</v>
      </c>
      <c r="F4098" s="1">
        <v>2661800</v>
      </c>
      <c r="G4098" s="1">
        <v>11.9</v>
      </c>
      <c r="H4098" s="1">
        <f t="shared" si="567"/>
        <v>0.34999999999999964</v>
      </c>
      <c r="I4098" s="9">
        <f t="shared" si="574"/>
        <v>2.9535864978902926E-2</v>
      </c>
      <c r="J4098" s="1">
        <f t="shared" si="575"/>
        <v>-0.25</v>
      </c>
      <c r="K4098" s="9">
        <f t="shared" si="568"/>
        <v>-2.0576131687242798E-2</v>
      </c>
      <c r="L4098" s="1">
        <f t="shared" si="569"/>
        <v>1</v>
      </c>
      <c r="M4098" s="1">
        <f t="shared" si="570"/>
        <v>12.2</v>
      </c>
      <c r="N4098" s="1">
        <f t="shared" si="571"/>
        <v>11.85</v>
      </c>
      <c r="O4098" s="1">
        <f t="shared" si="572"/>
        <v>9.9400000000000013</v>
      </c>
      <c r="P4098" s="1">
        <f t="shared" si="573"/>
        <v>5.0714285714285721</v>
      </c>
    </row>
    <row r="4099" spans="1:16">
      <c r="A4099" s="2">
        <v>37106</v>
      </c>
      <c r="B4099" s="1">
        <v>12.24</v>
      </c>
      <c r="C4099" s="1">
        <v>12.39</v>
      </c>
      <c r="D4099" s="1">
        <v>12.11</v>
      </c>
      <c r="E4099" s="1">
        <v>12.15</v>
      </c>
      <c r="F4099" s="1">
        <v>3084900</v>
      </c>
      <c r="G4099" s="1">
        <v>12.15</v>
      </c>
      <c r="H4099" s="1">
        <f t="shared" ref="H4099:H4162" si="576">C4099-D4099</f>
        <v>0.28000000000000114</v>
      </c>
      <c r="I4099" s="9">
        <f t="shared" si="574"/>
        <v>2.312138728323709E-2</v>
      </c>
      <c r="J4099" s="1">
        <f t="shared" si="575"/>
        <v>-3.9999999999999147E-2</v>
      </c>
      <c r="K4099" s="9">
        <f t="shared" ref="K4099:K4162" si="577">(G4099-G4100)/G4100</f>
        <v>-3.2813781788350411E-3</v>
      </c>
      <c r="L4099" s="1">
        <f t="shared" ref="L4099:L4162" si="578">G4099/E4099</f>
        <v>1</v>
      </c>
      <c r="M4099" s="1">
        <f t="shared" ref="M4099:M4162" si="579">L4099*C4099</f>
        <v>12.39</v>
      </c>
      <c r="N4099" s="1">
        <f t="shared" ref="N4099:N4162" si="580">L4099*D4099</f>
        <v>12.11</v>
      </c>
      <c r="O4099" s="1">
        <f t="shared" ref="O4099:O4162" si="581">G4099-$G$5163</f>
        <v>10.190000000000001</v>
      </c>
      <c r="P4099" s="1">
        <f t="shared" ref="P4099:P4162" si="582">(G4099-$G$5163)/$G$5163</f>
        <v>5.1989795918367356</v>
      </c>
    </row>
    <row r="4100" spans="1:16">
      <c r="A4100" s="2">
        <v>37105</v>
      </c>
      <c r="B4100" s="1">
        <v>12.59</v>
      </c>
      <c r="C4100" s="1">
        <v>12.6</v>
      </c>
      <c r="D4100" s="1">
        <v>12.1</v>
      </c>
      <c r="E4100" s="1">
        <v>12.19</v>
      </c>
      <c r="F4100" s="1">
        <v>3872500</v>
      </c>
      <c r="G4100" s="1">
        <v>12.19</v>
      </c>
      <c r="H4100" s="1">
        <f t="shared" si="576"/>
        <v>0.5</v>
      </c>
      <c r="I4100" s="9">
        <f t="shared" ref="I4100:I4163" si="583">(C4100-D4100)/D4100</f>
        <v>4.1322314049586778E-2</v>
      </c>
      <c r="J4100" s="1">
        <f t="shared" ref="J4100:J4163" si="584">G4100-G4101</f>
        <v>-0.3100000000000005</v>
      </c>
      <c r="K4100" s="9">
        <f t="shared" si="577"/>
        <v>-2.4800000000000041E-2</v>
      </c>
      <c r="L4100" s="1">
        <f t="shared" si="578"/>
        <v>1</v>
      </c>
      <c r="M4100" s="1">
        <f t="shared" si="579"/>
        <v>12.6</v>
      </c>
      <c r="N4100" s="1">
        <f t="shared" si="580"/>
        <v>12.1</v>
      </c>
      <c r="O4100" s="1">
        <f t="shared" si="581"/>
        <v>10.23</v>
      </c>
      <c r="P4100" s="1">
        <f t="shared" si="582"/>
        <v>5.2193877551020416</v>
      </c>
    </row>
    <row r="4101" spans="1:16">
      <c r="A4101" s="2">
        <v>37104</v>
      </c>
      <c r="B4101" s="1">
        <v>12.73</v>
      </c>
      <c r="C4101" s="1">
        <v>12.86</v>
      </c>
      <c r="D4101" s="1">
        <v>12.17</v>
      </c>
      <c r="E4101" s="1">
        <v>12.5</v>
      </c>
      <c r="F4101" s="1">
        <v>5510600</v>
      </c>
      <c r="G4101" s="1">
        <v>12.5</v>
      </c>
      <c r="H4101" s="1">
        <f t="shared" si="576"/>
        <v>0.6899999999999995</v>
      </c>
      <c r="I4101" s="9">
        <f t="shared" si="583"/>
        <v>5.6696795398520912E-2</v>
      </c>
      <c r="J4101" s="1">
        <f t="shared" si="584"/>
        <v>9.9999999999997868E-3</v>
      </c>
      <c r="K4101" s="9">
        <f t="shared" si="577"/>
        <v>8.0064051240991087E-4</v>
      </c>
      <c r="L4101" s="1">
        <f t="shared" si="578"/>
        <v>1</v>
      </c>
      <c r="M4101" s="1">
        <f t="shared" si="579"/>
        <v>12.86</v>
      </c>
      <c r="N4101" s="1">
        <f t="shared" si="580"/>
        <v>12.17</v>
      </c>
      <c r="O4101" s="1">
        <f t="shared" si="581"/>
        <v>10.54</v>
      </c>
      <c r="P4101" s="1">
        <f t="shared" si="582"/>
        <v>5.3775510204081627</v>
      </c>
    </row>
    <row r="4102" spans="1:16">
      <c r="A4102" s="2">
        <v>37103</v>
      </c>
      <c r="B4102" s="1">
        <v>12.64</v>
      </c>
      <c r="C4102" s="1">
        <v>12.86</v>
      </c>
      <c r="D4102" s="1">
        <v>12.23</v>
      </c>
      <c r="E4102" s="1">
        <v>12.49</v>
      </c>
      <c r="F4102" s="1">
        <v>4378900</v>
      </c>
      <c r="G4102" s="1">
        <v>12.49</v>
      </c>
      <c r="H4102" s="1">
        <f t="shared" si="576"/>
        <v>0.62999999999999901</v>
      </c>
      <c r="I4102" s="9">
        <f t="shared" si="583"/>
        <v>5.1512673753066146E-2</v>
      </c>
      <c r="J4102" s="1">
        <f t="shared" si="584"/>
        <v>-6.0000000000000497E-2</v>
      </c>
      <c r="K4102" s="9">
        <f t="shared" si="577"/>
        <v>-4.780876494023944E-3</v>
      </c>
      <c r="L4102" s="1">
        <f t="shared" si="578"/>
        <v>1</v>
      </c>
      <c r="M4102" s="1">
        <f t="shared" si="579"/>
        <v>12.86</v>
      </c>
      <c r="N4102" s="1">
        <f t="shared" si="580"/>
        <v>12.23</v>
      </c>
      <c r="O4102" s="1">
        <f t="shared" si="581"/>
        <v>10.530000000000001</v>
      </c>
      <c r="P4102" s="1">
        <f t="shared" si="582"/>
        <v>5.3724489795918373</v>
      </c>
    </row>
    <row r="4103" spans="1:16">
      <c r="A4103" s="2">
        <v>37102</v>
      </c>
      <c r="B4103" s="1">
        <v>12.21</v>
      </c>
      <c r="C4103" s="1">
        <v>12.75</v>
      </c>
      <c r="D4103" s="1">
        <v>11.98</v>
      </c>
      <c r="E4103" s="1">
        <v>12.55</v>
      </c>
      <c r="F4103" s="1">
        <v>5181000</v>
      </c>
      <c r="G4103" s="1">
        <v>12.55</v>
      </c>
      <c r="H4103" s="1">
        <f t="shared" si="576"/>
        <v>0.76999999999999957</v>
      </c>
      <c r="I4103" s="9">
        <f t="shared" si="583"/>
        <v>6.4273789649415658E-2</v>
      </c>
      <c r="J4103" s="1">
        <f t="shared" si="584"/>
        <v>0.30000000000000071</v>
      </c>
      <c r="K4103" s="9">
        <f t="shared" si="577"/>
        <v>2.4489795918367405E-2</v>
      </c>
      <c r="L4103" s="1">
        <f t="shared" si="578"/>
        <v>1</v>
      </c>
      <c r="M4103" s="1">
        <f t="shared" si="579"/>
        <v>12.75</v>
      </c>
      <c r="N4103" s="1">
        <f t="shared" si="580"/>
        <v>11.98</v>
      </c>
      <c r="O4103" s="1">
        <f t="shared" si="581"/>
        <v>10.59</v>
      </c>
      <c r="P4103" s="1">
        <f t="shared" si="582"/>
        <v>5.4030612244897958</v>
      </c>
    </row>
    <row r="4104" spans="1:16">
      <c r="A4104" s="2">
        <v>37099</v>
      </c>
      <c r="B4104" s="1">
        <v>12.33</v>
      </c>
      <c r="C4104" s="1">
        <v>12.43</v>
      </c>
      <c r="D4104" s="1">
        <v>11.7</v>
      </c>
      <c r="E4104" s="1">
        <v>12.25</v>
      </c>
      <c r="F4104" s="1">
        <v>9075900</v>
      </c>
      <c r="G4104" s="1">
        <v>12.25</v>
      </c>
      <c r="H4104" s="1">
        <f t="shared" si="576"/>
        <v>0.73000000000000043</v>
      </c>
      <c r="I4104" s="9">
        <f t="shared" si="583"/>
        <v>6.2393162393162435E-2</v>
      </c>
      <c r="J4104" s="1">
        <f t="shared" si="584"/>
        <v>-8.0000000000000071E-2</v>
      </c>
      <c r="K4104" s="9">
        <f t="shared" si="577"/>
        <v>-6.488240064882406E-3</v>
      </c>
      <c r="L4104" s="1">
        <f t="shared" si="578"/>
        <v>1</v>
      </c>
      <c r="M4104" s="1">
        <f t="shared" si="579"/>
        <v>12.43</v>
      </c>
      <c r="N4104" s="1">
        <f t="shared" si="580"/>
        <v>11.7</v>
      </c>
      <c r="O4104" s="1">
        <f t="shared" si="581"/>
        <v>10.29</v>
      </c>
      <c r="P4104" s="1">
        <f t="shared" si="582"/>
        <v>5.25</v>
      </c>
    </row>
    <row r="4105" spans="1:16">
      <c r="A4105" s="2">
        <v>37098</v>
      </c>
      <c r="B4105" s="1">
        <v>11.67</v>
      </c>
      <c r="C4105" s="1">
        <v>12.75</v>
      </c>
      <c r="D4105" s="1">
        <v>11.23</v>
      </c>
      <c r="E4105" s="1">
        <v>12.33</v>
      </c>
      <c r="F4105" s="1">
        <v>10502500</v>
      </c>
      <c r="G4105" s="1">
        <v>12.33</v>
      </c>
      <c r="H4105" s="1">
        <f t="shared" si="576"/>
        <v>1.5199999999999996</v>
      </c>
      <c r="I4105" s="9">
        <f t="shared" si="583"/>
        <v>0.13535173642030271</v>
      </c>
      <c r="J4105" s="1">
        <f t="shared" si="584"/>
        <v>0.82000000000000028</v>
      </c>
      <c r="K4105" s="9">
        <f t="shared" si="577"/>
        <v>7.1242397914856676E-2</v>
      </c>
      <c r="L4105" s="1">
        <f t="shared" si="578"/>
        <v>1</v>
      </c>
      <c r="M4105" s="1">
        <f t="shared" si="579"/>
        <v>12.75</v>
      </c>
      <c r="N4105" s="1">
        <f t="shared" si="580"/>
        <v>11.23</v>
      </c>
      <c r="O4105" s="1">
        <f t="shared" si="581"/>
        <v>10.370000000000001</v>
      </c>
      <c r="P4105" s="1">
        <f t="shared" si="582"/>
        <v>5.2908163265306127</v>
      </c>
    </row>
    <row r="4106" spans="1:16">
      <c r="A4106" s="2">
        <v>37097</v>
      </c>
      <c r="B4106" s="1">
        <v>12.29</v>
      </c>
      <c r="C4106" s="1">
        <v>12.31</v>
      </c>
      <c r="D4106" s="1">
        <v>11.07</v>
      </c>
      <c r="E4106" s="1">
        <v>11.51</v>
      </c>
      <c r="F4106" s="1">
        <v>12559700</v>
      </c>
      <c r="G4106" s="1">
        <v>11.51</v>
      </c>
      <c r="H4106" s="1">
        <f t="shared" si="576"/>
        <v>1.2400000000000002</v>
      </c>
      <c r="I4106" s="9">
        <f t="shared" si="583"/>
        <v>0.11201445347786813</v>
      </c>
      <c r="J4106" s="1">
        <f t="shared" si="584"/>
        <v>-0.55000000000000071</v>
      </c>
      <c r="K4106" s="9">
        <f t="shared" si="577"/>
        <v>-4.5605306799336706E-2</v>
      </c>
      <c r="L4106" s="1">
        <f t="shared" si="578"/>
        <v>1</v>
      </c>
      <c r="M4106" s="1">
        <f t="shared" si="579"/>
        <v>12.31</v>
      </c>
      <c r="N4106" s="1">
        <f t="shared" si="580"/>
        <v>11.07</v>
      </c>
      <c r="O4106" s="1">
        <f t="shared" si="581"/>
        <v>9.5500000000000007</v>
      </c>
      <c r="P4106" s="1">
        <f t="shared" si="582"/>
        <v>4.8724489795918373</v>
      </c>
    </row>
    <row r="4107" spans="1:16">
      <c r="A4107" s="2">
        <v>37096</v>
      </c>
      <c r="B4107" s="1">
        <v>13.62</v>
      </c>
      <c r="C4107" s="1">
        <v>14</v>
      </c>
      <c r="D4107" s="1">
        <v>11.9</v>
      </c>
      <c r="E4107" s="1">
        <v>12.06</v>
      </c>
      <c r="F4107" s="1">
        <v>32572900</v>
      </c>
      <c r="G4107" s="1">
        <v>12.06</v>
      </c>
      <c r="H4107" s="1">
        <f t="shared" si="576"/>
        <v>2.0999999999999996</v>
      </c>
      <c r="I4107" s="9">
        <f t="shared" si="583"/>
        <v>0.17647058823529407</v>
      </c>
      <c r="J4107" s="1">
        <f t="shared" si="584"/>
        <v>-3.9700000000000006</v>
      </c>
      <c r="K4107" s="9">
        <f t="shared" si="577"/>
        <v>-0.24766063630692453</v>
      </c>
      <c r="L4107" s="1">
        <f t="shared" si="578"/>
        <v>1</v>
      </c>
      <c r="M4107" s="1">
        <f t="shared" si="579"/>
        <v>14</v>
      </c>
      <c r="N4107" s="1">
        <f t="shared" si="580"/>
        <v>11.9</v>
      </c>
      <c r="O4107" s="1">
        <f t="shared" si="581"/>
        <v>10.100000000000001</v>
      </c>
      <c r="P4107" s="1">
        <f t="shared" si="582"/>
        <v>5.1530612244897966</v>
      </c>
    </row>
    <row r="4108" spans="1:16">
      <c r="A4108" s="2">
        <v>37095</v>
      </c>
      <c r="B4108" s="1">
        <v>17.02</v>
      </c>
      <c r="C4108" s="1">
        <v>17.13</v>
      </c>
      <c r="D4108" s="1">
        <v>15.96</v>
      </c>
      <c r="E4108" s="1">
        <v>16.03</v>
      </c>
      <c r="F4108" s="1">
        <v>8663900</v>
      </c>
      <c r="G4108" s="1">
        <v>16.03</v>
      </c>
      <c r="H4108" s="1">
        <f t="shared" si="576"/>
        <v>1.1699999999999982</v>
      </c>
      <c r="I4108" s="9">
        <f t="shared" si="583"/>
        <v>7.3308270676691614E-2</v>
      </c>
      <c r="J4108" s="1">
        <f t="shared" si="584"/>
        <v>-0.94999999999999929</v>
      </c>
      <c r="K4108" s="9">
        <f t="shared" si="577"/>
        <v>-5.594817432273258E-2</v>
      </c>
      <c r="L4108" s="1">
        <f t="shared" si="578"/>
        <v>1</v>
      </c>
      <c r="M4108" s="1">
        <f t="shared" si="579"/>
        <v>17.13</v>
      </c>
      <c r="N4108" s="1">
        <f t="shared" si="580"/>
        <v>15.96</v>
      </c>
      <c r="O4108" s="1">
        <f t="shared" si="581"/>
        <v>14.07</v>
      </c>
      <c r="P4108" s="1">
        <f t="shared" si="582"/>
        <v>7.1785714285714288</v>
      </c>
    </row>
    <row r="4109" spans="1:16">
      <c r="A4109" s="2">
        <v>37092</v>
      </c>
      <c r="B4109" s="1">
        <v>16.53</v>
      </c>
      <c r="C4109" s="1">
        <v>17.25</v>
      </c>
      <c r="D4109" s="1">
        <v>16.45</v>
      </c>
      <c r="E4109" s="1">
        <v>16.98</v>
      </c>
      <c r="F4109" s="1">
        <v>3735700</v>
      </c>
      <c r="G4109" s="1">
        <v>16.98</v>
      </c>
      <c r="H4109" s="1">
        <f t="shared" si="576"/>
        <v>0.80000000000000071</v>
      </c>
      <c r="I4109" s="9">
        <f t="shared" si="583"/>
        <v>4.8632218844984851E-2</v>
      </c>
      <c r="J4109" s="1">
        <f t="shared" si="584"/>
        <v>0.49000000000000199</v>
      </c>
      <c r="K4109" s="9">
        <f t="shared" si="577"/>
        <v>2.9714978775015284E-2</v>
      </c>
      <c r="L4109" s="1">
        <f t="shared" si="578"/>
        <v>1</v>
      </c>
      <c r="M4109" s="1">
        <f t="shared" si="579"/>
        <v>17.25</v>
      </c>
      <c r="N4109" s="1">
        <f t="shared" si="580"/>
        <v>16.45</v>
      </c>
      <c r="O4109" s="1">
        <f t="shared" si="581"/>
        <v>15.02</v>
      </c>
      <c r="P4109" s="1">
        <f t="shared" si="582"/>
        <v>7.6632653061224492</v>
      </c>
    </row>
    <row r="4110" spans="1:16">
      <c r="A4110" s="2">
        <v>37091</v>
      </c>
      <c r="B4110" s="1">
        <v>16.149999999999999</v>
      </c>
      <c r="C4110" s="1">
        <v>16.8</v>
      </c>
      <c r="D4110" s="1">
        <v>16.14</v>
      </c>
      <c r="E4110" s="1">
        <v>16.489999999999998</v>
      </c>
      <c r="F4110" s="1">
        <v>5212800</v>
      </c>
      <c r="G4110" s="1">
        <v>16.489999999999998</v>
      </c>
      <c r="H4110" s="1">
        <f t="shared" si="576"/>
        <v>0.66000000000000014</v>
      </c>
      <c r="I4110" s="9">
        <f t="shared" si="583"/>
        <v>4.0892193308550193E-2</v>
      </c>
      <c r="J4110" s="1">
        <f t="shared" si="584"/>
        <v>0.52999999999999758</v>
      </c>
      <c r="K4110" s="9">
        <f t="shared" si="577"/>
        <v>3.3208020050125159E-2</v>
      </c>
      <c r="L4110" s="1">
        <f t="shared" si="578"/>
        <v>1</v>
      </c>
      <c r="M4110" s="1">
        <f t="shared" si="579"/>
        <v>16.8</v>
      </c>
      <c r="N4110" s="1">
        <f t="shared" si="580"/>
        <v>16.14</v>
      </c>
      <c r="O4110" s="1">
        <f t="shared" si="581"/>
        <v>14.529999999999998</v>
      </c>
      <c r="P4110" s="1">
        <f t="shared" si="582"/>
        <v>7.4132653061224483</v>
      </c>
    </row>
    <row r="4111" spans="1:16">
      <c r="A4111" s="2">
        <v>37090</v>
      </c>
      <c r="B4111" s="1">
        <v>16.07</v>
      </c>
      <c r="C4111" s="1">
        <v>16.649999999999999</v>
      </c>
      <c r="D4111" s="1">
        <v>15.88</v>
      </c>
      <c r="E4111" s="1">
        <v>15.96</v>
      </c>
      <c r="F4111" s="1">
        <v>3673100</v>
      </c>
      <c r="G4111" s="1">
        <v>15.96</v>
      </c>
      <c r="H4111" s="1">
        <f t="shared" si="576"/>
        <v>0.7699999999999978</v>
      </c>
      <c r="I4111" s="9">
        <f t="shared" si="583"/>
        <v>4.8488664987405401E-2</v>
      </c>
      <c r="J4111" s="1">
        <f t="shared" si="584"/>
        <v>-0.39000000000000057</v>
      </c>
      <c r="K4111" s="9">
        <f t="shared" si="577"/>
        <v>-2.3853211009174344E-2</v>
      </c>
      <c r="L4111" s="1">
        <f t="shared" si="578"/>
        <v>1</v>
      </c>
      <c r="M4111" s="1">
        <f t="shared" si="579"/>
        <v>16.649999999999999</v>
      </c>
      <c r="N4111" s="1">
        <f t="shared" si="580"/>
        <v>15.88</v>
      </c>
      <c r="O4111" s="1">
        <f t="shared" si="581"/>
        <v>14</v>
      </c>
      <c r="P4111" s="1">
        <f t="shared" si="582"/>
        <v>7.1428571428571432</v>
      </c>
    </row>
    <row r="4112" spans="1:16">
      <c r="A4112" s="2">
        <v>37089</v>
      </c>
      <c r="B4112" s="1">
        <v>15.84</v>
      </c>
      <c r="C4112" s="1">
        <v>16.489999999999998</v>
      </c>
      <c r="D4112" s="1">
        <v>15.83</v>
      </c>
      <c r="E4112" s="1">
        <v>16.350000000000001</v>
      </c>
      <c r="F4112" s="1">
        <v>3706200</v>
      </c>
      <c r="G4112" s="1">
        <v>16.350000000000001</v>
      </c>
      <c r="H4112" s="1">
        <f t="shared" si="576"/>
        <v>0.65999999999999837</v>
      </c>
      <c r="I4112" s="9">
        <f t="shared" si="583"/>
        <v>4.1692987997473049E-2</v>
      </c>
      <c r="J4112" s="1">
        <f t="shared" si="584"/>
        <v>0.33999999999999986</v>
      </c>
      <c r="K4112" s="9">
        <f t="shared" si="577"/>
        <v>2.1236727045596492E-2</v>
      </c>
      <c r="L4112" s="1">
        <f t="shared" si="578"/>
        <v>1</v>
      </c>
      <c r="M4112" s="1">
        <f t="shared" si="579"/>
        <v>16.489999999999998</v>
      </c>
      <c r="N4112" s="1">
        <f t="shared" si="580"/>
        <v>15.83</v>
      </c>
      <c r="O4112" s="1">
        <f t="shared" si="581"/>
        <v>14.39</v>
      </c>
      <c r="P4112" s="1">
        <f t="shared" si="582"/>
        <v>7.341836734693878</v>
      </c>
    </row>
    <row r="4113" spans="1:16">
      <c r="A4113" s="2">
        <v>37088</v>
      </c>
      <c r="B4113" s="1">
        <v>16.940000000000001</v>
      </c>
      <c r="C4113" s="1">
        <v>17.420000000000002</v>
      </c>
      <c r="D4113" s="1">
        <v>16.010000000000002</v>
      </c>
      <c r="E4113" s="1">
        <v>16.010000000000002</v>
      </c>
      <c r="F4113" s="1">
        <v>7315800</v>
      </c>
      <c r="G4113" s="1">
        <v>16.010000000000002</v>
      </c>
      <c r="H4113" s="1">
        <f t="shared" si="576"/>
        <v>1.4100000000000001</v>
      </c>
      <c r="I4113" s="9">
        <f t="shared" si="583"/>
        <v>8.8069956277326666E-2</v>
      </c>
      <c r="J4113" s="1">
        <f t="shared" si="584"/>
        <v>-0.96999999999999886</v>
      </c>
      <c r="K4113" s="9">
        <f t="shared" si="577"/>
        <v>-5.7126030624263774E-2</v>
      </c>
      <c r="L4113" s="1">
        <f t="shared" si="578"/>
        <v>1</v>
      </c>
      <c r="M4113" s="1">
        <f t="shared" si="579"/>
        <v>17.420000000000002</v>
      </c>
      <c r="N4113" s="1">
        <f t="shared" si="580"/>
        <v>16.010000000000002</v>
      </c>
      <c r="O4113" s="1">
        <f t="shared" si="581"/>
        <v>14.05</v>
      </c>
      <c r="P4113" s="1">
        <f t="shared" si="582"/>
        <v>7.1683673469387763</v>
      </c>
    </row>
    <row r="4114" spans="1:16">
      <c r="A4114" s="2">
        <v>37085</v>
      </c>
      <c r="B4114" s="1">
        <v>16.260000000000002</v>
      </c>
      <c r="C4114" s="1">
        <v>17</v>
      </c>
      <c r="D4114" s="1">
        <v>16.100000000000001</v>
      </c>
      <c r="E4114" s="1">
        <v>16.98</v>
      </c>
      <c r="F4114" s="1">
        <v>6848300</v>
      </c>
      <c r="G4114" s="1">
        <v>16.98</v>
      </c>
      <c r="H4114" s="1">
        <f t="shared" si="576"/>
        <v>0.89999999999999858</v>
      </c>
      <c r="I4114" s="9">
        <f t="shared" si="583"/>
        <v>5.5900621118012327E-2</v>
      </c>
      <c r="J4114" s="1">
        <f t="shared" si="584"/>
        <v>0.49000000000000199</v>
      </c>
      <c r="K4114" s="9">
        <f t="shared" si="577"/>
        <v>2.9714978775015284E-2</v>
      </c>
      <c r="L4114" s="1">
        <f t="shared" si="578"/>
        <v>1</v>
      </c>
      <c r="M4114" s="1">
        <f t="shared" si="579"/>
        <v>17</v>
      </c>
      <c r="N4114" s="1">
        <f t="shared" si="580"/>
        <v>16.100000000000001</v>
      </c>
      <c r="O4114" s="1">
        <f t="shared" si="581"/>
        <v>15.02</v>
      </c>
      <c r="P4114" s="1">
        <f t="shared" si="582"/>
        <v>7.6632653061224492</v>
      </c>
    </row>
    <row r="4115" spans="1:16">
      <c r="A4115" s="2">
        <v>37084</v>
      </c>
      <c r="B4115" s="1">
        <v>15.7</v>
      </c>
      <c r="C4115" s="1">
        <v>16.54</v>
      </c>
      <c r="D4115" s="1">
        <v>15.7</v>
      </c>
      <c r="E4115" s="1">
        <v>16.489999999999998</v>
      </c>
      <c r="F4115" s="1">
        <v>5976500</v>
      </c>
      <c r="G4115" s="1">
        <v>16.489999999999998</v>
      </c>
      <c r="H4115" s="1">
        <f t="shared" si="576"/>
        <v>0.83999999999999986</v>
      </c>
      <c r="I4115" s="9">
        <f t="shared" si="583"/>
        <v>5.3503184713375791E-2</v>
      </c>
      <c r="J4115" s="1">
        <f t="shared" si="584"/>
        <v>1.1499999999999986</v>
      </c>
      <c r="K4115" s="9">
        <f t="shared" si="577"/>
        <v>7.4967405475879961E-2</v>
      </c>
      <c r="L4115" s="1">
        <f t="shared" si="578"/>
        <v>1</v>
      </c>
      <c r="M4115" s="1">
        <f t="shared" si="579"/>
        <v>16.54</v>
      </c>
      <c r="N4115" s="1">
        <f t="shared" si="580"/>
        <v>15.7</v>
      </c>
      <c r="O4115" s="1">
        <f t="shared" si="581"/>
        <v>14.529999999999998</v>
      </c>
      <c r="P4115" s="1">
        <f t="shared" si="582"/>
        <v>7.4132653061224483</v>
      </c>
    </row>
    <row r="4116" spans="1:16">
      <c r="A4116" s="2">
        <v>37083</v>
      </c>
      <c r="B4116" s="1">
        <v>15.43</v>
      </c>
      <c r="C4116" s="1">
        <v>15.8</v>
      </c>
      <c r="D4116" s="1">
        <v>14.95</v>
      </c>
      <c r="E4116" s="1">
        <v>15.34</v>
      </c>
      <c r="F4116" s="1">
        <v>5821800</v>
      </c>
      <c r="G4116" s="1">
        <v>15.34</v>
      </c>
      <c r="H4116" s="1">
        <f t="shared" si="576"/>
        <v>0.85000000000000142</v>
      </c>
      <c r="I4116" s="9">
        <f t="shared" si="583"/>
        <v>5.6856187290970001E-2</v>
      </c>
      <c r="J4116" s="1">
        <f t="shared" si="584"/>
        <v>-0.26999999999999957</v>
      </c>
      <c r="K4116" s="9">
        <f t="shared" si="577"/>
        <v>-1.7296604740550902E-2</v>
      </c>
      <c r="L4116" s="1">
        <f t="shared" si="578"/>
        <v>1</v>
      </c>
      <c r="M4116" s="1">
        <f t="shared" si="579"/>
        <v>15.8</v>
      </c>
      <c r="N4116" s="1">
        <f t="shared" si="580"/>
        <v>14.95</v>
      </c>
      <c r="O4116" s="1">
        <f t="shared" si="581"/>
        <v>13.379999999999999</v>
      </c>
      <c r="P4116" s="1">
        <f t="shared" si="582"/>
        <v>6.8265306122448974</v>
      </c>
    </row>
    <row r="4117" spans="1:16">
      <c r="A4117" s="2">
        <v>37082</v>
      </c>
      <c r="B4117" s="1">
        <v>16.079999999999998</v>
      </c>
      <c r="C4117" s="1">
        <v>16.12</v>
      </c>
      <c r="D4117" s="1">
        <v>15.6</v>
      </c>
      <c r="E4117" s="1">
        <v>15.61</v>
      </c>
      <c r="F4117" s="1">
        <v>8642700</v>
      </c>
      <c r="G4117" s="1">
        <v>15.61</v>
      </c>
      <c r="H4117" s="1">
        <f t="shared" si="576"/>
        <v>0.52000000000000135</v>
      </c>
      <c r="I4117" s="9">
        <f t="shared" si="583"/>
        <v>3.3333333333333423E-2</v>
      </c>
      <c r="J4117" s="1">
        <f t="shared" si="584"/>
        <v>-0.20000000000000107</v>
      </c>
      <c r="K4117" s="9">
        <f t="shared" si="577"/>
        <v>-1.2650221378874197E-2</v>
      </c>
      <c r="L4117" s="1">
        <f t="shared" si="578"/>
        <v>1</v>
      </c>
      <c r="M4117" s="1">
        <f t="shared" si="579"/>
        <v>16.12</v>
      </c>
      <c r="N4117" s="1">
        <f t="shared" si="580"/>
        <v>15.6</v>
      </c>
      <c r="O4117" s="1">
        <f t="shared" si="581"/>
        <v>13.649999999999999</v>
      </c>
      <c r="P4117" s="1">
        <f t="shared" si="582"/>
        <v>6.9642857142857135</v>
      </c>
    </row>
    <row r="4118" spans="1:16">
      <c r="A4118" s="2">
        <v>37081</v>
      </c>
      <c r="B4118" s="1">
        <v>15.35</v>
      </c>
      <c r="C4118" s="1">
        <v>15.9</v>
      </c>
      <c r="D4118" s="1">
        <v>15.11</v>
      </c>
      <c r="E4118" s="1">
        <v>15.81</v>
      </c>
      <c r="F4118" s="1">
        <v>8001000</v>
      </c>
      <c r="G4118" s="1">
        <v>15.81</v>
      </c>
      <c r="H4118" s="1">
        <f t="shared" si="576"/>
        <v>0.79000000000000092</v>
      </c>
      <c r="I4118" s="9">
        <f t="shared" si="583"/>
        <v>5.2283256121773723E-2</v>
      </c>
      <c r="J4118" s="1">
        <f t="shared" si="584"/>
        <v>0.54000000000000092</v>
      </c>
      <c r="K4118" s="9">
        <f t="shared" si="577"/>
        <v>3.5363457760314403E-2</v>
      </c>
      <c r="L4118" s="1">
        <f t="shared" si="578"/>
        <v>1</v>
      </c>
      <c r="M4118" s="1">
        <f t="shared" si="579"/>
        <v>15.9</v>
      </c>
      <c r="N4118" s="1">
        <f t="shared" si="580"/>
        <v>15.11</v>
      </c>
      <c r="O4118" s="1">
        <f t="shared" si="581"/>
        <v>13.850000000000001</v>
      </c>
      <c r="P4118" s="1">
        <f t="shared" si="582"/>
        <v>7.0663265306122458</v>
      </c>
    </row>
    <row r="4119" spans="1:16">
      <c r="A4119" s="2">
        <v>37078</v>
      </c>
      <c r="B4119" s="1">
        <v>14.9</v>
      </c>
      <c r="C4119" s="1">
        <v>15.72</v>
      </c>
      <c r="D4119" s="1">
        <v>14.8</v>
      </c>
      <c r="E4119" s="1">
        <v>15.27</v>
      </c>
      <c r="F4119" s="1">
        <v>9091200</v>
      </c>
      <c r="G4119" s="1">
        <v>15.27</v>
      </c>
      <c r="H4119" s="1">
        <f t="shared" si="576"/>
        <v>0.91999999999999993</v>
      </c>
      <c r="I4119" s="9">
        <f t="shared" si="583"/>
        <v>6.2162162162162152E-2</v>
      </c>
      <c r="J4119" s="1">
        <f t="shared" si="584"/>
        <v>0</v>
      </c>
      <c r="K4119" s="9">
        <f t="shared" si="577"/>
        <v>0</v>
      </c>
      <c r="L4119" s="1">
        <f t="shared" si="578"/>
        <v>1</v>
      </c>
      <c r="M4119" s="1">
        <f t="shared" si="579"/>
        <v>15.72</v>
      </c>
      <c r="N4119" s="1">
        <f t="shared" si="580"/>
        <v>14.8</v>
      </c>
      <c r="O4119" s="1">
        <f t="shared" si="581"/>
        <v>13.309999999999999</v>
      </c>
      <c r="P4119" s="1">
        <f t="shared" si="582"/>
        <v>6.7908163265306118</v>
      </c>
    </row>
    <row r="4120" spans="1:16">
      <c r="A4120" s="2">
        <v>37077</v>
      </c>
      <c r="B4120" s="1">
        <v>14.28</v>
      </c>
      <c r="C4120" s="1">
        <v>15.45</v>
      </c>
      <c r="D4120" s="1">
        <v>14.2</v>
      </c>
      <c r="E4120" s="1">
        <v>15.27</v>
      </c>
      <c r="F4120" s="1">
        <v>12083200</v>
      </c>
      <c r="G4120" s="1">
        <v>15.27</v>
      </c>
      <c r="H4120" s="1">
        <f t="shared" si="576"/>
        <v>1.25</v>
      </c>
      <c r="I4120" s="9">
        <f t="shared" si="583"/>
        <v>8.8028169014084515E-2</v>
      </c>
      <c r="J4120" s="1">
        <f t="shared" si="584"/>
        <v>1.1399999999999988</v>
      </c>
      <c r="K4120" s="9">
        <f t="shared" si="577"/>
        <v>8.0679405520169764E-2</v>
      </c>
      <c r="L4120" s="1">
        <f t="shared" si="578"/>
        <v>1</v>
      </c>
      <c r="M4120" s="1">
        <f t="shared" si="579"/>
        <v>15.45</v>
      </c>
      <c r="N4120" s="1">
        <f t="shared" si="580"/>
        <v>14.2</v>
      </c>
      <c r="O4120" s="1">
        <f t="shared" si="581"/>
        <v>13.309999999999999</v>
      </c>
      <c r="P4120" s="1">
        <f t="shared" si="582"/>
        <v>6.7908163265306118</v>
      </c>
    </row>
    <row r="4121" spans="1:16">
      <c r="A4121" s="2">
        <v>37075</v>
      </c>
      <c r="B4121" s="1">
        <v>14.49</v>
      </c>
      <c r="C4121" s="1">
        <v>14.5</v>
      </c>
      <c r="D4121" s="1">
        <v>14</v>
      </c>
      <c r="E4121" s="1">
        <v>14.13</v>
      </c>
      <c r="F4121" s="1">
        <v>2701100</v>
      </c>
      <c r="G4121" s="1">
        <v>14.13</v>
      </c>
      <c r="H4121" s="1">
        <f t="shared" si="576"/>
        <v>0.5</v>
      </c>
      <c r="I4121" s="9">
        <f t="shared" si="583"/>
        <v>3.5714285714285712E-2</v>
      </c>
      <c r="J4121" s="1">
        <f t="shared" si="584"/>
        <v>-0.39999999999999858</v>
      </c>
      <c r="K4121" s="9">
        <f t="shared" si="577"/>
        <v>-2.7529249827942092E-2</v>
      </c>
      <c r="L4121" s="1">
        <f t="shared" si="578"/>
        <v>1</v>
      </c>
      <c r="M4121" s="1">
        <f t="shared" si="579"/>
        <v>14.5</v>
      </c>
      <c r="N4121" s="1">
        <f t="shared" si="580"/>
        <v>14</v>
      </c>
      <c r="O4121" s="1">
        <f t="shared" si="581"/>
        <v>12.170000000000002</v>
      </c>
      <c r="P4121" s="1">
        <f t="shared" si="582"/>
        <v>6.209183673469389</v>
      </c>
    </row>
    <row r="4122" spans="1:16">
      <c r="A4122" s="2">
        <v>37074</v>
      </c>
      <c r="B4122" s="1">
        <v>14.1</v>
      </c>
      <c r="C4122" s="1">
        <v>14.71</v>
      </c>
      <c r="D4122" s="1">
        <v>13.85</v>
      </c>
      <c r="E4122" s="1">
        <v>14.53</v>
      </c>
      <c r="F4122" s="1">
        <v>6334500</v>
      </c>
      <c r="G4122" s="1">
        <v>14.53</v>
      </c>
      <c r="H4122" s="1">
        <f t="shared" si="576"/>
        <v>0.86000000000000121</v>
      </c>
      <c r="I4122" s="9">
        <f t="shared" si="583"/>
        <v>6.2093862815884568E-2</v>
      </c>
      <c r="J4122" s="1">
        <f t="shared" si="584"/>
        <v>0.37999999999999901</v>
      </c>
      <c r="K4122" s="9">
        <f t="shared" si="577"/>
        <v>2.685512367491159E-2</v>
      </c>
      <c r="L4122" s="1">
        <f t="shared" si="578"/>
        <v>1</v>
      </c>
      <c r="M4122" s="1">
        <f t="shared" si="579"/>
        <v>14.71</v>
      </c>
      <c r="N4122" s="1">
        <f t="shared" si="580"/>
        <v>13.85</v>
      </c>
      <c r="O4122" s="1">
        <f t="shared" si="581"/>
        <v>12.57</v>
      </c>
      <c r="P4122" s="1">
        <f t="shared" si="582"/>
        <v>6.4132653061224492</v>
      </c>
    </row>
    <row r="4123" spans="1:16">
      <c r="A4123" s="2">
        <v>37071</v>
      </c>
      <c r="B4123" s="1">
        <v>14.31</v>
      </c>
      <c r="C4123" s="1">
        <v>14.65</v>
      </c>
      <c r="D4123" s="1">
        <v>13.72</v>
      </c>
      <c r="E4123" s="1">
        <v>14.15</v>
      </c>
      <c r="F4123" s="1">
        <v>4489000</v>
      </c>
      <c r="G4123" s="1">
        <v>14.15</v>
      </c>
      <c r="H4123" s="1">
        <f t="shared" si="576"/>
        <v>0.92999999999999972</v>
      </c>
      <c r="I4123" s="9">
        <f t="shared" si="583"/>
        <v>6.7784256559766734E-2</v>
      </c>
      <c r="J4123" s="1">
        <f t="shared" si="584"/>
        <v>-0.20999999999999908</v>
      </c>
      <c r="K4123" s="9">
        <f t="shared" si="577"/>
        <v>-1.4623955431754812E-2</v>
      </c>
      <c r="L4123" s="1">
        <f t="shared" si="578"/>
        <v>1</v>
      </c>
      <c r="M4123" s="1">
        <f t="shared" si="579"/>
        <v>14.65</v>
      </c>
      <c r="N4123" s="1">
        <f t="shared" si="580"/>
        <v>13.72</v>
      </c>
      <c r="O4123" s="1">
        <f t="shared" si="581"/>
        <v>12.190000000000001</v>
      </c>
      <c r="P4123" s="1">
        <f t="shared" si="582"/>
        <v>6.2193877551020416</v>
      </c>
    </row>
    <row r="4124" spans="1:16">
      <c r="A4124" s="2">
        <v>37070</v>
      </c>
      <c r="B4124" s="1">
        <v>14.23</v>
      </c>
      <c r="C4124" s="1">
        <v>14.59</v>
      </c>
      <c r="D4124" s="1">
        <v>13.77</v>
      </c>
      <c r="E4124" s="1">
        <v>14.36</v>
      </c>
      <c r="F4124" s="1">
        <v>5516700</v>
      </c>
      <c r="G4124" s="1">
        <v>14.36</v>
      </c>
      <c r="H4124" s="1">
        <f t="shared" si="576"/>
        <v>0.82000000000000028</v>
      </c>
      <c r="I4124" s="9">
        <f t="shared" si="583"/>
        <v>5.9549745824255651E-2</v>
      </c>
      <c r="J4124" s="1">
        <f t="shared" si="584"/>
        <v>0.32000000000000028</v>
      </c>
      <c r="K4124" s="9">
        <f t="shared" si="577"/>
        <v>2.2792022792022814E-2</v>
      </c>
      <c r="L4124" s="1">
        <f t="shared" si="578"/>
        <v>1</v>
      </c>
      <c r="M4124" s="1">
        <f t="shared" si="579"/>
        <v>14.59</v>
      </c>
      <c r="N4124" s="1">
        <f t="shared" si="580"/>
        <v>13.77</v>
      </c>
      <c r="O4124" s="1">
        <f t="shared" si="581"/>
        <v>12.399999999999999</v>
      </c>
      <c r="P4124" s="1">
        <f t="shared" si="582"/>
        <v>6.3265306122448974</v>
      </c>
    </row>
    <row r="4125" spans="1:16">
      <c r="A4125" s="2">
        <v>37069</v>
      </c>
      <c r="B4125" s="1">
        <v>13.81</v>
      </c>
      <c r="C4125" s="1">
        <v>14.25</v>
      </c>
      <c r="D4125" s="1">
        <v>13.65</v>
      </c>
      <c r="E4125" s="1">
        <v>14.04</v>
      </c>
      <c r="F4125" s="1">
        <v>7624400</v>
      </c>
      <c r="G4125" s="1">
        <v>14.04</v>
      </c>
      <c r="H4125" s="1">
        <f t="shared" si="576"/>
        <v>0.59999999999999964</v>
      </c>
      <c r="I4125" s="9">
        <f t="shared" si="583"/>
        <v>4.3956043956043932E-2</v>
      </c>
      <c r="J4125" s="1">
        <f t="shared" si="584"/>
        <v>0.78999999999999915</v>
      </c>
      <c r="K4125" s="9">
        <f t="shared" si="577"/>
        <v>5.9622641509433895E-2</v>
      </c>
      <c r="L4125" s="1">
        <f t="shared" si="578"/>
        <v>1</v>
      </c>
      <c r="M4125" s="1">
        <f t="shared" si="579"/>
        <v>14.25</v>
      </c>
      <c r="N4125" s="1">
        <f t="shared" si="580"/>
        <v>13.65</v>
      </c>
      <c r="O4125" s="1">
        <f t="shared" si="581"/>
        <v>12.079999999999998</v>
      </c>
      <c r="P4125" s="1">
        <f t="shared" si="582"/>
        <v>6.1632653061224483</v>
      </c>
    </row>
    <row r="4126" spans="1:16">
      <c r="A4126" s="2">
        <v>37068</v>
      </c>
      <c r="B4126" s="1">
        <v>12.54</v>
      </c>
      <c r="C4126" s="1">
        <v>13.74</v>
      </c>
      <c r="D4126" s="1">
        <v>12.04</v>
      </c>
      <c r="E4126" s="1">
        <v>13.25</v>
      </c>
      <c r="F4126" s="1">
        <v>6639500</v>
      </c>
      <c r="G4126" s="1">
        <v>13.25</v>
      </c>
      <c r="H4126" s="1">
        <f t="shared" si="576"/>
        <v>1.7000000000000011</v>
      </c>
      <c r="I4126" s="9">
        <f t="shared" si="583"/>
        <v>0.14119601328903664</v>
      </c>
      <c r="J4126" s="1">
        <f t="shared" si="584"/>
        <v>0.4399999999999995</v>
      </c>
      <c r="K4126" s="9">
        <f t="shared" si="577"/>
        <v>3.4348165495706441E-2</v>
      </c>
      <c r="L4126" s="1">
        <f t="shared" si="578"/>
        <v>1</v>
      </c>
      <c r="M4126" s="1">
        <f t="shared" si="579"/>
        <v>13.74</v>
      </c>
      <c r="N4126" s="1">
        <f t="shared" si="580"/>
        <v>12.04</v>
      </c>
      <c r="O4126" s="1">
        <f t="shared" si="581"/>
        <v>11.29</v>
      </c>
      <c r="P4126" s="1">
        <f t="shared" si="582"/>
        <v>5.7602040816326525</v>
      </c>
    </row>
    <row r="4127" spans="1:16">
      <c r="A4127" s="2">
        <v>37067</v>
      </c>
      <c r="B4127" s="1">
        <v>12.71</v>
      </c>
      <c r="C4127" s="1">
        <v>13.14</v>
      </c>
      <c r="D4127" s="1">
        <v>12.57</v>
      </c>
      <c r="E4127" s="1">
        <v>12.81</v>
      </c>
      <c r="F4127" s="1">
        <v>6947000</v>
      </c>
      <c r="G4127" s="1">
        <v>12.81</v>
      </c>
      <c r="H4127" s="1">
        <f t="shared" si="576"/>
        <v>0.57000000000000028</v>
      </c>
      <c r="I4127" s="9">
        <f t="shared" si="583"/>
        <v>4.5346062052505985E-2</v>
      </c>
      <c r="J4127" s="1">
        <f t="shared" si="584"/>
        <v>0.41000000000000014</v>
      </c>
      <c r="K4127" s="9">
        <f t="shared" si="577"/>
        <v>3.3064516129032266E-2</v>
      </c>
      <c r="L4127" s="1">
        <f t="shared" si="578"/>
        <v>1</v>
      </c>
      <c r="M4127" s="1">
        <f t="shared" si="579"/>
        <v>13.14</v>
      </c>
      <c r="N4127" s="1">
        <f t="shared" si="580"/>
        <v>12.57</v>
      </c>
      <c r="O4127" s="1">
        <f t="shared" si="581"/>
        <v>10.850000000000001</v>
      </c>
      <c r="P4127" s="1">
        <f t="shared" si="582"/>
        <v>5.5357142857142865</v>
      </c>
    </row>
    <row r="4128" spans="1:16">
      <c r="A4128" s="2">
        <v>37064</v>
      </c>
      <c r="B4128" s="1">
        <v>13.13</v>
      </c>
      <c r="C4128" s="1">
        <v>13.27</v>
      </c>
      <c r="D4128" s="1">
        <v>12.38</v>
      </c>
      <c r="E4128" s="1">
        <v>12.4</v>
      </c>
      <c r="F4128" s="1">
        <v>6316700</v>
      </c>
      <c r="G4128" s="1">
        <v>12.4</v>
      </c>
      <c r="H4128" s="1">
        <f t="shared" si="576"/>
        <v>0.88999999999999879</v>
      </c>
      <c r="I4128" s="9">
        <f t="shared" si="583"/>
        <v>7.1890145395799576E-2</v>
      </c>
      <c r="J4128" s="1">
        <f t="shared" si="584"/>
        <v>-0.67999999999999972</v>
      </c>
      <c r="K4128" s="9">
        <f t="shared" si="577"/>
        <v>-5.1987767584097837E-2</v>
      </c>
      <c r="L4128" s="1">
        <f t="shared" si="578"/>
        <v>1</v>
      </c>
      <c r="M4128" s="1">
        <f t="shared" si="579"/>
        <v>13.27</v>
      </c>
      <c r="N4128" s="1">
        <f t="shared" si="580"/>
        <v>12.38</v>
      </c>
      <c r="O4128" s="1">
        <f t="shared" si="581"/>
        <v>10.440000000000001</v>
      </c>
      <c r="P4128" s="1">
        <f t="shared" si="582"/>
        <v>5.3265306122448983</v>
      </c>
    </row>
    <row r="4129" spans="1:16">
      <c r="A4129" s="2">
        <v>37063</v>
      </c>
      <c r="B4129" s="1">
        <v>12.68</v>
      </c>
      <c r="C4129" s="1">
        <v>13.2</v>
      </c>
      <c r="D4129" s="1">
        <v>12.59</v>
      </c>
      <c r="E4129" s="1">
        <v>13.08</v>
      </c>
      <c r="F4129" s="1">
        <v>9777400</v>
      </c>
      <c r="G4129" s="1">
        <v>13.08</v>
      </c>
      <c r="H4129" s="1">
        <f t="shared" si="576"/>
        <v>0.60999999999999943</v>
      </c>
      <c r="I4129" s="9">
        <f t="shared" si="583"/>
        <v>4.8451151707704483E-2</v>
      </c>
      <c r="J4129" s="1">
        <f t="shared" si="584"/>
        <v>0.55000000000000071</v>
      </c>
      <c r="K4129" s="9">
        <f t="shared" si="577"/>
        <v>4.3894652833200376E-2</v>
      </c>
      <c r="L4129" s="1">
        <f t="shared" si="578"/>
        <v>1</v>
      </c>
      <c r="M4129" s="1">
        <f t="shared" si="579"/>
        <v>13.2</v>
      </c>
      <c r="N4129" s="1">
        <f t="shared" si="580"/>
        <v>12.59</v>
      </c>
      <c r="O4129" s="1">
        <f t="shared" si="581"/>
        <v>11.120000000000001</v>
      </c>
      <c r="P4129" s="1">
        <f t="shared" si="582"/>
        <v>5.6734693877551026</v>
      </c>
    </row>
    <row r="4130" spans="1:16">
      <c r="A4130" s="2">
        <v>37062</v>
      </c>
      <c r="B4130" s="1">
        <v>11.27</v>
      </c>
      <c r="C4130" s="1">
        <v>12.7</v>
      </c>
      <c r="D4130" s="1">
        <v>11.2</v>
      </c>
      <c r="E4130" s="1">
        <v>12.53</v>
      </c>
      <c r="F4130" s="1">
        <v>10652300</v>
      </c>
      <c r="G4130" s="1">
        <v>12.53</v>
      </c>
      <c r="H4130" s="1">
        <f t="shared" si="576"/>
        <v>1.5</v>
      </c>
      <c r="I4130" s="9">
        <f t="shared" si="583"/>
        <v>0.13392857142857142</v>
      </c>
      <c r="J4130" s="1">
        <f t="shared" si="584"/>
        <v>1.17</v>
      </c>
      <c r="K4130" s="9">
        <f t="shared" si="577"/>
        <v>0.10299295774647887</v>
      </c>
      <c r="L4130" s="1">
        <f t="shared" si="578"/>
        <v>1</v>
      </c>
      <c r="M4130" s="1">
        <f t="shared" si="579"/>
        <v>12.7</v>
      </c>
      <c r="N4130" s="1">
        <f t="shared" si="580"/>
        <v>11.2</v>
      </c>
      <c r="O4130" s="1">
        <f t="shared" si="581"/>
        <v>10.57</v>
      </c>
      <c r="P4130" s="1">
        <f t="shared" si="582"/>
        <v>5.3928571428571432</v>
      </c>
    </row>
    <row r="4131" spans="1:16">
      <c r="A4131" s="2">
        <v>37061</v>
      </c>
      <c r="B4131" s="1">
        <v>12.45</v>
      </c>
      <c r="C4131" s="1">
        <v>12.65</v>
      </c>
      <c r="D4131" s="1">
        <v>11.2</v>
      </c>
      <c r="E4131" s="1">
        <v>11.36</v>
      </c>
      <c r="F4131" s="1">
        <v>6109500</v>
      </c>
      <c r="G4131" s="1">
        <v>11.36</v>
      </c>
      <c r="H4131" s="1">
        <f t="shared" si="576"/>
        <v>1.4500000000000011</v>
      </c>
      <c r="I4131" s="9">
        <f t="shared" si="583"/>
        <v>0.12946428571428581</v>
      </c>
      <c r="J4131" s="1">
        <f t="shared" si="584"/>
        <v>-0.47000000000000064</v>
      </c>
      <c r="K4131" s="9">
        <f t="shared" si="577"/>
        <v>-3.9729501267962861E-2</v>
      </c>
      <c r="L4131" s="1">
        <f t="shared" si="578"/>
        <v>1</v>
      </c>
      <c r="M4131" s="1">
        <f t="shared" si="579"/>
        <v>12.65</v>
      </c>
      <c r="N4131" s="1">
        <f t="shared" si="580"/>
        <v>11.2</v>
      </c>
      <c r="O4131" s="1">
        <f t="shared" si="581"/>
        <v>9.3999999999999986</v>
      </c>
      <c r="P4131" s="1">
        <f t="shared" si="582"/>
        <v>4.7959183673469381</v>
      </c>
    </row>
    <row r="4132" spans="1:16">
      <c r="A4132" s="2">
        <v>37060</v>
      </c>
      <c r="B4132" s="1">
        <v>12.45</v>
      </c>
      <c r="C4132" s="1">
        <v>12.7</v>
      </c>
      <c r="D4132" s="1">
        <v>11.67</v>
      </c>
      <c r="E4132" s="1">
        <v>11.83</v>
      </c>
      <c r="F4132" s="1">
        <v>5717100</v>
      </c>
      <c r="G4132" s="1">
        <v>11.83</v>
      </c>
      <c r="H4132" s="1">
        <f t="shared" si="576"/>
        <v>1.0299999999999994</v>
      </c>
      <c r="I4132" s="9">
        <f t="shared" si="583"/>
        <v>8.826049700085685E-2</v>
      </c>
      <c r="J4132" s="1">
        <f t="shared" si="584"/>
        <v>-0.66000000000000014</v>
      </c>
      <c r="K4132" s="9">
        <f t="shared" si="577"/>
        <v>-5.2842273819055256E-2</v>
      </c>
      <c r="L4132" s="1">
        <f t="shared" si="578"/>
        <v>1</v>
      </c>
      <c r="M4132" s="1">
        <f t="shared" si="579"/>
        <v>12.7</v>
      </c>
      <c r="N4132" s="1">
        <f t="shared" si="580"/>
        <v>11.67</v>
      </c>
      <c r="O4132" s="1">
        <f t="shared" si="581"/>
        <v>9.870000000000001</v>
      </c>
      <c r="P4132" s="1">
        <f t="shared" si="582"/>
        <v>5.0357142857142865</v>
      </c>
    </row>
    <row r="4133" spans="1:16">
      <c r="A4133" s="2">
        <v>37057</v>
      </c>
      <c r="B4133" s="1">
        <v>13.01</v>
      </c>
      <c r="C4133" s="1">
        <v>13.46</v>
      </c>
      <c r="D4133" s="1">
        <v>12.3</v>
      </c>
      <c r="E4133" s="1">
        <v>12.49</v>
      </c>
      <c r="F4133" s="1">
        <v>7671600</v>
      </c>
      <c r="G4133" s="1">
        <v>12.49</v>
      </c>
      <c r="H4133" s="1">
        <f t="shared" si="576"/>
        <v>1.1600000000000001</v>
      </c>
      <c r="I4133" s="9">
        <f t="shared" si="583"/>
        <v>9.4308943089430899E-2</v>
      </c>
      <c r="J4133" s="1">
        <f t="shared" si="584"/>
        <v>-0.79999999999999893</v>
      </c>
      <c r="K4133" s="9">
        <f t="shared" si="577"/>
        <v>-6.0195635816403234E-2</v>
      </c>
      <c r="L4133" s="1">
        <f t="shared" si="578"/>
        <v>1</v>
      </c>
      <c r="M4133" s="1">
        <f t="shared" si="579"/>
        <v>13.46</v>
      </c>
      <c r="N4133" s="1">
        <f t="shared" si="580"/>
        <v>12.3</v>
      </c>
      <c r="O4133" s="1">
        <f t="shared" si="581"/>
        <v>10.530000000000001</v>
      </c>
      <c r="P4133" s="1">
        <f t="shared" si="582"/>
        <v>5.3724489795918373</v>
      </c>
    </row>
    <row r="4134" spans="1:16">
      <c r="A4134" s="2">
        <v>37056</v>
      </c>
      <c r="B4134" s="1">
        <v>14.12</v>
      </c>
      <c r="C4134" s="1">
        <v>14.12</v>
      </c>
      <c r="D4134" s="1">
        <v>13.16</v>
      </c>
      <c r="E4134" s="1">
        <v>13.29</v>
      </c>
      <c r="F4134" s="1">
        <v>5088300</v>
      </c>
      <c r="G4134" s="1">
        <v>13.29</v>
      </c>
      <c r="H4134" s="1">
        <f t="shared" si="576"/>
        <v>0.95999999999999908</v>
      </c>
      <c r="I4134" s="9">
        <f t="shared" si="583"/>
        <v>7.2948328267477131E-2</v>
      </c>
      <c r="J4134" s="1">
        <f t="shared" si="584"/>
        <v>-0.83000000000000007</v>
      </c>
      <c r="K4134" s="9">
        <f t="shared" si="577"/>
        <v>-5.878186968838528E-2</v>
      </c>
      <c r="L4134" s="1">
        <f t="shared" si="578"/>
        <v>1</v>
      </c>
      <c r="M4134" s="1">
        <f t="shared" si="579"/>
        <v>14.12</v>
      </c>
      <c r="N4134" s="1">
        <f t="shared" si="580"/>
        <v>13.16</v>
      </c>
      <c r="O4134" s="1">
        <f t="shared" si="581"/>
        <v>11.329999999999998</v>
      </c>
      <c r="P4134" s="1">
        <f t="shared" si="582"/>
        <v>5.7806122448979584</v>
      </c>
    </row>
    <row r="4135" spans="1:16">
      <c r="A4135" s="2">
        <v>37055</v>
      </c>
      <c r="B4135" s="1">
        <v>14.96</v>
      </c>
      <c r="C4135" s="1">
        <v>15.15</v>
      </c>
      <c r="D4135" s="1">
        <v>14.11</v>
      </c>
      <c r="E4135" s="1">
        <v>14.12</v>
      </c>
      <c r="F4135" s="1">
        <v>3784400</v>
      </c>
      <c r="G4135" s="1">
        <v>14.12</v>
      </c>
      <c r="H4135" s="1">
        <f t="shared" si="576"/>
        <v>1.0400000000000009</v>
      </c>
      <c r="I4135" s="9">
        <f t="shared" si="583"/>
        <v>7.3706591070163072E-2</v>
      </c>
      <c r="J4135" s="1">
        <f t="shared" si="584"/>
        <v>-0.52000000000000135</v>
      </c>
      <c r="K4135" s="9">
        <f t="shared" si="577"/>
        <v>-3.5519125683060197E-2</v>
      </c>
      <c r="L4135" s="1">
        <f t="shared" si="578"/>
        <v>1</v>
      </c>
      <c r="M4135" s="1">
        <f t="shared" si="579"/>
        <v>15.15</v>
      </c>
      <c r="N4135" s="1">
        <f t="shared" si="580"/>
        <v>14.11</v>
      </c>
      <c r="O4135" s="1">
        <f t="shared" si="581"/>
        <v>12.16</v>
      </c>
      <c r="P4135" s="1">
        <f t="shared" si="582"/>
        <v>6.204081632653061</v>
      </c>
    </row>
    <row r="4136" spans="1:16">
      <c r="A4136" s="2">
        <v>37054</v>
      </c>
      <c r="B4136" s="1">
        <v>14.6</v>
      </c>
      <c r="C4136" s="1">
        <v>14.79</v>
      </c>
      <c r="D4136" s="1">
        <v>14.32</v>
      </c>
      <c r="E4136" s="1">
        <v>14.64</v>
      </c>
      <c r="F4136" s="1">
        <v>4333700</v>
      </c>
      <c r="G4136" s="1">
        <v>14.64</v>
      </c>
      <c r="H4136" s="1">
        <f t="shared" si="576"/>
        <v>0.46999999999999886</v>
      </c>
      <c r="I4136" s="9">
        <f t="shared" si="583"/>
        <v>3.2821229050279246E-2</v>
      </c>
      <c r="J4136" s="1">
        <f t="shared" si="584"/>
        <v>-0.21999999999999886</v>
      </c>
      <c r="K4136" s="9">
        <f t="shared" si="577"/>
        <v>-1.4804845222072602E-2</v>
      </c>
      <c r="L4136" s="1">
        <f t="shared" si="578"/>
        <v>1</v>
      </c>
      <c r="M4136" s="1">
        <f t="shared" si="579"/>
        <v>14.79</v>
      </c>
      <c r="N4136" s="1">
        <f t="shared" si="580"/>
        <v>14.32</v>
      </c>
      <c r="O4136" s="1">
        <f t="shared" si="581"/>
        <v>12.68</v>
      </c>
      <c r="P4136" s="1">
        <f t="shared" si="582"/>
        <v>6.4693877551020407</v>
      </c>
    </row>
    <row r="4137" spans="1:16">
      <c r="A4137" s="2">
        <v>37053</v>
      </c>
      <c r="B4137" s="1">
        <v>15.5</v>
      </c>
      <c r="C4137" s="1">
        <v>15.55</v>
      </c>
      <c r="D4137" s="1">
        <v>14.45</v>
      </c>
      <c r="E4137" s="1">
        <v>14.86</v>
      </c>
      <c r="F4137" s="1">
        <v>4971000</v>
      </c>
      <c r="G4137" s="1">
        <v>14.86</v>
      </c>
      <c r="H4137" s="1">
        <f t="shared" si="576"/>
        <v>1.1000000000000014</v>
      </c>
      <c r="I4137" s="9">
        <f t="shared" si="583"/>
        <v>7.6124567474048541E-2</v>
      </c>
      <c r="J4137" s="1">
        <f t="shared" si="584"/>
        <v>-0.83999999999999986</v>
      </c>
      <c r="K4137" s="9">
        <f t="shared" si="577"/>
        <v>-5.3503184713375791E-2</v>
      </c>
      <c r="L4137" s="1">
        <f t="shared" si="578"/>
        <v>1</v>
      </c>
      <c r="M4137" s="1">
        <f t="shared" si="579"/>
        <v>15.55</v>
      </c>
      <c r="N4137" s="1">
        <f t="shared" si="580"/>
        <v>14.45</v>
      </c>
      <c r="O4137" s="1">
        <f t="shared" si="581"/>
        <v>12.899999999999999</v>
      </c>
      <c r="P4137" s="1">
        <f t="shared" si="582"/>
        <v>6.5816326530612237</v>
      </c>
    </row>
    <row r="4138" spans="1:16">
      <c r="A4138" s="2">
        <v>37050</v>
      </c>
      <c r="B4138" s="1">
        <v>16.25</v>
      </c>
      <c r="C4138" s="1">
        <v>16.329999999999998</v>
      </c>
      <c r="D4138" s="1">
        <v>15.65</v>
      </c>
      <c r="E4138" s="1">
        <v>15.7</v>
      </c>
      <c r="F4138" s="1">
        <v>2508300</v>
      </c>
      <c r="G4138" s="1">
        <v>15.7</v>
      </c>
      <c r="H4138" s="1">
        <f t="shared" si="576"/>
        <v>0.67999999999999794</v>
      </c>
      <c r="I4138" s="9">
        <f t="shared" si="583"/>
        <v>4.3450479233226702E-2</v>
      </c>
      <c r="J4138" s="1">
        <f t="shared" si="584"/>
        <v>-0.42999999999999972</v>
      </c>
      <c r="K4138" s="9">
        <f t="shared" si="577"/>
        <v>-2.6658400495970225E-2</v>
      </c>
      <c r="L4138" s="1">
        <f t="shared" si="578"/>
        <v>1</v>
      </c>
      <c r="M4138" s="1">
        <f t="shared" si="579"/>
        <v>16.329999999999998</v>
      </c>
      <c r="N4138" s="1">
        <f t="shared" si="580"/>
        <v>15.65</v>
      </c>
      <c r="O4138" s="1">
        <f t="shared" si="581"/>
        <v>13.739999999999998</v>
      </c>
      <c r="P4138" s="1">
        <f t="shared" si="582"/>
        <v>7.0102040816326525</v>
      </c>
    </row>
    <row r="4139" spans="1:16">
      <c r="A4139" s="2">
        <v>37049</v>
      </c>
      <c r="B4139" s="1">
        <v>15.82</v>
      </c>
      <c r="C4139" s="1">
        <v>16.23</v>
      </c>
      <c r="D4139" s="1">
        <v>15.69</v>
      </c>
      <c r="E4139" s="1">
        <v>16.13</v>
      </c>
      <c r="F4139" s="1">
        <v>3445200</v>
      </c>
      <c r="G4139" s="1">
        <v>16.13</v>
      </c>
      <c r="H4139" s="1">
        <f t="shared" si="576"/>
        <v>0.54000000000000092</v>
      </c>
      <c r="I4139" s="9">
        <f t="shared" si="583"/>
        <v>3.4416826003824154E-2</v>
      </c>
      <c r="J4139" s="1">
        <f t="shared" si="584"/>
        <v>0.13999999999999879</v>
      </c>
      <c r="K4139" s="9">
        <f t="shared" si="577"/>
        <v>8.7554721701062401E-3</v>
      </c>
      <c r="L4139" s="1">
        <f t="shared" si="578"/>
        <v>1</v>
      </c>
      <c r="M4139" s="1">
        <f t="shared" si="579"/>
        <v>16.23</v>
      </c>
      <c r="N4139" s="1">
        <f t="shared" si="580"/>
        <v>15.69</v>
      </c>
      <c r="O4139" s="1">
        <f t="shared" si="581"/>
        <v>14.169999999999998</v>
      </c>
      <c r="P4139" s="1">
        <f t="shared" si="582"/>
        <v>7.2295918367346932</v>
      </c>
    </row>
    <row r="4140" spans="1:16">
      <c r="A4140" s="2">
        <v>37048</v>
      </c>
      <c r="B4140" s="1">
        <v>16.670000000000002</v>
      </c>
      <c r="C4140" s="1">
        <v>16.72</v>
      </c>
      <c r="D4140" s="1">
        <v>15.48</v>
      </c>
      <c r="E4140" s="1">
        <v>15.99</v>
      </c>
      <c r="F4140" s="1">
        <v>9736100</v>
      </c>
      <c r="G4140" s="1">
        <v>15.99</v>
      </c>
      <c r="H4140" s="1">
        <f t="shared" si="576"/>
        <v>1.2399999999999984</v>
      </c>
      <c r="I4140" s="9">
        <f t="shared" si="583"/>
        <v>8.0103359173126512E-2</v>
      </c>
      <c r="J4140" s="1">
        <f t="shared" si="584"/>
        <v>-0.45000000000000107</v>
      </c>
      <c r="K4140" s="9">
        <f t="shared" si="577"/>
        <v>-2.7372262773722691E-2</v>
      </c>
      <c r="L4140" s="1">
        <f t="shared" si="578"/>
        <v>1</v>
      </c>
      <c r="M4140" s="1">
        <f t="shared" si="579"/>
        <v>16.72</v>
      </c>
      <c r="N4140" s="1">
        <f t="shared" si="580"/>
        <v>15.48</v>
      </c>
      <c r="O4140" s="1">
        <f t="shared" si="581"/>
        <v>14.030000000000001</v>
      </c>
      <c r="P4140" s="1">
        <f t="shared" si="582"/>
        <v>7.1581632653061229</v>
      </c>
    </row>
    <row r="4141" spans="1:16">
      <c r="A4141" s="2">
        <v>37047</v>
      </c>
      <c r="B4141" s="1">
        <v>17.059999999999999</v>
      </c>
      <c r="C4141" s="1">
        <v>17.920000000000002</v>
      </c>
      <c r="D4141" s="1">
        <v>16</v>
      </c>
      <c r="E4141" s="1">
        <v>16.440000000000001</v>
      </c>
      <c r="F4141" s="1">
        <v>12758100</v>
      </c>
      <c r="G4141" s="1">
        <v>16.440000000000001</v>
      </c>
      <c r="H4141" s="1">
        <f t="shared" si="576"/>
        <v>1.9200000000000017</v>
      </c>
      <c r="I4141" s="9">
        <f t="shared" si="583"/>
        <v>0.12000000000000011</v>
      </c>
      <c r="J4141" s="1">
        <f t="shared" si="584"/>
        <v>-0.46999999999999886</v>
      </c>
      <c r="K4141" s="9">
        <f t="shared" si="577"/>
        <v>-2.7794204612655166E-2</v>
      </c>
      <c r="L4141" s="1">
        <f t="shared" si="578"/>
        <v>1</v>
      </c>
      <c r="M4141" s="1">
        <f t="shared" si="579"/>
        <v>17.920000000000002</v>
      </c>
      <c r="N4141" s="1">
        <f t="shared" si="580"/>
        <v>16</v>
      </c>
      <c r="O4141" s="1">
        <f t="shared" si="581"/>
        <v>14.48</v>
      </c>
      <c r="P4141" s="1">
        <f t="shared" si="582"/>
        <v>7.387755102040817</v>
      </c>
    </row>
    <row r="4142" spans="1:16">
      <c r="A4142" s="2">
        <v>37046</v>
      </c>
      <c r="B4142" s="1">
        <v>17.32</v>
      </c>
      <c r="C4142" s="1">
        <v>17.399999999999999</v>
      </c>
      <c r="D4142" s="1">
        <v>16.149999999999999</v>
      </c>
      <c r="E4142" s="1">
        <v>16.91</v>
      </c>
      <c r="F4142" s="1">
        <v>6141000</v>
      </c>
      <c r="G4142" s="1">
        <v>16.91</v>
      </c>
      <c r="H4142" s="1">
        <f t="shared" si="576"/>
        <v>1.25</v>
      </c>
      <c r="I4142" s="9">
        <f t="shared" si="583"/>
        <v>7.7399380804953566E-2</v>
      </c>
      <c r="J4142" s="1">
        <f t="shared" si="584"/>
        <v>-3.9999999999999147E-2</v>
      </c>
      <c r="K4142" s="9">
        <f t="shared" si="577"/>
        <v>-2.3598820058996547E-3</v>
      </c>
      <c r="L4142" s="1">
        <f t="shared" si="578"/>
        <v>1</v>
      </c>
      <c r="M4142" s="1">
        <f t="shared" si="579"/>
        <v>17.399999999999999</v>
      </c>
      <c r="N4142" s="1">
        <f t="shared" si="580"/>
        <v>16.149999999999999</v>
      </c>
      <c r="O4142" s="1">
        <f t="shared" si="581"/>
        <v>14.95</v>
      </c>
      <c r="P4142" s="1">
        <f t="shared" si="582"/>
        <v>7.6275510204081627</v>
      </c>
    </row>
    <row r="4143" spans="1:16">
      <c r="A4143" s="2">
        <v>37043</v>
      </c>
      <c r="B4143" s="1">
        <v>17.22</v>
      </c>
      <c r="C4143" s="1">
        <v>17.309999999999999</v>
      </c>
      <c r="D4143" s="1">
        <v>16.39</v>
      </c>
      <c r="E4143" s="1">
        <v>16.95</v>
      </c>
      <c r="F4143" s="1">
        <v>6468600</v>
      </c>
      <c r="G4143" s="1">
        <v>16.95</v>
      </c>
      <c r="H4143" s="1">
        <f t="shared" si="576"/>
        <v>0.91999999999999815</v>
      </c>
      <c r="I4143" s="9">
        <f t="shared" si="583"/>
        <v>5.6131787675411722E-2</v>
      </c>
      <c r="J4143" s="1">
        <f t="shared" si="584"/>
        <v>0.25999999999999801</v>
      </c>
      <c r="K4143" s="9">
        <f t="shared" si="577"/>
        <v>1.5578190533253326E-2</v>
      </c>
      <c r="L4143" s="1">
        <f t="shared" si="578"/>
        <v>1</v>
      </c>
      <c r="M4143" s="1">
        <f t="shared" si="579"/>
        <v>17.309999999999999</v>
      </c>
      <c r="N4143" s="1">
        <f t="shared" si="580"/>
        <v>16.39</v>
      </c>
      <c r="O4143" s="1">
        <f t="shared" si="581"/>
        <v>14.989999999999998</v>
      </c>
      <c r="P4143" s="1">
        <f t="shared" si="582"/>
        <v>7.6479591836734686</v>
      </c>
    </row>
    <row r="4144" spans="1:16">
      <c r="A4144" s="2">
        <v>37042</v>
      </c>
      <c r="B4144" s="1">
        <v>15.84</v>
      </c>
      <c r="C4144" s="1">
        <v>17.2</v>
      </c>
      <c r="D4144" s="1">
        <v>15.75</v>
      </c>
      <c r="E4144" s="1">
        <v>16.690000000000001</v>
      </c>
      <c r="F4144" s="1">
        <v>9632000</v>
      </c>
      <c r="G4144" s="1">
        <v>16.690000000000001</v>
      </c>
      <c r="H4144" s="1">
        <f t="shared" si="576"/>
        <v>1.4499999999999993</v>
      </c>
      <c r="I4144" s="9">
        <f t="shared" si="583"/>
        <v>9.2063492063492014E-2</v>
      </c>
      <c r="J4144" s="1">
        <f t="shared" si="584"/>
        <v>1.0300000000000011</v>
      </c>
      <c r="K4144" s="9">
        <f t="shared" si="577"/>
        <v>6.5772669220945157E-2</v>
      </c>
      <c r="L4144" s="1">
        <f t="shared" si="578"/>
        <v>1</v>
      </c>
      <c r="M4144" s="1">
        <f t="shared" si="579"/>
        <v>17.2</v>
      </c>
      <c r="N4144" s="1">
        <f t="shared" si="580"/>
        <v>15.75</v>
      </c>
      <c r="O4144" s="1">
        <f t="shared" si="581"/>
        <v>14.73</v>
      </c>
      <c r="P4144" s="1">
        <f t="shared" si="582"/>
        <v>7.5153061224489797</v>
      </c>
    </row>
    <row r="4145" spans="1:16">
      <c r="A4145" s="2">
        <v>37041</v>
      </c>
      <c r="B4145" s="1">
        <v>16.54</v>
      </c>
      <c r="C4145" s="1">
        <v>17</v>
      </c>
      <c r="D4145" s="1">
        <v>15.62</v>
      </c>
      <c r="E4145" s="1">
        <v>15.66</v>
      </c>
      <c r="F4145" s="1">
        <v>8851400</v>
      </c>
      <c r="G4145" s="1">
        <v>15.66</v>
      </c>
      <c r="H4145" s="1">
        <f t="shared" si="576"/>
        <v>1.3800000000000008</v>
      </c>
      <c r="I4145" s="9">
        <f t="shared" si="583"/>
        <v>8.8348271446863053E-2</v>
      </c>
      <c r="J4145" s="1">
        <f t="shared" si="584"/>
        <v>-1.5599999999999987</v>
      </c>
      <c r="K4145" s="9">
        <f t="shared" si="577"/>
        <v>-9.0592334494773455E-2</v>
      </c>
      <c r="L4145" s="1">
        <f t="shared" si="578"/>
        <v>1</v>
      </c>
      <c r="M4145" s="1">
        <f t="shared" si="579"/>
        <v>17</v>
      </c>
      <c r="N4145" s="1">
        <f t="shared" si="580"/>
        <v>15.62</v>
      </c>
      <c r="O4145" s="1">
        <f t="shared" si="581"/>
        <v>13.7</v>
      </c>
      <c r="P4145" s="1">
        <f t="shared" si="582"/>
        <v>6.9897959183673466</v>
      </c>
    </row>
    <row r="4146" spans="1:16">
      <c r="A4146" s="2">
        <v>37040</v>
      </c>
      <c r="B4146" s="1">
        <v>17.21</v>
      </c>
      <c r="C4146" s="1">
        <v>17.54</v>
      </c>
      <c r="D4146" s="1">
        <v>16.7</v>
      </c>
      <c r="E4146" s="1">
        <v>17.22</v>
      </c>
      <c r="F4146" s="1">
        <v>9394900</v>
      </c>
      <c r="G4146" s="1">
        <v>17.22</v>
      </c>
      <c r="H4146" s="1">
        <f t="shared" si="576"/>
        <v>0.83999999999999986</v>
      </c>
      <c r="I4146" s="9">
        <f t="shared" si="583"/>
        <v>5.0299401197604787E-2</v>
      </c>
      <c r="J4146" s="1">
        <f t="shared" si="584"/>
        <v>0.12999999999999901</v>
      </c>
      <c r="K4146" s="9">
        <f t="shared" si="577"/>
        <v>7.6067875950847864E-3</v>
      </c>
      <c r="L4146" s="1">
        <f t="shared" si="578"/>
        <v>1</v>
      </c>
      <c r="M4146" s="1">
        <f t="shared" si="579"/>
        <v>17.54</v>
      </c>
      <c r="N4146" s="1">
        <f t="shared" si="580"/>
        <v>16.7</v>
      </c>
      <c r="O4146" s="1">
        <f t="shared" si="581"/>
        <v>15.259999999999998</v>
      </c>
      <c r="P4146" s="1">
        <f t="shared" si="582"/>
        <v>7.7857142857142847</v>
      </c>
    </row>
    <row r="4147" spans="1:16">
      <c r="A4147" s="2">
        <v>37036</v>
      </c>
      <c r="B4147" s="1">
        <v>16.649999999999999</v>
      </c>
      <c r="C4147" s="1">
        <v>17.53</v>
      </c>
      <c r="D4147" s="1">
        <v>16.37</v>
      </c>
      <c r="E4147" s="1">
        <v>17.09</v>
      </c>
      <c r="F4147" s="1">
        <v>6928700</v>
      </c>
      <c r="G4147" s="1">
        <v>17.09</v>
      </c>
      <c r="H4147" s="1">
        <f t="shared" si="576"/>
        <v>1.1600000000000001</v>
      </c>
      <c r="I4147" s="9">
        <f t="shared" si="583"/>
        <v>7.0861331704337213E-2</v>
      </c>
      <c r="J4147" s="1">
        <f t="shared" si="584"/>
        <v>0.33999999999999986</v>
      </c>
      <c r="K4147" s="9">
        <f t="shared" si="577"/>
        <v>2.029850746268656E-2</v>
      </c>
      <c r="L4147" s="1">
        <f t="shared" si="578"/>
        <v>1</v>
      </c>
      <c r="M4147" s="1">
        <f t="shared" si="579"/>
        <v>17.53</v>
      </c>
      <c r="N4147" s="1">
        <f t="shared" si="580"/>
        <v>16.37</v>
      </c>
      <c r="O4147" s="1">
        <f t="shared" si="581"/>
        <v>15.129999999999999</v>
      </c>
      <c r="P4147" s="1">
        <f t="shared" si="582"/>
        <v>7.7193877551020407</v>
      </c>
    </row>
    <row r="4148" spans="1:16">
      <c r="A4148" s="2">
        <v>37035</v>
      </c>
      <c r="B4148" s="1">
        <v>15.71</v>
      </c>
      <c r="C4148" s="1">
        <v>16.75</v>
      </c>
      <c r="D4148" s="1">
        <v>15.25</v>
      </c>
      <c r="E4148" s="1">
        <v>16.75</v>
      </c>
      <c r="F4148" s="1">
        <v>5334900</v>
      </c>
      <c r="G4148" s="1">
        <v>16.75</v>
      </c>
      <c r="H4148" s="1">
        <f t="shared" si="576"/>
        <v>1.5</v>
      </c>
      <c r="I4148" s="9">
        <f t="shared" si="583"/>
        <v>9.8360655737704916E-2</v>
      </c>
      <c r="J4148" s="1">
        <f t="shared" si="584"/>
        <v>1.1500000000000004</v>
      </c>
      <c r="K4148" s="9">
        <f t="shared" si="577"/>
        <v>7.3717948717948747E-2</v>
      </c>
      <c r="L4148" s="1">
        <f t="shared" si="578"/>
        <v>1</v>
      </c>
      <c r="M4148" s="1">
        <f t="shared" si="579"/>
        <v>16.75</v>
      </c>
      <c r="N4148" s="1">
        <f t="shared" si="580"/>
        <v>15.25</v>
      </c>
      <c r="O4148" s="1">
        <f t="shared" si="581"/>
        <v>14.79</v>
      </c>
      <c r="P4148" s="1">
        <f t="shared" si="582"/>
        <v>7.5459183673469381</v>
      </c>
    </row>
    <row r="4149" spans="1:16">
      <c r="A4149" s="2">
        <v>37034</v>
      </c>
      <c r="B4149" s="1">
        <v>16.2</v>
      </c>
      <c r="C4149" s="1">
        <v>16.8</v>
      </c>
      <c r="D4149" s="1">
        <v>15.12</v>
      </c>
      <c r="E4149" s="1">
        <v>15.6</v>
      </c>
      <c r="F4149" s="1">
        <v>8926500</v>
      </c>
      <c r="G4149" s="1">
        <v>15.6</v>
      </c>
      <c r="H4149" s="1">
        <f t="shared" si="576"/>
        <v>1.6800000000000015</v>
      </c>
      <c r="I4149" s="9">
        <f t="shared" si="583"/>
        <v>0.11111111111111122</v>
      </c>
      <c r="J4149" s="1">
        <f t="shared" si="584"/>
        <v>-0.65000000000000036</v>
      </c>
      <c r="K4149" s="9">
        <f t="shared" si="577"/>
        <v>-4.0000000000000022E-2</v>
      </c>
      <c r="L4149" s="1">
        <f t="shared" si="578"/>
        <v>1</v>
      </c>
      <c r="M4149" s="1">
        <f t="shared" si="579"/>
        <v>16.8</v>
      </c>
      <c r="N4149" s="1">
        <f t="shared" si="580"/>
        <v>15.12</v>
      </c>
      <c r="O4149" s="1">
        <f t="shared" si="581"/>
        <v>13.64</v>
      </c>
      <c r="P4149" s="1">
        <f t="shared" si="582"/>
        <v>6.9591836734693882</v>
      </c>
    </row>
    <row r="4150" spans="1:16">
      <c r="A4150" s="2">
        <v>37033</v>
      </c>
      <c r="B4150" s="1">
        <v>16.79</v>
      </c>
      <c r="C4150" s="1">
        <v>17</v>
      </c>
      <c r="D4150" s="1">
        <v>15.9</v>
      </c>
      <c r="E4150" s="1">
        <v>16.25</v>
      </c>
      <c r="F4150" s="1">
        <v>7309000</v>
      </c>
      <c r="G4150" s="1">
        <v>16.25</v>
      </c>
      <c r="H4150" s="1">
        <f t="shared" si="576"/>
        <v>1.0999999999999996</v>
      </c>
      <c r="I4150" s="9">
        <f t="shared" si="583"/>
        <v>6.9182389937106889E-2</v>
      </c>
      <c r="J4150" s="1">
        <f t="shared" si="584"/>
        <v>-0.12999999999999901</v>
      </c>
      <c r="K4150" s="9">
        <f t="shared" si="577"/>
        <v>-7.9365079365078771E-3</v>
      </c>
      <c r="L4150" s="1">
        <f t="shared" si="578"/>
        <v>1</v>
      </c>
      <c r="M4150" s="1">
        <f t="shared" si="579"/>
        <v>17</v>
      </c>
      <c r="N4150" s="1">
        <f t="shared" si="580"/>
        <v>15.9</v>
      </c>
      <c r="O4150" s="1">
        <f t="shared" si="581"/>
        <v>14.29</v>
      </c>
      <c r="P4150" s="1">
        <f t="shared" si="582"/>
        <v>7.2908163265306118</v>
      </c>
    </row>
    <row r="4151" spans="1:16">
      <c r="A4151" s="2">
        <v>37032</v>
      </c>
      <c r="B4151" s="1">
        <v>14.95</v>
      </c>
      <c r="C4151" s="1">
        <v>16.420000000000002</v>
      </c>
      <c r="D4151" s="1">
        <v>14.75</v>
      </c>
      <c r="E4151" s="1">
        <v>16.38</v>
      </c>
      <c r="F4151" s="1">
        <v>7232400</v>
      </c>
      <c r="G4151" s="1">
        <v>16.38</v>
      </c>
      <c r="H4151" s="1">
        <f t="shared" si="576"/>
        <v>1.6700000000000017</v>
      </c>
      <c r="I4151" s="9">
        <f t="shared" si="583"/>
        <v>0.11322033898305096</v>
      </c>
      <c r="J4151" s="1">
        <f t="shared" si="584"/>
        <v>1.6599999999999984</v>
      </c>
      <c r="K4151" s="9">
        <f t="shared" si="577"/>
        <v>0.11277173913043467</v>
      </c>
      <c r="L4151" s="1">
        <f t="shared" si="578"/>
        <v>1</v>
      </c>
      <c r="M4151" s="1">
        <f t="shared" si="579"/>
        <v>16.420000000000002</v>
      </c>
      <c r="N4151" s="1">
        <f t="shared" si="580"/>
        <v>14.75</v>
      </c>
      <c r="O4151" s="1">
        <f t="shared" si="581"/>
        <v>14.419999999999998</v>
      </c>
      <c r="P4151" s="1">
        <f t="shared" si="582"/>
        <v>7.3571428571428568</v>
      </c>
    </row>
    <row r="4152" spans="1:16">
      <c r="A4152" s="2">
        <v>37029</v>
      </c>
      <c r="B4152" s="1">
        <v>14.83</v>
      </c>
      <c r="C4152" s="1">
        <v>15</v>
      </c>
      <c r="D4152" s="1">
        <v>14.5</v>
      </c>
      <c r="E4152" s="1">
        <v>14.72</v>
      </c>
      <c r="F4152" s="1">
        <v>5071800</v>
      </c>
      <c r="G4152" s="1">
        <v>14.72</v>
      </c>
      <c r="H4152" s="1">
        <f t="shared" si="576"/>
        <v>0.5</v>
      </c>
      <c r="I4152" s="9">
        <f t="shared" si="583"/>
        <v>3.4482758620689655E-2</v>
      </c>
      <c r="J4152" s="1">
        <f t="shared" si="584"/>
        <v>-5.9999999999998721E-2</v>
      </c>
      <c r="K4152" s="9">
        <f t="shared" si="577"/>
        <v>-4.0595399188091156E-3</v>
      </c>
      <c r="L4152" s="1">
        <f t="shared" si="578"/>
        <v>1</v>
      </c>
      <c r="M4152" s="1">
        <f t="shared" si="579"/>
        <v>15</v>
      </c>
      <c r="N4152" s="1">
        <f t="shared" si="580"/>
        <v>14.5</v>
      </c>
      <c r="O4152" s="1">
        <f t="shared" si="581"/>
        <v>12.760000000000002</v>
      </c>
      <c r="P4152" s="1">
        <f t="shared" si="582"/>
        <v>6.5102040816326543</v>
      </c>
    </row>
    <row r="4153" spans="1:16">
      <c r="A4153" s="2">
        <v>37028</v>
      </c>
      <c r="B4153" s="1">
        <v>14.09</v>
      </c>
      <c r="C4153" s="1">
        <v>15</v>
      </c>
      <c r="D4153" s="1">
        <v>14.03</v>
      </c>
      <c r="E4153" s="1">
        <v>14.78</v>
      </c>
      <c r="F4153" s="1">
        <v>6755400</v>
      </c>
      <c r="G4153" s="1">
        <v>14.78</v>
      </c>
      <c r="H4153" s="1">
        <f t="shared" si="576"/>
        <v>0.97000000000000064</v>
      </c>
      <c r="I4153" s="9">
        <f t="shared" si="583"/>
        <v>6.913756236635786E-2</v>
      </c>
      <c r="J4153" s="1">
        <f t="shared" si="584"/>
        <v>0.64999999999999858</v>
      </c>
      <c r="K4153" s="9">
        <f t="shared" si="577"/>
        <v>4.6001415428166915E-2</v>
      </c>
      <c r="L4153" s="1">
        <f t="shared" si="578"/>
        <v>1</v>
      </c>
      <c r="M4153" s="1">
        <f t="shared" si="579"/>
        <v>15</v>
      </c>
      <c r="N4153" s="1">
        <f t="shared" si="580"/>
        <v>14.03</v>
      </c>
      <c r="O4153" s="1">
        <f t="shared" si="581"/>
        <v>12.82</v>
      </c>
      <c r="P4153" s="1">
        <f t="shared" si="582"/>
        <v>6.5408163265306127</v>
      </c>
    </row>
    <row r="4154" spans="1:16">
      <c r="A4154" s="2">
        <v>37027</v>
      </c>
      <c r="B4154" s="1">
        <v>13.45</v>
      </c>
      <c r="C4154" s="1">
        <v>14.38</v>
      </c>
      <c r="D4154" s="1">
        <v>13.1</v>
      </c>
      <c r="E4154" s="1">
        <v>14.13</v>
      </c>
      <c r="F4154" s="1">
        <v>7279000</v>
      </c>
      <c r="G4154" s="1">
        <v>14.13</v>
      </c>
      <c r="H4154" s="1">
        <f t="shared" si="576"/>
        <v>1.2800000000000011</v>
      </c>
      <c r="I4154" s="9">
        <f t="shared" si="583"/>
        <v>9.7709923664122234E-2</v>
      </c>
      <c r="J4154" s="1">
        <f t="shared" si="584"/>
        <v>0.59000000000000163</v>
      </c>
      <c r="K4154" s="9">
        <f t="shared" si="577"/>
        <v>4.3574593796159654E-2</v>
      </c>
      <c r="L4154" s="1">
        <f t="shared" si="578"/>
        <v>1</v>
      </c>
      <c r="M4154" s="1">
        <f t="shared" si="579"/>
        <v>14.38</v>
      </c>
      <c r="N4154" s="1">
        <f t="shared" si="580"/>
        <v>13.1</v>
      </c>
      <c r="O4154" s="1">
        <f t="shared" si="581"/>
        <v>12.170000000000002</v>
      </c>
      <c r="P4154" s="1">
        <f t="shared" si="582"/>
        <v>6.209183673469389</v>
      </c>
    </row>
    <row r="4155" spans="1:16">
      <c r="A4155" s="2">
        <v>37026</v>
      </c>
      <c r="B4155" s="1">
        <v>13.35</v>
      </c>
      <c r="C4155" s="1">
        <v>14.3</v>
      </c>
      <c r="D4155" s="1">
        <v>13.14</v>
      </c>
      <c r="E4155" s="1">
        <v>13.54</v>
      </c>
      <c r="F4155" s="1">
        <v>6131200</v>
      </c>
      <c r="G4155" s="1">
        <v>13.54</v>
      </c>
      <c r="H4155" s="1">
        <f t="shared" si="576"/>
        <v>1.1600000000000001</v>
      </c>
      <c r="I4155" s="9">
        <f t="shared" si="583"/>
        <v>8.8280060882800618E-2</v>
      </c>
      <c r="J4155" s="1">
        <f t="shared" si="584"/>
        <v>0.20999999999999908</v>
      </c>
      <c r="K4155" s="9">
        <f t="shared" si="577"/>
        <v>1.5753938484621085E-2</v>
      </c>
      <c r="L4155" s="1">
        <f t="shared" si="578"/>
        <v>1</v>
      </c>
      <c r="M4155" s="1">
        <f t="shared" si="579"/>
        <v>14.3</v>
      </c>
      <c r="N4155" s="1">
        <f t="shared" si="580"/>
        <v>13.14</v>
      </c>
      <c r="O4155" s="1">
        <f t="shared" si="581"/>
        <v>11.579999999999998</v>
      </c>
      <c r="P4155" s="1">
        <f t="shared" si="582"/>
        <v>5.908163265306122</v>
      </c>
    </row>
    <row r="4156" spans="1:16">
      <c r="A4156" s="2">
        <v>37025</v>
      </c>
      <c r="B4156" s="1">
        <v>14.53</v>
      </c>
      <c r="C4156" s="1">
        <v>14.53</v>
      </c>
      <c r="D4156" s="1">
        <v>13.16</v>
      </c>
      <c r="E4156" s="1">
        <v>13.33</v>
      </c>
      <c r="F4156" s="1">
        <v>6194200</v>
      </c>
      <c r="G4156" s="1">
        <v>13.33</v>
      </c>
      <c r="H4156" s="1">
        <f t="shared" si="576"/>
        <v>1.3699999999999992</v>
      </c>
      <c r="I4156" s="9">
        <f t="shared" si="583"/>
        <v>0.10410334346504553</v>
      </c>
      <c r="J4156" s="1">
        <f t="shared" si="584"/>
        <v>-1.3499999999999996</v>
      </c>
      <c r="K4156" s="9">
        <f t="shared" si="577"/>
        <v>-9.1961852861035406E-2</v>
      </c>
      <c r="L4156" s="1">
        <f t="shared" si="578"/>
        <v>1</v>
      </c>
      <c r="M4156" s="1">
        <f t="shared" si="579"/>
        <v>14.53</v>
      </c>
      <c r="N4156" s="1">
        <f t="shared" si="580"/>
        <v>13.16</v>
      </c>
      <c r="O4156" s="1">
        <f t="shared" si="581"/>
        <v>11.370000000000001</v>
      </c>
      <c r="P4156" s="1">
        <f t="shared" si="582"/>
        <v>5.8010204081632661</v>
      </c>
    </row>
    <row r="4157" spans="1:16">
      <c r="A4157" s="2">
        <v>37022</v>
      </c>
      <c r="B4157" s="1">
        <v>14.55</v>
      </c>
      <c r="C4157" s="1">
        <v>14.8</v>
      </c>
      <c r="D4157" s="1">
        <v>14</v>
      </c>
      <c r="E4157" s="1">
        <v>14.68</v>
      </c>
      <c r="F4157" s="1">
        <v>3486900</v>
      </c>
      <c r="G4157" s="1">
        <v>14.68</v>
      </c>
      <c r="H4157" s="1">
        <f t="shared" si="576"/>
        <v>0.80000000000000071</v>
      </c>
      <c r="I4157" s="9">
        <f t="shared" si="583"/>
        <v>5.7142857142857197E-2</v>
      </c>
      <c r="J4157" s="1">
        <f t="shared" si="584"/>
        <v>6.0000000000000497E-2</v>
      </c>
      <c r="K4157" s="9">
        <f t="shared" si="577"/>
        <v>4.1039671682626885E-3</v>
      </c>
      <c r="L4157" s="1">
        <f t="shared" si="578"/>
        <v>1</v>
      </c>
      <c r="M4157" s="1">
        <f t="shared" si="579"/>
        <v>14.8</v>
      </c>
      <c r="N4157" s="1">
        <f t="shared" si="580"/>
        <v>14</v>
      </c>
      <c r="O4157" s="1">
        <f t="shared" si="581"/>
        <v>12.719999999999999</v>
      </c>
      <c r="P4157" s="1">
        <f t="shared" si="582"/>
        <v>6.4897959183673466</v>
      </c>
    </row>
    <row r="4158" spans="1:16">
      <c r="A4158" s="2">
        <v>37021</v>
      </c>
      <c r="B4158" s="1">
        <v>15.4</v>
      </c>
      <c r="C4158" s="1">
        <v>15.64</v>
      </c>
      <c r="D4158" s="1">
        <v>14.6</v>
      </c>
      <c r="E4158" s="1">
        <v>14.62</v>
      </c>
      <c r="F4158" s="1">
        <v>5012600</v>
      </c>
      <c r="G4158" s="1">
        <v>14.62</v>
      </c>
      <c r="H4158" s="1">
        <f t="shared" si="576"/>
        <v>1.0400000000000009</v>
      </c>
      <c r="I4158" s="9">
        <f t="shared" si="583"/>
        <v>7.1232876712328835E-2</v>
      </c>
      <c r="J4158" s="1">
        <f t="shared" si="584"/>
        <v>-0.39000000000000057</v>
      </c>
      <c r="K4158" s="9">
        <f t="shared" si="577"/>
        <v>-2.5982678214523689E-2</v>
      </c>
      <c r="L4158" s="1">
        <f t="shared" si="578"/>
        <v>1</v>
      </c>
      <c r="M4158" s="1">
        <f t="shared" si="579"/>
        <v>15.64</v>
      </c>
      <c r="N4158" s="1">
        <f t="shared" si="580"/>
        <v>14.6</v>
      </c>
      <c r="O4158" s="1">
        <f t="shared" si="581"/>
        <v>12.66</v>
      </c>
      <c r="P4158" s="1">
        <f t="shared" si="582"/>
        <v>6.4591836734693882</v>
      </c>
    </row>
    <row r="4159" spans="1:16">
      <c r="A4159" s="2">
        <v>37020</v>
      </c>
      <c r="B4159" s="1">
        <v>15.55</v>
      </c>
      <c r="C4159" s="1">
        <v>15.66</v>
      </c>
      <c r="D4159" s="1">
        <v>15</v>
      </c>
      <c r="E4159" s="1">
        <v>15.01</v>
      </c>
      <c r="F4159" s="1">
        <v>4671000</v>
      </c>
      <c r="G4159" s="1">
        <v>15.01</v>
      </c>
      <c r="H4159" s="1">
        <f t="shared" si="576"/>
        <v>0.66000000000000014</v>
      </c>
      <c r="I4159" s="9">
        <f t="shared" si="583"/>
        <v>4.4000000000000011E-2</v>
      </c>
      <c r="J4159" s="1">
        <f t="shared" si="584"/>
        <v>-1.17</v>
      </c>
      <c r="K4159" s="9">
        <f t="shared" si="577"/>
        <v>-7.2311495673671192E-2</v>
      </c>
      <c r="L4159" s="1">
        <f t="shared" si="578"/>
        <v>1</v>
      </c>
      <c r="M4159" s="1">
        <f t="shared" si="579"/>
        <v>15.66</v>
      </c>
      <c r="N4159" s="1">
        <f t="shared" si="580"/>
        <v>15</v>
      </c>
      <c r="O4159" s="1">
        <f t="shared" si="581"/>
        <v>13.05</v>
      </c>
      <c r="P4159" s="1">
        <f t="shared" si="582"/>
        <v>6.6581632653061229</v>
      </c>
    </row>
    <row r="4160" spans="1:16">
      <c r="A4160" s="2">
        <v>37019</v>
      </c>
      <c r="B4160" s="1">
        <v>16.28</v>
      </c>
      <c r="C4160" s="1">
        <v>16.489999999999998</v>
      </c>
      <c r="D4160" s="1">
        <v>15.6</v>
      </c>
      <c r="E4160" s="1">
        <v>16.18</v>
      </c>
      <c r="F4160" s="1">
        <v>7191500</v>
      </c>
      <c r="G4160" s="1">
        <v>16.18</v>
      </c>
      <c r="H4160" s="1">
        <f t="shared" si="576"/>
        <v>0.88999999999999879</v>
      </c>
      <c r="I4160" s="9">
        <f t="shared" si="583"/>
        <v>5.7051282051281973E-2</v>
      </c>
      <c r="J4160" s="1">
        <f t="shared" si="584"/>
        <v>-0.74000000000000199</v>
      </c>
      <c r="K4160" s="9">
        <f t="shared" si="577"/>
        <v>-4.3735224586288528E-2</v>
      </c>
      <c r="L4160" s="1">
        <f t="shared" si="578"/>
        <v>1</v>
      </c>
      <c r="M4160" s="1">
        <f t="shared" si="579"/>
        <v>16.489999999999998</v>
      </c>
      <c r="N4160" s="1">
        <f t="shared" si="580"/>
        <v>15.6</v>
      </c>
      <c r="O4160" s="1">
        <f t="shared" si="581"/>
        <v>14.219999999999999</v>
      </c>
      <c r="P4160" s="1">
        <f t="shared" si="582"/>
        <v>7.2551020408163263</v>
      </c>
    </row>
    <row r="4161" spans="1:16">
      <c r="A4161" s="2">
        <v>37018</v>
      </c>
      <c r="B4161" s="1">
        <v>17.36</v>
      </c>
      <c r="C4161" s="1">
        <v>17.53</v>
      </c>
      <c r="D4161" s="1">
        <v>16.510000000000002</v>
      </c>
      <c r="E4161" s="1">
        <v>16.920000000000002</v>
      </c>
      <c r="F4161" s="1">
        <v>5083700</v>
      </c>
      <c r="G4161" s="1">
        <v>16.920000000000002</v>
      </c>
      <c r="H4161" s="1">
        <f t="shared" si="576"/>
        <v>1.0199999999999996</v>
      </c>
      <c r="I4161" s="9">
        <f t="shared" si="583"/>
        <v>6.1780738946093247E-2</v>
      </c>
      <c r="J4161" s="1">
        <f t="shared" si="584"/>
        <v>-0.63999999999999702</v>
      </c>
      <c r="K4161" s="9">
        <f t="shared" si="577"/>
        <v>-3.6446469248291403E-2</v>
      </c>
      <c r="L4161" s="1">
        <f t="shared" si="578"/>
        <v>1</v>
      </c>
      <c r="M4161" s="1">
        <f t="shared" si="579"/>
        <v>17.53</v>
      </c>
      <c r="N4161" s="1">
        <f t="shared" si="580"/>
        <v>16.510000000000002</v>
      </c>
      <c r="O4161" s="1">
        <f t="shared" si="581"/>
        <v>14.96</v>
      </c>
      <c r="P4161" s="1">
        <f t="shared" si="582"/>
        <v>7.6326530612244907</v>
      </c>
    </row>
    <row r="4162" spans="1:16">
      <c r="A4162" s="2">
        <v>37015</v>
      </c>
      <c r="B4162" s="1">
        <v>16.350000000000001</v>
      </c>
      <c r="C4162" s="1">
        <v>17.600000000000001</v>
      </c>
      <c r="D4162" s="1">
        <v>15.93</v>
      </c>
      <c r="E4162" s="1">
        <v>17.559999999999999</v>
      </c>
      <c r="F4162" s="1">
        <v>6584500</v>
      </c>
      <c r="G4162" s="1">
        <v>17.559999999999999</v>
      </c>
      <c r="H4162" s="1">
        <f t="shared" si="576"/>
        <v>1.6700000000000017</v>
      </c>
      <c r="I4162" s="9">
        <f t="shared" si="583"/>
        <v>0.10483364720652867</v>
      </c>
      <c r="J4162" s="1">
        <f t="shared" si="584"/>
        <v>0.80999999999999872</v>
      </c>
      <c r="K4162" s="9">
        <f t="shared" si="577"/>
        <v>4.8358208955223803E-2</v>
      </c>
      <c r="L4162" s="1">
        <f t="shared" si="578"/>
        <v>1</v>
      </c>
      <c r="M4162" s="1">
        <f t="shared" si="579"/>
        <v>17.600000000000001</v>
      </c>
      <c r="N4162" s="1">
        <f t="shared" si="580"/>
        <v>15.93</v>
      </c>
      <c r="O4162" s="1">
        <f t="shared" si="581"/>
        <v>15.599999999999998</v>
      </c>
      <c r="P4162" s="1">
        <f t="shared" si="582"/>
        <v>7.9591836734693864</v>
      </c>
    </row>
    <row r="4163" spans="1:16">
      <c r="A4163" s="2">
        <v>37014</v>
      </c>
      <c r="B4163" s="1">
        <v>16.829999999999998</v>
      </c>
      <c r="C4163" s="1">
        <v>17</v>
      </c>
      <c r="D4163" s="1">
        <v>16.25</v>
      </c>
      <c r="E4163" s="1">
        <v>16.75</v>
      </c>
      <c r="F4163" s="1">
        <v>5010000</v>
      </c>
      <c r="G4163" s="1">
        <v>16.75</v>
      </c>
      <c r="H4163" s="1">
        <f t="shared" ref="H4163:H4226" si="585">C4163-D4163</f>
        <v>0.75</v>
      </c>
      <c r="I4163" s="9">
        <f t="shared" si="583"/>
        <v>4.6153846153846156E-2</v>
      </c>
      <c r="J4163" s="1">
        <f t="shared" si="584"/>
        <v>-0.35999999999999943</v>
      </c>
      <c r="K4163" s="9">
        <f t="shared" ref="K4163:K4226" si="586">(G4163-G4164)/G4164</f>
        <v>-2.1040327293980095E-2</v>
      </c>
      <c r="L4163" s="1">
        <f t="shared" ref="L4163:L4226" si="587">G4163/E4163</f>
        <v>1</v>
      </c>
      <c r="M4163" s="1">
        <f t="shared" ref="M4163:M4226" si="588">L4163*C4163</f>
        <v>17</v>
      </c>
      <c r="N4163" s="1">
        <f t="shared" ref="N4163:N4226" si="589">L4163*D4163</f>
        <v>16.25</v>
      </c>
      <c r="O4163" s="1">
        <f t="shared" ref="O4163:O4226" si="590">G4163-$G$5163</f>
        <v>14.79</v>
      </c>
      <c r="P4163" s="1">
        <f t="shared" ref="P4163:P4226" si="591">(G4163-$G$5163)/$G$5163</f>
        <v>7.5459183673469381</v>
      </c>
    </row>
    <row r="4164" spans="1:16">
      <c r="A4164" s="2">
        <v>37013</v>
      </c>
      <c r="B4164" s="1">
        <v>17.14</v>
      </c>
      <c r="C4164" s="1">
        <v>17.43</v>
      </c>
      <c r="D4164" s="1">
        <v>16.84</v>
      </c>
      <c r="E4164" s="1">
        <v>17.11</v>
      </c>
      <c r="F4164" s="1">
        <v>7497200</v>
      </c>
      <c r="G4164" s="1">
        <v>17.11</v>
      </c>
      <c r="H4164" s="1">
        <f t="shared" si="585"/>
        <v>0.58999999999999986</v>
      </c>
      <c r="I4164" s="9">
        <f t="shared" ref="I4164:I4227" si="592">(C4164-D4164)/D4164</f>
        <v>3.5035629453681702E-2</v>
      </c>
      <c r="J4164" s="1">
        <f t="shared" ref="J4164:J4227" si="593">G4164-G4165</f>
        <v>0.21999999999999886</v>
      </c>
      <c r="K4164" s="9">
        <f t="shared" si="586"/>
        <v>1.3025458851391288E-2</v>
      </c>
      <c r="L4164" s="1">
        <f t="shared" si="587"/>
        <v>1</v>
      </c>
      <c r="M4164" s="1">
        <f t="shared" si="588"/>
        <v>17.43</v>
      </c>
      <c r="N4164" s="1">
        <f t="shared" si="589"/>
        <v>16.84</v>
      </c>
      <c r="O4164" s="1">
        <f t="shared" si="590"/>
        <v>15.149999999999999</v>
      </c>
      <c r="P4164" s="1">
        <f t="shared" si="591"/>
        <v>7.7295918367346932</v>
      </c>
    </row>
    <row r="4165" spans="1:16">
      <c r="A4165" s="2">
        <v>37012</v>
      </c>
      <c r="B4165" s="1">
        <v>15.9</v>
      </c>
      <c r="C4165" s="1">
        <v>17</v>
      </c>
      <c r="D4165" s="1">
        <v>15.8</v>
      </c>
      <c r="E4165" s="1">
        <v>16.89</v>
      </c>
      <c r="F4165" s="1">
        <v>5107900</v>
      </c>
      <c r="G4165" s="1">
        <v>16.89</v>
      </c>
      <c r="H4165" s="1">
        <f t="shared" si="585"/>
        <v>1.1999999999999993</v>
      </c>
      <c r="I4165" s="9">
        <f t="shared" si="592"/>
        <v>7.5949367088607542E-2</v>
      </c>
      <c r="J4165" s="1">
        <f t="shared" si="593"/>
        <v>1.1100000000000012</v>
      </c>
      <c r="K4165" s="9">
        <f t="shared" si="586"/>
        <v>7.034220532319399E-2</v>
      </c>
      <c r="L4165" s="1">
        <f t="shared" si="587"/>
        <v>1</v>
      </c>
      <c r="M4165" s="1">
        <f t="shared" si="588"/>
        <v>17</v>
      </c>
      <c r="N4165" s="1">
        <f t="shared" si="589"/>
        <v>15.8</v>
      </c>
      <c r="O4165" s="1">
        <f t="shared" si="590"/>
        <v>14.93</v>
      </c>
      <c r="P4165" s="1">
        <f t="shared" si="591"/>
        <v>7.6173469387755102</v>
      </c>
    </row>
    <row r="4166" spans="1:16">
      <c r="A4166" s="2">
        <v>37011</v>
      </c>
      <c r="B4166" s="1">
        <v>15.63</v>
      </c>
      <c r="C4166" s="1">
        <v>16.899999999999999</v>
      </c>
      <c r="D4166" s="1">
        <v>15.59</v>
      </c>
      <c r="E4166" s="1">
        <v>15.78</v>
      </c>
      <c r="F4166" s="1">
        <v>5780300</v>
      </c>
      <c r="G4166" s="1">
        <v>15.78</v>
      </c>
      <c r="H4166" s="1">
        <f t="shared" si="585"/>
        <v>1.3099999999999987</v>
      </c>
      <c r="I4166" s="9">
        <f t="shared" si="592"/>
        <v>8.4028223220012743E-2</v>
      </c>
      <c r="J4166" s="1">
        <f t="shared" si="593"/>
        <v>0.50999999999999979</v>
      </c>
      <c r="K4166" s="9">
        <f t="shared" si="586"/>
        <v>3.3398821218074644E-2</v>
      </c>
      <c r="L4166" s="1">
        <f t="shared" si="587"/>
        <v>1</v>
      </c>
      <c r="M4166" s="1">
        <f t="shared" si="588"/>
        <v>16.899999999999999</v>
      </c>
      <c r="N4166" s="1">
        <f t="shared" si="589"/>
        <v>15.59</v>
      </c>
      <c r="O4166" s="1">
        <f t="shared" si="590"/>
        <v>13.82</v>
      </c>
      <c r="P4166" s="1">
        <f t="shared" si="591"/>
        <v>7.0510204081632653</v>
      </c>
    </row>
    <row r="4167" spans="1:16">
      <c r="A4167" s="2">
        <v>37008</v>
      </c>
      <c r="B4167" s="1">
        <v>15.72</v>
      </c>
      <c r="C4167" s="1">
        <v>15.73</v>
      </c>
      <c r="D4167" s="1">
        <v>15.02</v>
      </c>
      <c r="E4167" s="1">
        <v>15.27</v>
      </c>
      <c r="F4167" s="1">
        <v>4446000</v>
      </c>
      <c r="G4167" s="1">
        <v>15.27</v>
      </c>
      <c r="H4167" s="1">
        <f t="shared" si="585"/>
        <v>0.71000000000000085</v>
      </c>
      <c r="I4167" s="9">
        <f t="shared" si="592"/>
        <v>4.7270306258322292E-2</v>
      </c>
      <c r="J4167" s="1">
        <f t="shared" si="593"/>
        <v>-0.16000000000000014</v>
      </c>
      <c r="K4167" s="9">
        <f t="shared" si="586"/>
        <v>-1.0369410239792621E-2</v>
      </c>
      <c r="L4167" s="1">
        <f t="shared" si="587"/>
        <v>1</v>
      </c>
      <c r="M4167" s="1">
        <f t="shared" si="588"/>
        <v>15.73</v>
      </c>
      <c r="N4167" s="1">
        <f t="shared" si="589"/>
        <v>15.02</v>
      </c>
      <c r="O4167" s="1">
        <f t="shared" si="590"/>
        <v>13.309999999999999</v>
      </c>
      <c r="P4167" s="1">
        <f t="shared" si="591"/>
        <v>6.7908163265306118</v>
      </c>
    </row>
    <row r="4168" spans="1:16">
      <c r="A4168" s="2">
        <v>37007</v>
      </c>
      <c r="B4168" s="1">
        <v>16.25</v>
      </c>
      <c r="C4168" s="1">
        <v>16.5</v>
      </c>
      <c r="D4168" s="1">
        <v>15</v>
      </c>
      <c r="E4168" s="1">
        <v>15.43</v>
      </c>
      <c r="F4168" s="1">
        <v>5960600</v>
      </c>
      <c r="G4168" s="1">
        <v>15.43</v>
      </c>
      <c r="H4168" s="1">
        <f t="shared" si="585"/>
        <v>1.5</v>
      </c>
      <c r="I4168" s="9">
        <f t="shared" si="592"/>
        <v>0.1</v>
      </c>
      <c r="J4168" s="1">
        <f t="shared" si="593"/>
        <v>-0.66000000000000014</v>
      </c>
      <c r="K4168" s="9">
        <f t="shared" si="586"/>
        <v>-4.1019266625233072E-2</v>
      </c>
      <c r="L4168" s="1">
        <f t="shared" si="587"/>
        <v>1</v>
      </c>
      <c r="M4168" s="1">
        <f t="shared" si="588"/>
        <v>16.5</v>
      </c>
      <c r="N4168" s="1">
        <f t="shared" si="589"/>
        <v>15</v>
      </c>
      <c r="O4168" s="1">
        <f t="shared" si="590"/>
        <v>13.469999999999999</v>
      </c>
      <c r="P4168" s="1">
        <f t="shared" si="591"/>
        <v>6.8724489795918364</v>
      </c>
    </row>
    <row r="4169" spans="1:16">
      <c r="A4169" s="2">
        <v>37006</v>
      </c>
      <c r="B4169" s="1">
        <v>15.69</v>
      </c>
      <c r="C4169" s="1">
        <v>16.100000000000001</v>
      </c>
      <c r="D4169" s="1">
        <v>14.6</v>
      </c>
      <c r="E4169" s="1">
        <v>16.09</v>
      </c>
      <c r="F4169" s="1">
        <v>9317100</v>
      </c>
      <c r="G4169" s="1">
        <v>16.09</v>
      </c>
      <c r="H4169" s="1">
        <f t="shared" si="585"/>
        <v>1.5000000000000018</v>
      </c>
      <c r="I4169" s="9">
        <f t="shared" si="592"/>
        <v>0.10273972602739738</v>
      </c>
      <c r="J4169" s="1">
        <f t="shared" si="593"/>
        <v>0.41000000000000014</v>
      </c>
      <c r="K4169" s="9">
        <f t="shared" si="586"/>
        <v>2.6147959183673478E-2</v>
      </c>
      <c r="L4169" s="1">
        <f t="shared" si="587"/>
        <v>1</v>
      </c>
      <c r="M4169" s="1">
        <f t="shared" si="588"/>
        <v>16.100000000000001</v>
      </c>
      <c r="N4169" s="1">
        <f t="shared" si="589"/>
        <v>14.6</v>
      </c>
      <c r="O4169" s="1">
        <f t="shared" si="590"/>
        <v>14.129999999999999</v>
      </c>
      <c r="P4169" s="1">
        <f t="shared" si="591"/>
        <v>7.2091836734693873</v>
      </c>
    </row>
    <row r="4170" spans="1:16">
      <c r="A4170" s="2">
        <v>37005</v>
      </c>
      <c r="B4170" s="1">
        <v>16.440000000000001</v>
      </c>
      <c r="C4170" s="1">
        <v>16.8</v>
      </c>
      <c r="D4170" s="1">
        <v>15.48</v>
      </c>
      <c r="E4170" s="1">
        <v>15.68</v>
      </c>
      <c r="F4170" s="1">
        <v>7082600</v>
      </c>
      <c r="G4170" s="1">
        <v>15.68</v>
      </c>
      <c r="H4170" s="1">
        <f t="shared" si="585"/>
        <v>1.3200000000000003</v>
      </c>
      <c r="I4170" s="9">
        <f t="shared" si="592"/>
        <v>8.5271317829457377E-2</v>
      </c>
      <c r="J4170" s="1">
        <f t="shared" si="593"/>
        <v>-0.51999999999999957</v>
      </c>
      <c r="K4170" s="9">
        <f t="shared" si="586"/>
        <v>-3.209876543209874E-2</v>
      </c>
      <c r="L4170" s="1">
        <f t="shared" si="587"/>
        <v>1</v>
      </c>
      <c r="M4170" s="1">
        <f t="shared" si="588"/>
        <v>16.8</v>
      </c>
      <c r="N4170" s="1">
        <f t="shared" si="589"/>
        <v>15.48</v>
      </c>
      <c r="O4170" s="1">
        <f t="shared" si="590"/>
        <v>13.719999999999999</v>
      </c>
      <c r="P4170" s="1">
        <f t="shared" si="591"/>
        <v>6.9999999999999991</v>
      </c>
    </row>
    <row r="4171" spans="1:16">
      <c r="A4171" s="2">
        <v>37004</v>
      </c>
      <c r="B4171" s="1">
        <v>16.39</v>
      </c>
      <c r="C4171" s="1">
        <v>17.46</v>
      </c>
      <c r="D4171" s="1">
        <v>16.02</v>
      </c>
      <c r="E4171" s="1">
        <v>16.2</v>
      </c>
      <c r="F4171" s="1">
        <v>11689600</v>
      </c>
      <c r="G4171" s="1">
        <v>16.2</v>
      </c>
      <c r="H4171" s="1">
        <f t="shared" si="585"/>
        <v>1.4400000000000013</v>
      </c>
      <c r="I4171" s="9">
        <f t="shared" si="592"/>
        <v>8.9887640449438283E-2</v>
      </c>
      <c r="J4171" s="1">
        <f t="shared" si="593"/>
        <v>0.41999999999999993</v>
      </c>
      <c r="K4171" s="9">
        <f t="shared" si="586"/>
        <v>2.6615969581749045E-2</v>
      </c>
      <c r="L4171" s="1">
        <f t="shared" si="587"/>
        <v>1</v>
      </c>
      <c r="M4171" s="1">
        <f t="shared" si="588"/>
        <v>17.46</v>
      </c>
      <c r="N4171" s="1">
        <f t="shared" si="589"/>
        <v>16.02</v>
      </c>
      <c r="O4171" s="1">
        <f t="shared" si="590"/>
        <v>14.239999999999998</v>
      </c>
      <c r="P4171" s="1">
        <f t="shared" si="591"/>
        <v>7.2653061224489788</v>
      </c>
    </row>
    <row r="4172" spans="1:16">
      <c r="A4172" s="2">
        <v>37001</v>
      </c>
      <c r="B4172" s="1">
        <v>15.62</v>
      </c>
      <c r="C4172" s="1">
        <v>16.2</v>
      </c>
      <c r="D4172" s="1">
        <v>14.97</v>
      </c>
      <c r="E4172" s="1">
        <v>15.78</v>
      </c>
      <c r="F4172" s="1">
        <v>8522100</v>
      </c>
      <c r="G4172" s="1">
        <v>15.78</v>
      </c>
      <c r="H4172" s="1">
        <f t="shared" si="585"/>
        <v>1.2299999999999986</v>
      </c>
      <c r="I4172" s="9">
        <f t="shared" si="592"/>
        <v>8.2164328657314531E-2</v>
      </c>
      <c r="J4172" s="1">
        <f t="shared" si="593"/>
        <v>-0.21000000000000085</v>
      </c>
      <c r="K4172" s="9">
        <f t="shared" si="586"/>
        <v>-1.3133208255159528E-2</v>
      </c>
      <c r="L4172" s="1">
        <f t="shared" si="587"/>
        <v>1</v>
      </c>
      <c r="M4172" s="1">
        <f t="shared" si="588"/>
        <v>16.2</v>
      </c>
      <c r="N4172" s="1">
        <f t="shared" si="589"/>
        <v>14.97</v>
      </c>
      <c r="O4172" s="1">
        <f t="shared" si="590"/>
        <v>13.82</v>
      </c>
      <c r="P4172" s="1">
        <f t="shared" si="591"/>
        <v>7.0510204081632653</v>
      </c>
    </row>
    <row r="4173" spans="1:16">
      <c r="A4173" s="2">
        <v>37000</v>
      </c>
      <c r="B4173" s="1">
        <v>16.899999999999999</v>
      </c>
      <c r="C4173" s="1">
        <v>16.899999999999999</v>
      </c>
      <c r="D4173" s="1">
        <v>15.69</v>
      </c>
      <c r="E4173" s="1">
        <v>15.99</v>
      </c>
      <c r="F4173" s="1">
        <v>8742600</v>
      </c>
      <c r="G4173" s="1">
        <v>15.99</v>
      </c>
      <c r="H4173" s="1">
        <f t="shared" si="585"/>
        <v>1.2099999999999991</v>
      </c>
      <c r="I4173" s="9">
        <f t="shared" si="592"/>
        <v>7.7119184193753923E-2</v>
      </c>
      <c r="J4173" s="1">
        <f t="shared" si="593"/>
        <v>-0.54999999999999893</v>
      </c>
      <c r="K4173" s="9">
        <f t="shared" si="586"/>
        <v>-3.3252720677146248E-2</v>
      </c>
      <c r="L4173" s="1">
        <f t="shared" si="587"/>
        <v>1</v>
      </c>
      <c r="M4173" s="1">
        <f t="shared" si="588"/>
        <v>16.899999999999999</v>
      </c>
      <c r="N4173" s="1">
        <f t="shared" si="589"/>
        <v>15.69</v>
      </c>
      <c r="O4173" s="1">
        <f t="shared" si="590"/>
        <v>14.030000000000001</v>
      </c>
      <c r="P4173" s="1">
        <f t="shared" si="591"/>
        <v>7.1581632653061229</v>
      </c>
    </row>
    <row r="4174" spans="1:16">
      <c r="A4174" s="2">
        <v>36999</v>
      </c>
      <c r="B4174" s="1">
        <v>15.66</v>
      </c>
      <c r="C4174" s="1">
        <v>18.16</v>
      </c>
      <c r="D4174" s="1">
        <v>15.55</v>
      </c>
      <c r="E4174" s="1">
        <v>16.54</v>
      </c>
      <c r="F4174" s="1">
        <v>19555000</v>
      </c>
      <c r="G4174" s="1">
        <v>16.54</v>
      </c>
      <c r="H4174" s="1">
        <f t="shared" si="585"/>
        <v>2.6099999999999994</v>
      </c>
      <c r="I4174" s="9">
        <f t="shared" si="592"/>
        <v>0.16784565916398708</v>
      </c>
      <c r="J4174" s="1">
        <f t="shared" si="593"/>
        <v>1.7999999999999989</v>
      </c>
      <c r="K4174" s="9">
        <f t="shared" si="586"/>
        <v>0.12211668928086832</v>
      </c>
      <c r="L4174" s="1">
        <f t="shared" si="587"/>
        <v>1</v>
      </c>
      <c r="M4174" s="1">
        <f t="shared" si="588"/>
        <v>18.16</v>
      </c>
      <c r="N4174" s="1">
        <f t="shared" si="589"/>
        <v>15.55</v>
      </c>
      <c r="O4174" s="1">
        <f t="shared" si="590"/>
        <v>14.579999999999998</v>
      </c>
      <c r="P4174" s="1">
        <f t="shared" si="591"/>
        <v>7.4387755102040805</v>
      </c>
    </row>
    <row r="4175" spans="1:16">
      <c r="A4175" s="2">
        <v>36998</v>
      </c>
      <c r="B4175" s="1">
        <v>13.81</v>
      </c>
      <c r="C4175" s="1">
        <v>14.87</v>
      </c>
      <c r="D4175" s="1">
        <v>13.75</v>
      </c>
      <c r="E4175" s="1">
        <v>14.74</v>
      </c>
      <c r="F4175" s="1">
        <v>5073500</v>
      </c>
      <c r="G4175" s="1">
        <v>14.74</v>
      </c>
      <c r="H4175" s="1">
        <f t="shared" si="585"/>
        <v>1.1199999999999992</v>
      </c>
      <c r="I4175" s="9">
        <f t="shared" si="592"/>
        <v>8.1454545454545405E-2</v>
      </c>
      <c r="J4175" s="1">
        <f t="shared" si="593"/>
        <v>0.71000000000000085</v>
      </c>
      <c r="K4175" s="9">
        <f t="shared" si="586"/>
        <v>5.0605844618674331E-2</v>
      </c>
      <c r="L4175" s="1">
        <f t="shared" si="587"/>
        <v>1</v>
      </c>
      <c r="M4175" s="1">
        <f t="shared" si="588"/>
        <v>14.87</v>
      </c>
      <c r="N4175" s="1">
        <f t="shared" si="589"/>
        <v>13.75</v>
      </c>
      <c r="O4175" s="1">
        <f t="shared" si="590"/>
        <v>12.780000000000001</v>
      </c>
      <c r="P4175" s="1">
        <f t="shared" si="591"/>
        <v>6.5204081632653068</v>
      </c>
    </row>
    <row r="4176" spans="1:16">
      <c r="A4176" s="2">
        <v>36997</v>
      </c>
      <c r="B4176" s="1">
        <v>14.5</v>
      </c>
      <c r="C4176" s="1">
        <v>14.54</v>
      </c>
      <c r="D4176" s="1">
        <v>13.65</v>
      </c>
      <c r="E4176" s="1">
        <v>14.03</v>
      </c>
      <c r="F4176" s="1">
        <v>6310100</v>
      </c>
      <c r="G4176" s="1">
        <v>14.03</v>
      </c>
      <c r="H4176" s="1">
        <f t="shared" si="585"/>
        <v>0.88999999999999879</v>
      </c>
      <c r="I4176" s="9">
        <f t="shared" si="592"/>
        <v>6.5201465201465109E-2</v>
      </c>
      <c r="J4176" s="1">
        <f t="shared" si="593"/>
        <v>-0.64000000000000057</v>
      </c>
      <c r="K4176" s="9">
        <f t="shared" si="586"/>
        <v>-4.3626448534424031E-2</v>
      </c>
      <c r="L4176" s="1">
        <f t="shared" si="587"/>
        <v>1</v>
      </c>
      <c r="M4176" s="1">
        <f t="shared" si="588"/>
        <v>14.54</v>
      </c>
      <c r="N4176" s="1">
        <f t="shared" si="589"/>
        <v>13.65</v>
      </c>
      <c r="O4176" s="1">
        <f t="shared" si="590"/>
        <v>12.07</v>
      </c>
      <c r="P4176" s="1">
        <f t="shared" si="591"/>
        <v>6.1581632653061229</v>
      </c>
    </row>
    <row r="4177" spans="1:16">
      <c r="A4177" s="2">
        <v>36993</v>
      </c>
      <c r="B4177" s="1">
        <v>13.05</v>
      </c>
      <c r="C4177" s="1">
        <v>15.01</v>
      </c>
      <c r="D4177" s="1">
        <v>13</v>
      </c>
      <c r="E4177" s="1">
        <v>14.67</v>
      </c>
      <c r="F4177" s="1">
        <v>11530000</v>
      </c>
      <c r="G4177" s="1">
        <v>14.67</v>
      </c>
      <c r="H4177" s="1">
        <f t="shared" si="585"/>
        <v>2.0099999999999998</v>
      </c>
      <c r="I4177" s="9">
        <f t="shared" si="592"/>
        <v>0.1546153846153846</v>
      </c>
      <c r="J4177" s="1">
        <f t="shared" si="593"/>
        <v>1.3499999999999996</v>
      </c>
      <c r="K4177" s="9">
        <f t="shared" si="586"/>
        <v>0.10135135135135133</v>
      </c>
      <c r="L4177" s="1">
        <f t="shared" si="587"/>
        <v>1</v>
      </c>
      <c r="M4177" s="1">
        <f t="shared" si="588"/>
        <v>15.01</v>
      </c>
      <c r="N4177" s="1">
        <f t="shared" si="589"/>
        <v>13</v>
      </c>
      <c r="O4177" s="1">
        <f t="shared" si="590"/>
        <v>12.71</v>
      </c>
      <c r="P4177" s="1">
        <f t="shared" si="591"/>
        <v>6.4846938775510212</v>
      </c>
    </row>
    <row r="4178" spans="1:16">
      <c r="A4178" s="2">
        <v>36992</v>
      </c>
      <c r="B4178" s="1">
        <v>13.1</v>
      </c>
      <c r="C4178" s="1">
        <v>13.65</v>
      </c>
      <c r="D4178" s="1">
        <v>12.18</v>
      </c>
      <c r="E4178" s="1">
        <v>13.32</v>
      </c>
      <c r="F4178" s="1">
        <v>13421800</v>
      </c>
      <c r="G4178" s="1">
        <v>13.32</v>
      </c>
      <c r="H4178" s="1">
        <f t="shared" si="585"/>
        <v>1.4700000000000006</v>
      </c>
      <c r="I4178" s="9">
        <f t="shared" si="592"/>
        <v>0.12068965517241385</v>
      </c>
      <c r="J4178" s="1">
        <f t="shared" si="593"/>
        <v>1.3100000000000005</v>
      </c>
      <c r="K4178" s="9">
        <f t="shared" si="586"/>
        <v>0.10907577019150712</v>
      </c>
      <c r="L4178" s="1">
        <f t="shared" si="587"/>
        <v>1</v>
      </c>
      <c r="M4178" s="1">
        <f t="shared" si="588"/>
        <v>13.65</v>
      </c>
      <c r="N4178" s="1">
        <f t="shared" si="589"/>
        <v>12.18</v>
      </c>
      <c r="O4178" s="1">
        <f t="shared" si="590"/>
        <v>11.36</v>
      </c>
      <c r="P4178" s="1">
        <f t="shared" si="591"/>
        <v>5.795918367346939</v>
      </c>
    </row>
    <row r="4179" spans="1:16">
      <c r="A4179" s="2">
        <v>36991</v>
      </c>
      <c r="B4179" s="1">
        <v>11.24</v>
      </c>
      <c r="C4179" s="1">
        <v>13.5</v>
      </c>
      <c r="D4179" s="1">
        <v>11.2</v>
      </c>
      <c r="E4179" s="1">
        <v>12.01</v>
      </c>
      <c r="F4179" s="1">
        <v>18860400</v>
      </c>
      <c r="G4179" s="1">
        <v>12.01</v>
      </c>
      <c r="H4179" s="1">
        <f t="shared" si="585"/>
        <v>2.3000000000000007</v>
      </c>
      <c r="I4179" s="9">
        <f t="shared" si="592"/>
        <v>0.20535714285714293</v>
      </c>
      <c r="J4179" s="1">
        <f t="shared" si="593"/>
        <v>0.83000000000000007</v>
      </c>
      <c r="K4179" s="9">
        <f t="shared" si="586"/>
        <v>7.423971377459751E-2</v>
      </c>
      <c r="L4179" s="1">
        <f t="shared" si="587"/>
        <v>1</v>
      </c>
      <c r="M4179" s="1">
        <f t="shared" si="588"/>
        <v>13.5</v>
      </c>
      <c r="N4179" s="1">
        <f t="shared" si="589"/>
        <v>11.2</v>
      </c>
      <c r="O4179" s="1">
        <f t="shared" si="590"/>
        <v>10.050000000000001</v>
      </c>
      <c r="P4179" s="1">
        <f t="shared" si="591"/>
        <v>5.1275510204081636</v>
      </c>
    </row>
    <row r="4180" spans="1:16">
      <c r="A4180" s="2">
        <v>36990</v>
      </c>
      <c r="B4180" s="1">
        <v>11.84</v>
      </c>
      <c r="C4180" s="1">
        <v>11.9</v>
      </c>
      <c r="D4180" s="1">
        <v>10.7</v>
      </c>
      <c r="E4180" s="1">
        <v>11.18</v>
      </c>
      <c r="F4180" s="1">
        <v>23405700</v>
      </c>
      <c r="G4180" s="1">
        <v>11.18</v>
      </c>
      <c r="H4180" s="1">
        <f t="shared" si="585"/>
        <v>1.2000000000000011</v>
      </c>
      <c r="I4180" s="9">
        <f t="shared" si="592"/>
        <v>0.11214953271028048</v>
      </c>
      <c r="J4180" s="1">
        <f t="shared" si="593"/>
        <v>2.8100000000000005</v>
      </c>
      <c r="K4180" s="9">
        <f t="shared" si="586"/>
        <v>0.33572281959378741</v>
      </c>
      <c r="L4180" s="1">
        <f t="shared" si="587"/>
        <v>1</v>
      </c>
      <c r="M4180" s="1">
        <f t="shared" si="588"/>
        <v>11.9</v>
      </c>
      <c r="N4180" s="1">
        <f t="shared" si="589"/>
        <v>10.7</v>
      </c>
      <c r="O4180" s="1">
        <f t="shared" si="590"/>
        <v>9.2199999999999989</v>
      </c>
      <c r="P4180" s="1">
        <f t="shared" si="591"/>
        <v>4.704081632653061</v>
      </c>
    </row>
    <row r="4181" spans="1:16">
      <c r="A4181" s="2">
        <v>36987</v>
      </c>
      <c r="B4181" s="1">
        <v>8.9</v>
      </c>
      <c r="C4181" s="1">
        <v>8.9</v>
      </c>
      <c r="D4181" s="1">
        <v>8.1999999999999993</v>
      </c>
      <c r="E4181" s="1">
        <v>8.3699999999999992</v>
      </c>
      <c r="F4181" s="1">
        <v>5281100</v>
      </c>
      <c r="G4181" s="1">
        <v>8.3699999999999992</v>
      </c>
      <c r="H4181" s="1">
        <f t="shared" si="585"/>
        <v>0.70000000000000107</v>
      </c>
      <c r="I4181" s="9">
        <f t="shared" si="592"/>
        <v>8.5365853658536717E-2</v>
      </c>
      <c r="J4181" s="1">
        <f t="shared" si="593"/>
        <v>-0.75</v>
      </c>
      <c r="K4181" s="9">
        <f t="shared" si="586"/>
        <v>-8.2236842105263164E-2</v>
      </c>
      <c r="L4181" s="1">
        <f t="shared" si="587"/>
        <v>1</v>
      </c>
      <c r="M4181" s="1">
        <f t="shared" si="588"/>
        <v>8.9</v>
      </c>
      <c r="N4181" s="1">
        <f t="shared" si="589"/>
        <v>8.1999999999999993</v>
      </c>
      <c r="O4181" s="1">
        <f t="shared" si="590"/>
        <v>6.4099999999999993</v>
      </c>
      <c r="P4181" s="1">
        <f t="shared" si="591"/>
        <v>3.2704081632653059</v>
      </c>
    </row>
    <row r="4182" spans="1:16">
      <c r="A4182" s="2">
        <v>36986</v>
      </c>
      <c r="B4182" s="1">
        <v>9.02</v>
      </c>
      <c r="C4182" s="1">
        <v>9.3000000000000007</v>
      </c>
      <c r="D4182" s="1">
        <v>8.7200000000000006</v>
      </c>
      <c r="E4182" s="1">
        <v>9.1199999999999992</v>
      </c>
      <c r="F4182" s="1">
        <v>5424200</v>
      </c>
      <c r="G4182" s="1">
        <v>9.1199999999999992</v>
      </c>
      <c r="H4182" s="1">
        <f t="shared" si="585"/>
        <v>0.58000000000000007</v>
      </c>
      <c r="I4182" s="9">
        <f t="shared" si="592"/>
        <v>6.6513761467889912E-2</v>
      </c>
      <c r="J4182" s="1">
        <f t="shared" si="593"/>
        <v>0.71999999999999886</v>
      </c>
      <c r="K4182" s="9">
        <f t="shared" si="586"/>
        <v>8.5714285714285576E-2</v>
      </c>
      <c r="L4182" s="1">
        <f t="shared" si="587"/>
        <v>1</v>
      </c>
      <c r="M4182" s="1">
        <f t="shared" si="588"/>
        <v>9.3000000000000007</v>
      </c>
      <c r="N4182" s="1">
        <f t="shared" si="589"/>
        <v>8.7200000000000006</v>
      </c>
      <c r="O4182" s="1">
        <f t="shared" si="590"/>
        <v>7.1599999999999993</v>
      </c>
      <c r="P4182" s="1">
        <f t="shared" si="591"/>
        <v>3.6530612244897958</v>
      </c>
    </row>
    <row r="4183" spans="1:16">
      <c r="A4183" s="2">
        <v>36985</v>
      </c>
      <c r="B4183" s="1">
        <v>8.57</v>
      </c>
      <c r="C4183" s="1">
        <v>9</v>
      </c>
      <c r="D4183" s="1">
        <v>8.1</v>
      </c>
      <c r="E4183" s="1">
        <v>8.4</v>
      </c>
      <c r="F4183" s="1">
        <v>5708100</v>
      </c>
      <c r="G4183" s="1">
        <v>8.4</v>
      </c>
      <c r="H4183" s="1">
        <f t="shared" si="585"/>
        <v>0.90000000000000036</v>
      </c>
      <c r="I4183" s="9">
        <f t="shared" si="592"/>
        <v>0.11111111111111116</v>
      </c>
      <c r="J4183" s="1">
        <f t="shared" si="593"/>
        <v>-0.23000000000000043</v>
      </c>
      <c r="K4183" s="9">
        <f t="shared" si="586"/>
        <v>-2.6651216685979189E-2</v>
      </c>
      <c r="L4183" s="1">
        <f t="shared" si="587"/>
        <v>1</v>
      </c>
      <c r="M4183" s="1">
        <f t="shared" si="588"/>
        <v>9</v>
      </c>
      <c r="N4183" s="1">
        <f t="shared" si="589"/>
        <v>8.1</v>
      </c>
      <c r="O4183" s="1">
        <f t="shared" si="590"/>
        <v>6.44</v>
      </c>
      <c r="P4183" s="1">
        <f t="shared" si="591"/>
        <v>3.285714285714286</v>
      </c>
    </row>
    <row r="4184" spans="1:16">
      <c r="A4184" s="2">
        <v>36984</v>
      </c>
      <c r="B4184" s="1">
        <v>8.7100000000000009</v>
      </c>
      <c r="C4184" s="1">
        <v>9.15</v>
      </c>
      <c r="D4184" s="1">
        <v>8.5</v>
      </c>
      <c r="E4184" s="1">
        <v>8.6300000000000008</v>
      </c>
      <c r="F4184" s="1">
        <v>4865700</v>
      </c>
      <c r="G4184" s="1">
        <v>8.6300000000000008</v>
      </c>
      <c r="H4184" s="1">
        <f t="shared" si="585"/>
        <v>0.65000000000000036</v>
      </c>
      <c r="I4184" s="9">
        <f t="shared" si="592"/>
        <v>7.6470588235294165E-2</v>
      </c>
      <c r="J4184" s="1">
        <f t="shared" si="593"/>
        <v>-0.46999999999999886</v>
      </c>
      <c r="K4184" s="9">
        <f t="shared" si="586"/>
        <v>-5.1648351648351527E-2</v>
      </c>
      <c r="L4184" s="1">
        <f t="shared" si="587"/>
        <v>1</v>
      </c>
      <c r="M4184" s="1">
        <f t="shared" si="588"/>
        <v>9.15</v>
      </c>
      <c r="N4184" s="1">
        <f t="shared" si="589"/>
        <v>8.5</v>
      </c>
      <c r="O4184" s="1">
        <f t="shared" si="590"/>
        <v>6.6700000000000008</v>
      </c>
      <c r="P4184" s="1">
        <f t="shared" si="591"/>
        <v>3.4030612244897962</v>
      </c>
    </row>
    <row r="4185" spans="1:16">
      <c r="A4185" s="2">
        <v>36983</v>
      </c>
      <c r="B4185" s="1">
        <v>10.33</v>
      </c>
      <c r="C4185" s="1">
        <v>10.53</v>
      </c>
      <c r="D4185" s="1">
        <v>8.5</v>
      </c>
      <c r="E4185" s="1">
        <v>9.1</v>
      </c>
      <c r="F4185" s="1">
        <v>8803900</v>
      </c>
      <c r="G4185" s="1">
        <v>9.1</v>
      </c>
      <c r="H4185" s="1">
        <f t="shared" si="585"/>
        <v>2.0299999999999994</v>
      </c>
      <c r="I4185" s="9">
        <f t="shared" si="592"/>
        <v>0.23882352941176463</v>
      </c>
      <c r="J4185" s="1">
        <f t="shared" si="593"/>
        <v>-1.1300000000000008</v>
      </c>
      <c r="K4185" s="9">
        <f t="shared" si="586"/>
        <v>-0.11045943304007827</v>
      </c>
      <c r="L4185" s="1">
        <f t="shared" si="587"/>
        <v>1</v>
      </c>
      <c r="M4185" s="1">
        <f t="shared" si="588"/>
        <v>10.53</v>
      </c>
      <c r="N4185" s="1">
        <f t="shared" si="589"/>
        <v>8.5</v>
      </c>
      <c r="O4185" s="1">
        <f t="shared" si="590"/>
        <v>7.14</v>
      </c>
      <c r="P4185" s="1">
        <f t="shared" si="591"/>
        <v>3.6428571428571428</v>
      </c>
    </row>
    <row r="4186" spans="1:16">
      <c r="A4186" s="2">
        <v>36980</v>
      </c>
      <c r="B4186" s="1">
        <v>10.119999999999999</v>
      </c>
      <c r="C4186" s="1">
        <v>10.84</v>
      </c>
      <c r="D4186" s="1">
        <v>9.91</v>
      </c>
      <c r="E4186" s="1">
        <v>10.23</v>
      </c>
      <c r="F4186" s="1">
        <v>3558400</v>
      </c>
      <c r="G4186" s="1">
        <v>10.23</v>
      </c>
      <c r="H4186" s="1">
        <f t="shared" si="585"/>
        <v>0.92999999999999972</v>
      </c>
      <c r="I4186" s="9">
        <f t="shared" si="592"/>
        <v>9.3844601412714404E-2</v>
      </c>
      <c r="J4186" s="1">
        <f t="shared" si="593"/>
        <v>0.23000000000000043</v>
      </c>
      <c r="K4186" s="9">
        <f t="shared" si="586"/>
        <v>2.3000000000000041E-2</v>
      </c>
      <c r="L4186" s="1">
        <f t="shared" si="587"/>
        <v>1</v>
      </c>
      <c r="M4186" s="1">
        <f t="shared" si="588"/>
        <v>10.84</v>
      </c>
      <c r="N4186" s="1">
        <f t="shared" si="589"/>
        <v>9.91</v>
      </c>
      <c r="O4186" s="1">
        <f t="shared" si="590"/>
        <v>8.27</v>
      </c>
      <c r="P4186" s="1">
        <f t="shared" si="591"/>
        <v>4.2193877551020407</v>
      </c>
    </row>
    <row r="4187" spans="1:16">
      <c r="A4187" s="2">
        <v>36979</v>
      </c>
      <c r="B4187" s="1">
        <v>10.57</v>
      </c>
      <c r="C4187" s="1">
        <v>11.03</v>
      </c>
      <c r="D4187" s="1">
        <v>10</v>
      </c>
      <c r="E4187" s="1">
        <v>10</v>
      </c>
      <c r="F4187" s="1">
        <v>4638400</v>
      </c>
      <c r="G4187" s="1">
        <v>10</v>
      </c>
      <c r="H4187" s="1">
        <f t="shared" si="585"/>
        <v>1.0299999999999994</v>
      </c>
      <c r="I4187" s="9">
        <f t="shared" si="592"/>
        <v>0.10299999999999994</v>
      </c>
      <c r="J4187" s="1">
        <f t="shared" si="593"/>
        <v>-0.80000000000000071</v>
      </c>
      <c r="K4187" s="9">
        <f t="shared" si="586"/>
        <v>-7.4074074074074139E-2</v>
      </c>
      <c r="L4187" s="1">
        <f t="shared" si="587"/>
        <v>1</v>
      </c>
      <c r="M4187" s="1">
        <f t="shared" si="588"/>
        <v>11.03</v>
      </c>
      <c r="N4187" s="1">
        <f t="shared" si="589"/>
        <v>10</v>
      </c>
      <c r="O4187" s="1">
        <f t="shared" si="590"/>
        <v>8.0399999999999991</v>
      </c>
      <c r="P4187" s="1">
        <f t="shared" si="591"/>
        <v>4.1020408163265305</v>
      </c>
    </row>
    <row r="4188" spans="1:16">
      <c r="A4188" s="2">
        <v>36978</v>
      </c>
      <c r="B4188" s="1">
        <v>11.1</v>
      </c>
      <c r="C4188" s="1">
        <v>11.16</v>
      </c>
      <c r="D4188" s="1">
        <v>10.75</v>
      </c>
      <c r="E4188" s="1">
        <v>10.8</v>
      </c>
      <c r="F4188" s="1">
        <v>3386900</v>
      </c>
      <c r="G4188" s="1">
        <v>10.8</v>
      </c>
      <c r="H4188" s="1">
        <f t="shared" si="585"/>
        <v>0.41000000000000014</v>
      </c>
      <c r="I4188" s="9">
        <f t="shared" si="592"/>
        <v>3.8139534883720946E-2</v>
      </c>
      <c r="J4188" s="1">
        <f t="shared" si="593"/>
        <v>-0.83999999999999986</v>
      </c>
      <c r="K4188" s="9">
        <f t="shared" si="586"/>
        <v>-7.2164948453608227E-2</v>
      </c>
      <c r="L4188" s="1">
        <f t="shared" si="587"/>
        <v>1</v>
      </c>
      <c r="M4188" s="1">
        <f t="shared" si="588"/>
        <v>11.16</v>
      </c>
      <c r="N4188" s="1">
        <f t="shared" si="589"/>
        <v>10.75</v>
      </c>
      <c r="O4188" s="1">
        <f t="shared" si="590"/>
        <v>8.84</v>
      </c>
      <c r="P4188" s="1">
        <f t="shared" si="591"/>
        <v>4.5102040816326534</v>
      </c>
    </row>
    <row r="4189" spans="1:16">
      <c r="A4189" s="2">
        <v>36977</v>
      </c>
      <c r="B4189" s="1">
        <v>10.92</v>
      </c>
      <c r="C4189" s="1">
        <v>11.8</v>
      </c>
      <c r="D4189" s="1">
        <v>10.51</v>
      </c>
      <c r="E4189" s="1">
        <v>11.64</v>
      </c>
      <c r="F4189" s="1">
        <v>5603200</v>
      </c>
      <c r="G4189" s="1">
        <v>11.64</v>
      </c>
      <c r="H4189" s="1">
        <f t="shared" si="585"/>
        <v>1.2900000000000009</v>
      </c>
      <c r="I4189" s="9">
        <f t="shared" si="592"/>
        <v>0.12274024738344443</v>
      </c>
      <c r="J4189" s="1">
        <f t="shared" si="593"/>
        <v>0.70000000000000107</v>
      </c>
      <c r="K4189" s="9">
        <f t="shared" si="586"/>
        <v>6.3985374771480905E-2</v>
      </c>
      <c r="L4189" s="1">
        <f t="shared" si="587"/>
        <v>1</v>
      </c>
      <c r="M4189" s="1">
        <f t="shared" si="588"/>
        <v>11.8</v>
      </c>
      <c r="N4189" s="1">
        <f t="shared" si="589"/>
        <v>10.51</v>
      </c>
      <c r="O4189" s="1">
        <f t="shared" si="590"/>
        <v>9.68</v>
      </c>
      <c r="P4189" s="1">
        <f t="shared" si="591"/>
        <v>4.9387755102040813</v>
      </c>
    </row>
    <row r="4190" spans="1:16">
      <c r="A4190" s="2">
        <v>36976</v>
      </c>
      <c r="B4190" s="1">
        <v>10.7</v>
      </c>
      <c r="C4190" s="1">
        <v>11.29</v>
      </c>
      <c r="D4190" s="1">
        <v>10.62</v>
      </c>
      <c r="E4190" s="1">
        <v>10.94</v>
      </c>
      <c r="F4190" s="1">
        <v>6850600</v>
      </c>
      <c r="G4190" s="1">
        <v>10.94</v>
      </c>
      <c r="H4190" s="1">
        <f t="shared" si="585"/>
        <v>0.66999999999999993</v>
      </c>
      <c r="I4190" s="9">
        <f t="shared" si="592"/>
        <v>6.3088512241054606E-2</v>
      </c>
      <c r="J4190" s="1">
        <f t="shared" si="593"/>
        <v>0.75</v>
      </c>
      <c r="K4190" s="9">
        <f t="shared" si="586"/>
        <v>7.3601570166830235E-2</v>
      </c>
      <c r="L4190" s="1">
        <f t="shared" si="587"/>
        <v>1</v>
      </c>
      <c r="M4190" s="1">
        <f t="shared" si="588"/>
        <v>11.29</v>
      </c>
      <c r="N4190" s="1">
        <f t="shared" si="589"/>
        <v>10.62</v>
      </c>
      <c r="O4190" s="1">
        <f t="shared" si="590"/>
        <v>8.98</v>
      </c>
      <c r="P4190" s="1">
        <f t="shared" si="591"/>
        <v>4.5816326530612246</v>
      </c>
    </row>
    <row r="4191" spans="1:16">
      <c r="A4191" s="2">
        <v>36973</v>
      </c>
      <c r="B4191" s="1">
        <v>10.56</v>
      </c>
      <c r="C4191" s="1">
        <v>10.81</v>
      </c>
      <c r="D4191" s="1">
        <v>9.94</v>
      </c>
      <c r="E4191" s="1">
        <v>10.19</v>
      </c>
      <c r="F4191" s="1">
        <v>3754400</v>
      </c>
      <c r="G4191" s="1">
        <v>10.19</v>
      </c>
      <c r="H4191" s="1">
        <f t="shared" si="585"/>
        <v>0.87000000000000099</v>
      </c>
      <c r="I4191" s="9">
        <f t="shared" si="592"/>
        <v>8.7525150905432697E-2</v>
      </c>
      <c r="J4191" s="1">
        <f t="shared" si="593"/>
        <v>0</v>
      </c>
      <c r="K4191" s="9">
        <f t="shared" si="586"/>
        <v>0</v>
      </c>
      <c r="L4191" s="1">
        <f t="shared" si="587"/>
        <v>1</v>
      </c>
      <c r="M4191" s="1">
        <f t="shared" si="588"/>
        <v>10.81</v>
      </c>
      <c r="N4191" s="1">
        <f t="shared" si="589"/>
        <v>9.94</v>
      </c>
      <c r="O4191" s="1">
        <f t="shared" si="590"/>
        <v>8.23</v>
      </c>
      <c r="P4191" s="1">
        <f t="shared" si="591"/>
        <v>4.1989795918367347</v>
      </c>
    </row>
    <row r="4192" spans="1:16">
      <c r="A4192" s="2">
        <v>36972</v>
      </c>
      <c r="B4192" s="1">
        <v>10.06</v>
      </c>
      <c r="C4192" s="1">
        <v>10.25</v>
      </c>
      <c r="D4192" s="1">
        <v>9.56</v>
      </c>
      <c r="E4192" s="1">
        <v>10.19</v>
      </c>
      <c r="F4192" s="1">
        <v>6594600</v>
      </c>
      <c r="G4192" s="1">
        <v>10.19</v>
      </c>
      <c r="H4192" s="1">
        <f t="shared" si="585"/>
        <v>0.6899999999999995</v>
      </c>
      <c r="I4192" s="9">
        <f t="shared" si="592"/>
        <v>7.217573221757316E-2</v>
      </c>
      <c r="J4192" s="1">
        <f t="shared" si="593"/>
        <v>0.1899999999999995</v>
      </c>
      <c r="K4192" s="9">
        <f t="shared" si="586"/>
        <v>1.8999999999999951E-2</v>
      </c>
      <c r="L4192" s="1">
        <f t="shared" si="587"/>
        <v>1</v>
      </c>
      <c r="M4192" s="1">
        <f t="shared" si="588"/>
        <v>10.25</v>
      </c>
      <c r="N4192" s="1">
        <f t="shared" si="589"/>
        <v>9.56</v>
      </c>
      <c r="O4192" s="1">
        <f t="shared" si="590"/>
        <v>8.23</v>
      </c>
      <c r="P4192" s="1">
        <f t="shared" si="591"/>
        <v>4.1989795918367347</v>
      </c>
    </row>
    <row r="4193" spans="1:16">
      <c r="A4193" s="2">
        <v>36971</v>
      </c>
      <c r="B4193" s="1">
        <v>10.38</v>
      </c>
      <c r="C4193" s="1">
        <v>10.44</v>
      </c>
      <c r="D4193" s="1">
        <v>10</v>
      </c>
      <c r="E4193" s="1">
        <v>10</v>
      </c>
      <c r="F4193" s="1">
        <v>5506600</v>
      </c>
      <c r="G4193" s="1">
        <v>10</v>
      </c>
      <c r="H4193" s="1">
        <f t="shared" si="585"/>
        <v>0.4399999999999995</v>
      </c>
      <c r="I4193" s="9">
        <f t="shared" si="592"/>
        <v>4.3999999999999949E-2</v>
      </c>
      <c r="J4193" s="1">
        <f t="shared" si="593"/>
        <v>-0.25</v>
      </c>
      <c r="K4193" s="9">
        <f t="shared" si="586"/>
        <v>-2.4390243902439025E-2</v>
      </c>
      <c r="L4193" s="1">
        <f t="shared" si="587"/>
        <v>1</v>
      </c>
      <c r="M4193" s="1">
        <f t="shared" si="588"/>
        <v>10.44</v>
      </c>
      <c r="N4193" s="1">
        <f t="shared" si="589"/>
        <v>10</v>
      </c>
      <c r="O4193" s="1">
        <f t="shared" si="590"/>
        <v>8.0399999999999991</v>
      </c>
      <c r="P4193" s="1">
        <f t="shared" si="591"/>
        <v>4.1020408163265305</v>
      </c>
    </row>
    <row r="4194" spans="1:16">
      <c r="A4194" s="2">
        <v>36970</v>
      </c>
      <c r="B4194" s="1">
        <v>10.56</v>
      </c>
      <c r="C4194" s="1">
        <v>11.5</v>
      </c>
      <c r="D4194" s="1">
        <v>10.130000000000001</v>
      </c>
      <c r="E4194" s="1">
        <v>10.25</v>
      </c>
      <c r="F4194" s="1">
        <v>6294700</v>
      </c>
      <c r="G4194" s="1">
        <v>10.25</v>
      </c>
      <c r="H4194" s="1">
        <f t="shared" si="585"/>
        <v>1.3699999999999992</v>
      </c>
      <c r="I4194" s="9">
        <f t="shared" si="592"/>
        <v>0.13524185587364257</v>
      </c>
      <c r="J4194" s="1">
        <f t="shared" si="593"/>
        <v>-0.25</v>
      </c>
      <c r="K4194" s="9">
        <f t="shared" si="586"/>
        <v>-2.3809523809523808E-2</v>
      </c>
      <c r="L4194" s="1">
        <f t="shared" si="587"/>
        <v>1</v>
      </c>
      <c r="M4194" s="1">
        <f t="shared" si="588"/>
        <v>11.5</v>
      </c>
      <c r="N4194" s="1">
        <f t="shared" si="589"/>
        <v>10.130000000000001</v>
      </c>
      <c r="O4194" s="1">
        <f t="shared" si="590"/>
        <v>8.2899999999999991</v>
      </c>
      <c r="P4194" s="1">
        <f t="shared" si="591"/>
        <v>4.2295918367346932</v>
      </c>
    </row>
    <row r="4195" spans="1:16">
      <c r="A4195" s="2">
        <v>36969</v>
      </c>
      <c r="B4195" s="1">
        <v>11.19</v>
      </c>
      <c r="C4195" s="1">
        <v>11.31</v>
      </c>
      <c r="D4195" s="1">
        <v>10.130000000000001</v>
      </c>
      <c r="E4195" s="1">
        <v>10.5</v>
      </c>
      <c r="F4195" s="1">
        <v>6774500</v>
      </c>
      <c r="G4195" s="1">
        <v>10.5</v>
      </c>
      <c r="H4195" s="1">
        <f t="shared" si="585"/>
        <v>1.1799999999999997</v>
      </c>
      <c r="I4195" s="9">
        <f t="shared" si="592"/>
        <v>0.11648568608094764</v>
      </c>
      <c r="J4195" s="1">
        <f t="shared" si="593"/>
        <v>-0.5</v>
      </c>
      <c r="K4195" s="9">
        <f t="shared" si="586"/>
        <v>-4.5454545454545456E-2</v>
      </c>
      <c r="L4195" s="1">
        <f t="shared" si="587"/>
        <v>1</v>
      </c>
      <c r="M4195" s="1">
        <f t="shared" si="588"/>
        <v>11.31</v>
      </c>
      <c r="N4195" s="1">
        <f t="shared" si="589"/>
        <v>10.130000000000001</v>
      </c>
      <c r="O4195" s="1">
        <f t="shared" si="590"/>
        <v>8.5399999999999991</v>
      </c>
      <c r="P4195" s="1">
        <f t="shared" si="591"/>
        <v>4.3571428571428568</v>
      </c>
    </row>
    <row r="4196" spans="1:16">
      <c r="A4196" s="2">
        <v>36966</v>
      </c>
      <c r="B4196" s="1">
        <v>10.63</v>
      </c>
      <c r="C4196" s="1">
        <v>11.06</v>
      </c>
      <c r="D4196" s="1">
        <v>10.25</v>
      </c>
      <c r="E4196" s="1">
        <v>11</v>
      </c>
      <c r="F4196" s="1">
        <v>6984200</v>
      </c>
      <c r="G4196" s="1">
        <v>11</v>
      </c>
      <c r="H4196" s="1">
        <f t="shared" si="585"/>
        <v>0.8100000000000005</v>
      </c>
      <c r="I4196" s="9">
        <f t="shared" si="592"/>
        <v>7.9024390243902481E-2</v>
      </c>
      <c r="J4196" s="1">
        <f t="shared" si="593"/>
        <v>0.11999999999999922</v>
      </c>
      <c r="K4196" s="9">
        <f t="shared" si="586"/>
        <v>1.102941176470581E-2</v>
      </c>
      <c r="L4196" s="1">
        <f t="shared" si="587"/>
        <v>1</v>
      </c>
      <c r="M4196" s="1">
        <f t="shared" si="588"/>
        <v>11.06</v>
      </c>
      <c r="N4196" s="1">
        <f t="shared" si="589"/>
        <v>10.25</v>
      </c>
      <c r="O4196" s="1">
        <f t="shared" si="590"/>
        <v>9.0399999999999991</v>
      </c>
      <c r="P4196" s="1">
        <f t="shared" si="591"/>
        <v>4.612244897959183</v>
      </c>
    </row>
    <row r="4197" spans="1:16">
      <c r="A4197" s="2">
        <v>36965</v>
      </c>
      <c r="B4197" s="1">
        <v>11.38</v>
      </c>
      <c r="C4197" s="1">
        <v>11.44</v>
      </c>
      <c r="D4197" s="1">
        <v>10.81</v>
      </c>
      <c r="E4197" s="1">
        <v>10.88</v>
      </c>
      <c r="F4197" s="1">
        <v>5824900</v>
      </c>
      <c r="G4197" s="1">
        <v>10.88</v>
      </c>
      <c r="H4197" s="1">
        <f t="shared" si="585"/>
        <v>0.62999999999999901</v>
      </c>
      <c r="I4197" s="9">
        <f t="shared" si="592"/>
        <v>5.8279370952821367E-2</v>
      </c>
      <c r="J4197" s="1">
        <f t="shared" si="593"/>
        <v>0.25</v>
      </c>
      <c r="K4197" s="9">
        <f t="shared" si="586"/>
        <v>2.3518344308560677E-2</v>
      </c>
      <c r="L4197" s="1">
        <f t="shared" si="587"/>
        <v>1</v>
      </c>
      <c r="M4197" s="1">
        <f t="shared" si="588"/>
        <v>11.44</v>
      </c>
      <c r="N4197" s="1">
        <f t="shared" si="589"/>
        <v>10.81</v>
      </c>
      <c r="O4197" s="1">
        <f t="shared" si="590"/>
        <v>8.9200000000000017</v>
      </c>
      <c r="P4197" s="1">
        <f t="shared" si="591"/>
        <v>4.5510204081632661</v>
      </c>
    </row>
    <row r="4198" spans="1:16">
      <c r="A4198" s="2">
        <v>36964</v>
      </c>
      <c r="B4198" s="1">
        <v>10.25</v>
      </c>
      <c r="C4198" s="1">
        <v>10.94</v>
      </c>
      <c r="D4198" s="1">
        <v>10.130000000000001</v>
      </c>
      <c r="E4198" s="1">
        <v>10.63</v>
      </c>
      <c r="F4198" s="1">
        <v>3124400</v>
      </c>
      <c r="G4198" s="1">
        <v>10.63</v>
      </c>
      <c r="H4198" s="1">
        <f t="shared" si="585"/>
        <v>0.80999999999999872</v>
      </c>
      <c r="I4198" s="9">
        <f t="shared" si="592"/>
        <v>7.9960513326752095E-2</v>
      </c>
      <c r="J4198" s="1">
        <f t="shared" si="593"/>
        <v>-0.36999999999999922</v>
      </c>
      <c r="K4198" s="9">
        <f t="shared" si="586"/>
        <v>-3.3636363636363568E-2</v>
      </c>
      <c r="L4198" s="1">
        <f t="shared" si="587"/>
        <v>1</v>
      </c>
      <c r="M4198" s="1">
        <f t="shared" si="588"/>
        <v>10.94</v>
      </c>
      <c r="N4198" s="1">
        <f t="shared" si="589"/>
        <v>10.130000000000001</v>
      </c>
      <c r="O4198" s="1">
        <f t="shared" si="590"/>
        <v>8.6700000000000017</v>
      </c>
      <c r="P4198" s="1">
        <f t="shared" si="591"/>
        <v>4.4234693877551026</v>
      </c>
    </row>
    <row r="4199" spans="1:16">
      <c r="A4199" s="2">
        <v>36963</v>
      </c>
      <c r="B4199" s="1">
        <v>10.81</v>
      </c>
      <c r="C4199" s="1">
        <v>11.06</v>
      </c>
      <c r="D4199" s="1">
        <v>10.5</v>
      </c>
      <c r="E4199" s="1">
        <v>11</v>
      </c>
      <c r="F4199" s="1">
        <v>3330700</v>
      </c>
      <c r="G4199" s="1">
        <v>11</v>
      </c>
      <c r="H4199" s="1">
        <f t="shared" si="585"/>
        <v>0.5600000000000005</v>
      </c>
      <c r="I4199" s="9">
        <f t="shared" si="592"/>
        <v>5.3333333333333378E-2</v>
      </c>
      <c r="J4199" s="1">
        <f t="shared" si="593"/>
        <v>0.36999999999999922</v>
      </c>
      <c r="K4199" s="9">
        <f t="shared" si="586"/>
        <v>3.4807149576669728E-2</v>
      </c>
      <c r="L4199" s="1">
        <f t="shared" si="587"/>
        <v>1</v>
      </c>
      <c r="M4199" s="1">
        <f t="shared" si="588"/>
        <v>11.06</v>
      </c>
      <c r="N4199" s="1">
        <f t="shared" si="589"/>
        <v>10.5</v>
      </c>
      <c r="O4199" s="1">
        <f t="shared" si="590"/>
        <v>9.0399999999999991</v>
      </c>
      <c r="P4199" s="1">
        <f t="shared" si="591"/>
        <v>4.612244897959183</v>
      </c>
    </row>
    <row r="4200" spans="1:16">
      <c r="A4200" s="2">
        <v>36962</v>
      </c>
      <c r="B4200" s="1">
        <v>11.38</v>
      </c>
      <c r="C4200" s="1">
        <v>11.69</v>
      </c>
      <c r="D4200" s="1">
        <v>10.5</v>
      </c>
      <c r="E4200" s="1">
        <v>10.63</v>
      </c>
      <c r="F4200" s="1">
        <v>5716500</v>
      </c>
      <c r="G4200" s="1">
        <v>10.63</v>
      </c>
      <c r="H4200" s="1">
        <f t="shared" si="585"/>
        <v>1.1899999999999995</v>
      </c>
      <c r="I4200" s="9">
        <f t="shared" si="592"/>
        <v>0.11333333333333329</v>
      </c>
      <c r="J4200" s="1">
        <f t="shared" si="593"/>
        <v>-1.6199999999999992</v>
      </c>
      <c r="K4200" s="9">
        <f t="shared" si="586"/>
        <v>-0.13224489795918362</v>
      </c>
      <c r="L4200" s="1">
        <f t="shared" si="587"/>
        <v>1</v>
      </c>
      <c r="M4200" s="1">
        <f t="shared" si="588"/>
        <v>11.69</v>
      </c>
      <c r="N4200" s="1">
        <f t="shared" si="589"/>
        <v>10.5</v>
      </c>
      <c r="O4200" s="1">
        <f t="shared" si="590"/>
        <v>8.6700000000000017</v>
      </c>
      <c r="P4200" s="1">
        <f t="shared" si="591"/>
        <v>4.4234693877551026</v>
      </c>
    </row>
    <row r="4201" spans="1:16">
      <c r="A4201" s="2">
        <v>36959</v>
      </c>
      <c r="B4201" s="1">
        <v>11.44</v>
      </c>
      <c r="C4201" s="1">
        <v>12.5</v>
      </c>
      <c r="D4201" s="1">
        <v>11.38</v>
      </c>
      <c r="E4201" s="1">
        <v>12.25</v>
      </c>
      <c r="F4201" s="1">
        <v>8856700</v>
      </c>
      <c r="G4201" s="1">
        <v>12.25</v>
      </c>
      <c r="H4201" s="1">
        <f t="shared" si="585"/>
        <v>1.1199999999999992</v>
      </c>
      <c r="I4201" s="9">
        <f t="shared" si="592"/>
        <v>9.8418277680140526E-2</v>
      </c>
      <c r="J4201" s="1">
        <f t="shared" si="593"/>
        <v>0.5600000000000005</v>
      </c>
      <c r="K4201" s="9">
        <f t="shared" si="586"/>
        <v>4.7904191616766512E-2</v>
      </c>
      <c r="L4201" s="1">
        <f t="shared" si="587"/>
        <v>1</v>
      </c>
      <c r="M4201" s="1">
        <f t="shared" si="588"/>
        <v>12.5</v>
      </c>
      <c r="N4201" s="1">
        <f t="shared" si="589"/>
        <v>11.38</v>
      </c>
      <c r="O4201" s="1">
        <f t="shared" si="590"/>
        <v>10.29</v>
      </c>
      <c r="P4201" s="1">
        <f t="shared" si="591"/>
        <v>5.25</v>
      </c>
    </row>
    <row r="4202" spans="1:16">
      <c r="A4202" s="2">
        <v>36958</v>
      </c>
      <c r="B4202" s="1">
        <v>11.94</v>
      </c>
      <c r="C4202" s="1">
        <v>12</v>
      </c>
      <c r="D4202" s="1">
        <v>11.63</v>
      </c>
      <c r="E4202" s="1">
        <v>11.69</v>
      </c>
      <c r="F4202" s="1">
        <v>4957600</v>
      </c>
      <c r="G4202" s="1">
        <v>11.69</v>
      </c>
      <c r="H4202" s="1">
        <f t="shared" si="585"/>
        <v>0.36999999999999922</v>
      </c>
      <c r="I4202" s="9">
        <f t="shared" si="592"/>
        <v>3.1814273430782393E-2</v>
      </c>
      <c r="J4202" s="1">
        <f t="shared" si="593"/>
        <v>-0.5600000000000005</v>
      </c>
      <c r="K4202" s="9">
        <f t="shared" si="586"/>
        <v>-4.5714285714285756E-2</v>
      </c>
      <c r="L4202" s="1">
        <f t="shared" si="587"/>
        <v>1</v>
      </c>
      <c r="M4202" s="1">
        <f t="shared" si="588"/>
        <v>12</v>
      </c>
      <c r="N4202" s="1">
        <f t="shared" si="589"/>
        <v>11.63</v>
      </c>
      <c r="O4202" s="1">
        <f t="shared" si="590"/>
        <v>9.73</v>
      </c>
      <c r="P4202" s="1">
        <f t="shared" si="591"/>
        <v>4.9642857142857144</v>
      </c>
    </row>
    <row r="4203" spans="1:16">
      <c r="A4203" s="2">
        <v>36957</v>
      </c>
      <c r="B4203" s="1">
        <v>11.94</v>
      </c>
      <c r="C4203" s="1">
        <v>12.56</v>
      </c>
      <c r="D4203" s="1">
        <v>11.44</v>
      </c>
      <c r="E4203" s="1">
        <v>12.25</v>
      </c>
      <c r="F4203" s="1">
        <v>10644100</v>
      </c>
      <c r="G4203" s="1">
        <v>12.25</v>
      </c>
      <c r="H4203" s="1">
        <f t="shared" si="585"/>
        <v>1.120000000000001</v>
      </c>
      <c r="I4203" s="9">
        <f t="shared" si="592"/>
        <v>9.7902097902097987E-2</v>
      </c>
      <c r="J4203" s="1">
        <f t="shared" si="593"/>
        <v>0.36999999999999922</v>
      </c>
      <c r="K4203" s="9">
        <f t="shared" si="586"/>
        <v>3.1144781144781076E-2</v>
      </c>
      <c r="L4203" s="1">
        <f t="shared" si="587"/>
        <v>1</v>
      </c>
      <c r="M4203" s="1">
        <f t="shared" si="588"/>
        <v>12.56</v>
      </c>
      <c r="N4203" s="1">
        <f t="shared" si="589"/>
        <v>11.44</v>
      </c>
      <c r="O4203" s="1">
        <f t="shared" si="590"/>
        <v>10.29</v>
      </c>
      <c r="P4203" s="1">
        <f t="shared" si="591"/>
        <v>5.25</v>
      </c>
    </row>
    <row r="4204" spans="1:16">
      <c r="A4204" s="2">
        <v>36956</v>
      </c>
      <c r="B4204" s="1">
        <v>13.08</v>
      </c>
      <c r="C4204" s="1">
        <v>14</v>
      </c>
      <c r="D4204" s="1">
        <v>11.25</v>
      </c>
      <c r="E4204" s="1">
        <v>11.88</v>
      </c>
      <c r="F4204" s="1">
        <v>23191500</v>
      </c>
      <c r="G4204" s="1">
        <v>11.88</v>
      </c>
      <c r="H4204" s="1">
        <f t="shared" si="585"/>
        <v>2.75</v>
      </c>
      <c r="I4204" s="9">
        <f t="shared" si="592"/>
        <v>0.24444444444444444</v>
      </c>
      <c r="J4204" s="1">
        <f t="shared" si="593"/>
        <v>-0.75</v>
      </c>
      <c r="K4204" s="9">
        <f t="shared" si="586"/>
        <v>-5.9382422802850353E-2</v>
      </c>
      <c r="L4204" s="1">
        <f t="shared" si="587"/>
        <v>1</v>
      </c>
      <c r="M4204" s="1">
        <f t="shared" si="588"/>
        <v>14</v>
      </c>
      <c r="N4204" s="1">
        <f t="shared" si="589"/>
        <v>11.25</v>
      </c>
      <c r="O4204" s="1">
        <f t="shared" si="590"/>
        <v>9.9200000000000017</v>
      </c>
      <c r="P4204" s="1">
        <f t="shared" si="591"/>
        <v>5.0612244897959195</v>
      </c>
    </row>
    <row r="4205" spans="1:16">
      <c r="A4205" s="2">
        <v>36955</v>
      </c>
      <c r="B4205" s="1">
        <v>12.38</v>
      </c>
      <c r="C4205" s="1">
        <v>13.06</v>
      </c>
      <c r="D4205" s="1">
        <v>11.5</v>
      </c>
      <c r="E4205" s="1">
        <v>12.63</v>
      </c>
      <c r="F4205" s="1">
        <v>23500700</v>
      </c>
      <c r="G4205" s="1">
        <v>12.63</v>
      </c>
      <c r="H4205" s="1">
        <f t="shared" si="585"/>
        <v>1.5600000000000005</v>
      </c>
      <c r="I4205" s="9">
        <f t="shared" si="592"/>
        <v>0.13565217391304352</v>
      </c>
      <c r="J4205" s="1">
        <f t="shared" si="593"/>
        <v>2.6300000000000008</v>
      </c>
      <c r="K4205" s="9">
        <f t="shared" si="586"/>
        <v>0.26300000000000007</v>
      </c>
      <c r="L4205" s="1">
        <f t="shared" si="587"/>
        <v>1</v>
      </c>
      <c r="M4205" s="1">
        <f t="shared" si="588"/>
        <v>13.06</v>
      </c>
      <c r="N4205" s="1">
        <f t="shared" si="589"/>
        <v>11.5</v>
      </c>
      <c r="O4205" s="1">
        <f t="shared" si="590"/>
        <v>10.670000000000002</v>
      </c>
      <c r="P4205" s="1">
        <f t="shared" si="591"/>
        <v>5.4438775510204094</v>
      </c>
    </row>
    <row r="4206" spans="1:16">
      <c r="A4206" s="2">
        <v>36952</v>
      </c>
      <c r="B4206" s="1">
        <v>10.029999999999999</v>
      </c>
      <c r="C4206" s="1">
        <v>10.63</v>
      </c>
      <c r="D4206" s="1">
        <v>10</v>
      </c>
      <c r="E4206" s="1">
        <v>10</v>
      </c>
      <c r="F4206" s="1">
        <v>7545600</v>
      </c>
      <c r="G4206" s="1">
        <v>10</v>
      </c>
      <c r="H4206" s="1">
        <f t="shared" si="585"/>
        <v>0.63000000000000078</v>
      </c>
      <c r="I4206" s="9">
        <f t="shared" si="592"/>
        <v>6.3000000000000084E-2</v>
      </c>
      <c r="J4206" s="1">
        <f t="shared" si="593"/>
        <v>-0.4399999999999995</v>
      </c>
      <c r="K4206" s="9">
        <f t="shared" si="586"/>
        <v>-4.2145593869731754E-2</v>
      </c>
      <c r="L4206" s="1">
        <f t="shared" si="587"/>
        <v>1</v>
      </c>
      <c r="M4206" s="1">
        <f t="shared" si="588"/>
        <v>10.63</v>
      </c>
      <c r="N4206" s="1">
        <f t="shared" si="589"/>
        <v>10</v>
      </c>
      <c r="O4206" s="1">
        <f t="shared" si="590"/>
        <v>8.0399999999999991</v>
      </c>
      <c r="P4206" s="1">
        <f t="shared" si="591"/>
        <v>4.1020408163265305</v>
      </c>
    </row>
    <row r="4207" spans="1:16">
      <c r="A4207" s="2">
        <v>36951</v>
      </c>
      <c r="B4207" s="1">
        <v>9.8800000000000008</v>
      </c>
      <c r="C4207" s="1">
        <v>10.69</v>
      </c>
      <c r="D4207" s="1">
        <v>9.59</v>
      </c>
      <c r="E4207" s="1">
        <v>10.44</v>
      </c>
      <c r="F4207" s="1">
        <v>10996700</v>
      </c>
      <c r="G4207" s="1">
        <v>10.44</v>
      </c>
      <c r="H4207" s="1">
        <f t="shared" si="585"/>
        <v>1.0999999999999996</v>
      </c>
      <c r="I4207" s="9">
        <f t="shared" si="592"/>
        <v>0.11470281543274241</v>
      </c>
      <c r="J4207" s="1">
        <f t="shared" si="593"/>
        <v>0.25</v>
      </c>
      <c r="K4207" s="9">
        <f t="shared" si="586"/>
        <v>2.4533856722276742E-2</v>
      </c>
      <c r="L4207" s="1">
        <f t="shared" si="587"/>
        <v>1</v>
      </c>
      <c r="M4207" s="1">
        <f t="shared" si="588"/>
        <v>10.69</v>
      </c>
      <c r="N4207" s="1">
        <f t="shared" si="589"/>
        <v>9.59</v>
      </c>
      <c r="O4207" s="1">
        <f t="shared" si="590"/>
        <v>8.48</v>
      </c>
      <c r="P4207" s="1">
        <f t="shared" si="591"/>
        <v>4.3265306122448983</v>
      </c>
    </row>
    <row r="4208" spans="1:16">
      <c r="A4208" s="2">
        <v>36950</v>
      </c>
      <c r="B4208" s="1">
        <v>11.25</v>
      </c>
      <c r="C4208" s="1">
        <v>11.75</v>
      </c>
      <c r="D4208" s="1">
        <v>9.94</v>
      </c>
      <c r="E4208" s="1">
        <v>10.19</v>
      </c>
      <c r="F4208" s="1">
        <v>14629800</v>
      </c>
      <c r="G4208" s="1">
        <v>10.19</v>
      </c>
      <c r="H4208" s="1">
        <f t="shared" si="585"/>
        <v>1.8100000000000005</v>
      </c>
      <c r="I4208" s="9">
        <f t="shared" si="592"/>
        <v>0.18209255533199201</v>
      </c>
      <c r="J4208" s="1">
        <f t="shared" si="593"/>
        <v>-1.5600000000000005</v>
      </c>
      <c r="K4208" s="9">
        <f t="shared" si="586"/>
        <v>-0.13276595744680855</v>
      </c>
      <c r="L4208" s="1">
        <f t="shared" si="587"/>
        <v>1</v>
      </c>
      <c r="M4208" s="1">
        <f t="shared" si="588"/>
        <v>11.75</v>
      </c>
      <c r="N4208" s="1">
        <f t="shared" si="589"/>
        <v>9.94</v>
      </c>
      <c r="O4208" s="1">
        <f t="shared" si="590"/>
        <v>8.23</v>
      </c>
      <c r="P4208" s="1">
        <f t="shared" si="591"/>
        <v>4.1989795918367347</v>
      </c>
    </row>
    <row r="4209" spans="1:16">
      <c r="A4209" s="2">
        <v>36949</v>
      </c>
      <c r="B4209" s="1">
        <v>11.81</v>
      </c>
      <c r="C4209" s="1">
        <v>12.13</v>
      </c>
      <c r="D4209" s="1">
        <v>11.63</v>
      </c>
      <c r="E4209" s="1">
        <v>11.75</v>
      </c>
      <c r="F4209" s="1">
        <v>7732600</v>
      </c>
      <c r="G4209" s="1">
        <v>11.75</v>
      </c>
      <c r="H4209" s="1">
        <f t="shared" si="585"/>
        <v>0.5</v>
      </c>
      <c r="I4209" s="9">
        <f t="shared" si="592"/>
        <v>4.2992261392949267E-2</v>
      </c>
      <c r="J4209" s="1">
        <f t="shared" si="593"/>
        <v>-0.1899999999999995</v>
      </c>
      <c r="K4209" s="9">
        <f t="shared" si="586"/>
        <v>-1.591289782244552E-2</v>
      </c>
      <c r="L4209" s="1">
        <f t="shared" si="587"/>
        <v>1</v>
      </c>
      <c r="M4209" s="1">
        <f t="shared" si="588"/>
        <v>12.13</v>
      </c>
      <c r="N4209" s="1">
        <f t="shared" si="589"/>
        <v>11.63</v>
      </c>
      <c r="O4209" s="1">
        <f t="shared" si="590"/>
        <v>9.7899999999999991</v>
      </c>
      <c r="P4209" s="1">
        <f t="shared" si="591"/>
        <v>4.9948979591836729</v>
      </c>
    </row>
    <row r="4210" spans="1:16">
      <c r="A4210" s="2">
        <v>36948</v>
      </c>
      <c r="B4210" s="1">
        <v>12.06</v>
      </c>
      <c r="C4210" s="1">
        <v>12.25</v>
      </c>
      <c r="D4210" s="1">
        <v>11.5</v>
      </c>
      <c r="E4210" s="1">
        <v>11.94</v>
      </c>
      <c r="F4210" s="1">
        <v>6229100</v>
      </c>
      <c r="G4210" s="1">
        <v>11.94</v>
      </c>
      <c r="H4210" s="1">
        <f t="shared" si="585"/>
        <v>0.75</v>
      </c>
      <c r="I4210" s="9">
        <f t="shared" si="592"/>
        <v>6.5217391304347824E-2</v>
      </c>
      <c r="J4210" s="1">
        <f t="shared" si="593"/>
        <v>0.12999999999999901</v>
      </c>
      <c r="K4210" s="9">
        <f t="shared" si="586"/>
        <v>1.1007620660457155E-2</v>
      </c>
      <c r="L4210" s="1">
        <f t="shared" si="587"/>
        <v>1</v>
      </c>
      <c r="M4210" s="1">
        <f t="shared" si="588"/>
        <v>12.25</v>
      </c>
      <c r="N4210" s="1">
        <f t="shared" si="589"/>
        <v>11.5</v>
      </c>
      <c r="O4210" s="1">
        <f t="shared" si="590"/>
        <v>9.98</v>
      </c>
      <c r="P4210" s="1">
        <f t="shared" si="591"/>
        <v>5.091836734693878</v>
      </c>
    </row>
    <row r="4211" spans="1:16">
      <c r="A4211" s="2">
        <v>36945</v>
      </c>
      <c r="B4211" s="1">
        <v>11.88</v>
      </c>
      <c r="C4211" s="1">
        <v>12.06</v>
      </c>
      <c r="D4211" s="1">
        <v>11.06</v>
      </c>
      <c r="E4211" s="1">
        <v>11.81</v>
      </c>
      <c r="F4211" s="1">
        <v>5149900</v>
      </c>
      <c r="G4211" s="1">
        <v>11.81</v>
      </c>
      <c r="H4211" s="1">
        <f t="shared" si="585"/>
        <v>1</v>
      </c>
      <c r="I4211" s="9">
        <f t="shared" si="592"/>
        <v>9.0415913200723327E-2</v>
      </c>
      <c r="J4211" s="1">
        <f t="shared" si="593"/>
        <v>-0.12999999999999901</v>
      </c>
      <c r="K4211" s="9">
        <f t="shared" si="586"/>
        <v>-1.0887772194304774E-2</v>
      </c>
      <c r="L4211" s="1">
        <f t="shared" si="587"/>
        <v>1</v>
      </c>
      <c r="M4211" s="1">
        <f t="shared" si="588"/>
        <v>12.06</v>
      </c>
      <c r="N4211" s="1">
        <f t="shared" si="589"/>
        <v>11.06</v>
      </c>
      <c r="O4211" s="1">
        <f t="shared" si="590"/>
        <v>9.8500000000000014</v>
      </c>
      <c r="P4211" s="1">
        <f t="shared" si="591"/>
        <v>5.0255102040816331</v>
      </c>
    </row>
    <row r="4212" spans="1:16">
      <c r="A4212" s="2">
        <v>36944</v>
      </c>
      <c r="B4212" s="1">
        <v>12</v>
      </c>
      <c r="C4212" s="1">
        <v>12.13</v>
      </c>
      <c r="D4212" s="1">
        <v>11.38</v>
      </c>
      <c r="E4212" s="1">
        <v>11.94</v>
      </c>
      <c r="F4212" s="1">
        <v>8249200</v>
      </c>
      <c r="G4212" s="1">
        <v>11.94</v>
      </c>
      <c r="H4212" s="1">
        <f t="shared" si="585"/>
        <v>0.75</v>
      </c>
      <c r="I4212" s="9">
        <f t="shared" si="592"/>
        <v>6.5905096660808432E-2</v>
      </c>
      <c r="J4212" s="1">
        <f t="shared" si="593"/>
        <v>0</v>
      </c>
      <c r="K4212" s="9">
        <f t="shared" si="586"/>
        <v>0</v>
      </c>
      <c r="L4212" s="1">
        <f t="shared" si="587"/>
        <v>1</v>
      </c>
      <c r="M4212" s="1">
        <f t="shared" si="588"/>
        <v>12.13</v>
      </c>
      <c r="N4212" s="1">
        <f t="shared" si="589"/>
        <v>11.38</v>
      </c>
      <c r="O4212" s="1">
        <f t="shared" si="590"/>
        <v>9.98</v>
      </c>
      <c r="P4212" s="1">
        <f t="shared" si="591"/>
        <v>5.091836734693878</v>
      </c>
    </row>
    <row r="4213" spans="1:16">
      <c r="A4213" s="2">
        <v>36943</v>
      </c>
      <c r="B4213" s="1">
        <v>12.25</v>
      </c>
      <c r="C4213" s="1">
        <v>12.5</v>
      </c>
      <c r="D4213" s="1">
        <v>11.31</v>
      </c>
      <c r="E4213" s="1">
        <v>11.94</v>
      </c>
      <c r="F4213" s="1">
        <v>7552600</v>
      </c>
      <c r="G4213" s="1">
        <v>11.94</v>
      </c>
      <c r="H4213" s="1">
        <f t="shared" si="585"/>
        <v>1.1899999999999995</v>
      </c>
      <c r="I4213" s="9">
        <f t="shared" si="592"/>
        <v>0.10521662245800172</v>
      </c>
      <c r="J4213" s="1">
        <f t="shared" si="593"/>
        <v>-0.5600000000000005</v>
      </c>
      <c r="K4213" s="9">
        <f t="shared" si="586"/>
        <v>-4.4800000000000041E-2</v>
      </c>
      <c r="L4213" s="1">
        <f t="shared" si="587"/>
        <v>1</v>
      </c>
      <c r="M4213" s="1">
        <f t="shared" si="588"/>
        <v>12.5</v>
      </c>
      <c r="N4213" s="1">
        <f t="shared" si="589"/>
        <v>11.31</v>
      </c>
      <c r="O4213" s="1">
        <f t="shared" si="590"/>
        <v>9.98</v>
      </c>
      <c r="P4213" s="1">
        <f t="shared" si="591"/>
        <v>5.091836734693878</v>
      </c>
    </row>
    <row r="4214" spans="1:16">
      <c r="A4214" s="2">
        <v>36942</v>
      </c>
      <c r="B4214" s="1">
        <v>13.63</v>
      </c>
      <c r="C4214" s="1">
        <v>13.69</v>
      </c>
      <c r="D4214" s="1">
        <v>12.44</v>
      </c>
      <c r="E4214" s="1">
        <v>12.5</v>
      </c>
      <c r="F4214" s="1">
        <v>6589100</v>
      </c>
      <c r="G4214" s="1">
        <v>12.5</v>
      </c>
      <c r="H4214" s="1">
        <f t="shared" si="585"/>
        <v>1.25</v>
      </c>
      <c r="I4214" s="9">
        <f t="shared" si="592"/>
        <v>0.1004823151125402</v>
      </c>
      <c r="J4214" s="1">
        <f t="shared" si="593"/>
        <v>-1.1899999999999995</v>
      </c>
      <c r="K4214" s="9">
        <f t="shared" si="586"/>
        <v>-8.6924762600438243E-2</v>
      </c>
      <c r="L4214" s="1">
        <f t="shared" si="587"/>
        <v>1</v>
      </c>
      <c r="M4214" s="1">
        <f t="shared" si="588"/>
        <v>13.69</v>
      </c>
      <c r="N4214" s="1">
        <f t="shared" si="589"/>
        <v>12.44</v>
      </c>
      <c r="O4214" s="1">
        <f t="shared" si="590"/>
        <v>10.54</v>
      </c>
      <c r="P4214" s="1">
        <f t="shared" si="591"/>
        <v>5.3775510204081627</v>
      </c>
    </row>
    <row r="4215" spans="1:16">
      <c r="A4215" s="2">
        <v>36938</v>
      </c>
      <c r="B4215" s="1">
        <v>13.63</v>
      </c>
      <c r="C4215" s="1">
        <v>14.13</v>
      </c>
      <c r="D4215" s="1">
        <v>13.31</v>
      </c>
      <c r="E4215" s="1">
        <v>13.69</v>
      </c>
      <c r="F4215" s="1">
        <v>6490600</v>
      </c>
      <c r="G4215" s="1">
        <v>13.69</v>
      </c>
      <c r="H4215" s="1">
        <f t="shared" si="585"/>
        <v>0.82000000000000028</v>
      </c>
      <c r="I4215" s="9">
        <f t="shared" si="592"/>
        <v>6.1607813673929396E-2</v>
      </c>
      <c r="J4215" s="1">
        <f t="shared" si="593"/>
        <v>-0.8100000000000005</v>
      </c>
      <c r="K4215" s="9">
        <f t="shared" si="586"/>
        <v>-5.5862068965517278E-2</v>
      </c>
      <c r="L4215" s="1">
        <f t="shared" si="587"/>
        <v>1</v>
      </c>
      <c r="M4215" s="1">
        <f t="shared" si="588"/>
        <v>14.13</v>
      </c>
      <c r="N4215" s="1">
        <f t="shared" si="589"/>
        <v>13.31</v>
      </c>
      <c r="O4215" s="1">
        <f t="shared" si="590"/>
        <v>11.73</v>
      </c>
      <c r="P4215" s="1">
        <f t="shared" si="591"/>
        <v>5.9846938775510203</v>
      </c>
    </row>
    <row r="4216" spans="1:16">
      <c r="A4216" s="2">
        <v>36937</v>
      </c>
      <c r="B4216" s="1">
        <v>13.5</v>
      </c>
      <c r="C4216" s="1">
        <v>14.63</v>
      </c>
      <c r="D4216" s="1">
        <v>13.5</v>
      </c>
      <c r="E4216" s="1">
        <v>14.5</v>
      </c>
      <c r="F4216" s="1">
        <v>16384500</v>
      </c>
      <c r="G4216" s="1">
        <v>14.5</v>
      </c>
      <c r="H4216" s="1">
        <f t="shared" si="585"/>
        <v>1.1300000000000008</v>
      </c>
      <c r="I4216" s="9">
        <f t="shared" si="592"/>
        <v>8.3703703703703766E-2</v>
      </c>
      <c r="J4216" s="1">
        <f t="shared" si="593"/>
        <v>6.0000000000000497E-2</v>
      </c>
      <c r="K4216" s="9">
        <f t="shared" si="586"/>
        <v>4.1551246537396471E-3</v>
      </c>
      <c r="L4216" s="1">
        <f t="shared" si="587"/>
        <v>1</v>
      </c>
      <c r="M4216" s="1">
        <f t="shared" si="588"/>
        <v>14.63</v>
      </c>
      <c r="N4216" s="1">
        <f t="shared" si="589"/>
        <v>13.5</v>
      </c>
      <c r="O4216" s="1">
        <f t="shared" si="590"/>
        <v>12.54</v>
      </c>
      <c r="P4216" s="1">
        <f t="shared" si="591"/>
        <v>6.3979591836734695</v>
      </c>
    </row>
    <row r="4217" spans="1:16">
      <c r="A4217" s="2">
        <v>36936</v>
      </c>
      <c r="B4217" s="1">
        <v>14.13</v>
      </c>
      <c r="C4217" s="1">
        <v>14.75</v>
      </c>
      <c r="D4217" s="1">
        <v>13.5</v>
      </c>
      <c r="E4217" s="1">
        <v>14.44</v>
      </c>
      <c r="F4217" s="1">
        <v>8123400</v>
      </c>
      <c r="G4217" s="1">
        <v>14.44</v>
      </c>
      <c r="H4217" s="1">
        <f t="shared" si="585"/>
        <v>1.25</v>
      </c>
      <c r="I4217" s="9">
        <f t="shared" si="592"/>
        <v>9.2592592592592587E-2</v>
      </c>
      <c r="J4217" s="1">
        <f t="shared" si="593"/>
        <v>0.6899999999999995</v>
      </c>
      <c r="K4217" s="9">
        <f t="shared" si="586"/>
        <v>5.0181818181818147E-2</v>
      </c>
      <c r="L4217" s="1">
        <f t="shared" si="587"/>
        <v>1</v>
      </c>
      <c r="M4217" s="1">
        <f t="shared" si="588"/>
        <v>14.75</v>
      </c>
      <c r="N4217" s="1">
        <f t="shared" si="589"/>
        <v>13.5</v>
      </c>
      <c r="O4217" s="1">
        <f t="shared" si="590"/>
        <v>12.48</v>
      </c>
      <c r="P4217" s="1">
        <f t="shared" si="591"/>
        <v>6.3673469387755102</v>
      </c>
    </row>
    <row r="4218" spans="1:16">
      <c r="A4218" s="2">
        <v>36935</v>
      </c>
      <c r="B4218" s="1">
        <v>15</v>
      </c>
      <c r="C4218" s="1">
        <v>15.06</v>
      </c>
      <c r="D4218" s="1">
        <v>13.75</v>
      </c>
      <c r="E4218" s="1">
        <v>13.75</v>
      </c>
      <c r="F4218" s="1">
        <v>4795400</v>
      </c>
      <c r="G4218" s="1">
        <v>13.75</v>
      </c>
      <c r="H4218" s="1">
        <f t="shared" si="585"/>
        <v>1.3100000000000005</v>
      </c>
      <c r="I4218" s="9">
        <f t="shared" si="592"/>
        <v>9.5272727272727314E-2</v>
      </c>
      <c r="J4218" s="1">
        <f t="shared" si="593"/>
        <v>-0.75</v>
      </c>
      <c r="K4218" s="9">
        <f t="shared" si="586"/>
        <v>-5.1724137931034482E-2</v>
      </c>
      <c r="L4218" s="1">
        <f t="shared" si="587"/>
        <v>1</v>
      </c>
      <c r="M4218" s="1">
        <f t="shared" si="588"/>
        <v>15.06</v>
      </c>
      <c r="N4218" s="1">
        <f t="shared" si="589"/>
        <v>13.75</v>
      </c>
      <c r="O4218" s="1">
        <f t="shared" si="590"/>
        <v>11.79</v>
      </c>
      <c r="P4218" s="1">
        <f t="shared" si="591"/>
        <v>6.0153061224489797</v>
      </c>
    </row>
    <row r="4219" spans="1:16">
      <c r="A4219" s="2">
        <v>36934</v>
      </c>
      <c r="B4219" s="1">
        <v>14.13</v>
      </c>
      <c r="C4219" s="1">
        <v>15</v>
      </c>
      <c r="D4219" s="1">
        <v>13.7</v>
      </c>
      <c r="E4219" s="1">
        <v>14.5</v>
      </c>
      <c r="F4219" s="1">
        <v>5295300</v>
      </c>
      <c r="G4219" s="1">
        <v>14.5</v>
      </c>
      <c r="H4219" s="1">
        <f t="shared" si="585"/>
        <v>1.3000000000000007</v>
      </c>
      <c r="I4219" s="9">
        <f t="shared" si="592"/>
        <v>9.489051094890516E-2</v>
      </c>
      <c r="J4219" s="1">
        <f t="shared" si="593"/>
        <v>1.1199999999999992</v>
      </c>
      <c r="K4219" s="9">
        <f t="shared" si="586"/>
        <v>8.3707025411061217E-2</v>
      </c>
      <c r="L4219" s="1">
        <f t="shared" si="587"/>
        <v>1</v>
      </c>
      <c r="M4219" s="1">
        <f t="shared" si="588"/>
        <v>15</v>
      </c>
      <c r="N4219" s="1">
        <f t="shared" si="589"/>
        <v>13.7</v>
      </c>
      <c r="O4219" s="1">
        <f t="shared" si="590"/>
        <v>12.54</v>
      </c>
      <c r="P4219" s="1">
        <f t="shared" si="591"/>
        <v>6.3979591836734695</v>
      </c>
    </row>
    <row r="4220" spans="1:16">
      <c r="A4220" s="2">
        <v>36931</v>
      </c>
      <c r="B4220" s="1">
        <v>14.31</v>
      </c>
      <c r="C4220" s="1">
        <v>14.75</v>
      </c>
      <c r="D4220" s="1">
        <v>13.38</v>
      </c>
      <c r="E4220" s="1">
        <v>13.38</v>
      </c>
      <c r="F4220" s="1">
        <v>7454000</v>
      </c>
      <c r="G4220" s="1">
        <v>13.38</v>
      </c>
      <c r="H4220" s="1">
        <f t="shared" si="585"/>
        <v>1.3699999999999992</v>
      </c>
      <c r="I4220" s="9">
        <f t="shared" si="592"/>
        <v>0.10239162929745883</v>
      </c>
      <c r="J4220" s="1">
        <f t="shared" si="593"/>
        <v>-1</v>
      </c>
      <c r="K4220" s="9">
        <f t="shared" si="586"/>
        <v>-6.9541029207232263E-2</v>
      </c>
      <c r="L4220" s="1">
        <f t="shared" si="587"/>
        <v>1</v>
      </c>
      <c r="M4220" s="1">
        <f t="shared" si="588"/>
        <v>14.75</v>
      </c>
      <c r="N4220" s="1">
        <f t="shared" si="589"/>
        <v>13.38</v>
      </c>
      <c r="O4220" s="1">
        <f t="shared" si="590"/>
        <v>11.420000000000002</v>
      </c>
      <c r="P4220" s="1">
        <f t="shared" si="591"/>
        <v>5.8265306122448992</v>
      </c>
    </row>
    <row r="4221" spans="1:16">
      <c r="A4221" s="2">
        <v>36930</v>
      </c>
      <c r="B4221" s="1">
        <v>15.31</v>
      </c>
      <c r="C4221" s="1">
        <v>15.88</v>
      </c>
      <c r="D4221" s="1">
        <v>14.38</v>
      </c>
      <c r="E4221" s="1">
        <v>14.38</v>
      </c>
      <c r="F4221" s="1">
        <v>5295200</v>
      </c>
      <c r="G4221" s="1">
        <v>14.38</v>
      </c>
      <c r="H4221" s="1">
        <f t="shared" si="585"/>
        <v>1.5</v>
      </c>
      <c r="I4221" s="9">
        <f t="shared" si="592"/>
        <v>0.10431154381084839</v>
      </c>
      <c r="J4221" s="1">
        <f t="shared" si="593"/>
        <v>-0.61999999999999922</v>
      </c>
      <c r="K4221" s="9">
        <f t="shared" si="586"/>
        <v>-4.1333333333333284E-2</v>
      </c>
      <c r="L4221" s="1">
        <f t="shared" si="587"/>
        <v>1</v>
      </c>
      <c r="M4221" s="1">
        <f t="shared" si="588"/>
        <v>15.88</v>
      </c>
      <c r="N4221" s="1">
        <f t="shared" si="589"/>
        <v>14.38</v>
      </c>
      <c r="O4221" s="1">
        <f t="shared" si="590"/>
        <v>12.420000000000002</v>
      </c>
      <c r="P4221" s="1">
        <f t="shared" si="591"/>
        <v>6.3367346938775517</v>
      </c>
    </row>
    <row r="4222" spans="1:16">
      <c r="A4222" s="2">
        <v>36929</v>
      </c>
      <c r="B4222" s="1">
        <v>15.19</v>
      </c>
      <c r="C4222" s="1">
        <v>15.81</v>
      </c>
      <c r="D4222" s="1">
        <v>14.56</v>
      </c>
      <c r="E4222" s="1">
        <v>15</v>
      </c>
      <c r="F4222" s="1">
        <v>7567900</v>
      </c>
      <c r="G4222" s="1">
        <v>15</v>
      </c>
      <c r="H4222" s="1">
        <f t="shared" si="585"/>
        <v>1.25</v>
      </c>
      <c r="I4222" s="9">
        <f t="shared" si="592"/>
        <v>8.5851648351648352E-2</v>
      </c>
      <c r="J4222" s="1">
        <f t="shared" si="593"/>
        <v>-0.8100000000000005</v>
      </c>
      <c r="K4222" s="9">
        <f t="shared" si="586"/>
        <v>-5.1233396584440261E-2</v>
      </c>
      <c r="L4222" s="1">
        <f t="shared" si="587"/>
        <v>1</v>
      </c>
      <c r="M4222" s="1">
        <f t="shared" si="588"/>
        <v>15.81</v>
      </c>
      <c r="N4222" s="1">
        <f t="shared" si="589"/>
        <v>14.56</v>
      </c>
      <c r="O4222" s="1">
        <f t="shared" si="590"/>
        <v>13.04</v>
      </c>
      <c r="P4222" s="1">
        <f t="shared" si="591"/>
        <v>6.6530612244897958</v>
      </c>
    </row>
    <row r="4223" spans="1:16">
      <c r="A4223" s="2">
        <v>36928</v>
      </c>
      <c r="B4223" s="1">
        <v>13.81</v>
      </c>
      <c r="C4223" s="1">
        <v>15.88</v>
      </c>
      <c r="D4223" s="1">
        <v>13.56</v>
      </c>
      <c r="E4223" s="1">
        <v>15.81</v>
      </c>
      <c r="F4223" s="1">
        <v>19075900</v>
      </c>
      <c r="G4223" s="1">
        <v>15.81</v>
      </c>
      <c r="H4223" s="1">
        <f t="shared" si="585"/>
        <v>2.3200000000000003</v>
      </c>
      <c r="I4223" s="9">
        <f t="shared" si="592"/>
        <v>0.17109144542772864</v>
      </c>
      <c r="J4223" s="1">
        <f t="shared" si="593"/>
        <v>1.370000000000001</v>
      </c>
      <c r="K4223" s="9">
        <f t="shared" si="586"/>
        <v>9.4875346260387877E-2</v>
      </c>
      <c r="L4223" s="1">
        <f t="shared" si="587"/>
        <v>1</v>
      </c>
      <c r="M4223" s="1">
        <f t="shared" si="588"/>
        <v>15.88</v>
      </c>
      <c r="N4223" s="1">
        <f t="shared" si="589"/>
        <v>13.56</v>
      </c>
      <c r="O4223" s="1">
        <f t="shared" si="590"/>
        <v>13.850000000000001</v>
      </c>
      <c r="P4223" s="1">
        <f t="shared" si="591"/>
        <v>7.0663265306122458</v>
      </c>
    </row>
    <row r="4224" spans="1:16">
      <c r="A4224" s="2">
        <v>36927</v>
      </c>
      <c r="B4224" s="1">
        <v>14.63</v>
      </c>
      <c r="C4224" s="1">
        <v>14.94</v>
      </c>
      <c r="D4224" s="1">
        <v>14.31</v>
      </c>
      <c r="E4224" s="1">
        <v>14.44</v>
      </c>
      <c r="F4224" s="1">
        <v>9189800</v>
      </c>
      <c r="G4224" s="1">
        <v>14.44</v>
      </c>
      <c r="H4224" s="1">
        <f t="shared" si="585"/>
        <v>0.62999999999999901</v>
      </c>
      <c r="I4224" s="9">
        <f t="shared" si="592"/>
        <v>4.402515723270433E-2</v>
      </c>
      <c r="J4224" s="1">
        <f t="shared" si="593"/>
        <v>5.9999999999998721E-2</v>
      </c>
      <c r="K4224" s="9">
        <f t="shared" si="586"/>
        <v>4.1724617524338467E-3</v>
      </c>
      <c r="L4224" s="1">
        <f t="shared" si="587"/>
        <v>1</v>
      </c>
      <c r="M4224" s="1">
        <f t="shared" si="588"/>
        <v>14.94</v>
      </c>
      <c r="N4224" s="1">
        <f t="shared" si="589"/>
        <v>14.31</v>
      </c>
      <c r="O4224" s="1">
        <f t="shared" si="590"/>
        <v>12.48</v>
      </c>
      <c r="P4224" s="1">
        <f t="shared" si="591"/>
        <v>6.3673469387755102</v>
      </c>
    </row>
    <row r="4225" spans="1:16">
      <c r="A4225" s="2">
        <v>36924</v>
      </c>
      <c r="B4225" s="1">
        <v>16.13</v>
      </c>
      <c r="C4225" s="1">
        <v>16.190000000000001</v>
      </c>
      <c r="D4225" s="1">
        <v>14.25</v>
      </c>
      <c r="E4225" s="1">
        <v>14.38</v>
      </c>
      <c r="F4225" s="1">
        <v>12101100</v>
      </c>
      <c r="G4225" s="1">
        <v>14.38</v>
      </c>
      <c r="H4225" s="1">
        <f t="shared" si="585"/>
        <v>1.9400000000000013</v>
      </c>
      <c r="I4225" s="9">
        <f t="shared" si="592"/>
        <v>0.13614035087719306</v>
      </c>
      <c r="J4225" s="1">
        <f t="shared" si="593"/>
        <v>-1.8699999999999992</v>
      </c>
      <c r="K4225" s="9">
        <f t="shared" si="586"/>
        <v>-0.11507692307692304</v>
      </c>
      <c r="L4225" s="1">
        <f t="shared" si="587"/>
        <v>1</v>
      </c>
      <c r="M4225" s="1">
        <f t="shared" si="588"/>
        <v>16.190000000000001</v>
      </c>
      <c r="N4225" s="1">
        <f t="shared" si="589"/>
        <v>14.25</v>
      </c>
      <c r="O4225" s="1">
        <f t="shared" si="590"/>
        <v>12.420000000000002</v>
      </c>
      <c r="P4225" s="1">
        <f t="shared" si="591"/>
        <v>6.3367346938775517</v>
      </c>
    </row>
    <row r="4226" spans="1:16">
      <c r="A4226" s="2">
        <v>36923</v>
      </c>
      <c r="B4226" s="1">
        <v>17.190000000000001</v>
      </c>
      <c r="C4226" s="1">
        <v>17.190000000000001</v>
      </c>
      <c r="D4226" s="1">
        <v>15.75</v>
      </c>
      <c r="E4226" s="1">
        <v>16.25</v>
      </c>
      <c r="F4226" s="1">
        <v>9468700</v>
      </c>
      <c r="G4226" s="1">
        <v>16.25</v>
      </c>
      <c r="H4226" s="1">
        <f t="shared" si="585"/>
        <v>1.4400000000000013</v>
      </c>
      <c r="I4226" s="9">
        <f t="shared" si="592"/>
        <v>9.1428571428571512E-2</v>
      </c>
      <c r="J4226" s="1">
        <f t="shared" si="593"/>
        <v>-1.0599999999999987</v>
      </c>
      <c r="K4226" s="9">
        <f t="shared" si="586"/>
        <v>-6.1236279607163421E-2</v>
      </c>
      <c r="L4226" s="1">
        <f t="shared" si="587"/>
        <v>1</v>
      </c>
      <c r="M4226" s="1">
        <f t="shared" si="588"/>
        <v>17.190000000000001</v>
      </c>
      <c r="N4226" s="1">
        <f t="shared" si="589"/>
        <v>15.75</v>
      </c>
      <c r="O4226" s="1">
        <f t="shared" si="590"/>
        <v>14.29</v>
      </c>
      <c r="P4226" s="1">
        <f t="shared" si="591"/>
        <v>7.2908163265306118</v>
      </c>
    </row>
    <row r="4227" spans="1:16">
      <c r="A4227" s="2">
        <v>36922</v>
      </c>
      <c r="B4227" s="1">
        <v>18.940000000000001</v>
      </c>
      <c r="C4227" s="1">
        <v>19.559999999999999</v>
      </c>
      <c r="D4227" s="1">
        <v>17.059999999999999</v>
      </c>
      <c r="E4227" s="1">
        <v>17.309999999999999</v>
      </c>
      <c r="F4227" s="1">
        <v>20475800</v>
      </c>
      <c r="G4227" s="1">
        <v>17.309999999999999</v>
      </c>
      <c r="H4227" s="1">
        <f t="shared" ref="H4227:H4290" si="594">C4227-D4227</f>
        <v>2.5</v>
      </c>
      <c r="I4227" s="9">
        <f t="shared" si="592"/>
        <v>0.14654161781946073</v>
      </c>
      <c r="J4227" s="1">
        <f t="shared" si="593"/>
        <v>-1.6300000000000026</v>
      </c>
      <c r="K4227" s="9">
        <f t="shared" ref="K4227:K4290" si="595">(G4227-G4228)/G4228</f>
        <v>-8.606124604012684E-2</v>
      </c>
      <c r="L4227" s="1">
        <f t="shared" ref="L4227:L4290" si="596">G4227/E4227</f>
        <v>1</v>
      </c>
      <c r="M4227" s="1">
        <f t="shared" ref="M4227:M4290" si="597">L4227*C4227</f>
        <v>19.559999999999999</v>
      </c>
      <c r="N4227" s="1">
        <f t="shared" ref="N4227:N4290" si="598">L4227*D4227</f>
        <v>17.059999999999999</v>
      </c>
      <c r="O4227" s="1">
        <f t="shared" ref="O4227:O4290" si="599">G4227-$G$5163</f>
        <v>15.349999999999998</v>
      </c>
      <c r="P4227" s="1">
        <f t="shared" ref="P4227:P4290" si="600">(G4227-$G$5163)/$G$5163</f>
        <v>7.8316326530612237</v>
      </c>
    </row>
    <row r="4228" spans="1:16">
      <c r="A4228" s="2">
        <v>36921</v>
      </c>
      <c r="B4228" s="1">
        <v>20.56</v>
      </c>
      <c r="C4228" s="1">
        <v>20.69</v>
      </c>
      <c r="D4228" s="1">
        <v>18.670000000000002</v>
      </c>
      <c r="E4228" s="1">
        <v>18.940000000000001</v>
      </c>
      <c r="F4228" s="1">
        <v>12273300</v>
      </c>
      <c r="G4228" s="1">
        <v>18.940000000000001</v>
      </c>
      <c r="H4228" s="1">
        <f t="shared" si="594"/>
        <v>2.0199999999999996</v>
      </c>
      <c r="I4228" s="9">
        <f t="shared" ref="I4228:I4291" si="601">(C4228-D4228)/D4228</f>
        <v>0.1081949651847884</v>
      </c>
      <c r="J4228" s="1">
        <f t="shared" ref="J4228:J4291" si="602">G4228-G4229</f>
        <v>-1.1899999999999977</v>
      </c>
      <c r="K4228" s="9">
        <f t="shared" si="595"/>
        <v>-5.9115747640337696E-2</v>
      </c>
      <c r="L4228" s="1">
        <f t="shared" si="596"/>
        <v>1</v>
      </c>
      <c r="M4228" s="1">
        <f t="shared" si="597"/>
        <v>20.69</v>
      </c>
      <c r="N4228" s="1">
        <f t="shared" si="598"/>
        <v>18.670000000000002</v>
      </c>
      <c r="O4228" s="1">
        <f t="shared" si="599"/>
        <v>16.98</v>
      </c>
      <c r="P4228" s="1">
        <f t="shared" si="600"/>
        <v>8.6632653061224492</v>
      </c>
    </row>
    <row r="4229" spans="1:16">
      <c r="A4229" s="2">
        <v>36920</v>
      </c>
      <c r="B4229" s="1">
        <v>19.13</v>
      </c>
      <c r="C4229" s="1">
        <v>20.75</v>
      </c>
      <c r="D4229" s="1">
        <v>18.809999999999999</v>
      </c>
      <c r="E4229" s="1">
        <v>20.13</v>
      </c>
      <c r="F4229" s="1">
        <v>7713000</v>
      </c>
      <c r="G4229" s="1">
        <v>20.13</v>
      </c>
      <c r="H4229" s="1">
        <f t="shared" si="594"/>
        <v>1.9400000000000013</v>
      </c>
      <c r="I4229" s="9">
        <f t="shared" si="601"/>
        <v>0.103136629452419</v>
      </c>
      <c r="J4229" s="1">
        <f t="shared" si="602"/>
        <v>0.62999999999999901</v>
      </c>
      <c r="K4229" s="9">
        <f t="shared" si="595"/>
        <v>3.230769230769226E-2</v>
      </c>
      <c r="L4229" s="1">
        <f t="shared" si="596"/>
        <v>1</v>
      </c>
      <c r="M4229" s="1">
        <f t="shared" si="597"/>
        <v>20.75</v>
      </c>
      <c r="N4229" s="1">
        <f t="shared" si="598"/>
        <v>18.809999999999999</v>
      </c>
      <c r="O4229" s="1">
        <f t="shared" si="599"/>
        <v>18.169999999999998</v>
      </c>
      <c r="P4229" s="1">
        <f t="shared" si="600"/>
        <v>9.270408163265305</v>
      </c>
    </row>
    <row r="4230" spans="1:16">
      <c r="A4230" s="2">
        <v>36917</v>
      </c>
      <c r="B4230" s="1">
        <v>18.940000000000001</v>
      </c>
      <c r="C4230" s="1">
        <v>20.5</v>
      </c>
      <c r="D4230" s="1">
        <v>18.88</v>
      </c>
      <c r="E4230" s="1">
        <v>19.5</v>
      </c>
      <c r="F4230" s="1">
        <v>5094600</v>
      </c>
      <c r="G4230" s="1">
        <v>19.5</v>
      </c>
      <c r="H4230" s="1">
        <f t="shared" si="594"/>
        <v>1.620000000000001</v>
      </c>
      <c r="I4230" s="9">
        <f t="shared" si="601"/>
        <v>8.5805084745762775E-2</v>
      </c>
      <c r="J4230" s="1">
        <f t="shared" si="602"/>
        <v>0.5</v>
      </c>
      <c r="K4230" s="9">
        <f t="shared" si="595"/>
        <v>2.6315789473684209E-2</v>
      </c>
      <c r="L4230" s="1">
        <f t="shared" si="596"/>
        <v>1</v>
      </c>
      <c r="M4230" s="1">
        <f t="shared" si="597"/>
        <v>20.5</v>
      </c>
      <c r="N4230" s="1">
        <f t="shared" si="598"/>
        <v>18.88</v>
      </c>
      <c r="O4230" s="1">
        <f t="shared" si="599"/>
        <v>17.54</v>
      </c>
      <c r="P4230" s="1">
        <f t="shared" si="600"/>
        <v>8.9489795918367339</v>
      </c>
    </row>
    <row r="4231" spans="1:16">
      <c r="A4231" s="2">
        <v>36916</v>
      </c>
      <c r="B4231" s="1">
        <v>21.69</v>
      </c>
      <c r="C4231" s="1">
        <v>21.75</v>
      </c>
      <c r="D4231" s="1">
        <v>19</v>
      </c>
      <c r="E4231" s="1">
        <v>19</v>
      </c>
      <c r="F4231" s="1">
        <v>7066400</v>
      </c>
      <c r="G4231" s="1">
        <v>19</v>
      </c>
      <c r="H4231" s="1">
        <f t="shared" si="594"/>
        <v>2.75</v>
      </c>
      <c r="I4231" s="9">
        <f t="shared" si="601"/>
        <v>0.14473684210526316</v>
      </c>
      <c r="J4231" s="1">
        <f t="shared" si="602"/>
        <v>-2.879999999999999</v>
      </c>
      <c r="K4231" s="9">
        <f t="shared" si="595"/>
        <v>-0.13162705667276048</v>
      </c>
      <c r="L4231" s="1">
        <f t="shared" si="596"/>
        <v>1</v>
      </c>
      <c r="M4231" s="1">
        <f t="shared" si="597"/>
        <v>21.75</v>
      </c>
      <c r="N4231" s="1">
        <f t="shared" si="598"/>
        <v>19</v>
      </c>
      <c r="O4231" s="1">
        <f t="shared" si="599"/>
        <v>17.04</v>
      </c>
      <c r="P4231" s="1">
        <f t="shared" si="600"/>
        <v>8.6938775510204085</v>
      </c>
    </row>
    <row r="4232" spans="1:16">
      <c r="A4232" s="2">
        <v>36915</v>
      </c>
      <c r="B4232" s="1">
        <v>19.190000000000001</v>
      </c>
      <c r="C4232" s="1">
        <v>22.38</v>
      </c>
      <c r="D4232" s="1">
        <v>19</v>
      </c>
      <c r="E4232" s="1">
        <v>21.88</v>
      </c>
      <c r="F4232" s="1">
        <v>13848100</v>
      </c>
      <c r="G4232" s="1">
        <v>21.88</v>
      </c>
      <c r="H4232" s="1">
        <f t="shared" si="594"/>
        <v>3.379999999999999</v>
      </c>
      <c r="I4232" s="9">
        <f t="shared" si="601"/>
        <v>0.17789473684210522</v>
      </c>
      <c r="J4232" s="1">
        <f t="shared" si="602"/>
        <v>2.9299999999999997</v>
      </c>
      <c r="K4232" s="9">
        <f t="shared" si="595"/>
        <v>0.15461741424802111</v>
      </c>
      <c r="L4232" s="1">
        <f t="shared" si="596"/>
        <v>1</v>
      </c>
      <c r="M4232" s="1">
        <f t="shared" si="597"/>
        <v>22.38</v>
      </c>
      <c r="N4232" s="1">
        <f t="shared" si="598"/>
        <v>19</v>
      </c>
      <c r="O4232" s="1">
        <f t="shared" si="599"/>
        <v>19.919999999999998</v>
      </c>
      <c r="P4232" s="1">
        <f t="shared" si="600"/>
        <v>10.163265306122447</v>
      </c>
    </row>
    <row r="4233" spans="1:16">
      <c r="A4233" s="2">
        <v>36914</v>
      </c>
      <c r="B4233" s="1">
        <v>18.38</v>
      </c>
      <c r="C4233" s="1">
        <v>19.309999999999999</v>
      </c>
      <c r="D4233" s="1">
        <v>18.25</v>
      </c>
      <c r="E4233" s="1">
        <v>18.95</v>
      </c>
      <c r="F4233" s="1">
        <v>4744300</v>
      </c>
      <c r="G4233" s="1">
        <v>18.95</v>
      </c>
      <c r="H4233" s="1">
        <f t="shared" si="594"/>
        <v>1.0599999999999987</v>
      </c>
      <c r="I4233" s="9">
        <f t="shared" si="601"/>
        <v>5.808219178082185E-2</v>
      </c>
      <c r="J4233" s="1">
        <f t="shared" si="602"/>
        <v>0.44999999999999929</v>
      </c>
      <c r="K4233" s="9">
        <f t="shared" si="595"/>
        <v>2.4324324324324288E-2</v>
      </c>
      <c r="L4233" s="1">
        <f t="shared" si="596"/>
        <v>1</v>
      </c>
      <c r="M4233" s="1">
        <f t="shared" si="597"/>
        <v>19.309999999999999</v>
      </c>
      <c r="N4233" s="1">
        <f t="shared" si="598"/>
        <v>18.25</v>
      </c>
      <c r="O4233" s="1">
        <f t="shared" si="599"/>
        <v>16.989999999999998</v>
      </c>
      <c r="P4233" s="1">
        <f t="shared" si="600"/>
        <v>8.6683673469387745</v>
      </c>
    </row>
    <row r="4234" spans="1:16">
      <c r="A4234" s="2">
        <v>36913</v>
      </c>
      <c r="B4234" s="1">
        <v>19.5</v>
      </c>
      <c r="C4234" s="1">
        <v>19.940000000000001</v>
      </c>
      <c r="D4234" s="1">
        <v>18.5</v>
      </c>
      <c r="E4234" s="1">
        <v>18.5</v>
      </c>
      <c r="F4234" s="1">
        <v>4398600</v>
      </c>
      <c r="G4234" s="1">
        <v>18.5</v>
      </c>
      <c r="H4234" s="1">
        <f t="shared" si="594"/>
        <v>1.4400000000000013</v>
      </c>
      <c r="I4234" s="9">
        <f t="shared" si="601"/>
        <v>7.7837837837837903E-2</v>
      </c>
      <c r="J4234" s="1">
        <f t="shared" si="602"/>
        <v>-1.4400000000000013</v>
      </c>
      <c r="K4234" s="9">
        <f t="shared" si="595"/>
        <v>-7.221664994984961E-2</v>
      </c>
      <c r="L4234" s="1">
        <f t="shared" si="596"/>
        <v>1</v>
      </c>
      <c r="M4234" s="1">
        <f t="shared" si="597"/>
        <v>19.940000000000001</v>
      </c>
      <c r="N4234" s="1">
        <f t="shared" si="598"/>
        <v>18.5</v>
      </c>
      <c r="O4234" s="1">
        <f t="shared" si="599"/>
        <v>16.54</v>
      </c>
      <c r="P4234" s="1">
        <f t="shared" si="600"/>
        <v>8.4387755102040813</v>
      </c>
    </row>
    <row r="4235" spans="1:16">
      <c r="A4235" s="2">
        <v>36910</v>
      </c>
      <c r="B4235" s="1">
        <v>20.38</v>
      </c>
      <c r="C4235" s="1">
        <v>20.38</v>
      </c>
      <c r="D4235" s="1">
        <v>18.690000000000001</v>
      </c>
      <c r="E4235" s="1">
        <v>19.940000000000001</v>
      </c>
      <c r="F4235" s="1">
        <v>6177500</v>
      </c>
      <c r="G4235" s="1">
        <v>19.940000000000001</v>
      </c>
      <c r="H4235" s="1">
        <f t="shared" si="594"/>
        <v>1.6899999999999977</v>
      </c>
      <c r="I4235" s="9">
        <f t="shared" si="601"/>
        <v>9.0422685928303784E-2</v>
      </c>
      <c r="J4235" s="1">
        <f t="shared" si="602"/>
        <v>0.44000000000000128</v>
      </c>
      <c r="K4235" s="9">
        <f t="shared" si="595"/>
        <v>2.2564102564102628E-2</v>
      </c>
      <c r="L4235" s="1">
        <f t="shared" si="596"/>
        <v>1</v>
      </c>
      <c r="M4235" s="1">
        <f t="shared" si="597"/>
        <v>20.38</v>
      </c>
      <c r="N4235" s="1">
        <f t="shared" si="598"/>
        <v>18.690000000000001</v>
      </c>
      <c r="O4235" s="1">
        <f t="shared" si="599"/>
        <v>17.98</v>
      </c>
      <c r="P4235" s="1">
        <f t="shared" si="600"/>
        <v>9.1734693877551017</v>
      </c>
    </row>
    <row r="4236" spans="1:16">
      <c r="A4236" s="2">
        <v>36909</v>
      </c>
      <c r="B4236" s="1">
        <v>18.38</v>
      </c>
      <c r="C4236" s="1">
        <v>19.5</v>
      </c>
      <c r="D4236" s="1">
        <v>17.940000000000001</v>
      </c>
      <c r="E4236" s="1">
        <v>19.5</v>
      </c>
      <c r="F4236" s="1">
        <v>4115800</v>
      </c>
      <c r="G4236" s="1">
        <v>19.5</v>
      </c>
      <c r="H4236" s="1">
        <f t="shared" si="594"/>
        <v>1.5599999999999987</v>
      </c>
      <c r="I4236" s="9">
        <f t="shared" si="601"/>
        <v>8.6956521739130363E-2</v>
      </c>
      <c r="J4236" s="1">
        <f t="shared" si="602"/>
        <v>1.120000000000001</v>
      </c>
      <c r="K4236" s="9">
        <f t="shared" si="595"/>
        <v>6.0935799782372201E-2</v>
      </c>
      <c r="L4236" s="1">
        <f t="shared" si="596"/>
        <v>1</v>
      </c>
      <c r="M4236" s="1">
        <f t="shared" si="597"/>
        <v>19.5</v>
      </c>
      <c r="N4236" s="1">
        <f t="shared" si="598"/>
        <v>17.940000000000001</v>
      </c>
      <c r="O4236" s="1">
        <f t="shared" si="599"/>
        <v>17.54</v>
      </c>
      <c r="P4236" s="1">
        <f t="shared" si="600"/>
        <v>8.9489795918367339</v>
      </c>
    </row>
    <row r="4237" spans="1:16">
      <c r="A4237" s="2">
        <v>36908</v>
      </c>
      <c r="B4237" s="1">
        <v>18.88</v>
      </c>
      <c r="C4237" s="1">
        <v>19.559999999999999</v>
      </c>
      <c r="D4237" s="1">
        <v>17.75</v>
      </c>
      <c r="E4237" s="1">
        <v>18.38</v>
      </c>
      <c r="F4237" s="1">
        <v>9166000</v>
      </c>
      <c r="G4237" s="1">
        <v>18.38</v>
      </c>
      <c r="H4237" s="1">
        <f t="shared" si="594"/>
        <v>1.8099999999999987</v>
      </c>
      <c r="I4237" s="9">
        <f t="shared" si="601"/>
        <v>0.10197183098591542</v>
      </c>
      <c r="J4237" s="1">
        <f t="shared" si="602"/>
        <v>0.32000000000000028</v>
      </c>
      <c r="K4237" s="9">
        <f t="shared" si="595"/>
        <v>1.7718715393134014E-2</v>
      </c>
      <c r="L4237" s="1">
        <f t="shared" si="596"/>
        <v>1</v>
      </c>
      <c r="M4237" s="1">
        <f t="shared" si="597"/>
        <v>19.559999999999999</v>
      </c>
      <c r="N4237" s="1">
        <f t="shared" si="598"/>
        <v>17.75</v>
      </c>
      <c r="O4237" s="1">
        <f t="shared" si="599"/>
        <v>16.419999999999998</v>
      </c>
      <c r="P4237" s="1">
        <f t="shared" si="600"/>
        <v>8.3775510204081627</v>
      </c>
    </row>
    <row r="4238" spans="1:16">
      <c r="A4238" s="2">
        <v>36907</v>
      </c>
      <c r="B4238" s="1">
        <v>18.309999999999999</v>
      </c>
      <c r="C4238" s="1">
        <v>18.38</v>
      </c>
      <c r="D4238" s="1">
        <v>17.25</v>
      </c>
      <c r="E4238" s="1">
        <v>18.059999999999999</v>
      </c>
      <c r="F4238" s="1">
        <v>6017000</v>
      </c>
      <c r="G4238" s="1">
        <v>18.059999999999999</v>
      </c>
      <c r="H4238" s="1">
        <f t="shared" si="594"/>
        <v>1.129999999999999</v>
      </c>
      <c r="I4238" s="9">
        <f t="shared" si="601"/>
        <v>6.5507246376811532E-2</v>
      </c>
      <c r="J4238" s="1">
        <f t="shared" si="602"/>
        <v>0.36999999999999744</v>
      </c>
      <c r="K4238" s="9">
        <f t="shared" si="595"/>
        <v>2.0915771622385382E-2</v>
      </c>
      <c r="L4238" s="1">
        <f t="shared" si="596"/>
        <v>1</v>
      </c>
      <c r="M4238" s="1">
        <f t="shared" si="597"/>
        <v>18.38</v>
      </c>
      <c r="N4238" s="1">
        <f t="shared" si="598"/>
        <v>17.25</v>
      </c>
      <c r="O4238" s="1">
        <f t="shared" si="599"/>
        <v>16.099999999999998</v>
      </c>
      <c r="P4238" s="1">
        <f t="shared" si="600"/>
        <v>8.2142857142857135</v>
      </c>
    </row>
    <row r="4239" spans="1:16">
      <c r="A4239" s="2">
        <v>36903</v>
      </c>
      <c r="B4239" s="1">
        <v>17.34</v>
      </c>
      <c r="C4239" s="1">
        <v>18.5</v>
      </c>
      <c r="D4239" s="1">
        <v>17.13</v>
      </c>
      <c r="E4239" s="1">
        <v>17.690000000000001</v>
      </c>
      <c r="F4239" s="1">
        <v>8434200</v>
      </c>
      <c r="G4239" s="1">
        <v>17.690000000000001</v>
      </c>
      <c r="H4239" s="1">
        <f t="shared" si="594"/>
        <v>1.370000000000001</v>
      </c>
      <c r="I4239" s="9">
        <f t="shared" si="601"/>
        <v>7.9976649153531879E-2</v>
      </c>
      <c r="J4239" s="1">
        <f t="shared" si="602"/>
        <v>0.69000000000000128</v>
      </c>
      <c r="K4239" s="9">
        <f t="shared" si="595"/>
        <v>4.0588235294117724E-2</v>
      </c>
      <c r="L4239" s="1">
        <f t="shared" si="596"/>
        <v>1</v>
      </c>
      <c r="M4239" s="1">
        <f t="shared" si="597"/>
        <v>18.5</v>
      </c>
      <c r="N4239" s="1">
        <f t="shared" si="598"/>
        <v>17.13</v>
      </c>
      <c r="O4239" s="1">
        <f t="shared" si="599"/>
        <v>15.73</v>
      </c>
      <c r="P4239" s="1">
        <f t="shared" si="600"/>
        <v>8.0255102040816322</v>
      </c>
    </row>
    <row r="4240" spans="1:16">
      <c r="A4240" s="2">
        <v>36902</v>
      </c>
      <c r="B4240" s="1">
        <v>15.75</v>
      </c>
      <c r="C4240" s="1">
        <v>17.309999999999999</v>
      </c>
      <c r="D4240" s="1">
        <v>15.63</v>
      </c>
      <c r="E4240" s="1">
        <v>17</v>
      </c>
      <c r="F4240" s="1">
        <v>12756600</v>
      </c>
      <c r="G4240" s="1">
        <v>17</v>
      </c>
      <c r="H4240" s="1">
        <f t="shared" si="594"/>
        <v>1.6799999999999979</v>
      </c>
      <c r="I4240" s="9">
        <f t="shared" si="601"/>
        <v>0.10748560460652577</v>
      </c>
      <c r="J4240" s="1">
        <f t="shared" si="602"/>
        <v>0.5</v>
      </c>
      <c r="K4240" s="9">
        <f t="shared" si="595"/>
        <v>3.0303030303030304E-2</v>
      </c>
      <c r="L4240" s="1">
        <f t="shared" si="596"/>
        <v>1</v>
      </c>
      <c r="M4240" s="1">
        <f t="shared" si="597"/>
        <v>17.309999999999999</v>
      </c>
      <c r="N4240" s="1">
        <f t="shared" si="598"/>
        <v>15.63</v>
      </c>
      <c r="O4240" s="1">
        <f t="shared" si="599"/>
        <v>15.04</v>
      </c>
      <c r="P4240" s="1">
        <f t="shared" si="600"/>
        <v>7.6734693877551017</v>
      </c>
    </row>
    <row r="4241" spans="1:16">
      <c r="A4241" s="2">
        <v>36901</v>
      </c>
      <c r="B4241" s="1">
        <v>15.84</v>
      </c>
      <c r="C4241" s="1">
        <v>17</v>
      </c>
      <c r="D4241" s="1">
        <v>15.56</v>
      </c>
      <c r="E4241" s="1">
        <v>16.5</v>
      </c>
      <c r="F4241" s="1">
        <v>11002500</v>
      </c>
      <c r="G4241" s="1">
        <v>16.5</v>
      </c>
      <c r="H4241" s="1">
        <f t="shared" si="594"/>
        <v>1.4399999999999995</v>
      </c>
      <c r="I4241" s="9">
        <f t="shared" si="601"/>
        <v>9.2544987146529534E-2</v>
      </c>
      <c r="J4241" s="1">
        <f t="shared" si="602"/>
        <v>0.12000000000000099</v>
      </c>
      <c r="K4241" s="9">
        <f t="shared" si="595"/>
        <v>7.3260073260073876E-3</v>
      </c>
      <c r="L4241" s="1">
        <f t="shared" si="596"/>
        <v>1</v>
      </c>
      <c r="M4241" s="1">
        <f t="shared" si="597"/>
        <v>17</v>
      </c>
      <c r="N4241" s="1">
        <f t="shared" si="598"/>
        <v>15.56</v>
      </c>
      <c r="O4241" s="1">
        <f t="shared" si="599"/>
        <v>14.54</v>
      </c>
      <c r="P4241" s="1">
        <f t="shared" si="600"/>
        <v>7.4183673469387754</v>
      </c>
    </row>
    <row r="4242" spans="1:16">
      <c r="A4242" s="2">
        <v>36900</v>
      </c>
      <c r="B4242" s="1">
        <v>14.56</v>
      </c>
      <c r="C4242" s="1">
        <v>16.63</v>
      </c>
      <c r="D4242" s="1">
        <v>14.56</v>
      </c>
      <c r="E4242" s="1">
        <v>16.38</v>
      </c>
      <c r="F4242" s="1">
        <v>23455200</v>
      </c>
      <c r="G4242" s="1">
        <v>16.38</v>
      </c>
      <c r="H4242" s="1">
        <f t="shared" si="594"/>
        <v>2.0699999999999985</v>
      </c>
      <c r="I4242" s="9">
        <f t="shared" si="601"/>
        <v>0.14217032967032955</v>
      </c>
      <c r="J4242" s="1">
        <f t="shared" si="602"/>
        <v>1.4399999999999995</v>
      </c>
      <c r="K4242" s="9">
        <f t="shared" si="595"/>
        <v>9.6385542168674662E-2</v>
      </c>
      <c r="L4242" s="1">
        <f t="shared" si="596"/>
        <v>1</v>
      </c>
      <c r="M4242" s="1">
        <f t="shared" si="597"/>
        <v>16.63</v>
      </c>
      <c r="N4242" s="1">
        <f t="shared" si="598"/>
        <v>14.56</v>
      </c>
      <c r="O4242" s="1">
        <f t="shared" si="599"/>
        <v>14.419999999999998</v>
      </c>
      <c r="P4242" s="1">
        <f t="shared" si="600"/>
        <v>7.3571428571428568</v>
      </c>
    </row>
    <row r="4243" spans="1:16">
      <c r="A4243" s="2">
        <v>36899</v>
      </c>
      <c r="B4243" s="1">
        <v>14.44</v>
      </c>
      <c r="C4243" s="1">
        <v>15.56</v>
      </c>
      <c r="D4243" s="1">
        <v>13.75</v>
      </c>
      <c r="E4243" s="1">
        <v>14.94</v>
      </c>
      <c r="F4243" s="1">
        <v>10444700</v>
      </c>
      <c r="G4243" s="1">
        <v>14.94</v>
      </c>
      <c r="H4243" s="1">
        <f t="shared" si="594"/>
        <v>1.8100000000000005</v>
      </c>
      <c r="I4243" s="9">
        <f t="shared" si="601"/>
        <v>0.13163636363636366</v>
      </c>
      <c r="J4243" s="1">
        <f t="shared" si="602"/>
        <v>0.37999999999999901</v>
      </c>
      <c r="K4243" s="9">
        <f t="shared" si="595"/>
        <v>2.609890109890103E-2</v>
      </c>
      <c r="L4243" s="1">
        <f t="shared" si="596"/>
        <v>1</v>
      </c>
      <c r="M4243" s="1">
        <f t="shared" si="597"/>
        <v>15.56</v>
      </c>
      <c r="N4243" s="1">
        <f t="shared" si="598"/>
        <v>13.75</v>
      </c>
      <c r="O4243" s="1">
        <f t="shared" si="599"/>
        <v>12.98</v>
      </c>
      <c r="P4243" s="1">
        <f t="shared" si="600"/>
        <v>6.6224489795918373</v>
      </c>
    </row>
    <row r="4244" spans="1:16">
      <c r="A4244" s="2">
        <v>36896</v>
      </c>
      <c r="B4244" s="1">
        <v>15.5</v>
      </c>
      <c r="C4244" s="1">
        <v>15.88</v>
      </c>
      <c r="D4244" s="1">
        <v>13.56</v>
      </c>
      <c r="E4244" s="1">
        <v>14.56</v>
      </c>
      <c r="F4244" s="1">
        <v>8798800</v>
      </c>
      <c r="G4244" s="1">
        <v>14.56</v>
      </c>
      <c r="H4244" s="1">
        <f t="shared" si="594"/>
        <v>2.3200000000000003</v>
      </c>
      <c r="I4244" s="9">
        <f t="shared" si="601"/>
        <v>0.17109144542772864</v>
      </c>
      <c r="J4244" s="1">
        <f t="shared" si="602"/>
        <v>-0.9399999999999995</v>
      </c>
      <c r="K4244" s="9">
        <f t="shared" si="595"/>
        <v>-6.0645161290322547E-2</v>
      </c>
      <c r="L4244" s="1">
        <f t="shared" si="596"/>
        <v>1</v>
      </c>
      <c r="M4244" s="1">
        <f t="shared" si="597"/>
        <v>15.88</v>
      </c>
      <c r="N4244" s="1">
        <f t="shared" si="598"/>
        <v>13.56</v>
      </c>
      <c r="O4244" s="1">
        <f t="shared" si="599"/>
        <v>12.600000000000001</v>
      </c>
      <c r="P4244" s="1">
        <f t="shared" si="600"/>
        <v>6.4285714285714297</v>
      </c>
    </row>
    <row r="4245" spans="1:16">
      <c r="A4245" s="2">
        <v>36895</v>
      </c>
      <c r="B4245" s="1">
        <v>17</v>
      </c>
      <c r="C4245" s="1">
        <v>17.559999999999999</v>
      </c>
      <c r="D4245" s="1">
        <v>15.44</v>
      </c>
      <c r="E4245" s="1">
        <v>15.5</v>
      </c>
      <c r="F4245" s="1">
        <v>10620500</v>
      </c>
      <c r="G4245" s="1">
        <v>15.5</v>
      </c>
      <c r="H4245" s="1">
        <f t="shared" si="594"/>
        <v>2.1199999999999992</v>
      </c>
      <c r="I4245" s="9">
        <f t="shared" si="601"/>
        <v>0.13730569948186525</v>
      </c>
      <c r="J4245" s="1">
        <f t="shared" si="602"/>
        <v>-2.0599999999999987</v>
      </c>
      <c r="K4245" s="9">
        <f t="shared" si="595"/>
        <v>-0.11731207289293843</v>
      </c>
      <c r="L4245" s="1">
        <f t="shared" si="596"/>
        <v>1</v>
      </c>
      <c r="M4245" s="1">
        <f t="shared" si="597"/>
        <v>17.559999999999999</v>
      </c>
      <c r="N4245" s="1">
        <f t="shared" si="598"/>
        <v>15.44</v>
      </c>
      <c r="O4245" s="1">
        <f t="shared" si="599"/>
        <v>13.54</v>
      </c>
      <c r="P4245" s="1">
        <f t="shared" si="600"/>
        <v>6.908163265306122</v>
      </c>
    </row>
    <row r="4246" spans="1:16">
      <c r="A4246" s="2">
        <v>36894</v>
      </c>
      <c r="B4246" s="1">
        <v>13.63</v>
      </c>
      <c r="C4246" s="1">
        <v>17.88</v>
      </c>
      <c r="D4246" s="1">
        <v>13.56</v>
      </c>
      <c r="E4246" s="1">
        <v>17.559999999999999</v>
      </c>
      <c r="F4246" s="1">
        <v>14680400</v>
      </c>
      <c r="G4246" s="1">
        <v>17.559999999999999</v>
      </c>
      <c r="H4246" s="1">
        <f t="shared" si="594"/>
        <v>4.3199999999999985</v>
      </c>
      <c r="I4246" s="9">
        <f t="shared" si="601"/>
        <v>0.31858407079646006</v>
      </c>
      <c r="J4246" s="1">
        <f t="shared" si="602"/>
        <v>3.6799999999999979</v>
      </c>
      <c r="K4246" s="9">
        <f t="shared" si="595"/>
        <v>0.26512968299711798</v>
      </c>
      <c r="L4246" s="1">
        <f t="shared" si="596"/>
        <v>1</v>
      </c>
      <c r="M4246" s="1">
        <f t="shared" si="597"/>
        <v>17.88</v>
      </c>
      <c r="N4246" s="1">
        <f t="shared" si="598"/>
        <v>13.56</v>
      </c>
      <c r="O4246" s="1">
        <f t="shared" si="599"/>
        <v>15.599999999999998</v>
      </c>
      <c r="P4246" s="1">
        <f t="shared" si="600"/>
        <v>7.9591836734693864</v>
      </c>
    </row>
    <row r="4247" spans="1:16">
      <c r="A4247" s="2">
        <v>36893</v>
      </c>
      <c r="B4247" s="1">
        <v>15.81</v>
      </c>
      <c r="C4247" s="1">
        <v>16</v>
      </c>
      <c r="D4247" s="1">
        <v>13.63</v>
      </c>
      <c r="E4247" s="1">
        <v>13.88</v>
      </c>
      <c r="F4247" s="1">
        <v>9203500</v>
      </c>
      <c r="G4247" s="1">
        <v>13.88</v>
      </c>
      <c r="H4247" s="1">
        <f t="shared" si="594"/>
        <v>2.3699999999999992</v>
      </c>
      <c r="I4247" s="9">
        <f t="shared" si="601"/>
        <v>0.17388114453411585</v>
      </c>
      <c r="J4247" s="1">
        <f t="shared" si="602"/>
        <v>-1.6799999999999997</v>
      </c>
      <c r="K4247" s="9">
        <f t="shared" si="595"/>
        <v>-0.10796915167095114</v>
      </c>
      <c r="L4247" s="1">
        <f t="shared" si="596"/>
        <v>1</v>
      </c>
      <c r="M4247" s="1">
        <f t="shared" si="597"/>
        <v>16</v>
      </c>
      <c r="N4247" s="1">
        <f t="shared" si="598"/>
        <v>13.63</v>
      </c>
      <c r="O4247" s="1">
        <f t="shared" si="599"/>
        <v>11.920000000000002</v>
      </c>
      <c r="P4247" s="1">
        <f t="shared" si="600"/>
        <v>6.0816326530612255</v>
      </c>
    </row>
    <row r="4248" spans="1:16">
      <c r="A4248" s="2">
        <v>36889</v>
      </c>
      <c r="B4248" s="1">
        <v>16.75</v>
      </c>
      <c r="C4248" s="1">
        <v>17.13</v>
      </c>
      <c r="D4248" s="1">
        <v>15</v>
      </c>
      <c r="E4248" s="1">
        <v>15.56</v>
      </c>
      <c r="F4248" s="1">
        <v>9849700</v>
      </c>
      <c r="G4248" s="1">
        <v>15.56</v>
      </c>
      <c r="H4248" s="1">
        <f t="shared" si="594"/>
        <v>2.129999999999999</v>
      </c>
      <c r="I4248" s="9">
        <f t="shared" si="601"/>
        <v>0.14199999999999993</v>
      </c>
      <c r="J4248" s="1">
        <f t="shared" si="602"/>
        <v>-1.8199999999999985</v>
      </c>
      <c r="K4248" s="9">
        <f t="shared" si="595"/>
        <v>-0.10471806674338312</v>
      </c>
      <c r="L4248" s="1">
        <f t="shared" si="596"/>
        <v>1</v>
      </c>
      <c r="M4248" s="1">
        <f t="shared" si="597"/>
        <v>17.13</v>
      </c>
      <c r="N4248" s="1">
        <f t="shared" si="598"/>
        <v>15</v>
      </c>
      <c r="O4248" s="1">
        <f t="shared" si="599"/>
        <v>13.600000000000001</v>
      </c>
      <c r="P4248" s="1">
        <f t="shared" si="600"/>
        <v>6.9387755102040822</v>
      </c>
    </row>
    <row r="4249" spans="1:16">
      <c r="A4249" s="2">
        <v>36888</v>
      </c>
      <c r="B4249" s="1">
        <v>16.63</v>
      </c>
      <c r="C4249" s="1">
        <v>18.25</v>
      </c>
      <c r="D4249" s="1">
        <v>16.63</v>
      </c>
      <c r="E4249" s="1">
        <v>17.38</v>
      </c>
      <c r="F4249" s="1">
        <v>8455600</v>
      </c>
      <c r="G4249" s="1">
        <v>17.38</v>
      </c>
      <c r="H4249" s="1">
        <f t="shared" si="594"/>
        <v>1.620000000000001</v>
      </c>
      <c r="I4249" s="9">
        <f t="shared" si="601"/>
        <v>9.7414311485267649E-2</v>
      </c>
      <c r="J4249" s="1">
        <f t="shared" si="602"/>
        <v>0.5</v>
      </c>
      <c r="K4249" s="9">
        <f t="shared" si="595"/>
        <v>2.9620853080568721E-2</v>
      </c>
      <c r="L4249" s="1">
        <f t="shared" si="596"/>
        <v>1</v>
      </c>
      <c r="M4249" s="1">
        <f t="shared" si="597"/>
        <v>18.25</v>
      </c>
      <c r="N4249" s="1">
        <f t="shared" si="598"/>
        <v>16.63</v>
      </c>
      <c r="O4249" s="1">
        <f t="shared" si="599"/>
        <v>15.419999999999998</v>
      </c>
      <c r="P4249" s="1">
        <f t="shared" si="600"/>
        <v>7.8673469387755093</v>
      </c>
    </row>
    <row r="4250" spans="1:16">
      <c r="A4250" s="2">
        <v>36887</v>
      </c>
      <c r="B4250" s="1">
        <v>16</v>
      </c>
      <c r="C4250" s="1">
        <v>17.440000000000001</v>
      </c>
      <c r="D4250" s="1">
        <v>15.56</v>
      </c>
      <c r="E4250" s="1">
        <v>16.88</v>
      </c>
      <c r="F4250" s="1">
        <v>6598800</v>
      </c>
      <c r="G4250" s="1">
        <v>16.88</v>
      </c>
      <c r="H4250" s="1">
        <f t="shared" si="594"/>
        <v>1.8800000000000008</v>
      </c>
      <c r="I4250" s="9">
        <f t="shared" si="601"/>
        <v>0.12082262210796919</v>
      </c>
      <c r="J4250" s="1">
        <f t="shared" si="602"/>
        <v>-6.0000000000002274E-2</v>
      </c>
      <c r="K4250" s="9">
        <f t="shared" si="595"/>
        <v>-3.5419126328218578E-3</v>
      </c>
      <c r="L4250" s="1">
        <f t="shared" si="596"/>
        <v>1</v>
      </c>
      <c r="M4250" s="1">
        <f t="shared" si="597"/>
        <v>17.440000000000001</v>
      </c>
      <c r="N4250" s="1">
        <f t="shared" si="598"/>
        <v>15.56</v>
      </c>
      <c r="O4250" s="1">
        <f t="shared" si="599"/>
        <v>14.919999999999998</v>
      </c>
      <c r="P4250" s="1">
        <f t="shared" si="600"/>
        <v>7.612244897959183</v>
      </c>
    </row>
    <row r="4251" spans="1:16">
      <c r="A4251" s="2">
        <v>36886</v>
      </c>
      <c r="B4251" s="1">
        <v>16.309999999999999</v>
      </c>
      <c r="C4251" s="1">
        <v>18.5</v>
      </c>
      <c r="D4251" s="1">
        <v>16.25</v>
      </c>
      <c r="E4251" s="1">
        <v>16.940000000000001</v>
      </c>
      <c r="F4251" s="1">
        <v>9012800</v>
      </c>
      <c r="G4251" s="1">
        <v>16.940000000000001</v>
      </c>
      <c r="H4251" s="1">
        <f t="shared" si="594"/>
        <v>2.25</v>
      </c>
      <c r="I4251" s="9">
        <f t="shared" si="601"/>
        <v>0.13846153846153847</v>
      </c>
      <c r="J4251" s="1">
        <f t="shared" si="602"/>
        <v>1.3800000000000008</v>
      </c>
      <c r="K4251" s="9">
        <f t="shared" si="595"/>
        <v>8.8688946015424208E-2</v>
      </c>
      <c r="L4251" s="1">
        <f t="shared" si="596"/>
        <v>1</v>
      </c>
      <c r="M4251" s="1">
        <f t="shared" si="597"/>
        <v>18.5</v>
      </c>
      <c r="N4251" s="1">
        <f t="shared" si="598"/>
        <v>16.25</v>
      </c>
      <c r="O4251" s="1">
        <f t="shared" si="599"/>
        <v>14.98</v>
      </c>
      <c r="P4251" s="1">
        <f t="shared" si="600"/>
        <v>7.6428571428571432</v>
      </c>
    </row>
    <row r="4252" spans="1:16">
      <c r="A4252" s="2">
        <v>36882</v>
      </c>
      <c r="B4252" s="1">
        <v>15.31</v>
      </c>
      <c r="C4252" s="1">
        <v>16.55</v>
      </c>
      <c r="D4252" s="1">
        <v>15.25</v>
      </c>
      <c r="E4252" s="1">
        <v>15.56</v>
      </c>
      <c r="F4252" s="1">
        <v>9387000</v>
      </c>
      <c r="G4252" s="1">
        <v>15.56</v>
      </c>
      <c r="H4252" s="1">
        <f t="shared" si="594"/>
        <v>1.3000000000000007</v>
      </c>
      <c r="I4252" s="9">
        <f t="shared" si="601"/>
        <v>8.5245901639344313E-2</v>
      </c>
      <c r="J4252" s="1">
        <f t="shared" si="602"/>
        <v>0.37000000000000099</v>
      </c>
      <c r="K4252" s="9">
        <f t="shared" si="595"/>
        <v>2.4358130348913827E-2</v>
      </c>
      <c r="L4252" s="1">
        <f t="shared" si="596"/>
        <v>1</v>
      </c>
      <c r="M4252" s="1">
        <f t="shared" si="597"/>
        <v>16.55</v>
      </c>
      <c r="N4252" s="1">
        <f t="shared" si="598"/>
        <v>15.25</v>
      </c>
      <c r="O4252" s="1">
        <f t="shared" si="599"/>
        <v>13.600000000000001</v>
      </c>
      <c r="P4252" s="1">
        <f t="shared" si="600"/>
        <v>6.9387755102040822</v>
      </c>
    </row>
    <row r="4253" spans="1:16">
      <c r="A4253" s="2">
        <v>36881</v>
      </c>
      <c r="B4253" s="1">
        <v>16.38</v>
      </c>
      <c r="C4253" s="1">
        <v>17.75</v>
      </c>
      <c r="D4253" s="1">
        <v>14.88</v>
      </c>
      <c r="E4253" s="1">
        <v>15.19</v>
      </c>
      <c r="F4253" s="1">
        <v>8851400</v>
      </c>
      <c r="G4253" s="1">
        <v>15.19</v>
      </c>
      <c r="H4253" s="1">
        <f t="shared" si="594"/>
        <v>2.8699999999999992</v>
      </c>
      <c r="I4253" s="9">
        <f t="shared" si="601"/>
        <v>0.19287634408602145</v>
      </c>
      <c r="J4253" s="1">
        <f t="shared" si="602"/>
        <v>-1.5000000000000018</v>
      </c>
      <c r="K4253" s="9">
        <f t="shared" si="595"/>
        <v>-8.987417615338536E-2</v>
      </c>
      <c r="L4253" s="1">
        <f t="shared" si="596"/>
        <v>1</v>
      </c>
      <c r="M4253" s="1">
        <f t="shared" si="597"/>
        <v>17.75</v>
      </c>
      <c r="N4253" s="1">
        <f t="shared" si="598"/>
        <v>14.88</v>
      </c>
      <c r="O4253" s="1">
        <f t="shared" si="599"/>
        <v>13.23</v>
      </c>
      <c r="P4253" s="1">
        <f t="shared" si="600"/>
        <v>6.75</v>
      </c>
    </row>
    <row r="4254" spans="1:16">
      <c r="A4254" s="2">
        <v>36880</v>
      </c>
      <c r="B4254" s="1">
        <v>16.190000000000001</v>
      </c>
      <c r="C4254" s="1">
        <v>17.88</v>
      </c>
      <c r="D4254" s="1">
        <v>15.63</v>
      </c>
      <c r="E4254" s="1">
        <v>16.690000000000001</v>
      </c>
      <c r="F4254" s="1">
        <v>22050700</v>
      </c>
      <c r="G4254" s="1">
        <v>16.690000000000001</v>
      </c>
      <c r="H4254" s="1">
        <f t="shared" si="594"/>
        <v>2.2499999999999982</v>
      </c>
      <c r="I4254" s="9">
        <f t="shared" si="601"/>
        <v>0.14395393474088281</v>
      </c>
      <c r="J4254" s="1">
        <f t="shared" si="602"/>
        <v>-1.5599999999999987</v>
      </c>
      <c r="K4254" s="9">
        <f t="shared" si="595"/>
        <v>-8.5479452054794444E-2</v>
      </c>
      <c r="L4254" s="1">
        <f t="shared" si="596"/>
        <v>1</v>
      </c>
      <c r="M4254" s="1">
        <f t="shared" si="597"/>
        <v>17.88</v>
      </c>
      <c r="N4254" s="1">
        <f t="shared" si="598"/>
        <v>15.63</v>
      </c>
      <c r="O4254" s="1">
        <f t="shared" si="599"/>
        <v>14.73</v>
      </c>
      <c r="P4254" s="1">
        <f t="shared" si="600"/>
        <v>7.5153061224489797</v>
      </c>
    </row>
    <row r="4255" spans="1:16">
      <c r="A4255" s="2">
        <v>36879</v>
      </c>
      <c r="B4255" s="1">
        <v>20.309999999999999</v>
      </c>
      <c r="C4255" s="1">
        <v>20.88</v>
      </c>
      <c r="D4255" s="1">
        <v>17.38</v>
      </c>
      <c r="E4255" s="1">
        <v>18.25</v>
      </c>
      <c r="F4255" s="1">
        <v>13218500</v>
      </c>
      <c r="G4255" s="1">
        <v>18.25</v>
      </c>
      <c r="H4255" s="1">
        <f t="shared" si="594"/>
        <v>3.5</v>
      </c>
      <c r="I4255" s="9">
        <f t="shared" si="601"/>
        <v>0.20138089758342925</v>
      </c>
      <c r="J4255" s="1">
        <f t="shared" si="602"/>
        <v>-1.629999999999999</v>
      </c>
      <c r="K4255" s="9">
        <f t="shared" si="595"/>
        <v>-8.1991951710261524E-2</v>
      </c>
      <c r="L4255" s="1">
        <f t="shared" si="596"/>
        <v>1</v>
      </c>
      <c r="M4255" s="1">
        <f t="shared" si="597"/>
        <v>20.88</v>
      </c>
      <c r="N4255" s="1">
        <f t="shared" si="598"/>
        <v>17.38</v>
      </c>
      <c r="O4255" s="1">
        <f t="shared" si="599"/>
        <v>16.29</v>
      </c>
      <c r="P4255" s="1">
        <f t="shared" si="600"/>
        <v>8.3112244897959187</v>
      </c>
    </row>
    <row r="4256" spans="1:16">
      <c r="A4256" s="2">
        <v>36878</v>
      </c>
      <c r="B4256" s="1">
        <v>20.75</v>
      </c>
      <c r="C4256" s="1">
        <v>21.19</v>
      </c>
      <c r="D4256" s="1">
        <v>18.940000000000001</v>
      </c>
      <c r="E4256" s="1">
        <v>19.88</v>
      </c>
      <c r="F4256" s="1">
        <v>16035200</v>
      </c>
      <c r="G4256" s="1">
        <v>19.88</v>
      </c>
      <c r="H4256" s="1">
        <f t="shared" si="594"/>
        <v>2.25</v>
      </c>
      <c r="I4256" s="9">
        <f t="shared" si="601"/>
        <v>0.1187961985216473</v>
      </c>
      <c r="J4256" s="1">
        <f t="shared" si="602"/>
        <v>-3</v>
      </c>
      <c r="K4256" s="9">
        <f t="shared" si="595"/>
        <v>-0.13111888111888112</v>
      </c>
      <c r="L4256" s="1">
        <f t="shared" si="596"/>
        <v>1</v>
      </c>
      <c r="M4256" s="1">
        <f t="shared" si="597"/>
        <v>21.19</v>
      </c>
      <c r="N4256" s="1">
        <f t="shared" si="598"/>
        <v>18.940000000000001</v>
      </c>
      <c r="O4256" s="1">
        <f t="shared" si="599"/>
        <v>17.919999999999998</v>
      </c>
      <c r="P4256" s="1">
        <f t="shared" si="600"/>
        <v>9.1428571428571423</v>
      </c>
    </row>
    <row r="4257" spans="1:16">
      <c r="A4257" s="2">
        <v>36875</v>
      </c>
      <c r="B4257" s="1">
        <v>22.25</v>
      </c>
      <c r="C4257" s="1">
        <v>24.25</v>
      </c>
      <c r="D4257" s="1">
        <v>22</v>
      </c>
      <c r="E4257" s="1">
        <v>22.88</v>
      </c>
      <c r="F4257" s="1">
        <v>8713700</v>
      </c>
      <c r="G4257" s="1">
        <v>22.88</v>
      </c>
      <c r="H4257" s="1">
        <f t="shared" si="594"/>
        <v>2.25</v>
      </c>
      <c r="I4257" s="9">
        <f t="shared" si="601"/>
        <v>0.10227272727272728</v>
      </c>
      <c r="J4257" s="1">
        <f t="shared" si="602"/>
        <v>0.18999999999999773</v>
      </c>
      <c r="K4257" s="9">
        <f t="shared" si="595"/>
        <v>8.3737329219919655E-3</v>
      </c>
      <c r="L4257" s="1">
        <f t="shared" si="596"/>
        <v>1</v>
      </c>
      <c r="M4257" s="1">
        <f t="shared" si="597"/>
        <v>24.25</v>
      </c>
      <c r="N4257" s="1">
        <f t="shared" si="598"/>
        <v>22</v>
      </c>
      <c r="O4257" s="1">
        <f t="shared" si="599"/>
        <v>20.919999999999998</v>
      </c>
      <c r="P4257" s="1">
        <f t="shared" si="600"/>
        <v>10.673469387755102</v>
      </c>
    </row>
    <row r="4258" spans="1:16">
      <c r="A4258" s="2">
        <v>36874</v>
      </c>
      <c r="B4258" s="1">
        <v>24.06</v>
      </c>
      <c r="C4258" s="1">
        <v>24.69</v>
      </c>
      <c r="D4258" s="1">
        <v>22.59</v>
      </c>
      <c r="E4258" s="1">
        <v>22.69</v>
      </c>
      <c r="F4258" s="1">
        <v>7020800</v>
      </c>
      <c r="G4258" s="1">
        <v>22.69</v>
      </c>
      <c r="H4258" s="1">
        <f t="shared" si="594"/>
        <v>2.1000000000000014</v>
      </c>
      <c r="I4258" s="9">
        <f t="shared" si="601"/>
        <v>9.2961487383798211E-2</v>
      </c>
      <c r="J4258" s="1">
        <f t="shared" si="602"/>
        <v>-1.0599999999999987</v>
      </c>
      <c r="K4258" s="9">
        <f t="shared" si="595"/>
        <v>-4.4631578947368369E-2</v>
      </c>
      <c r="L4258" s="1">
        <f t="shared" si="596"/>
        <v>1</v>
      </c>
      <c r="M4258" s="1">
        <f t="shared" si="597"/>
        <v>24.69</v>
      </c>
      <c r="N4258" s="1">
        <f t="shared" si="598"/>
        <v>22.59</v>
      </c>
      <c r="O4258" s="1">
        <f t="shared" si="599"/>
        <v>20.73</v>
      </c>
      <c r="P4258" s="1">
        <f t="shared" si="600"/>
        <v>10.576530612244898</v>
      </c>
    </row>
    <row r="4259" spans="1:16">
      <c r="A4259" s="2">
        <v>36873</v>
      </c>
      <c r="B4259" s="1">
        <v>26.56</v>
      </c>
      <c r="C4259" s="1">
        <v>26.63</v>
      </c>
      <c r="D4259" s="1">
        <v>23.5</v>
      </c>
      <c r="E4259" s="1">
        <v>23.75</v>
      </c>
      <c r="F4259" s="1">
        <v>6281800</v>
      </c>
      <c r="G4259" s="1">
        <v>23.75</v>
      </c>
      <c r="H4259" s="1">
        <f t="shared" si="594"/>
        <v>3.129999999999999</v>
      </c>
      <c r="I4259" s="9">
        <f t="shared" si="601"/>
        <v>0.13319148936170208</v>
      </c>
      <c r="J4259" s="1">
        <f t="shared" si="602"/>
        <v>-2.129999999999999</v>
      </c>
      <c r="K4259" s="9">
        <f t="shared" si="595"/>
        <v>-8.2302936630602744E-2</v>
      </c>
      <c r="L4259" s="1">
        <f t="shared" si="596"/>
        <v>1</v>
      </c>
      <c r="M4259" s="1">
        <f t="shared" si="597"/>
        <v>26.63</v>
      </c>
      <c r="N4259" s="1">
        <f t="shared" si="598"/>
        <v>23.5</v>
      </c>
      <c r="O4259" s="1">
        <f t="shared" si="599"/>
        <v>21.79</v>
      </c>
      <c r="P4259" s="1">
        <f t="shared" si="600"/>
        <v>11.11734693877551</v>
      </c>
    </row>
    <row r="4260" spans="1:16">
      <c r="A4260" s="2">
        <v>36872</v>
      </c>
      <c r="B4260" s="1">
        <v>24.5</v>
      </c>
      <c r="C4260" s="1">
        <v>27.5</v>
      </c>
      <c r="D4260" s="1">
        <v>24.31</v>
      </c>
      <c r="E4260" s="1">
        <v>25.88</v>
      </c>
      <c r="F4260" s="1">
        <v>7306800</v>
      </c>
      <c r="G4260" s="1">
        <v>25.88</v>
      </c>
      <c r="H4260" s="1">
        <f t="shared" si="594"/>
        <v>3.1900000000000013</v>
      </c>
      <c r="I4260" s="9">
        <f t="shared" si="601"/>
        <v>0.13122171945701364</v>
      </c>
      <c r="J4260" s="1">
        <f t="shared" si="602"/>
        <v>0.57000000000000028</v>
      </c>
      <c r="K4260" s="9">
        <f t="shared" si="595"/>
        <v>2.2520742789411314E-2</v>
      </c>
      <c r="L4260" s="1">
        <f t="shared" si="596"/>
        <v>1</v>
      </c>
      <c r="M4260" s="1">
        <f t="shared" si="597"/>
        <v>27.5</v>
      </c>
      <c r="N4260" s="1">
        <f t="shared" si="598"/>
        <v>24.31</v>
      </c>
      <c r="O4260" s="1">
        <f t="shared" si="599"/>
        <v>23.919999999999998</v>
      </c>
      <c r="P4260" s="1">
        <f t="shared" si="600"/>
        <v>12.204081632653061</v>
      </c>
    </row>
    <row r="4261" spans="1:16">
      <c r="A4261" s="2">
        <v>36871</v>
      </c>
      <c r="B4261" s="1">
        <v>22.88</v>
      </c>
      <c r="C4261" s="1">
        <v>26.13</v>
      </c>
      <c r="D4261" s="1">
        <v>21.75</v>
      </c>
      <c r="E4261" s="1">
        <v>25.31</v>
      </c>
      <c r="F4261" s="1">
        <v>10904200</v>
      </c>
      <c r="G4261" s="1">
        <v>25.31</v>
      </c>
      <c r="H4261" s="1">
        <f t="shared" si="594"/>
        <v>4.379999999999999</v>
      </c>
      <c r="I4261" s="9">
        <f t="shared" si="601"/>
        <v>0.20137931034482753</v>
      </c>
      <c r="J4261" s="1">
        <f t="shared" si="602"/>
        <v>1.8699999999999974</v>
      </c>
      <c r="K4261" s="9">
        <f t="shared" si="595"/>
        <v>7.9778156996586913E-2</v>
      </c>
      <c r="L4261" s="1">
        <f t="shared" si="596"/>
        <v>1</v>
      </c>
      <c r="M4261" s="1">
        <f t="shared" si="597"/>
        <v>26.13</v>
      </c>
      <c r="N4261" s="1">
        <f t="shared" si="598"/>
        <v>21.75</v>
      </c>
      <c r="O4261" s="1">
        <f t="shared" si="599"/>
        <v>23.349999999999998</v>
      </c>
      <c r="P4261" s="1">
        <f t="shared" si="600"/>
        <v>11.913265306122447</v>
      </c>
    </row>
    <row r="4262" spans="1:16">
      <c r="A4262" s="2">
        <v>36868</v>
      </c>
      <c r="B4262" s="1">
        <v>23.31</v>
      </c>
      <c r="C4262" s="1">
        <v>24.69</v>
      </c>
      <c r="D4262" s="1">
        <v>21.25</v>
      </c>
      <c r="E4262" s="1">
        <v>23.44</v>
      </c>
      <c r="F4262" s="1">
        <v>12969800</v>
      </c>
      <c r="G4262" s="1">
        <v>23.44</v>
      </c>
      <c r="H4262" s="1">
        <f t="shared" si="594"/>
        <v>3.4400000000000013</v>
      </c>
      <c r="I4262" s="9">
        <f t="shared" si="601"/>
        <v>0.16188235294117653</v>
      </c>
      <c r="J4262" s="1">
        <f t="shared" si="602"/>
        <v>2.0600000000000023</v>
      </c>
      <c r="K4262" s="9">
        <f t="shared" si="595"/>
        <v>9.6351730589335938E-2</v>
      </c>
      <c r="L4262" s="1">
        <f t="shared" si="596"/>
        <v>1</v>
      </c>
      <c r="M4262" s="1">
        <f t="shared" si="597"/>
        <v>24.69</v>
      </c>
      <c r="N4262" s="1">
        <f t="shared" si="598"/>
        <v>21.25</v>
      </c>
      <c r="O4262" s="1">
        <f t="shared" si="599"/>
        <v>21.48</v>
      </c>
      <c r="P4262" s="1">
        <f t="shared" si="600"/>
        <v>10.959183673469388</v>
      </c>
    </row>
    <row r="4263" spans="1:16">
      <c r="A4263" s="2">
        <v>36867</v>
      </c>
      <c r="B4263" s="1">
        <v>23.06</v>
      </c>
      <c r="C4263" s="1">
        <v>23.44</v>
      </c>
      <c r="D4263" s="1">
        <v>20.13</v>
      </c>
      <c r="E4263" s="1">
        <v>21.38</v>
      </c>
      <c r="F4263" s="1">
        <v>10647500</v>
      </c>
      <c r="G4263" s="1">
        <v>21.38</v>
      </c>
      <c r="H4263" s="1">
        <f t="shared" si="594"/>
        <v>3.3100000000000023</v>
      </c>
      <c r="I4263" s="9">
        <f t="shared" si="601"/>
        <v>0.16443119721808258</v>
      </c>
      <c r="J4263" s="1">
        <f t="shared" si="602"/>
        <v>-2.25</v>
      </c>
      <c r="K4263" s="9">
        <f t="shared" si="595"/>
        <v>-9.5217943292424889E-2</v>
      </c>
      <c r="L4263" s="1">
        <f t="shared" si="596"/>
        <v>1</v>
      </c>
      <c r="M4263" s="1">
        <f t="shared" si="597"/>
        <v>23.44</v>
      </c>
      <c r="N4263" s="1">
        <f t="shared" si="598"/>
        <v>20.13</v>
      </c>
      <c r="O4263" s="1">
        <f t="shared" si="599"/>
        <v>19.419999999999998</v>
      </c>
      <c r="P4263" s="1">
        <f t="shared" si="600"/>
        <v>9.908163265306122</v>
      </c>
    </row>
    <row r="4264" spans="1:16">
      <c r="A4264" s="2">
        <v>36866</v>
      </c>
      <c r="B4264" s="1">
        <v>24.69</v>
      </c>
      <c r="C4264" s="1">
        <v>26</v>
      </c>
      <c r="D4264" s="1">
        <v>23.63</v>
      </c>
      <c r="E4264" s="1">
        <v>23.63</v>
      </c>
      <c r="F4264" s="1">
        <v>8825800</v>
      </c>
      <c r="G4264" s="1">
        <v>23.63</v>
      </c>
      <c r="H4264" s="1">
        <f t="shared" si="594"/>
        <v>2.370000000000001</v>
      </c>
      <c r="I4264" s="9">
        <f t="shared" si="601"/>
        <v>0.10029623360135426</v>
      </c>
      <c r="J4264" s="1">
        <f t="shared" si="602"/>
        <v>-1.75</v>
      </c>
      <c r="K4264" s="9">
        <f t="shared" si="595"/>
        <v>-6.8951930654058316E-2</v>
      </c>
      <c r="L4264" s="1">
        <f t="shared" si="596"/>
        <v>1</v>
      </c>
      <c r="M4264" s="1">
        <f t="shared" si="597"/>
        <v>26</v>
      </c>
      <c r="N4264" s="1">
        <f t="shared" si="598"/>
        <v>23.63</v>
      </c>
      <c r="O4264" s="1">
        <f t="shared" si="599"/>
        <v>21.669999999999998</v>
      </c>
      <c r="P4264" s="1">
        <f t="shared" si="600"/>
        <v>11.056122448979592</v>
      </c>
    </row>
    <row r="4265" spans="1:16">
      <c r="A4265" s="2">
        <v>36865</v>
      </c>
      <c r="B4265" s="1">
        <v>27.13</v>
      </c>
      <c r="C4265" s="1">
        <v>27.63</v>
      </c>
      <c r="D4265" s="1">
        <v>24.75</v>
      </c>
      <c r="E4265" s="1">
        <v>25.38</v>
      </c>
      <c r="F4265" s="1">
        <v>9969900</v>
      </c>
      <c r="G4265" s="1">
        <v>25.38</v>
      </c>
      <c r="H4265" s="1">
        <f t="shared" si="594"/>
        <v>2.879999999999999</v>
      </c>
      <c r="I4265" s="9">
        <f t="shared" si="601"/>
        <v>0.11636363636363632</v>
      </c>
      <c r="J4265" s="1">
        <f t="shared" si="602"/>
        <v>-1.1799999999999997</v>
      </c>
      <c r="K4265" s="9">
        <f t="shared" si="595"/>
        <v>-4.4427710843373484E-2</v>
      </c>
      <c r="L4265" s="1">
        <f t="shared" si="596"/>
        <v>1</v>
      </c>
      <c r="M4265" s="1">
        <f t="shared" si="597"/>
        <v>27.63</v>
      </c>
      <c r="N4265" s="1">
        <f t="shared" si="598"/>
        <v>24.75</v>
      </c>
      <c r="O4265" s="1">
        <f t="shared" si="599"/>
        <v>23.419999999999998</v>
      </c>
      <c r="P4265" s="1">
        <f t="shared" si="600"/>
        <v>11.948979591836734</v>
      </c>
    </row>
    <row r="4266" spans="1:16">
      <c r="A4266" s="2">
        <v>36864</v>
      </c>
      <c r="B4266" s="1">
        <v>25.19</v>
      </c>
      <c r="C4266" s="1">
        <v>27.19</v>
      </c>
      <c r="D4266" s="1">
        <v>23.25</v>
      </c>
      <c r="E4266" s="1">
        <v>26.56</v>
      </c>
      <c r="F4266" s="1">
        <v>8255500</v>
      </c>
      <c r="G4266" s="1">
        <v>26.56</v>
      </c>
      <c r="H4266" s="1">
        <f t="shared" si="594"/>
        <v>3.9400000000000013</v>
      </c>
      <c r="I4266" s="9">
        <f t="shared" si="601"/>
        <v>0.16946236559139791</v>
      </c>
      <c r="J4266" s="1">
        <f t="shared" si="602"/>
        <v>1.9299999999999997</v>
      </c>
      <c r="K4266" s="9">
        <f t="shared" si="595"/>
        <v>7.8359723913926094E-2</v>
      </c>
      <c r="L4266" s="1">
        <f t="shared" si="596"/>
        <v>1</v>
      </c>
      <c r="M4266" s="1">
        <f t="shared" si="597"/>
        <v>27.19</v>
      </c>
      <c r="N4266" s="1">
        <f t="shared" si="598"/>
        <v>23.25</v>
      </c>
      <c r="O4266" s="1">
        <f t="shared" si="599"/>
        <v>24.599999999999998</v>
      </c>
      <c r="P4266" s="1">
        <f t="shared" si="600"/>
        <v>12.551020408163264</v>
      </c>
    </row>
    <row r="4267" spans="1:16">
      <c r="A4267" s="2">
        <v>36861</v>
      </c>
      <c r="B4267" s="1">
        <v>24.94</v>
      </c>
      <c r="C4267" s="1">
        <v>26.75</v>
      </c>
      <c r="D4267" s="1">
        <v>23</v>
      </c>
      <c r="E4267" s="1">
        <v>24.63</v>
      </c>
      <c r="F4267" s="1">
        <v>7757400</v>
      </c>
      <c r="G4267" s="1">
        <v>24.63</v>
      </c>
      <c r="H4267" s="1">
        <f t="shared" si="594"/>
        <v>3.75</v>
      </c>
      <c r="I4267" s="9">
        <f t="shared" si="601"/>
        <v>0.16304347826086957</v>
      </c>
      <c r="J4267" s="1">
        <f t="shared" si="602"/>
        <v>-6.0000000000002274E-2</v>
      </c>
      <c r="K4267" s="9">
        <f t="shared" si="595"/>
        <v>-2.4301336573512465E-3</v>
      </c>
      <c r="L4267" s="1">
        <f t="shared" si="596"/>
        <v>1</v>
      </c>
      <c r="M4267" s="1">
        <f t="shared" si="597"/>
        <v>26.75</v>
      </c>
      <c r="N4267" s="1">
        <f t="shared" si="598"/>
        <v>23</v>
      </c>
      <c r="O4267" s="1">
        <f t="shared" si="599"/>
        <v>22.669999999999998</v>
      </c>
      <c r="P4267" s="1">
        <f t="shared" si="600"/>
        <v>11.566326530612244</v>
      </c>
    </row>
    <row r="4268" spans="1:16">
      <c r="A4268" s="2">
        <v>36860</v>
      </c>
      <c r="B4268" s="1">
        <v>24.75</v>
      </c>
      <c r="C4268" s="1">
        <v>26.19</v>
      </c>
      <c r="D4268" s="1">
        <v>22.88</v>
      </c>
      <c r="E4268" s="1">
        <v>24.69</v>
      </c>
      <c r="F4268" s="1">
        <v>13123500</v>
      </c>
      <c r="G4268" s="1">
        <v>24.69</v>
      </c>
      <c r="H4268" s="1">
        <f t="shared" si="594"/>
        <v>3.3100000000000023</v>
      </c>
      <c r="I4268" s="9">
        <f t="shared" si="601"/>
        <v>0.14466783216783227</v>
      </c>
      <c r="J4268" s="1">
        <f t="shared" si="602"/>
        <v>-2.25</v>
      </c>
      <c r="K4268" s="9">
        <f t="shared" si="595"/>
        <v>-8.3518930957683743E-2</v>
      </c>
      <c r="L4268" s="1">
        <f t="shared" si="596"/>
        <v>1</v>
      </c>
      <c r="M4268" s="1">
        <f t="shared" si="597"/>
        <v>26.19</v>
      </c>
      <c r="N4268" s="1">
        <f t="shared" si="598"/>
        <v>22.88</v>
      </c>
      <c r="O4268" s="1">
        <f t="shared" si="599"/>
        <v>22.73</v>
      </c>
      <c r="P4268" s="1">
        <f t="shared" si="600"/>
        <v>11.596938775510205</v>
      </c>
    </row>
    <row r="4269" spans="1:16">
      <c r="A4269" s="2">
        <v>36859</v>
      </c>
      <c r="B4269" s="1">
        <v>25.13</v>
      </c>
      <c r="C4269" s="1">
        <v>27.5</v>
      </c>
      <c r="D4269" s="1">
        <v>24.25</v>
      </c>
      <c r="E4269" s="1">
        <v>26.94</v>
      </c>
      <c r="F4269" s="1">
        <v>11463200</v>
      </c>
      <c r="G4269" s="1">
        <v>26.94</v>
      </c>
      <c r="H4269" s="1">
        <f t="shared" si="594"/>
        <v>3.25</v>
      </c>
      <c r="I4269" s="9">
        <f t="shared" si="601"/>
        <v>0.13402061855670103</v>
      </c>
      <c r="J4269" s="1">
        <f t="shared" si="602"/>
        <v>1.9100000000000001</v>
      </c>
      <c r="K4269" s="9">
        <f t="shared" si="595"/>
        <v>7.6308429884139037E-2</v>
      </c>
      <c r="L4269" s="1">
        <f t="shared" si="596"/>
        <v>1</v>
      </c>
      <c r="M4269" s="1">
        <f t="shared" si="597"/>
        <v>27.5</v>
      </c>
      <c r="N4269" s="1">
        <f t="shared" si="598"/>
        <v>24.25</v>
      </c>
      <c r="O4269" s="1">
        <f t="shared" si="599"/>
        <v>24.98</v>
      </c>
      <c r="P4269" s="1">
        <f t="shared" si="600"/>
        <v>12.744897959183675</v>
      </c>
    </row>
    <row r="4270" spans="1:16">
      <c r="A4270" s="2">
        <v>36858</v>
      </c>
      <c r="B4270" s="1">
        <v>26</v>
      </c>
      <c r="C4270" s="1">
        <v>26.19</v>
      </c>
      <c r="D4270" s="1">
        <v>24.63</v>
      </c>
      <c r="E4270" s="1">
        <v>25.03</v>
      </c>
      <c r="F4270" s="1">
        <v>11327500</v>
      </c>
      <c r="G4270" s="1">
        <v>25.03</v>
      </c>
      <c r="H4270" s="1">
        <f t="shared" si="594"/>
        <v>1.5600000000000023</v>
      </c>
      <c r="I4270" s="9">
        <f t="shared" si="601"/>
        <v>6.3337393422655389E-2</v>
      </c>
      <c r="J4270" s="1">
        <f t="shared" si="602"/>
        <v>-2.9699999999999989</v>
      </c>
      <c r="K4270" s="9">
        <f t="shared" si="595"/>
        <v>-0.10607142857142852</v>
      </c>
      <c r="L4270" s="1">
        <f t="shared" si="596"/>
        <v>1</v>
      </c>
      <c r="M4270" s="1">
        <f t="shared" si="597"/>
        <v>26.19</v>
      </c>
      <c r="N4270" s="1">
        <f t="shared" si="598"/>
        <v>24.63</v>
      </c>
      <c r="O4270" s="1">
        <f t="shared" si="599"/>
        <v>23.07</v>
      </c>
      <c r="P4270" s="1">
        <f t="shared" si="600"/>
        <v>11.770408163265307</v>
      </c>
    </row>
    <row r="4271" spans="1:16">
      <c r="A4271" s="2">
        <v>36857</v>
      </c>
      <c r="B4271" s="1">
        <v>29.75</v>
      </c>
      <c r="C4271" s="1">
        <v>30.75</v>
      </c>
      <c r="D4271" s="1">
        <v>27</v>
      </c>
      <c r="E4271" s="1">
        <v>28</v>
      </c>
      <c r="F4271" s="1">
        <v>6411400</v>
      </c>
      <c r="G4271" s="1">
        <v>28</v>
      </c>
      <c r="H4271" s="1">
        <f t="shared" si="594"/>
        <v>3.75</v>
      </c>
      <c r="I4271" s="9">
        <f t="shared" si="601"/>
        <v>0.1388888888888889</v>
      </c>
      <c r="J4271" s="1">
        <f t="shared" si="602"/>
        <v>-0.94000000000000128</v>
      </c>
      <c r="K4271" s="9">
        <f t="shared" si="595"/>
        <v>-3.2480995162405019E-2</v>
      </c>
      <c r="L4271" s="1">
        <f t="shared" si="596"/>
        <v>1</v>
      </c>
      <c r="M4271" s="1">
        <f t="shared" si="597"/>
        <v>30.75</v>
      </c>
      <c r="N4271" s="1">
        <f t="shared" si="598"/>
        <v>27</v>
      </c>
      <c r="O4271" s="1">
        <f t="shared" si="599"/>
        <v>26.04</v>
      </c>
      <c r="P4271" s="1">
        <f t="shared" si="600"/>
        <v>13.285714285714285</v>
      </c>
    </row>
    <row r="4272" spans="1:16">
      <c r="A4272" s="2">
        <v>36854</v>
      </c>
      <c r="B4272" s="1">
        <v>26.42</v>
      </c>
      <c r="C4272" s="1">
        <v>29.13</v>
      </c>
      <c r="D4272" s="1">
        <v>26.06</v>
      </c>
      <c r="E4272" s="1">
        <v>28.94</v>
      </c>
      <c r="F4272" s="1">
        <v>7639300</v>
      </c>
      <c r="G4272" s="1">
        <v>28.94</v>
      </c>
      <c r="H4272" s="1">
        <f t="shared" si="594"/>
        <v>3.0700000000000003</v>
      </c>
      <c r="I4272" s="9">
        <f t="shared" si="601"/>
        <v>0.11780506523407523</v>
      </c>
      <c r="J4272" s="1">
        <f t="shared" si="602"/>
        <v>3.75</v>
      </c>
      <c r="K4272" s="9">
        <f t="shared" si="595"/>
        <v>0.14886859865025803</v>
      </c>
      <c r="L4272" s="1">
        <f t="shared" si="596"/>
        <v>1</v>
      </c>
      <c r="M4272" s="1">
        <f t="shared" si="597"/>
        <v>29.13</v>
      </c>
      <c r="N4272" s="1">
        <f t="shared" si="598"/>
        <v>26.06</v>
      </c>
      <c r="O4272" s="1">
        <f t="shared" si="599"/>
        <v>26.98</v>
      </c>
      <c r="P4272" s="1">
        <f t="shared" si="600"/>
        <v>13.76530612244898</v>
      </c>
    </row>
    <row r="4273" spans="1:16">
      <c r="A4273" s="2">
        <v>36852</v>
      </c>
      <c r="B4273" s="1">
        <v>23.88</v>
      </c>
      <c r="C4273" s="1">
        <v>27.5</v>
      </c>
      <c r="D4273" s="1">
        <v>22.13</v>
      </c>
      <c r="E4273" s="1">
        <v>25.19</v>
      </c>
      <c r="F4273" s="1">
        <v>11877100</v>
      </c>
      <c r="G4273" s="1">
        <v>25.19</v>
      </c>
      <c r="H4273" s="1">
        <f t="shared" si="594"/>
        <v>5.370000000000001</v>
      </c>
      <c r="I4273" s="9">
        <f t="shared" si="601"/>
        <v>0.24265702666064171</v>
      </c>
      <c r="J4273" s="1">
        <f t="shared" si="602"/>
        <v>0.94000000000000128</v>
      </c>
      <c r="K4273" s="9">
        <f t="shared" si="595"/>
        <v>3.8762886597938195E-2</v>
      </c>
      <c r="L4273" s="1">
        <f t="shared" si="596"/>
        <v>1</v>
      </c>
      <c r="M4273" s="1">
        <f t="shared" si="597"/>
        <v>27.5</v>
      </c>
      <c r="N4273" s="1">
        <f t="shared" si="598"/>
        <v>22.13</v>
      </c>
      <c r="O4273" s="1">
        <f t="shared" si="599"/>
        <v>23.23</v>
      </c>
      <c r="P4273" s="1">
        <f t="shared" si="600"/>
        <v>11.852040816326531</v>
      </c>
    </row>
    <row r="4274" spans="1:16">
      <c r="A4274" s="2">
        <v>36851</v>
      </c>
      <c r="B4274" s="1">
        <v>26.63</v>
      </c>
      <c r="C4274" s="1">
        <v>26.88</v>
      </c>
      <c r="D4274" s="1">
        <v>23.63</v>
      </c>
      <c r="E4274" s="1">
        <v>24.25</v>
      </c>
      <c r="F4274" s="1">
        <v>6197500</v>
      </c>
      <c r="G4274" s="1">
        <v>24.25</v>
      </c>
      <c r="H4274" s="1">
        <f t="shared" si="594"/>
        <v>3.25</v>
      </c>
      <c r="I4274" s="9">
        <f t="shared" si="601"/>
        <v>0.13753702920016928</v>
      </c>
      <c r="J4274" s="1">
        <f t="shared" si="602"/>
        <v>-1.5599999999999987</v>
      </c>
      <c r="K4274" s="9">
        <f t="shared" si="595"/>
        <v>-6.044168926772564E-2</v>
      </c>
      <c r="L4274" s="1">
        <f t="shared" si="596"/>
        <v>1</v>
      </c>
      <c r="M4274" s="1">
        <f t="shared" si="597"/>
        <v>26.88</v>
      </c>
      <c r="N4274" s="1">
        <f t="shared" si="598"/>
        <v>23.63</v>
      </c>
      <c r="O4274" s="1">
        <f t="shared" si="599"/>
        <v>22.29</v>
      </c>
      <c r="P4274" s="1">
        <f t="shared" si="600"/>
        <v>11.372448979591837</v>
      </c>
    </row>
    <row r="4275" spans="1:16">
      <c r="A4275" s="2">
        <v>36850</v>
      </c>
      <c r="B4275" s="1">
        <v>26</v>
      </c>
      <c r="C4275" s="1">
        <v>27.94</v>
      </c>
      <c r="D4275" s="1">
        <v>25</v>
      </c>
      <c r="E4275" s="1">
        <v>25.81</v>
      </c>
      <c r="F4275" s="1">
        <v>6438300</v>
      </c>
      <c r="G4275" s="1">
        <v>25.81</v>
      </c>
      <c r="H4275" s="1">
        <f t="shared" si="594"/>
        <v>2.9400000000000013</v>
      </c>
      <c r="I4275" s="9">
        <f t="shared" si="601"/>
        <v>0.11760000000000005</v>
      </c>
      <c r="J4275" s="1">
        <f t="shared" si="602"/>
        <v>-1.6300000000000026</v>
      </c>
      <c r="K4275" s="9">
        <f t="shared" si="595"/>
        <v>-5.9402332361516125E-2</v>
      </c>
      <c r="L4275" s="1">
        <f t="shared" si="596"/>
        <v>1</v>
      </c>
      <c r="M4275" s="1">
        <f t="shared" si="597"/>
        <v>27.94</v>
      </c>
      <c r="N4275" s="1">
        <f t="shared" si="598"/>
        <v>25</v>
      </c>
      <c r="O4275" s="1">
        <f t="shared" si="599"/>
        <v>23.849999999999998</v>
      </c>
      <c r="P4275" s="1">
        <f t="shared" si="600"/>
        <v>12.168367346938775</v>
      </c>
    </row>
    <row r="4276" spans="1:16">
      <c r="A4276" s="2">
        <v>36847</v>
      </c>
      <c r="B4276" s="1">
        <v>28</v>
      </c>
      <c r="C4276" s="1">
        <v>29.63</v>
      </c>
      <c r="D4276" s="1">
        <v>26.88</v>
      </c>
      <c r="E4276" s="1">
        <v>27.44</v>
      </c>
      <c r="F4276" s="1">
        <v>4996000</v>
      </c>
      <c r="G4276" s="1">
        <v>27.44</v>
      </c>
      <c r="H4276" s="1">
        <f t="shared" si="594"/>
        <v>2.75</v>
      </c>
      <c r="I4276" s="9">
        <f t="shared" si="601"/>
        <v>0.10230654761904762</v>
      </c>
      <c r="J4276" s="1">
        <f t="shared" si="602"/>
        <v>-0.36999999999999744</v>
      </c>
      <c r="K4276" s="9">
        <f t="shared" si="595"/>
        <v>-1.3304566702624863E-2</v>
      </c>
      <c r="L4276" s="1">
        <f t="shared" si="596"/>
        <v>1</v>
      </c>
      <c r="M4276" s="1">
        <f t="shared" si="597"/>
        <v>29.63</v>
      </c>
      <c r="N4276" s="1">
        <f t="shared" si="598"/>
        <v>26.88</v>
      </c>
      <c r="O4276" s="1">
        <f t="shared" si="599"/>
        <v>25.48</v>
      </c>
      <c r="P4276" s="1">
        <f t="shared" si="600"/>
        <v>13</v>
      </c>
    </row>
    <row r="4277" spans="1:16">
      <c r="A4277" s="2">
        <v>36846</v>
      </c>
      <c r="B4277" s="1">
        <v>28.69</v>
      </c>
      <c r="C4277" s="1">
        <v>30.5</v>
      </c>
      <c r="D4277" s="1">
        <v>27.75</v>
      </c>
      <c r="E4277" s="1">
        <v>27.81</v>
      </c>
      <c r="F4277" s="1">
        <v>4134800</v>
      </c>
      <c r="G4277" s="1">
        <v>27.81</v>
      </c>
      <c r="H4277" s="1">
        <f t="shared" si="594"/>
        <v>2.75</v>
      </c>
      <c r="I4277" s="9">
        <f t="shared" si="601"/>
        <v>9.90990990990991E-2</v>
      </c>
      <c r="J4277" s="1">
        <f t="shared" si="602"/>
        <v>-1.6900000000000013</v>
      </c>
      <c r="K4277" s="9">
        <f t="shared" si="595"/>
        <v>-5.728813559322038E-2</v>
      </c>
      <c r="L4277" s="1">
        <f t="shared" si="596"/>
        <v>1</v>
      </c>
      <c r="M4277" s="1">
        <f t="shared" si="597"/>
        <v>30.5</v>
      </c>
      <c r="N4277" s="1">
        <f t="shared" si="598"/>
        <v>27.75</v>
      </c>
      <c r="O4277" s="1">
        <f t="shared" si="599"/>
        <v>25.849999999999998</v>
      </c>
      <c r="P4277" s="1">
        <f t="shared" si="600"/>
        <v>13.188775510204081</v>
      </c>
    </row>
    <row r="4278" spans="1:16">
      <c r="A4278" s="2">
        <v>36845</v>
      </c>
      <c r="B4278" s="1">
        <v>28.63</v>
      </c>
      <c r="C4278" s="1">
        <v>30.81</v>
      </c>
      <c r="D4278" s="1">
        <v>28.44</v>
      </c>
      <c r="E4278" s="1">
        <v>29.5</v>
      </c>
      <c r="F4278" s="1">
        <v>5263200</v>
      </c>
      <c r="G4278" s="1">
        <v>29.5</v>
      </c>
      <c r="H4278" s="1">
        <f t="shared" si="594"/>
        <v>2.3699999999999974</v>
      </c>
      <c r="I4278" s="9">
        <f t="shared" si="601"/>
        <v>8.3333333333333245E-2</v>
      </c>
      <c r="J4278" s="1">
        <f t="shared" si="602"/>
        <v>0.55999999999999872</v>
      </c>
      <c r="K4278" s="9">
        <f t="shared" si="595"/>
        <v>1.9350380096751857E-2</v>
      </c>
      <c r="L4278" s="1">
        <f t="shared" si="596"/>
        <v>1</v>
      </c>
      <c r="M4278" s="1">
        <f t="shared" si="597"/>
        <v>30.81</v>
      </c>
      <c r="N4278" s="1">
        <f t="shared" si="598"/>
        <v>28.44</v>
      </c>
      <c r="O4278" s="1">
        <f t="shared" si="599"/>
        <v>27.54</v>
      </c>
      <c r="P4278" s="1">
        <f t="shared" si="600"/>
        <v>14.051020408163264</v>
      </c>
    </row>
    <row r="4279" spans="1:16">
      <c r="A4279" s="2">
        <v>36844</v>
      </c>
      <c r="B4279" s="1">
        <v>28.75</v>
      </c>
      <c r="C4279" s="1">
        <v>29.88</v>
      </c>
      <c r="D4279" s="1">
        <v>25.75</v>
      </c>
      <c r="E4279" s="1">
        <v>28.94</v>
      </c>
      <c r="F4279" s="1">
        <v>7837900</v>
      </c>
      <c r="G4279" s="1">
        <v>28.94</v>
      </c>
      <c r="H4279" s="1">
        <f t="shared" si="594"/>
        <v>4.129999999999999</v>
      </c>
      <c r="I4279" s="9">
        <f t="shared" si="601"/>
        <v>0.16038834951456307</v>
      </c>
      <c r="J4279" s="1">
        <f t="shared" si="602"/>
        <v>1.1300000000000026</v>
      </c>
      <c r="K4279" s="9">
        <f t="shared" si="595"/>
        <v>4.0632865875584415E-2</v>
      </c>
      <c r="L4279" s="1">
        <f t="shared" si="596"/>
        <v>1</v>
      </c>
      <c r="M4279" s="1">
        <f t="shared" si="597"/>
        <v>29.88</v>
      </c>
      <c r="N4279" s="1">
        <f t="shared" si="598"/>
        <v>25.75</v>
      </c>
      <c r="O4279" s="1">
        <f t="shared" si="599"/>
        <v>26.98</v>
      </c>
      <c r="P4279" s="1">
        <f t="shared" si="600"/>
        <v>13.76530612244898</v>
      </c>
    </row>
    <row r="4280" spans="1:16">
      <c r="A4280" s="2">
        <v>36843</v>
      </c>
      <c r="B4280" s="1">
        <v>28.81</v>
      </c>
      <c r="C4280" s="1">
        <v>30.11</v>
      </c>
      <c r="D4280" s="1">
        <v>27.44</v>
      </c>
      <c r="E4280" s="1">
        <v>27.81</v>
      </c>
      <c r="F4280" s="1">
        <v>8377500</v>
      </c>
      <c r="G4280" s="1">
        <v>27.81</v>
      </c>
      <c r="H4280" s="1">
        <f t="shared" si="594"/>
        <v>2.6699999999999982</v>
      </c>
      <c r="I4280" s="9">
        <f t="shared" si="601"/>
        <v>9.7303206997084474E-2</v>
      </c>
      <c r="J4280" s="1">
        <f t="shared" si="602"/>
        <v>-2.25</v>
      </c>
      <c r="K4280" s="9">
        <f t="shared" si="595"/>
        <v>-7.4850299401197612E-2</v>
      </c>
      <c r="L4280" s="1">
        <f t="shared" si="596"/>
        <v>1</v>
      </c>
      <c r="M4280" s="1">
        <f t="shared" si="597"/>
        <v>30.11</v>
      </c>
      <c r="N4280" s="1">
        <f t="shared" si="598"/>
        <v>27.44</v>
      </c>
      <c r="O4280" s="1">
        <f t="shared" si="599"/>
        <v>25.849999999999998</v>
      </c>
      <c r="P4280" s="1">
        <f t="shared" si="600"/>
        <v>13.188775510204081</v>
      </c>
    </row>
    <row r="4281" spans="1:16">
      <c r="A4281" s="2">
        <v>36840</v>
      </c>
      <c r="B4281" s="1">
        <v>30.75</v>
      </c>
      <c r="C4281" s="1">
        <v>31.88</v>
      </c>
      <c r="D4281" s="1">
        <v>30</v>
      </c>
      <c r="E4281" s="1">
        <v>30.06</v>
      </c>
      <c r="F4281" s="1">
        <v>5255600</v>
      </c>
      <c r="G4281" s="1">
        <v>30.06</v>
      </c>
      <c r="H4281" s="1">
        <f t="shared" si="594"/>
        <v>1.879999999999999</v>
      </c>
      <c r="I4281" s="9">
        <f t="shared" si="601"/>
        <v>6.2666666666666634E-2</v>
      </c>
      <c r="J4281" s="1">
        <f t="shared" si="602"/>
        <v>-1.1900000000000013</v>
      </c>
      <c r="K4281" s="9">
        <f t="shared" si="595"/>
        <v>-3.8080000000000044E-2</v>
      </c>
      <c r="L4281" s="1">
        <f t="shared" si="596"/>
        <v>1</v>
      </c>
      <c r="M4281" s="1">
        <f t="shared" si="597"/>
        <v>31.88</v>
      </c>
      <c r="N4281" s="1">
        <f t="shared" si="598"/>
        <v>30</v>
      </c>
      <c r="O4281" s="1">
        <f t="shared" si="599"/>
        <v>28.099999999999998</v>
      </c>
      <c r="P4281" s="1">
        <f t="shared" si="600"/>
        <v>14.336734693877551</v>
      </c>
    </row>
    <row r="4282" spans="1:16">
      <c r="A4282" s="2">
        <v>36839</v>
      </c>
      <c r="B4282" s="1">
        <v>32.69</v>
      </c>
      <c r="C4282" s="1">
        <v>33</v>
      </c>
      <c r="D4282" s="1">
        <v>29.88</v>
      </c>
      <c r="E4282" s="1">
        <v>31.25</v>
      </c>
      <c r="F4282" s="1">
        <v>7169600</v>
      </c>
      <c r="G4282" s="1">
        <v>31.25</v>
      </c>
      <c r="H4282" s="1">
        <f t="shared" si="594"/>
        <v>3.120000000000001</v>
      </c>
      <c r="I4282" s="9">
        <f t="shared" si="601"/>
        <v>0.10441767068273096</v>
      </c>
      <c r="J4282" s="1">
        <f t="shared" si="602"/>
        <v>-2.6300000000000026</v>
      </c>
      <c r="K4282" s="9">
        <f t="shared" si="595"/>
        <v>-7.7626918536009518E-2</v>
      </c>
      <c r="L4282" s="1">
        <f t="shared" si="596"/>
        <v>1</v>
      </c>
      <c r="M4282" s="1">
        <f t="shared" si="597"/>
        <v>33</v>
      </c>
      <c r="N4282" s="1">
        <f t="shared" si="598"/>
        <v>29.88</v>
      </c>
      <c r="O4282" s="1">
        <f t="shared" si="599"/>
        <v>29.29</v>
      </c>
      <c r="P4282" s="1">
        <f t="shared" si="600"/>
        <v>14.943877551020408</v>
      </c>
    </row>
    <row r="4283" spans="1:16">
      <c r="A4283" s="2">
        <v>36838</v>
      </c>
      <c r="B4283" s="1">
        <v>36</v>
      </c>
      <c r="C4283" s="1">
        <v>37</v>
      </c>
      <c r="D4283" s="1">
        <v>33.25</v>
      </c>
      <c r="E4283" s="1">
        <v>33.880000000000003</v>
      </c>
      <c r="F4283" s="1">
        <v>5835300</v>
      </c>
      <c r="G4283" s="1">
        <v>33.880000000000003</v>
      </c>
      <c r="H4283" s="1">
        <f t="shared" si="594"/>
        <v>3.75</v>
      </c>
      <c r="I4283" s="9">
        <f t="shared" si="601"/>
        <v>0.11278195488721804</v>
      </c>
      <c r="J4283" s="1">
        <f t="shared" si="602"/>
        <v>-3.0599999999999952</v>
      </c>
      <c r="K4283" s="9">
        <f t="shared" si="595"/>
        <v>-8.283703302652938E-2</v>
      </c>
      <c r="L4283" s="1">
        <f t="shared" si="596"/>
        <v>1</v>
      </c>
      <c r="M4283" s="1">
        <f t="shared" si="597"/>
        <v>37</v>
      </c>
      <c r="N4283" s="1">
        <f t="shared" si="598"/>
        <v>33.25</v>
      </c>
      <c r="O4283" s="1">
        <f t="shared" si="599"/>
        <v>31.92</v>
      </c>
      <c r="P4283" s="1">
        <f t="shared" si="600"/>
        <v>16.285714285714288</v>
      </c>
    </row>
    <row r="4284" spans="1:16">
      <c r="A4284" s="2">
        <v>36837</v>
      </c>
      <c r="B4284" s="1">
        <v>36.5</v>
      </c>
      <c r="C4284" s="1">
        <v>39.44</v>
      </c>
      <c r="D4284" s="1">
        <v>35.56</v>
      </c>
      <c r="E4284" s="1">
        <v>36.94</v>
      </c>
      <c r="F4284" s="1">
        <v>5495300</v>
      </c>
      <c r="G4284" s="1">
        <v>36.94</v>
      </c>
      <c r="H4284" s="1">
        <f t="shared" si="594"/>
        <v>3.8799999999999955</v>
      </c>
      <c r="I4284" s="9">
        <f t="shared" si="601"/>
        <v>0.10911136107986488</v>
      </c>
      <c r="J4284" s="1">
        <f t="shared" si="602"/>
        <v>0.37999999999999545</v>
      </c>
      <c r="K4284" s="9">
        <f t="shared" si="595"/>
        <v>1.0393873085339043E-2</v>
      </c>
      <c r="L4284" s="1">
        <f t="shared" si="596"/>
        <v>1</v>
      </c>
      <c r="M4284" s="1">
        <f t="shared" si="597"/>
        <v>39.44</v>
      </c>
      <c r="N4284" s="1">
        <f t="shared" si="598"/>
        <v>35.56</v>
      </c>
      <c r="O4284" s="1">
        <f t="shared" si="599"/>
        <v>34.979999999999997</v>
      </c>
      <c r="P4284" s="1">
        <f t="shared" si="600"/>
        <v>17.846938775510203</v>
      </c>
    </row>
    <row r="4285" spans="1:16">
      <c r="A4285" s="2">
        <v>36836</v>
      </c>
      <c r="B4285" s="1">
        <v>38.56</v>
      </c>
      <c r="C4285" s="1">
        <v>38.630000000000003</v>
      </c>
      <c r="D4285" s="1">
        <v>34.75</v>
      </c>
      <c r="E4285" s="1">
        <v>36.56</v>
      </c>
      <c r="F4285" s="1">
        <v>6444600</v>
      </c>
      <c r="G4285" s="1">
        <v>36.56</v>
      </c>
      <c r="H4285" s="1">
        <f t="shared" si="594"/>
        <v>3.8800000000000026</v>
      </c>
      <c r="I4285" s="9">
        <f t="shared" si="601"/>
        <v>0.11165467625899288</v>
      </c>
      <c r="J4285" s="1">
        <f t="shared" si="602"/>
        <v>-1</v>
      </c>
      <c r="K4285" s="9">
        <f t="shared" si="595"/>
        <v>-2.6624068157614481E-2</v>
      </c>
      <c r="L4285" s="1">
        <f t="shared" si="596"/>
        <v>1</v>
      </c>
      <c r="M4285" s="1">
        <f t="shared" si="597"/>
        <v>38.630000000000003</v>
      </c>
      <c r="N4285" s="1">
        <f t="shared" si="598"/>
        <v>34.75</v>
      </c>
      <c r="O4285" s="1">
        <f t="shared" si="599"/>
        <v>34.6</v>
      </c>
      <c r="P4285" s="1">
        <f t="shared" si="600"/>
        <v>17.653061224489797</v>
      </c>
    </row>
    <row r="4286" spans="1:16">
      <c r="A4286" s="2">
        <v>36833</v>
      </c>
      <c r="B4286" s="1">
        <v>39</v>
      </c>
      <c r="C4286" s="1">
        <v>40.880000000000003</v>
      </c>
      <c r="D4286" s="1">
        <v>36.880000000000003</v>
      </c>
      <c r="E4286" s="1">
        <v>37.56</v>
      </c>
      <c r="F4286" s="1">
        <v>5962400</v>
      </c>
      <c r="G4286" s="1">
        <v>37.56</v>
      </c>
      <c r="H4286" s="1">
        <f t="shared" si="594"/>
        <v>4</v>
      </c>
      <c r="I4286" s="9">
        <f t="shared" si="601"/>
        <v>0.10845986984815617</v>
      </c>
      <c r="J4286" s="1">
        <f t="shared" si="602"/>
        <v>-2.1899999999999977</v>
      </c>
      <c r="K4286" s="9">
        <f t="shared" si="595"/>
        <v>-5.5094339622641451E-2</v>
      </c>
      <c r="L4286" s="1">
        <f t="shared" si="596"/>
        <v>1</v>
      </c>
      <c r="M4286" s="1">
        <f t="shared" si="597"/>
        <v>40.880000000000003</v>
      </c>
      <c r="N4286" s="1">
        <f t="shared" si="598"/>
        <v>36.880000000000003</v>
      </c>
      <c r="O4286" s="1">
        <f t="shared" si="599"/>
        <v>35.6</v>
      </c>
      <c r="P4286" s="1">
        <f t="shared" si="600"/>
        <v>18.163265306122451</v>
      </c>
    </row>
    <row r="4287" spans="1:16">
      <c r="A4287" s="2">
        <v>36832</v>
      </c>
      <c r="B4287" s="1">
        <v>38.06</v>
      </c>
      <c r="C4287" s="1">
        <v>39.880000000000003</v>
      </c>
      <c r="D4287" s="1">
        <v>37.5</v>
      </c>
      <c r="E4287" s="1">
        <v>39.75</v>
      </c>
      <c r="F4287" s="1">
        <v>6989700</v>
      </c>
      <c r="G4287" s="1">
        <v>39.75</v>
      </c>
      <c r="H4287" s="1">
        <f t="shared" si="594"/>
        <v>2.3800000000000026</v>
      </c>
      <c r="I4287" s="9">
        <f t="shared" si="601"/>
        <v>6.3466666666666741E-2</v>
      </c>
      <c r="J4287" s="1">
        <f t="shared" si="602"/>
        <v>2.3699999999999974</v>
      </c>
      <c r="K4287" s="9">
        <f t="shared" si="595"/>
        <v>6.3402889245585806E-2</v>
      </c>
      <c r="L4287" s="1">
        <f t="shared" si="596"/>
        <v>1</v>
      </c>
      <c r="M4287" s="1">
        <f t="shared" si="597"/>
        <v>39.880000000000003</v>
      </c>
      <c r="N4287" s="1">
        <f t="shared" si="598"/>
        <v>37.5</v>
      </c>
      <c r="O4287" s="1">
        <f t="shared" si="599"/>
        <v>37.79</v>
      </c>
      <c r="P4287" s="1">
        <f t="shared" si="600"/>
        <v>19.280612244897959</v>
      </c>
    </row>
    <row r="4288" spans="1:16">
      <c r="A4288" s="2">
        <v>36831</v>
      </c>
      <c r="B4288" s="1">
        <v>35.81</v>
      </c>
      <c r="C4288" s="1">
        <v>40</v>
      </c>
      <c r="D4288" s="1">
        <v>35.69</v>
      </c>
      <c r="E4288" s="1">
        <v>37.380000000000003</v>
      </c>
      <c r="F4288" s="1">
        <v>11099200</v>
      </c>
      <c r="G4288" s="1">
        <v>37.380000000000003</v>
      </c>
      <c r="H4288" s="1">
        <f t="shared" si="594"/>
        <v>4.3100000000000023</v>
      </c>
      <c r="I4288" s="9">
        <f t="shared" si="601"/>
        <v>0.12076211824040355</v>
      </c>
      <c r="J4288" s="1">
        <f t="shared" si="602"/>
        <v>0.75</v>
      </c>
      <c r="K4288" s="9">
        <f t="shared" si="595"/>
        <v>2.0475020475020474E-2</v>
      </c>
      <c r="L4288" s="1">
        <f t="shared" si="596"/>
        <v>1</v>
      </c>
      <c r="M4288" s="1">
        <f t="shared" si="597"/>
        <v>40</v>
      </c>
      <c r="N4288" s="1">
        <f t="shared" si="598"/>
        <v>35.69</v>
      </c>
      <c r="O4288" s="1">
        <f t="shared" si="599"/>
        <v>35.42</v>
      </c>
      <c r="P4288" s="1">
        <f t="shared" si="600"/>
        <v>18.071428571428573</v>
      </c>
    </row>
    <row r="4289" spans="1:16">
      <c r="A4289" s="2">
        <v>36830</v>
      </c>
      <c r="B4289" s="1">
        <v>32.69</v>
      </c>
      <c r="C4289" s="1">
        <v>36.880000000000003</v>
      </c>
      <c r="D4289" s="1">
        <v>32.06</v>
      </c>
      <c r="E4289" s="1">
        <v>36.630000000000003</v>
      </c>
      <c r="F4289" s="1">
        <v>9919500</v>
      </c>
      <c r="G4289" s="1">
        <v>36.630000000000003</v>
      </c>
      <c r="H4289" s="1">
        <f t="shared" si="594"/>
        <v>4.82</v>
      </c>
      <c r="I4289" s="9">
        <f t="shared" si="601"/>
        <v>0.15034310667498441</v>
      </c>
      <c r="J4289" s="1">
        <f t="shared" si="602"/>
        <v>3.75</v>
      </c>
      <c r="K4289" s="9">
        <f t="shared" si="595"/>
        <v>0.11405109489051093</v>
      </c>
      <c r="L4289" s="1">
        <f t="shared" si="596"/>
        <v>1</v>
      </c>
      <c r="M4289" s="1">
        <f t="shared" si="597"/>
        <v>36.880000000000003</v>
      </c>
      <c r="N4289" s="1">
        <f t="shared" si="598"/>
        <v>32.06</v>
      </c>
      <c r="O4289" s="1">
        <f t="shared" si="599"/>
        <v>34.67</v>
      </c>
      <c r="P4289" s="1">
        <f t="shared" si="600"/>
        <v>17.688775510204081</v>
      </c>
    </row>
    <row r="4290" spans="1:16">
      <c r="A4290" s="2">
        <v>36829</v>
      </c>
      <c r="B4290" s="1">
        <v>33.06</v>
      </c>
      <c r="C4290" s="1">
        <v>34.380000000000003</v>
      </c>
      <c r="D4290" s="1">
        <v>30.27</v>
      </c>
      <c r="E4290" s="1">
        <v>32.880000000000003</v>
      </c>
      <c r="F4290" s="1">
        <v>12510200</v>
      </c>
      <c r="G4290" s="1">
        <v>32.880000000000003</v>
      </c>
      <c r="H4290" s="1">
        <f t="shared" si="594"/>
        <v>4.110000000000003</v>
      </c>
      <c r="I4290" s="9">
        <f t="shared" si="601"/>
        <v>0.13577799801783955</v>
      </c>
      <c r="J4290" s="1">
        <f t="shared" si="602"/>
        <v>-2.75</v>
      </c>
      <c r="K4290" s="9">
        <f t="shared" si="595"/>
        <v>-7.7182149873701936E-2</v>
      </c>
      <c r="L4290" s="1">
        <f t="shared" si="596"/>
        <v>1</v>
      </c>
      <c r="M4290" s="1">
        <f t="shared" si="597"/>
        <v>34.380000000000003</v>
      </c>
      <c r="N4290" s="1">
        <f t="shared" si="598"/>
        <v>30.27</v>
      </c>
      <c r="O4290" s="1">
        <f t="shared" si="599"/>
        <v>30.92</v>
      </c>
      <c r="P4290" s="1">
        <f t="shared" si="600"/>
        <v>15.775510204081634</v>
      </c>
    </row>
    <row r="4291" spans="1:16">
      <c r="A4291" s="2">
        <v>36826</v>
      </c>
      <c r="B4291" s="1">
        <v>33.94</v>
      </c>
      <c r="C4291" s="1">
        <v>37.5</v>
      </c>
      <c r="D4291" s="1">
        <v>33.880000000000003</v>
      </c>
      <c r="E4291" s="1">
        <v>35.630000000000003</v>
      </c>
      <c r="F4291" s="1">
        <v>12370700</v>
      </c>
      <c r="G4291" s="1">
        <v>35.630000000000003</v>
      </c>
      <c r="H4291" s="1">
        <f t="shared" ref="H4291:H4354" si="603">C4291-D4291</f>
        <v>3.6199999999999974</v>
      </c>
      <c r="I4291" s="9">
        <f t="shared" si="601"/>
        <v>0.10684769775678858</v>
      </c>
      <c r="J4291" s="1">
        <f t="shared" si="602"/>
        <v>-1.25</v>
      </c>
      <c r="K4291" s="9">
        <f t="shared" ref="K4291:K4354" si="604">(G4291-G4292)/G4292</f>
        <v>-3.3893709327548802E-2</v>
      </c>
      <c r="L4291" s="1">
        <f t="shared" ref="L4291:L4354" si="605">G4291/E4291</f>
        <v>1</v>
      </c>
      <c r="M4291" s="1">
        <f t="shared" ref="M4291:M4354" si="606">L4291*C4291</f>
        <v>37.5</v>
      </c>
      <c r="N4291" s="1">
        <f t="shared" ref="N4291:N4354" si="607">L4291*D4291</f>
        <v>33.880000000000003</v>
      </c>
      <c r="O4291" s="1">
        <f t="shared" ref="O4291:O4354" si="608">G4291-$G$5163</f>
        <v>33.67</v>
      </c>
      <c r="P4291" s="1">
        <f t="shared" ref="P4291:P4354" si="609">(G4291-$G$5163)/$G$5163</f>
        <v>17.178571428571431</v>
      </c>
    </row>
    <row r="4292" spans="1:16">
      <c r="A4292" s="2">
        <v>36825</v>
      </c>
      <c r="B4292" s="1">
        <v>32.19</v>
      </c>
      <c r="C4292" s="1">
        <v>37.5</v>
      </c>
      <c r="D4292" s="1">
        <v>31</v>
      </c>
      <c r="E4292" s="1">
        <v>36.880000000000003</v>
      </c>
      <c r="F4292" s="1">
        <v>17825500</v>
      </c>
      <c r="G4292" s="1">
        <v>36.880000000000003</v>
      </c>
      <c r="H4292" s="1">
        <f t="shared" si="603"/>
        <v>6.5</v>
      </c>
      <c r="I4292" s="9">
        <f t="shared" ref="I4292:I4355" si="610">(C4292-D4292)/D4292</f>
        <v>0.20967741935483872</v>
      </c>
      <c r="J4292" s="1">
        <f t="shared" ref="J4292:J4355" si="611">G4292-G4293</f>
        <v>5.0000000000000036</v>
      </c>
      <c r="K4292" s="9">
        <f t="shared" si="604"/>
        <v>0.15683814303638657</v>
      </c>
      <c r="L4292" s="1">
        <f t="shared" si="605"/>
        <v>1</v>
      </c>
      <c r="M4292" s="1">
        <f t="shared" si="606"/>
        <v>37.5</v>
      </c>
      <c r="N4292" s="1">
        <f t="shared" si="607"/>
        <v>31</v>
      </c>
      <c r="O4292" s="1">
        <f t="shared" si="608"/>
        <v>34.92</v>
      </c>
      <c r="P4292" s="1">
        <f t="shared" si="609"/>
        <v>17.816326530612248</v>
      </c>
    </row>
    <row r="4293" spans="1:16">
      <c r="A4293" s="2">
        <v>36824</v>
      </c>
      <c r="B4293" s="1">
        <v>34</v>
      </c>
      <c r="C4293" s="1">
        <v>36.5</v>
      </c>
      <c r="D4293" s="1">
        <v>31.75</v>
      </c>
      <c r="E4293" s="1">
        <v>31.88</v>
      </c>
      <c r="F4293" s="1">
        <v>28572900</v>
      </c>
      <c r="G4293" s="1">
        <v>31.88</v>
      </c>
      <c r="H4293" s="1">
        <f t="shared" si="603"/>
        <v>4.75</v>
      </c>
      <c r="I4293" s="9">
        <f t="shared" si="610"/>
        <v>0.14960629921259844</v>
      </c>
      <c r="J4293" s="1">
        <f t="shared" si="611"/>
        <v>2.3200000000000003</v>
      </c>
      <c r="K4293" s="9">
        <f t="shared" si="604"/>
        <v>7.8484438430311249E-2</v>
      </c>
      <c r="L4293" s="1">
        <f t="shared" si="605"/>
        <v>1</v>
      </c>
      <c r="M4293" s="1">
        <f t="shared" si="606"/>
        <v>36.5</v>
      </c>
      <c r="N4293" s="1">
        <f t="shared" si="607"/>
        <v>31.75</v>
      </c>
      <c r="O4293" s="1">
        <f t="shared" si="608"/>
        <v>29.919999999999998</v>
      </c>
      <c r="P4293" s="1">
        <f t="shared" si="609"/>
        <v>15.26530612244898</v>
      </c>
    </row>
    <row r="4294" spans="1:16">
      <c r="A4294" s="2">
        <v>36823</v>
      </c>
      <c r="B4294" s="1">
        <v>29.88</v>
      </c>
      <c r="C4294" s="1">
        <v>33.880000000000003</v>
      </c>
      <c r="D4294" s="1">
        <v>28.81</v>
      </c>
      <c r="E4294" s="1">
        <v>29.56</v>
      </c>
      <c r="F4294" s="1">
        <v>13676600</v>
      </c>
      <c r="G4294" s="1">
        <v>29.56</v>
      </c>
      <c r="H4294" s="1">
        <f t="shared" si="603"/>
        <v>5.0700000000000038</v>
      </c>
      <c r="I4294" s="9">
        <f t="shared" si="610"/>
        <v>0.17598056230475542</v>
      </c>
      <c r="J4294" s="1">
        <f t="shared" si="611"/>
        <v>-0.44000000000000128</v>
      </c>
      <c r="K4294" s="9">
        <f t="shared" si="604"/>
        <v>-1.466666666666671E-2</v>
      </c>
      <c r="L4294" s="1">
        <f t="shared" si="605"/>
        <v>1</v>
      </c>
      <c r="M4294" s="1">
        <f t="shared" si="606"/>
        <v>33.880000000000003</v>
      </c>
      <c r="N4294" s="1">
        <f t="shared" si="607"/>
        <v>28.81</v>
      </c>
      <c r="O4294" s="1">
        <f t="shared" si="608"/>
        <v>27.599999999999998</v>
      </c>
      <c r="P4294" s="1">
        <f t="shared" si="609"/>
        <v>14.081632653061224</v>
      </c>
    </row>
    <row r="4295" spans="1:16">
      <c r="A4295" s="2">
        <v>36822</v>
      </c>
      <c r="B4295" s="1">
        <v>29.69</v>
      </c>
      <c r="C4295" s="1">
        <v>30.38</v>
      </c>
      <c r="D4295" s="1">
        <v>27.63</v>
      </c>
      <c r="E4295" s="1">
        <v>30</v>
      </c>
      <c r="F4295" s="1">
        <v>10199600</v>
      </c>
      <c r="G4295" s="1">
        <v>30</v>
      </c>
      <c r="H4295" s="1">
        <f t="shared" si="603"/>
        <v>2.75</v>
      </c>
      <c r="I4295" s="9">
        <f t="shared" si="610"/>
        <v>9.9529496923633734E-2</v>
      </c>
      <c r="J4295" s="1">
        <f t="shared" si="611"/>
        <v>-0.80999999999999872</v>
      </c>
      <c r="K4295" s="9">
        <f t="shared" si="604"/>
        <v>-2.629016553067182E-2</v>
      </c>
      <c r="L4295" s="1">
        <f t="shared" si="605"/>
        <v>1</v>
      </c>
      <c r="M4295" s="1">
        <f t="shared" si="606"/>
        <v>30.38</v>
      </c>
      <c r="N4295" s="1">
        <f t="shared" si="607"/>
        <v>27.63</v>
      </c>
      <c r="O4295" s="1">
        <f t="shared" si="608"/>
        <v>28.04</v>
      </c>
      <c r="P4295" s="1">
        <f t="shared" si="609"/>
        <v>14.306122448979592</v>
      </c>
    </row>
    <row r="4296" spans="1:16">
      <c r="A4296" s="2">
        <v>36819</v>
      </c>
      <c r="B4296" s="1">
        <v>27.69</v>
      </c>
      <c r="C4296" s="1">
        <v>31.25</v>
      </c>
      <c r="D4296" s="1">
        <v>27.13</v>
      </c>
      <c r="E4296" s="1">
        <v>30.81</v>
      </c>
      <c r="F4296" s="1">
        <v>11621900</v>
      </c>
      <c r="G4296" s="1">
        <v>30.81</v>
      </c>
      <c r="H4296" s="1">
        <f t="shared" si="603"/>
        <v>4.120000000000001</v>
      </c>
      <c r="I4296" s="9">
        <f t="shared" si="610"/>
        <v>0.15186140803538523</v>
      </c>
      <c r="J4296" s="1">
        <f t="shared" si="611"/>
        <v>3.0599999999999987</v>
      </c>
      <c r="K4296" s="9">
        <f t="shared" si="604"/>
        <v>0.11027027027027023</v>
      </c>
      <c r="L4296" s="1">
        <f t="shared" si="605"/>
        <v>1</v>
      </c>
      <c r="M4296" s="1">
        <f t="shared" si="606"/>
        <v>31.25</v>
      </c>
      <c r="N4296" s="1">
        <f t="shared" si="607"/>
        <v>27.13</v>
      </c>
      <c r="O4296" s="1">
        <f t="shared" si="608"/>
        <v>28.849999999999998</v>
      </c>
      <c r="P4296" s="1">
        <f t="shared" si="609"/>
        <v>14.719387755102041</v>
      </c>
    </row>
    <row r="4297" spans="1:16">
      <c r="A4297" s="2">
        <v>36818</v>
      </c>
      <c r="B4297" s="1">
        <v>26.56</v>
      </c>
      <c r="C4297" s="1">
        <v>28.13</v>
      </c>
      <c r="D4297" s="1">
        <v>24.19</v>
      </c>
      <c r="E4297" s="1">
        <v>27.75</v>
      </c>
      <c r="F4297" s="1">
        <v>10874900</v>
      </c>
      <c r="G4297" s="1">
        <v>27.75</v>
      </c>
      <c r="H4297" s="1">
        <f t="shared" si="603"/>
        <v>3.9399999999999977</v>
      </c>
      <c r="I4297" s="9">
        <f t="shared" si="610"/>
        <v>0.1628772219925588</v>
      </c>
      <c r="J4297" s="1">
        <f t="shared" si="611"/>
        <v>2.620000000000001</v>
      </c>
      <c r="K4297" s="9">
        <f t="shared" si="604"/>
        <v>0.10425785913251098</v>
      </c>
      <c r="L4297" s="1">
        <f t="shared" si="605"/>
        <v>1</v>
      </c>
      <c r="M4297" s="1">
        <f t="shared" si="606"/>
        <v>28.13</v>
      </c>
      <c r="N4297" s="1">
        <f t="shared" si="607"/>
        <v>24.19</v>
      </c>
      <c r="O4297" s="1">
        <f t="shared" si="608"/>
        <v>25.79</v>
      </c>
      <c r="P4297" s="1">
        <f t="shared" si="609"/>
        <v>13.158163265306122</v>
      </c>
    </row>
    <row r="4298" spans="1:16">
      <c r="A4298" s="2">
        <v>36817</v>
      </c>
      <c r="B4298" s="1">
        <v>19.88</v>
      </c>
      <c r="C4298" s="1">
        <v>25.38</v>
      </c>
      <c r="D4298" s="1">
        <v>19.38</v>
      </c>
      <c r="E4298" s="1">
        <v>25.13</v>
      </c>
      <c r="F4298" s="1">
        <v>18788700</v>
      </c>
      <c r="G4298" s="1">
        <v>25.13</v>
      </c>
      <c r="H4298" s="1">
        <f t="shared" si="603"/>
        <v>6</v>
      </c>
      <c r="I4298" s="9">
        <f t="shared" si="610"/>
        <v>0.30959752321981426</v>
      </c>
      <c r="J4298" s="1">
        <f t="shared" si="611"/>
        <v>3.1899999999999977</v>
      </c>
      <c r="K4298" s="9">
        <f t="shared" si="604"/>
        <v>0.14539653600729249</v>
      </c>
      <c r="L4298" s="1">
        <f t="shared" si="605"/>
        <v>1</v>
      </c>
      <c r="M4298" s="1">
        <f t="shared" si="606"/>
        <v>25.38</v>
      </c>
      <c r="N4298" s="1">
        <f t="shared" si="607"/>
        <v>19.38</v>
      </c>
      <c r="O4298" s="1">
        <f t="shared" si="608"/>
        <v>23.169999999999998</v>
      </c>
      <c r="P4298" s="1">
        <f t="shared" si="609"/>
        <v>11.821428571428571</v>
      </c>
    </row>
    <row r="4299" spans="1:16">
      <c r="A4299" s="2">
        <v>36816</v>
      </c>
      <c r="B4299" s="1">
        <v>24.88</v>
      </c>
      <c r="C4299" s="1">
        <v>25.19</v>
      </c>
      <c r="D4299" s="1">
        <v>20.88</v>
      </c>
      <c r="E4299" s="1">
        <v>21.94</v>
      </c>
      <c r="F4299" s="1">
        <v>15140500</v>
      </c>
      <c r="G4299" s="1">
        <v>21.94</v>
      </c>
      <c r="H4299" s="1">
        <f t="shared" si="603"/>
        <v>4.3100000000000023</v>
      </c>
      <c r="I4299" s="9">
        <f t="shared" si="610"/>
        <v>0.20641762452107293</v>
      </c>
      <c r="J4299" s="1">
        <f t="shared" si="611"/>
        <v>-2.3699999999999974</v>
      </c>
      <c r="K4299" s="9">
        <f t="shared" si="604"/>
        <v>-9.7490744549567979E-2</v>
      </c>
      <c r="L4299" s="1">
        <f t="shared" si="605"/>
        <v>1</v>
      </c>
      <c r="M4299" s="1">
        <f t="shared" si="606"/>
        <v>25.19</v>
      </c>
      <c r="N4299" s="1">
        <f t="shared" si="607"/>
        <v>20.88</v>
      </c>
      <c r="O4299" s="1">
        <f t="shared" si="608"/>
        <v>19.98</v>
      </c>
      <c r="P4299" s="1">
        <f t="shared" si="609"/>
        <v>10.193877551020408</v>
      </c>
    </row>
    <row r="4300" spans="1:16">
      <c r="A4300" s="2">
        <v>36815</v>
      </c>
      <c r="B4300" s="1">
        <v>28.13</v>
      </c>
      <c r="C4300" s="1">
        <v>28.31</v>
      </c>
      <c r="D4300" s="1">
        <v>24.13</v>
      </c>
      <c r="E4300" s="1">
        <v>24.31</v>
      </c>
      <c r="F4300" s="1">
        <v>7147700</v>
      </c>
      <c r="G4300" s="1">
        <v>24.31</v>
      </c>
      <c r="H4300" s="1">
        <f t="shared" si="603"/>
        <v>4.18</v>
      </c>
      <c r="I4300" s="9">
        <f t="shared" si="610"/>
        <v>0.17322834645669291</v>
      </c>
      <c r="J4300" s="1">
        <f t="shared" si="611"/>
        <v>-4.1300000000000026</v>
      </c>
      <c r="K4300" s="9">
        <f t="shared" si="604"/>
        <v>-0.14521800281293962</v>
      </c>
      <c r="L4300" s="1">
        <f t="shared" si="605"/>
        <v>1</v>
      </c>
      <c r="M4300" s="1">
        <f t="shared" si="606"/>
        <v>28.31</v>
      </c>
      <c r="N4300" s="1">
        <f t="shared" si="607"/>
        <v>24.13</v>
      </c>
      <c r="O4300" s="1">
        <f t="shared" si="608"/>
        <v>22.349999999999998</v>
      </c>
      <c r="P4300" s="1">
        <f t="shared" si="609"/>
        <v>11.403061224489795</v>
      </c>
    </row>
    <row r="4301" spans="1:16">
      <c r="A4301" s="2">
        <v>36812</v>
      </c>
      <c r="B4301" s="1">
        <v>24.25</v>
      </c>
      <c r="C4301" s="1">
        <v>28.88</v>
      </c>
      <c r="D4301" s="1">
        <v>23.5</v>
      </c>
      <c r="E4301" s="1">
        <v>28.44</v>
      </c>
      <c r="F4301" s="1">
        <v>7633400</v>
      </c>
      <c r="G4301" s="1">
        <v>28.44</v>
      </c>
      <c r="H4301" s="1">
        <f t="shared" si="603"/>
        <v>5.379999999999999</v>
      </c>
      <c r="I4301" s="9">
        <f t="shared" si="610"/>
        <v>0.22893617021276591</v>
      </c>
      <c r="J4301" s="1">
        <f t="shared" si="611"/>
        <v>3.3100000000000023</v>
      </c>
      <c r="K4301" s="9">
        <f t="shared" si="604"/>
        <v>0.13171508157580591</v>
      </c>
      <c r="L4301" s="1">
        <f t="shared" si="605"/>
        <v>1</v>
      </c>
      <c r="M4301" s="1">
        <f t="shared" si="606"/>
        <v>28.88</v>
      </c>
      <c r="N4301" s="1">
        <f t="shared" si="607"/>
        <v>23.5</v>
      </c>
      <c r="O4301" s="1">
        <f t="shared" si="608"/>
        <v>26.48</v>
      </c>
      <c r="P4301" s="1">
        <f t="shared" si="609"/>
        <v>13.510204081632654</v>
      </c>
    </row>
    <row r="4302" spans="1:16">
      <c r="A4302" s="2">
        <v>36811</v>
      </c>
      <c r="B4302" s="1">
        <v>28.38</v>
      </c>
      <c r="C4302" s="1">
        <v>28.81</v>
      </c>
      <c r="D4302" s="1">
        <v>24.63</v>
      </c>
      <c r="E4302" s="1">
        <v>25.13</v>
      </c>
      <c r="F4302" s="1">
        <v>8032600</v>
      </c>
      <c r="G4302" s="1">
        <v>25.13</v>
      </c>
      <c r="H4302" s="1">
        <f t="shared" si="603"/>
        <v>4.18</v>
      </c>
      <c r="I4302" s="9">
        <f t="shared" si="610"/>
        <v>0.16971173365814046</v>
      </c>
      <c r="J4302" s="1">
        <f t="shared" si="611"/>
        <v>-2.6799999999999997</v>
      </c>
      <c r="K4302" s="9">
        <f t="shared" si="604"/>
        <v>-9.6368212873067238E-2</v>
      </c>
      <c r="L4302" s="1">
        <f t="shared" si="605"/>
        <v>1</v>
      </c>
      <c r="M4302" s="1">
        <f t="shared" si="606"/>
        <v>28.81</v>
      </c>
      <c r="N4302" s="1">
        <f t="shared" si="607"/>
        <v>24.63</v>
      </c>
      <c r="O4302" s="1">
        <f t="shared" si="608"/>
        <v>23.169999999999998</v>
      </c>
      <c r="P4302" s="1">
        <f t="shared" si="609"/>
        <v>11.821428571428571</v>
      </c>
    </row>
    <row r="4303" spans="1:16">
      <c r="A4303" s="2">
        <v>36810</v>
      </c>
      <c r="B4303" s="1">
        <v>27.94</v>
      </c>
      <c r="C4303" s="1">
        <v>30.25</v>
      </c>
      <c r="D4303" s="1">
        <v>27.63</v>
      </c>
      <c r="E4303" s="1">
        <v>27.81</v>
      </c>
      <c r="F4303" s="1">
        <v>7889700</v>
      </c>
      <c r="G4303" s="1">
        <v>27.81</v>
      </c>
      <c r="H4303" s="1">
        <f t="shared" si="603"/>
        <v>2.620000000000001</v>
      </c>
      <c r="I4303" s="9">
        <f t="shared" si="610"/>
        <v>9.4824466159971088E-2</v>
      </c>
      <c r="J4303" s="1">
        <f t="shared" si="611"/>
        <v>-2.6300000000000026</v>
      </c>
      <c r="K4303" s="9">
        <f t="shared" si="604"/>
        <v>-8.6399474375821364E-2</v>
      </c>
      <c r="L4303" s="1">
        <f t="shared" si="605"/>
        <v>1</v>
      </c>
      <c r="M4303" s="1">
        <f t="shared" si="606"/>
        <v>30.25</v>
      </c>
      <c r="N4303" s="1">
        <f t="shared" si="607"/>
        <v>27.63</v>
      </c>
      <c r="O4303" s="1">
        <f t="shared" si="608"/>
        <v>25.849999999999998</v>
      </c>
      <c r="P4303" s="1">
        <f t="shared" si="609"/>
        <v>13.188775510204081</v>
      </c>
    </row>
    <row r="4304" spans="1:16">
      <c r="A4304" s="2">
        <v>36809</v>
      </c>
      <c r="B4304" s="1">
        <v>29.75</v>
      </c>
      <c r="C4304" s="1">
        <v>32.72</v>
      </c>
      <c r="D4304" s="1">
        <v>28.88</v>
      </c>
      <c r="E4304" s="1">
        <v>30.44</v>
      </c>
      <c r="F4304" s="1">
        <v>7265500</v>
      </c>
      <c r="G4304" s="1">
        <v>30.44</v>
      </c>
      <c r="H4304" s="1">
        <f t="shared" si="603"/>
        <v>3.84</v>
      </c>
      <c r="I4304" s="9">
        <f t="shared" si="610"/>
        <v>0.1329639889196676</v>
      </c>
      <c r="J4304" s="1">
        <f t="shared" si="611"/>
        <v>0.38000000000000256</v>
      </c>
      <c r="K4304" s="9">
        <f t="shared" si="604"/>
        <v>1.2641383898869015E-2</v>
      </c>
      <c r="L4304" s="1">
        <f t="shared" si="605"/>
        <v>1</v>
      </c>
      <c r="M4304" s="1">
        <f t="shared" si="606"/>
        <v>32.72</v>
      </c>
      <c r="N4304" s="1">
        <f t="shared" si="607"/>
        <v>28.88</v>
      </c>
      <c r="O4304" s="1">
        <f t="shared" si="608"/>
        <v>28.48</v>
      </c>
      <c r="P4304" s="1">
        <f t="shared" si="609"/>
        <v>14.530612244897959</v>
      </c>
    </row>
    <row r="4305" spans="1:16">
      <c r="A4305" s="2">
        <v>36808</v>
      </c>
      <c r="B4305" s="1">
        <v>30.25</v>
      </c>
      <c r="C4305" s="1">
        <v>30.56</v>
      </c>
      <c r="D4305" s="1">
        <v>27.38</v>
      </c>
      <c r="E4305" s="1">
        <v>30.06</v>
      </c>
      <c r="F4305" s="1">
        <v>12727500</v>
      </c>
      <c r="G4305" s="1">
        <v>30.06</v>
      </c>
      <c r="H4305" s="1">
        <f t="shared" si="603"/>
        <v>3.1799999999999997</v>
      </c>
      <c r="I4305" s="9">
        <f t="shared" si="610"/>
        <v>0.11614317019722424</v>
      </c>
      <c r="J4305" s="1">
        <f t="shared" si="611"/>
        <v>-1.5</v>
      </c>
      <c r="K4305" s="9">
        <f t="shared" si="604"/>
        <v>-4.7528517110266164E-2</v>
      </c>
      <c r="L4305" s="1">
        <f t="shared" si="605"/>
        <v>1</v>
      </c>
      <c r="M4305" s="1">
        <f t="shared" si="606"/>
        <v>30.56</v>
      </c>
      <c r="N4305" s="1">
        <f t="shared" si="607"/>
        <v>27.38</v>
      </c>
      <c r="O4305" s="1">
        <f t="shared" si="608"/>
        <v>28.099999999999998</v>
      </c>
      <c r="P4305" s="1">
        <f t="shared" si="609"/>
        <v>14.336734693877551</v>
      </c>
    </row>
    <row r="4306" spans="1:16">
      <c r="A4306" s="2">
        <v>36805</v>
      </c>
      <c r="B4306" s="1">
        <v>32.5</v>
      </c>
      <c r="C4306" s="1">
        <v>33.25</v>
      </c>
      <c r="D4306" s="1">
        <v>30.19</v>
      </c>
      <c r="E4306" s="1">
        <v>31.56</v>
      </c>
      <c r="F4306" s="1">
        <v>8871100</v>
      </c>
      <c r="G4306" s="1">
        <v>31.56</v>
      </c>
      <c r="H4306" s="1">
        <f t="shared" si="603"/>
        <v>3.0599999999999987</v>
      </c>
      <c r="I4306" s="9">
        <f t="shared" si="610"/>
        <v>0.10135806558463062</v>
      </c>
      <c r="J4306" s="1">
        <f t="shared" si="611"/>
        <v>-2.0000000000000036</v>
      </c>
      <c r="K4306" s="9">
        <f t="shared" si="604"/>
        <v>-5.9594755661501887E-2</v>
      </c>
      <c r="L4306" s="1">
        <f t="shared" si="605"/>
        <v>1</v>
      </c>
      <c r="M4306" s="1">
        <f t="shared" si="606"/>
        <v>33.25</v>
      </c>
      <c r="N4306" s="1">
        <f t="shared" si="607"/>
        <v>30.19</v>
      </c>
      <c r="O4306" s="1">
        <f t="shared" si="608"/>
        <v>29.599999999999998</v>
      </c>
      <c r="P4306" s="1">
        <f t="shared" si="609"/>
        <v>15.102040816326531</v>
      </c>
    </row>
    <row r="4307" spans="1:16">
      <c r="A4307" s="2">
        <v>36804</v>
      </c>
      <c r="B4307" s="1">
        <v>35.19</v>
      </c>
      <c r="C4307" s="1">
        <v>36.630000000000003</v>
      </c>
      <c r="D4307" s="1">
        <v>32</v>
      </c>
      <c r="E4307" s="1">
        <v>33.56</v>
      </c>
      <c r="F4307" s="1">
        <v>6966300</v>
      </c>
      <c r="G4307" s="1">
        <v>33.56</v>
      </c>
      <c r="H4307" s="1">
        <f t="shared" si="603"/>
        <v>4.6300000000000026</v>
      </c>
      <c r="I4307" s="9">
        <f t="shared" si="610"/>
        <v>0.14468750000000008</v>
      </c>
      <c r="J4307" s="1">
        <f t="shared" si="611"/>
        <v>-2.4399999999999977</v>
      </c>
      <c r="K4307" s="9">
        <f t="shared" si="604"/>
        <v>-6.7777777777777715E-2</v>
      </c>
      <c r="L4307" s="1">
        <f t="shared" si="605"/>
        <v>1</v>
      </c>
      <c r="M4307" s="1">
        <f t="shared" si="606"/>
        <v>36.630000000000003</v>
      </c>
      <c r="N4307" s="1">
        <f t="shared" si="607"/>
        <v>32</v>
      </c>
      <c r="O4307" s="1">
        <f t="shared" si="608"/>
        <v>31.6</v>
      </c>
      <c r="P4307" s="1">
        <f t="shared" si="609"/>
        <v>16.122448979591837</v>
      </c>
    </row>
    <row r="4308" spans="1:16">
      <c r="A4308" s="2">
        <v>36803</v>
      </c>
      <c r="B4308" s="1">
        <v>33.44</v>
      </c>
      <c r="C4308" s="1">
        <v>37.06</v>
      </c>
      <c r="D4308" s="1">
        <v>32.5</v>
      </c>
      <c r="E4308" s="1">
        <v>36</v>
      </c>
      <c r="F4308" s="1">
        <v>7841100</v>
      </c>
      <c r="G4308" s="1">
        <v>36</v>
      </c>
      <c r="H4308" s="1">
        <f t="shared" si="603"/>
        <v>4.5600000000000023</v>
      </c>
      <c r="I4308" s="9">
        <f t="shared" si="610"/>
        <v>0.14030769230769238</v>
      </c>
      <c r="J4308" s="1">
        <f t="shared" si="611"/>
        <v>0.93999999999999773</v>
      </c>
      <c r="K4308" s="9">
        <f t="shared" si="604"/>
        <v>2.6811180832857891E-2</v>
      </c>
      <c r="L4308" s="1">
        <f t="shared" si="605"/>
        <v>1</v>
      </c>
      <c r="M4308" s="1">
        <f t="shared" si="606"/>
        <v>37.06</v>
      </c>
      <c r="N4308" s="1">
        <f t="shared" si="607"/>
        <v>32.5</v>
      </c>
      <c r="O4308" s="1">
        <f t="shared" si="608"/>
        <v>34.04</v>
      </c>
      <c r="P4308" s="1">
        <f t="shared" si="609"/>
        <v>17.367346938775508</v>
      </c>
    </row>
    <row r="4309" spans="1:16">
      <c r="A4309" s="2">
        <v>36802</v>
      </c>
      <c r="B4309" s="1">
        <v>36.75</v>
      </c>
      <c r="C4309" s="1">
        <v>37.25</v>
      </c>
      <c r="D4309" s="1">
        <v>35</v>
      </c>
      <c r="E4309" s="1">
        <v>35.06</v>
      </c>
      <c r="F4309" s="1">
        <v>5379900</v>
      </c>
      <c r="G4309" s="1">
        <v>35.06</v>
      </c>
      <c r="H4309" s="1">
        <f t="shared" si="603"/>
        <v>2.25</v>
      </c>
      <c r="I4309" s="9">
        <f t="shared" si="610"/>
        <v>6.4285714285714279E-2</v>
      </c>
      <c r="J4309" s="1">
        <f t="shared" si="611"/>
        <v>-0.82000000000000028</v>
      </c>
      <c r="K4309" s="9">
        <f t="shared" si="604"/>
        <v>-2.2853957636566339E-2</v>
      </c>
      <c r="L4309" s="1">
        <f t="shared" si="605"/>
        <v>1</v>
      </c>
      <c r="M4309" s="1">
        <f t="shared" si="606"/>
        <v>37.25</v>
      </c>
      <c r="N4309" s="1">
        <f t="shared" si="607"/>
        <v>35</v>
      </c>
      <c r="O4309" s="1">
        <f t="shared" si="608"/>
        <v>33.1</v>
      </c>
      <c r="P4309" s="1">
        <f t="shared" si="609"/>
        <v>16.887755102040817</v>
      </c>
    </row>
    <row r="4310" spans="1:16">
      <c r="A4310" s="2">
        <v>36801</v>
      </c>
      <c r="B4310" s="1">
        <v>38.19</v>
      </c>
      <c r="C4310" s="1">
        <v>38.44</v>
      </c>
      <c r="D4310" s="1">
        <v>35.25</v>
      </c>
      <c r="E4310" s="1">
        <v>35.880000000000003</v>
      </c>
      <c r="F4310" s="1">
        <v>5477700</v>
      </c>
      <c r="G4310" s="1">
        <v>35.880000000000003</v>
      </c>
      <c r="H4310" s="1">
        <f t="shared" si="603"/>
        <v>3.1899999999999977</v>
      </c>
      <c r="I4310" s="9">
        <f t="shared" si="610"/>
        <v>9.0496453900709151E-2</v>
      </c>
      <c r="J4310" s="1">
        <f t="shared" si="611"/>
        <v>-2.5599999999999952</v>
      </c>
      <c r="K4310" s="9">
        <f t="shared" si="604"/>
        <v>-6.6597294484911432E-2</v>
      </c>
      <c r="L4310" s="1">
        <f t="shared" si="605"/>
        <v>1</v>
      </c>
      <c r="M4310" s="1">
        <f t="shared" si="606"/>
        <v>38.44</v>
      </c>
      <c r="N4310" s="1">
        <f t="shared" si="607"/>
        <v>35.25</v>
      </c>
      <c r="O4310" s="1">
        <f t="shared" si="608"/>
        <v>33.92</v>
      </c>
      <c r="P4310" s="1">
        <f t="shared" si="609"/>
        <v>17.306122448979593</v>
      </c>
    </row>
    <row r="4311" spans="1:16">
      <c r="A4311" s="2">
        <v>36798</v>
      </c>
      <c r="B4311" s="1">
        <v>39</v>
      </c>
      <c r="C4311" s="1">
        <v>41.25</v>
      </c>
      <c r="D4311" s="1">
        <v>37.630000000000003</v>
      </c>
      <c r="E4311" s="1">
        <v>38.44</v>
      </c>
      <c r="F4311" s="1">
        <v>6517100</v>
      </c>
      <c r="G4311" s="1">
        <v>38.44</v>
      </c>
      <c r="H4311" s="1">
        <f t="shared" si="603"/>
        <v>3.6199999999999974</v>
      </c>
      <c r="I4311" s="9">
        <f t="shared" si="610"/>
        <v>9.6199840552750396E-2</v>
      </c>
      <c r="J4311" s="1">
        <f t="shared" si="611"/>
        <v>-1.5600000000000023</v>
      </c>
      <c r="K4311" s="9">
        <f t="shared" si="604"/>
        <v>-3.9000000000000055E-2</v>
      </c>
      <c r="L4311" s="1">
        <f t="shared" si="605"/>
        <v>1</v>
      </c>
      <c r="M4311" s="1">
        <f t="shared" si="606"/>
        <v>41.25</v>
      </c>
      <c r="N4311" s="1">
        <f t="shared" si="607"/>
        <v>37.630000000000003</v>
      </c>
      <c r="O4311" s="1">
        <f t="shared" si="608"/>
        <v>36.479999999999997</v>
      </c>
      <c r="P4311" s="1">
        <f t="shared" si="609"/>
        <v>18.612244897959183</v>
      </c>
    </row>
    <row r="4312" spans="1:16">
      <c r="A4312" s="2">
        <v>36797</v>
      </c>
      <c r="B4312" s="1">
        <v>37.31</v>
      </c>
      <c r="C4312" s="1">
        <v>40.25</v>
      </c>
      <c r="D4312" s="1">
        <v>37.130000000000003</v>
      </c>
      <c r="E4312" s="1">
        <v>40</v>
      </c>
      <c r="F4312" s="1">
        <v>5857900</v>
      </c>
      <c r="G4312" s="1">
        <v>40</v>
      </c>
      <c r="H4312" s="1">
        <f t="shared" si="603"/>
        <v>3.1199999999999974</v>
      </c>
      <c r="I4312" s="9">
        <f t="shared" si="610"/>
        <v>8.4029086991650875E-2</v>
      </c>
      <c r="J4312" s="1">
        <f t="shared" si="611"/>
        <v>2.1199999999999974</v>
      </c>
      <c r="K4312" s="9">
        <f t="shared" si="604"/>
        <v>5.596620908130933E-2</v>
      </c>
      <c r="L4312" s="1">
        <f t="shared" si="605"/>
        <v>1</v>
      </c>
      <c r="M4312" s="1">
        <f t="shared" si="606"/>
        <v>40.25</v>
      </c>
      <c r="N4312" s="1">
        <f t="shared" si="607"/>
        <v>37.130000000000003</v>
      </c>
      <c r="O4312" s="1">
        <f t="shared" si="608"/>
        <v>38.04</v>
      </c>
      <c r="P4312" s="1">
        <f t="shared" si="609"/>
        <v>19.408163265306122</v>
      </c>
    </row>
    <row r="4313" spans="1:16">
      <c r="A4313" s="2">
        <v>36796</v>
      </c>
      <c r="B4313" s="1">
        <v>38.69</v>
      </c>
      <c r="C4313" s="1">
        <v>39.630000000000003</v>
      </c>
      <c r="D4313" s="1">
        <v>35.5</v>
      </c>
      <c r="E4313" s="1">
        <v>37.880000000000003</v>
      </c>
      <c r="F4313" s="1">
        <v>10030900</v>
      </c>
      <c r="G4313" s="1">
        <v>37.880000000000003</v>
      </c>
      <c r="H4313" s="1">
        <f t="shared" si="603"/>
        <v>4.1300000000000026</v>
      </c>
      <c r="I4313" s="9">
        <f t="shared" si="610"/>
        <v>0.11633802816901416</v>
      </c>
      <c r="J4313" s="1">
        <f t="shared" si="611"/>
        <v>-1.8699999999999974</v>
      </c>
      <c r="K4313" s="9">
        <f t="shared" si="604"/>
        <v>-4.704402515723264E-2</v>
      </c>
      <c r="L4313" s="1">
        <f t="shared" si="605"/>
        <v>1</v>
      </c>
      <c r="M4313" s="1">
        <f t="shared" si="606"/>
        <v>39.630000000000003</v>
      </c>
      <c r="N4313" s="1">
        <f t="shared" si="607"/>
        <v>35.5</v>
      </c>
      <c r="O4313" s="1">
        <f t="shared" si="608"/>
        <v>35.92</v>
      </c>
      <c r="P4313" s="1">
        <f t="shared" si="609"/>
        <v>18.326530612244898</v>
      </c>
    </row>
    <row r="4314" spans="1:16">
      <c r="A4314" s="2">
        <v>36795</v>
      </c>
      <c r="B4314" s="1">
        <v>40.630000000000003</v>
      </c>
      <c r="C4314" s="1">
        <v>41.13</v>
      </c>
      <c r="D4314" s="1">
        <v>39.56</v>
      </c>
      <c r="E4314" s="1">
        <v>39.75</v>
      </c>
      <c r="F4314" s="1">
        <v>4260400</v>
      </c>
      <c r="G4314" s="1">
        <v>39.75</v>
      </c>
      <c r="H4314" s="1">
        <f t="shared" si="603"/>
        <v>1.5700000000000003</v>
      </c>
      <c r="I4314" s="9">
        <f t="shared" si="610"/>
        <v>3.9686552072800814E-2</v>
      </c>
      <c r="J4314" s="1">
        <f t="shared" si="611"/>
        <v>-0.63000000000000256</v>
      </c>
      <c r="K4314" s="9">
        <f t="shared" si="604"/>
        <v>-1.5601783060921311E-2</v>
      </c>
      <c r="L4314" s="1">
        <f t="shared" si="605"/>
        <v>1</v>
      </c>
      <c r="M4314" s="1">
        <f t="shared" si="606"/>
        <v>41.13</v>
      </c>
      <c r="N4314" s="1">
        <f t="shared" si="607"/>
        <v>39.56</v>
      </c>
      <c r="O4314" s="1">
        <f t="shared" si="608"/>
        <v>37.79</v>
      </c>
      <c r="P4314" s="1">
        <f t="shared" si="609"/>
        <v>19.280612244897959</v>
      </c>
    </row>
    <row r="4315" spans="1:16">
      <c r="A4315" s="2">
        <v>36794</v>
      </c>
      <c r="B4315" s="1">
        <v>41.22</v>
      </c>
      <c r="C4315" s="1">
        <v>42.56</v>
      </c>
      <c r="D4315" s="1">
        <v>40</v>
      </c>
      <c r="E4315" s="1">
        <v>40.380000000000003</v>
      </c>
      <c r="F4315" s="1">
        <v>5459900</v>
      </c>
      <c r="G4315" s="1">
        <v>40.380000000000003</v>
      </c>
      <c r="H4315" s="1">
        <f t="shared" si="603"/>
        <v>2.5600000000000023</v>
      </c>
      <c r="I4315" s="9">
        <f t="shared" si="610"/>
        <v>6.4000000000000057E-2</v>
      </c>
      <c r="J4315" s="1">
        <f t="shared" si="611"/>
        <v>-1.0599999999999952</v>
      </c>
      <c r="K4315" s="9">
        <f t="shared" si="604"/>
        <v>-2.5579150579150466E-2</v>
      </c>
      <c r="L4315" s="1">
        <f t="shared" si="605"/>
        <v>1</v>
      </c>
      <c r="M4315" s="1">
        <f t="shared" si="606"/>
        <v>42.56</v>
      </c>
      <c r="N4315" s="1">
        <f t="shared" si="607"/>
        <v>40</v>
      </c>
      <c r="O4315" s="1">
        <f t="shared" si="608"/>
        <v>38.42</v>
      </c>
      <c r="P4315" s="1">
        <f t="shared" si="609"/>
        <v>19.602040816326532</v>
      </c>
    </row>
    <row r="4316" spans="1:16">
      <c r="A4316" s="2">
        <v>36791</v>
      </c>
      <c r="B4316" s="1">
        <v>38.380000000000003</v>
      </c>
      <c r="C4316" s="1">
        <v>42.13</v>
      </c>
      <c r="D4316" s="1">
        <v>38.31</v>
      </c>
      <c r="E4316" s="1">
        <v>41.44</v>
      </c>
      <c r="F4316" s="1">
        <v>5996200</v>
      </c>
      <c r="G4316" s="1">
        <v>41.44</v>
      </c>
      <c r="H4316" s="1">
        <f t="shared" si="603"/>
        <v>3.8200000000000003</v>
      </c>
      <c r="I4316" s="9">
        <f t="shared" si="610"/>
        <v>9.9712868702688598E-2</v>
      </c>
      <c r="J4316" s="1">
        <f t="shared" si="611"/>
        <v>1.3799999999999955</v>
      </c>
      <c r="K4316" s="9">
        <f t="shared" si="604"/>
        <v>3.4448327508736776E-2</v>
      </c>
      <c r="L4316" s="1">
        <f t="shared" si="605"/>
        <v>1</v>
      </c>
      <c r="M4316" s="1">
        <f t="shared" si="606"/>
        <v>42.13</v>
      </c>
      <c r="N4316" s="1">
        <f t="shared" si="607"/>
        <v>38.31</v>
      </c>
      <c r="O4316" s="1">
        <f t="shared" si="608"/>
        <v>39.479999999999997</v>
      </c>
      <c r="P4316" s="1">
        <f t="shared" si="609"/>
        <v>20.142857142857142</v>
      </c>
    </row>
    <row r="4317" spans="1:16">
      <c r="A4317" s="2">
        <v>36790</v>
      </c>
      <c r="B4317" s="1">
        <v>37.44</v>
      </c>
      <c r="C4317" s="1">
        <v>40.5</v>
      </c>
      <c r="D4317" s="1">
        <v>37.25</v>
      </c>
      <c r="E4317" s="1">
        <v>40.06</v>
      </c>
      <c r="F4317" s="1">
        <v>7425600</v>
      </c>
      <c r="G4317" s="1">
        <v>40.06</v>
      </c>
      <c r="H4317" s="1">
        <f t="shared" si="603"/>
        <v>3.25</v>
      </c>
      <c r="I4317" s="9">
        <f t="shared" si="610"/>
        <v>8.7248322147651006E-2</v>
      </c>
      <c r="J4317" s="1">
        <f t="shared" si="611"/>
        <v>2.5600000000000023</v>
      </c>
      <c r="K4317" s="9">
        <f t="shared" si="604"/>
        <v>6.8266666666666725E-2</v>
      </c>
      <c r="L4317" s="1">
        <f t="shared" si="605"/>
        <v>1</v>
      </c>
      <c r="M4317" s="1">
        <f t="shared" si="606"/>
        <v>40.5</v>
      </c>
      <c r="N4317" s="1">
        <f t="shared" si="607"/>
        <v>37.25</v>
      </c>
      <c r="O4317" s="1">
        <f t="shared" si="608"/>
        <v>38.1</v>
      </c>
      <c r="P4317" s="1">
        <f t="shared" si="609"/>
        <v>19.438775510204081</v>
      </c>
    </row>
    <row r="4318" spans="1:16">
      <c r="A4318" s="2">
        <v>36789</v>
      </c>
      <c r="B4318" s="1">
        <v>40.44</v>
      </c>
      <c r="C4318" s="1">
        <v>40.5</v>
      </c>
      <c r="D4318" s="1">
        <v>37.380000000000003</v>
      </c>
      <c r="E4318" s="1">
        <v>37.5</v>
      </c>
      <c r="F4318" s="1">
        <v>9744800</v>
      </c>
      <c r="G4318" s="1">
        <v>37.5</v>
      </c>
      <c r="H4318" s="1">
        <f t="shared" si="603"/>
        <v>3.1199999999999974</v>
      </c>
      <c r="I4318" s="9">
        <f t="shared" si="610"/>
        <v>8.346709470304968E-2</v>
      </c>
      <c r="J4318" s="1">
        <f t="shared" si="611"/>
        <v>-3.25</v>
      </c>
      <c r="K4318" s="9">
        <f t="shared" si="604"/>
        <v>-7.9754601226993863E-2</v>
      </c>
      <c r="L4318" s="1">
        <f t="shared" si="605"/>
        <v>1</v>
      </c>
      <c r="M4318" s="1">
        <f t="shared" si="606"/>
        <v>40.5</v>
      </c>
      <c r="N4318" s="1">
        <f t="shared" si="607"/>
        <v>37.380000000000003</v>
      </c>
      <c r="O4318" s="1">
        <f t="shared" si="608"/>
        <v>35.54</v>
      </c>
      <c r="P4318" s="1">
        <f t="shared" si="609"/>
        <v>18.132653061224488</v>
      </c>
    </row>
    <row r="4319" spans="1:16">
      <c r="A4319" s="2">
        <v>36788</v>
      </c>
      <c r="B4319" s="1">
        <v>42.06</v>
      </c>
      <c r="C4319" s="1">
        <v>42.75</v>
      </c>
      <c r="D4319" s="1">
        <v>39.130000000000003</v>
      </c>
      <c r="E4319" s="1">
        <v>40.75</v>
      </c>
      <c r="F4319" s="1">
        <v>7230800</v>
      </c>
      <c r="G4319" s="1">
        <v>40.75</v>
      </c>
      <c r="H4319" s="1">
        <f t="shared" si="603"/>
        <v>3.6199999999999974</v>
      </c>
      <c r="I4319" s="9">
        <f t="shared" si="610"/>
        <v>9.2512139023766857E-2</v>
      </c>
      <c r="J4319" s="1">
        <f t="shared" si="611"/>
        <v>-2.0600000000000023</v>
      </c>
      <c r="K4319" s="9">
        <f t="shared" si="604"/>
        <v>-4.81195982247139E-2</v>
      </c>
      <c r="L4319" s="1">
        <f t="shared" si="605"/>
        <v>1</v>
      </c>
      <c r="M4319" s="1">
        <f t="shared" si="606"/>
        <v>42.75</v>
      </c>
      <c r="N4319" s="1">
        <f t="shared" si="607"/>
        <v>39.130000000000003</v>
      </c>
      <c r="O4319" s="1">
        <f t="shared" si="608"/>
        <v>38.79</v>
      </c>
      <c r="P4319" s="1">
        <f t="shared" si="609"/>
        <v>19.790816326530614</v>
      </c>
    </row>
    <row r="4320" spans="1:16">
      <c r="A4320" s="2">
        <v>36787</v>
      </c>
      <c r="B4320" s="1">
        <v>43.5</v>
      </c>
      <c r="C4320" s="1">
        <v>44.63</v>
      </c>
      <c r="D4320" s="1">
        <v>41.88</v>
      </c>
      <c r="E4320" s="1">
        <v>42.81</v>
      </c>
      <c r="F4320" s="1">
        <v>4445200</v>
      </c>
      <c r="G4320" s="1">
        <v>42.81</v>
      </c>
      <c r="H4320" s="1">
        <f t="shared" si="603"/>
        <v>2.75</v>
      </c>
      <c r="I4320" s="9">
        <f t="shared" si="610"/>
        <v>6.5663801337153771E-2</v>
      </c>
      <c r="J4320" s="1">
        <f t="shared" si="611"/>
        <v>-0.82000000000000028</v>
      </c>
      <c r="K4320" s="9">
        <f t="shared" si="604"/>
        <v>-1.8794407517763012E-2</v>
      </c>
      <c r="L4320" s="1">
        <f t="shared" si="605"/>
        <v>1</v>
      </c>
      <c r="M4320" s="1">
        <f t="shared" si="606"/>
        <v>44.63</v>
      </c>
      <c r="N4320" s="1">
        <f t="shared" si="607"/>
        <v>41.88</v>
      </c>
      <c r="O4320" s="1">
        <f t="shared" si="608"/>
        <v>40.85</v>
      </c>
      <c r="P4320" s="1">
        <f t="shared" si="609"/>
        <v>20.841836734693878</v>
      </c>
    </row>
    <row r="4321" spans="1:16">
      <c r="A4321" s="2">
        <v>36784</v>
      </c>
      <c r="B4321" s="1">
        <v>45.38</v>
      </c>
      <c r="C4321" s="1">
        <v>45.44</v>
      </c>
      <c r="D4321" s="1">
        <v>42.88</v>
      </c>
      <c r="E4321" s="1">
        <v>43.63</v>
      </c>
      <c r="F4321" s="1">
        <v>6180200</v>
      </c>
      <c r="G4321" s="1">
        <v>43.63</v>
      </c>
      <c r="H4321" s="1">
        <f t="shared" si="603"/>
        <v>2.5599999999999952</v>
      </c>
      <c r="I4321" s="9">
        <f t="shared" si="610"/>
        <v>5.9701492537313314E-2</v>
      </c>
      <c r="J4321" s="1">
        <f t="shared" si="611"/>
        <v>-1.25</v>
      </c>
      <c r="K4321" s="9">
        <f t="shared" si="604"/>
        <v>-2.7852049910873439E-2</v>
      </c>
      <c r="L4321" s="1">
        <f t="shared" si="605"/>
        <v>1</v>
      </c>
      <c r="M4321" s="1">
        <f t="shared" si="606"/>
        <v>45.44</v>
      </c>
      <c r="N4321" s="1">
        <f t="shared" si="607"/>
        <v>42.88</v>
      </c>
      <c r="O4321" s="1">
        <f t="shared" si="608"/>
        <v>41.67</v>
      </c>
      <c r="P4321" s="1">
        <f t="shared" si="609"/>
        <v>21.260204081632654</v>
      </c>
    </row>
    <row r="4322" spans="1:16">
      <c r="A4322" s="2">
        <v>36783</v>
      </c>
      <c r="B4322" s="1">
        <v>44.19</v>
      </c>
      <c r="C4322" s="1">
        <v>46</v>
      </c>
      <c r="D4322" s="1">
        <v>43.75</v>
      </c>
      <c r="E4322" s="1">
        <v>44.88</v>
      </c>
      <c r="F4322" s="1">
        <v>6963500</v>
      </c>
      <c r="G4322" s="1">
        <v>44.88</v>
      </c>
      <c r="H4322" s="1">
        <f t="shared" si="603"/>
        <v>2.25</v>
      </c>
      <c r="I4322" s="9">
        <f t="shared" si="610"/>
        <v>5.1428571428571428E-2</v>
      </c>
      <c r="J4322" s="1">
        <f t="shared" si="611"/>
        <v>2.4400000000000048</v>
      </c>
      <c r="K4322" s="9">
        <f t="shared" si="604"/>
        <v>5.7492931196984093E-2</v>
      </c>
      <c r="L4322" s="1">
        <f t="shared" si="605"/>
        <v>1</v>
      </c>
      <c r="M4322" s="1">
        <f t="shared" si="606"/>
        <v>46</v>
      </c>
      <c r="N4322" s="1">
        <f t="shared" si="607"/>
        <v>43.75</v>
      </c>
      <c r="O4322" s="1">
        <f t="shared" si="608"/>
        <v>42.92</v>
      </c>
      <c r="P4322" s="1">
        <f t="shared" si="609"/>
        <v>21.897959183673471</v>
      </c>
    </row>
    <row r="4323" spans="1:16">
      <c r="A4323" s="2">
        <v>36782</v>
      </c>
      <c r="B4323" s="1">
        <v>41.31</v>
      </c>
      <c r="C4323" s="1">
        <v>43.13</v>
      </c>
      <c r="D4323" s="1">
        <v>41</v>
      </c>
      <c r="E4323" s="1">
        <v>42.44</v>
      </c>
      <c r="F4323" s="1">
        <v>4085000</v>
      </c>
      <c r="G4323" s="1">
        <v>42.44</v>
      </c>
      <c r="H4323" s="1">
        <f t="shared" si="603"/>
        <v>2.1300000000000026</v>
      </c>
      <c r="I4323" s="9">
        <f t="shared" si="610"/>
        <v>5.1951219512195182E-2</v>
      </c>
      <c r="J4323" s="1">
        <f t="shared" si="611"/>
        <v>-0.25</v>
      </c>
      <c r="K4323" s="9">
        <f t="shared" si="604"/>
        <v>-5.8561724057156249E-3</v>
      </c>
      <c r="L4323" s="1">
        <f t="shared" si="605"/>
        <v>1</v>
      </c>
      <c r="M4323" s="1">
        <f t="shared" si="606"/>
        <v>43.13</v>
      </c>
      <c r="N4323" s="1">
        <f t="shared" si="607"/>
        <v>41</v>
      </c>
      <c r="O4323" s="1">
        <f t="shared" si="608"/>
        <v>40.479999999999997</v>
      </c>
      <c r="P4323" s="1">
        <f t="shared" si="609"/>
        <v>20.653061224489793</v>
      </c>
    </row>
    <row r="4324" spans="1:16">
      <c r="A4324" s="2">
        <v>36781</v>
      </c>
      <c r="B4324" s="1">
        <v>43.38</v>
      </c>
      <c r="C4324" s="1">
        <v>44.19</v>
      </c>
      <c r="D4324" s="1">
        <v>42.25</v>
      </c>
      <c r="E4324" s="1">
        <v>42.69</v>
      </c>
      <c r="F4324" s="1">
        <v>3821500</v>
      </c>
      <c r="G4324" s="1">
        <v>42.69</v>
      </c>
      <c r="H4324" s="1">
        <f t="shared" si="603"/>
        <v>1.9399999999999977</v>
      </c>
      <c r="I4324" s="9">
        <f t="shared" si="610"/>
        <v>4.5917159763313557E-2</v>
      </c>
      <c r="J4324" s="1">
        <f t="shared" si="611"/>
        <v>0.30999999999999517</v>
      </c>
      <c r="K4324" s="9">
        <f t="shared" si="604"/>
        <v>7.3147711184519855E-3</v>
      </c>
      <c r="L4324" s="1">
        <f t="shared" si="605"/>
        <v>1</v>
      </c>
      <c r="M4324" s="1">
        <f t="shared" si="606"/>
        <v>44.19</v>
      </c>
      <c r="N4324" s="1">
        <f t="shared" si="607"/>
        <v>42.25</v>
      </c>
      <c r="O4324" s="1">
        <f t="shared" si="608"/>
        <v>40.729999999999997</v>
      </c>
      <c r="P4324" s="1">
        <f t="shared" si="609"/>
        <v>20.780612244897959</v>
      </c>
    </row>
    <row r="4325" spans="1:16">
      <c r="A4325" s="2">
        <v>36780</v>
      </c>
      <c r="B4325" s="1">
        <v>42.63</v>
      </c>
      <c r="C4325" s="1">
        <v>45.22</v>
      </c>
      <c r="D4325" s="1">
        <v>42.19</v>
      </c>
      <c r="E4325" s="1">
        <v>42.38</v>
      </c>
      <c r="F4325" s="1">
        <v>5447100</v>
      </c>
      <c r="G4325" s="1">
        <v>42.38</v>
      </c>
      <c r="H4325" s="1">
        <f t="shared" si="603"/>
        <v>3.0300000000000011</v>
      </c>
      <c r="I4325" s="9">
        <f t="shared" si="610"/>
        <v>7.1817966342735282E-2</v>
      </c>
      <c r="J4325" s="1">
        <f t="shared" si="611"/>
        <v>-0.55999999999999517</v>
      </c>
      <c r="K4325" s="9">
        <f t="shared" si="604"/>
        <v>-1.3041453190498258E-2</v>
      </c>
      <c r="L4325" s="1">
        <f t="shared" si="605"/>
        <v>1</v>
      </c>
      <c r="M4325" s="1">
        <f t="shared" si="606"/>
        <v>45.22</v>
      </c>
      <c r="N4325" s="1">
        <f t="shared" si="607"/>
        <v>42.19</v>
      </c>
      <c r="O4325" s="1">
        <f t="shared" si="608"/>
        <v>40.42</v>
      </c>
      <c r="P4325" s="1">
        <f t="shared" si="609"/>
        <v>20.622448979591837</v>
      </c>
    </row>
    <row r="4326" spans="1:16">
      <c r="A4326" s="2">
        <v>36777</v>
      </c>
      <c r="B4326" s="1">
        <v>44.06</v>
      </c>
      <c r="C4326" s="1">
        <v>45</v>
      </c>
      <c r="D4326" s="1">
        <v>42.5</v>
      </c>
      <c r="E4326" s="1">
        <v>42.94</v>
      </c>
      <c r="F4326" s="1">
        <v>5088900</v>
      </c>
      <c r="G4326" s="1">
        <v>42.94</v>
      </c>
      <c r="H4326" s="1">
        <f t="shared" si="603"/>
        <v>2.5</v>
      </c>
      <c r="I4326" s="9">
        <f t="shared" si="610"/>
        <v>5.8823529411764705E-2</v>
      </c>
      <c r="J4326" s="1">
        <f t="shared" si="611"/>
        <v>-0.56000000000000227</v>
      </c>
      <c r="K4326" s="9">
        <f t="shared" si="604"/>
        <v>-1.2873563218390857E-2</v>
      </c>
      <c r="L4326" s="1">
        <f t="shared" si="605"/>
        <v>1</v>
      </c>
      <c r="M4326" s="1">
        <f t="shared" si="606"/>
        <v>45</v>
      </c>
      <c r="N4326" s="1">
        <f t="shared" si="607"/>
        <v>42.5</v>
      </c>
      <c r="O4326" s="1">
        <f t="shared" si="608"/>
        <v>40.98</v>
      </c>
      <c r="P4326" s="1">
        <f t="shared" si="609"/>
        <v>20.908163265306122</v>
      </c>
    </row>
    <row r="4327" spans="1:16">
      <c r="A4327" s="2">
        <v>36776</v>
      </c>
      <c r="B4327" s="1">
        <v>46.81</v>
      </c>
      <c r="C4327" s="1">
        <v>47</v>
      </c>
      <c r="D4327" s="1">
        <v>43</v>
      </c>
      <c r="E4327" s="1">
        <v>43.5</v>
      </c>
      <c r="F4327" s="1">
        <v>7406200</v>
      </c>
      <c r="G4327" s="1">
        <v>43.5</v>
      </c>
      <c r="H4327" s="1">
        <f t="shared" si="603"/>
        <v>4</v>
      </c>
      <c r="I4327" s="9">
        <f t="shared" si="610"/>
        <v>9.3023255813953487E-2</v>
      </c>
      <c r="J4327" s="1">
        <f t="shared" si="611"/>
        <v>-2.3800000000000026</v>
      </c>
      <c r="K4327" s="9">
        <f t="shared" si="604"/>
        <v>-5.1874455100261604E-2</v>
      </c>
      <c r="L4327" s="1">
        <f t="shared" si="605"/>
        <v>1</v>
      </c>
      <c r="M4327" s="1">
        <f t="shared" si="606"/>
        <v>47</v>
      </c>
      <c r="N4327" s="1">
        <f t="shared" si="607"/>
        <v>43</v>
      </c>
      <c r="O4327" s="1">
        <f t="shared" si="608"/>
        <v>41.54</v>
      </c>
      <c r="P4327" s="1">
        <f t="shared" si="609"/>
        <v>21.193877551020407</v>
      </c>
    </row>
    <row r="4328" spans="1:16">
      <c r="A4328" s="2">
        <v>36775</v>
      </c>
      <c r="B4328" s="1">
        <v>47.25</v>
      </c>
      <c r="C4328" s="1">
        <v>49.63</v>
      </c>
      <c r="D4328" s="1">
        <v>45.69</v>
      </c>
      <c r="E4328" s="1">
        <v>45.88</v>
      </c>
      <c r="F4328" s="1">
        <v>14263200</v>
      </c>
      <c r="G4328" s="1">
        <v>45.88</v>
      </c>
      <c r="H4328" s="1">
        <f t="shared" si="603"/>
        <v>3.9400000000000048</v>
      </c>
      <c r="I4328" s="9">
        <f t="shared" si="610"/>
        <v>8.6233311446706179E-2</v>
      </c>
      <c r="J4328" s="1">
        <f t="shared" si="611"/>
        <v>0.19000000000000483</v>
      </c>
      <c r="K4328" s="9">
        <f t="shared" si="604"/>
        <v>4.1584591814402463E-3</v>
      </c>
      <c r="L4328" s="1">
        <f t="shared" si="605"/>
        <v>1</v>
      </c>
      <c r="M4328" s="1">
        <f t="shared" si="606"/>
        <v>49.63</v>
      </c>
      <c r="N4328" s="1">
        <f t="shared" si="607"/>
        <v>45.69</v>
      </c>
      <c r="O4328" s="1">
        <f t="shared" si="608"/>
        <v>43.92</v>
      </c>
      <c r="P4328" s="1">
        <f t="shared" si="609"/>
        <v>22.408163265306122</v>
      </c>
    </row>
    <row r="4329" spans="1:16">
      <c r="A4329" s="2">
        <v>36774</v>
      </c>
      <c r="B4329" s="1">
        <v>40.94</v>
      </c>
      <c r="C4329" s="1">
        <v>46.31</v>
      </c>
      <c r="D4329" s="1">
        <v>40.25</v>
      </c>
      <c r="E4329" s="1">
        <v>45.69</v>
      </c>
      <c r="F4329" s="1">
        <v>10168200</v>
      </c>
      <c r="G4329" s="1">
        <v>45.69</v>
      </c>
      <c r="H4329" s="1">
        <f t="shared" si="603"/>
        <v>6.0600000000000023</v>
      </c>
      <c r="I4329" s="9">
        <f t="shared" si="610"/>
        <v>0.15055900621118018</v>
      </c>
      <c r="J4329" s="1">
        <f t="shared" si="611"/>
        <v>4.1899999999999977</v>
      </c>
      <c r="K4329" s="9">
        <f t="shared" si="604"/>
        <v>0.10096385542168669</v>
      </c>
      <c r="L4329" s="1">
        <f t="shared" si="605"/>
        <v>1</v>
      </c>
      <c r="M4329" s="1">
        <f t="shared" si="606"/>
        <v>46.31</v>
      </c>
      <c r="N4329" s="1">
        <f t="shared" si="607"/>
        <v>40.25</v>
      </c>
      <c r="O4329" s="1">
        <f t="shared" si="608"/>
        <v>43.73</v>
      </c>
      <c r="P4329" s="1">
        <f t="shared" si="609"/>
        <v>22.311224489795919</v>
      </c>
    </row>
    <row r="4330" spans="1:16">
      <c r="A4330" s="2">
        <v>36770</v>
      </c>
      <c r="B4330" s="1">
        <v>42.13</v>
      </c>
      <c r="C4330" s="1">
        <v>42.5</v>
      </c>
      <c r="D4330" s="1">
        <v>41</v>
      </c>
      <c r="E4330" s="1">
        <v>41.5</v>
      </c>
      <c r="F4330" s="1">
        <v>3347100</v>
      </c>
      <c r="G4330" s="1">
        <v>41.5</v>
      </c>
      <c r="H4330" s="1">
        <f t="shared" si="603"/>
        <v>1.5</v>
      </c>
      <c r="I4330" s="9">
        <f t="shared" si="610"/>
        <v>3.6585365853658534E-2</v>
      </c>
      <c r="J4330" s="1">
        <f t="shared" si="611"/>
        <v>0</v>
      </c>
      <c r="K4330" s="9">
        <f t="shared" si="604"/>
        <v>0</v>
      </c>
      <c r="L4330" s="1">
        <f t="shared" si="605"/>
        <v>1</v>
      </c>
      <c r="M4330" s="1">
        <f t="shared" si="606"/>
        <v>42.5</v>
      </c>
      <c r="N4330" s="1">
        <f t="shared" si="607"/>
        <v>41</v>
      </c>
      <c r="O4330" s="1">
        <f t="shared" si="608"/>
        <v>39.54</v>
      </c>
      <c r="P4330" s="1">
        <f t="shared" si="609"/>
        <v>20.173469387755102</v>
      </c>
    </row>
    <row r="4331" spans="1:16">
      <c r="A4331" s="2">
        <v>36769</v>
      </c>
      <c r="B4331" s="1">
        <v>43.13</v>
      </c>
      <c r="C4331" s="1">
        <v>43.19</v>
      </c>
      <c r="D4331" s="1">
        <v>41.44</v>
      </c>
      <c r="E4331" s="1">
        <v>41.5</v>
      </c>
      <c r="F4331" s="1">
        <v>4616300</v>
      </c>
      <c r="G4331" s="1">
        <v>41.5</v>
      </c>
      <c r="H4331" s="1">
        <f t="shared" si="603"/>
        <v>1.75</v>
      </c>
      <c r="I4331" s="9">
        <f t="shared" si="610"/>
        <v>4.2229729729729729E-2</v>
      </c>
      <c r="J4331" s="1">
        <f t="shared" si="611"/>
        <v>-1.4399999999999977</v>
      </c>
      <c r="K4331" s="9">
        <f t="shared" si="604"/>
        <v>-3.3535165346995757E-2</v>
      </c>
      <c r="L4331" s="1">
        <f t="shared" si="605"/>
        <v>1</v>
      </c>
      <c r="M4331" s="1">
        <f t="shared" si="606"/>
        <v>43.19</v>
      </c>
      <c r="N4331" s="1">
        <f t="shared" si="607"/>
        <v>41.44</v>
      </c>
      <c r="O4331" s="1">
        <f t="shared" si="608"/>
        <v>39.54</v>
      </c>
      <c r="P4331" s="1">
        <f t="shared" si="609"/>
        <v>20.173469387755102</v>
      </c>
    </row>
    <row r="4332" spans="1:16">
      <c r="A4332" s="2">
        <v>36768</v>
      </c>
      <c r="B4332" s="1">
        <v>42.38</v>
      </c>
      <c r="C4332" s="1">
        <v>43.97</v>
      </c>
      <c r="D4332" s="1">
        <v>42</v>
      </c>
      <c r="E4332" s="1">
        <v>42.94</v>
      </c>
      <c r="F4332" s="1">
        <v>12919600</v>
      </c>
      <c r="G4332" s="1">
        <v>42.94</v>
      </c>
      <c r="H4332" s="1">
        <f t="shared" si="603"/>
        <v>1.9699999999999989</v>
      </c>
      <c r="I4332" s="9">
        <f t="shared" si="610"/>
        <v>4.690476190476188E-2</v>
      </c>
      <c r="J4332" s="1">
        <f t="shared" si="611"/>
        <v>3.3099999999999952</v>
      </c>
      <c r="K4332" s="9">
        <f t="shared" si="604"/>
        <v>8.3522583901084912E-2</v>
      </c>
      <c r="L4332" s="1">
        <f t="shared" si="605"/>
        <v>1</v>
      </c>
      <c r="M4332" s="1">
        <f t="shared" si="606"/>
        <v>43.97</v>
      </c>
      <c r="N4332" s="1">
        <f t="shared" si="607"/>
        <v>42</v>
      </c>
      <c r="O4332" s="1">
        <f t="shared" si="608"/>
        <v>40.98</v>
      </c>
      <c r="P4332" s="1">
        <f t="shared" si="609"/>
        <v>20.908163265306122</v>
      </c>
    </row>
    <row r="4333" spans="1:16">
      <c r="A4333" s="2">
        <v>36767</v>
      </c>
      <c r="B4333" s="1">
        <v>39.5</v>
      </c>
      <c r="C4333" s="1">
        <v>40.880000000000003</v>
      </c>
      <c r="D4333" s="1">
        <v>38.880000000000003</v>
      </c>
      <c r="E4333" s="1">
        <v>39.630000000000003</v>
      </c>
      <c r="F4333" s="1">
        <v>4521100</v>
      </c>
      <c r="G4333" s="1">
        <v>39.630000000000003</v>
      </c>
      <c r="H4333" s="1">
        <f t="shared" si="603"/>
        <v>2</v>
      </c>
      <c r="I4333" s="9">
        <f t="shared" si="610"/>
        <v>5.1440329218106991E-2</v>
      </c>
      <c r="J4333" s="1">
        <f t="shared" si="611"/>
        <v>0.5</v>
      </c>
      <c r="K4333" s="9">
        <f t="shared" si="604"/>
        <v>1.2777919754663939E-2</v>
      </c>
      <c r="L4333" s="1">
        <f t="shared" si="605"/>
        <v>1</v>
      </c>
      <c r="M4333" s="1">
        <f t="shared" si="606"/>
        <v>40.880000000000003</v>
      </c>
      <c r="N4333" s="1">
        <f t="shared" si="607"/>
        <v>38.880000000000003</v>
      </c>
      <c r="O4333" s="1">
        <f t="shared" si="608"/>
        <v>37.67</v>
      </c>
      <c r="P4333" s="1">
        <f t="shared" si="609"/>
        <v>19.219387755102041</v>
      </c>
    </row>
    <row r="4334" spans="1:16">
      <c r="A4334" s="2">
        <v>36766</v>
      </c>
      <c r="B4334" s="1">
        <v>38.81</v>
      </c>
      <c r="C4334" s="1">
        <v>42.5</v>
      </c>
      <c r="D4334" s="1">
        <v>38.56</v>
      </c>
      <c r="E4334" s="1">
        <v>39.130000000000003</v>
      </c>
      <c r="F4334" s="1">
        <v>9178500</v>
      </c>
      <c r="G4334" s="1">
        <v>39.130000000000003</v>
      </c>
      <c r="H4334" s="1">
        <f t="shared" si="603"/>
        <v>3.9399999999999977</v>
      </c>
      <c r="I4334" s="9">
        <f t="shared" si="610"/>
        <v>0.10217842323651445</v>
      </c>
      <c r="J4334" s="1">
        <f t="shared" si="611"/>
        <v>-0.80999999999999517</v>
      </c>
      <c r="K4334" s="9">
        <f t="shared" si="604"/>
        <v>-2.0280420630946299E-2</v>
      </c>
      <c r="L4334" s="1">
        <f t="shared" si="605"/>
        <v>1</v>
      </c>
      <c r="M4334" s="1">
        <f t="shared" si="606"/>
        <v>42.5</v>
      </c>
      <c r="N4334" s="1">
        <f t="shared" si="607"/>
        <v>38.56</v>
      </c>
      <c r="O4334" s="1">
        <f t="shared" si="608"/>
        <v>37.17</v>
      </c>
      <c r="P4334" s="1">
        <f t="shared" si="609"/>
        <v>18.964285714285715</v>
      </c>
    </row>
    <row r="4335" spans="1:16">
      <c r="A4335" s="2">
        <v>36763</v>
      </c>
      <c r="B4335" s="1">
        <v>39.130000000000003</v>
      </c>
      <c r="C4335" s="1">
        <v>40.06</v>
      </c>
      <c r="D4335" s="1">
        <v>38.56</v>
      </c>
      <c r="E4335" s="1">
        <v>39.94</v>
      </c>
      <c r="F4335" s="1">
        <v>2708600</v>
      </c>
      <c r="G4335" s="1">
        <v>39.94</v>
      </c>
      <c r="H4335" s="1">
        <f t="shared" si="603"/>
        <v>1.5</v>
      </c>
      <c r="I4335" s="9">
        <f t="shared" si="610"/>
        <v>3.8900414937759337E-2</v>
      </c>
      <c r="J4335" s="1">
        <f t="shared" si="611"/>
        <v>0.55999999999999517</v>
      </c>
      <c r="K4335" s="9">
        <f t="shared" si="604"/>
        <v>1.4220416455053203E-2</v>
      </c>
      <c r="L4335" s="1">
        <f t="shared" si="605"/>
        <v>1</v>
      </c>
      <c r="M4335" s="1">
        <f t="shared" si="606"/>
        <v>40.06</v>
      </c>
      <c r="N4335" s="1">
        <f t="shared" si="607"/>
        <v>38.56</v>
      </c>
      <c r="O4335" s="1">
        <f t="shared" si="608"/>
        <v>37.979999999999997</v>
      </c>
      <c r="P4335" s="1">
        <f t="shared" si="609"/>
        <v>19.377551020408163</v>
      </c>
    </row>
    <row r="4336" spans="1:16">
      <c r="A4336" s="2">
        <v>36762</v>
      </c>
      <c r="B4336" s="1">
        <v>39.56</v>
      </c>
      <c r="C4336" s="1">
        <v>40.5</v>
      </c>
      <c r="D4336" s="1">
        <v>38.81</v>
      </c>
      <c r="E4336" s="1">
        <v>39.380000000000003</v>
      </c>
      <c r="F4336" s="1">
        <v>4719000</v>
      </c>
      <c r="G4336" s="1">
        <v>39.380000000000003</v>
      </c>
      <c r="H4336" s="1">
        <f t="shared" si="603"/>
        <v>1.6899999999999977</v>
      </c>
      <c r="I4336" s="9">
        <f t="shared" si="610"/>
        <v>4.3545477969595403E-2</v>
      </c>
      <c r="J4336" s="1">
        <f t="shared" si="611"/>
        <v>0.57000000000000028</v>
      </c>
      <c r="K4336" s="9">
        <f t="shared" si="604"/>
        <v>1.4686936356609127E-2</v>
      </c>
      <c r="L4336" s="1">
        <f t="shared" si="605"/>
        <v>1</v>
      </c>
      <c r="M4336" s="1">
        <f t="shared" si="606"/>
        <v>40.5</v>
      </c>
      <c r="N4336" s="1">
        <f t="shared" si="607"/>
        <v>38.81</v>
      </c>
      <c r="O4336" s="1">
        <f t="shared" si="608"/>
        <v>37.42</v>
      </c>
      <c r="P4336" s="1">
        <f t="shared" si="609"/>
        <v>19.091836734693878</v>
      </c>
    </row>
    <row r="4337" spans="1:16">
      <c r="A4337" s="2">
        <v>36761</v>
      </c>
      <c r="B4337" s="1">
        <v>36.380000000000003</v>
      </c>
      <c r="C4337" s="1">
        <v>39.5</v>
      </c>
      <c r="D4337" s="1">
        <v>35</v>
      </c>
      <c r="E4337" s="1">
        <v>38.81</v>
      </c>
      <c r="F4337" s="1">
        <v>4721300</v>
      </c>
      <c r="G4337" s="1">
        <v>38.81</v>
      </c>
      <c r="H4337" s="1">
        <f t="shared" si="603"/>
        <v>4.5</v>
      </c>
      <c r="I4337" s="9">
        <f t="shared" si="610"/>
        <v>0.12857142857142856</v>
      </c>
      <c r="J4337" s="1">
        <f t="shared" si="611"/>
        <v>2.3100000000000023</v>
      </c>
      <c r="K4337" s="9">
        <f t="shared" si="604"/>
        <v>6.3287671232876777E-2</v>
      </c>
      <c r="L4337" s="1">
        <f t="shared" si="605"/>
        <v>1</v>
      </c>
      <c r="M4337" s="1">
        <f t="shared" si="606"/>
        <v>39.5</v>
      </c>
      <c r="N4337" s="1">
        <f t="shared" si="607"/>
        <v>35</v>
      </c>
      <c r="O4337" s="1">
        <f t="shared" si="608"/>
        <v>36.85</v>
      </c>
      <c r="P4337" s="1">
        <f t="shared" si="609"/>
        <v>18.801020408163268</v>
      </c>
    </row>
    <row r="4338" spans="1:16">
      <c r="A4338" s="2">
        <v>36760</v>
      </c>
      <c r="B4338" s="1">
        <v>38.130000000000003</v>
      </c>
      <c r="C4338" s="1">
        <v>38.19</v>
      </c>
      <c r="D4338" s="1">
        <v>36.06</v>
      </c>
      <c r="E4338" s="1">
        <v>36.5</v>
      </c>
      <c r="F4338" s="1">
        <v>3508200</v>
      </c>
      <c r="G4338" s="1">
        <v>36.5</v>
      </c>
      <c r="H4338" s="1">
        <f t="shared" si="603"/>
        <v>2.1299999999999955</v>
      </c>
      <c r="I4338" s="9">
        <f t="shared" si="610"/>
        <v>5.9068219633943299E-2</v>
      </c>
      <c r="J4338" s="1">
        <f t="shared" si="611"/>
        <v>-1</v>
      </c>
      <c r="K4338" s="9">
        <f t="shared" si="604"/>
        <v>-2.6666666666666668E-2</v>
      </c>
      <c r="L4338" s="1">
        <f t="shared" si="605"/>
        <v>1</v>
      </c>
      <c r="M4338" s="1">
        <f t="shared" si="606"/>
        <v>38.19</v>
      </c>
      <c r="N4338" s="1">
        <f t="shared" si="607"/>
        <v>36.06</v>
      </c>
      <c r="O4338" s="1">
        <f t="shared" si="608"/>
        <v>34.54</v>
      </c>
      <c r="P4338" s="1">
        <f t="shared" si="609"/>
        <v>17.622448979591837</v>
      </c>
    </row>
    <row r="4339" spans="1:16">
      <c r="A4339" s="2">
        <v>36759</v>
      </c>
      <c r="B4339" s="1">
        <v>39.090000000000003</v>
      </c>
      <c r="C4339" s="1">
        <v>39.880000000000003</v>
      </c>
      <c r="D4339" s="1">
        <v>36.5</v>
      </c>
      <c r="E4339" s="1">
        <v>37.5</v>
      </c>
      <c r="F4339" s="1">
        <v>4037500</v>
      </c>
      <c r="G4339" s="1">
        <v>37.5</v>
      </c>
      <c r="H4339" s="1">
        <f t="shared" si="603"/>
        <v>3.3800000000000026</v>
      </c>
      <c r="I4339" s="9">
        <f t="shared" si="610"/>
        <v>9.2602739726027464E-2</v>
      </c>
      <c r="J4339" s="1">
        <f t="shared" si="611"/>
        <v>-1.5</v>
      </c>
      <c r="K4339" s="9">
        <f t="shared" si="604"/>
        <v>-3.8461538461538464E-2</v>
      </c>
      <c r="L4339" s="1">
        <f t="shared" si="605"/>
        <v>1</v>
      </c>
      <c r="M4339" s="1">
        <f t="shared" si="606"/>
        <v>39.880000000000003</v>
      </c>
      <c r="N4339" s="1">
        <f t="shared" si="607"/>
        <v>36.5</v>
      </c>
      <c r="O4339" s="1">
        <f t="shared" si="608"/>
        <v>35.54</v>
      </c>
      <c r="P4339" s="1">
        <f t="shared" si="609"/>
        <v>18.132653061224488</v>
      </c>
    </row>
    <row r="4340" spans="1:16">
      <c r="A4340" s="2">
        <v>36756</v>
      </c>
      <c r="B4340" s="1">
        <v>39.25</v>
      </c>
      <c r="C4340" s="1">
        <v>40.130000000000003</v>
      </c>
      <c r="D4340" s="1">
        <v>38.94</v>
      </c>
      <c r="E4340" s="1">
        <v>39</v>
      </c>
      <c r="F4340" s="1">
        <v>7371100</v>
      </c>
      <c r="G4340" s="1">
        <v>39</v>
      </c>
      <c r="H4340" s="1">
        <f t="shared" si="603"/>
        <v>1.1900000000000048</v>
      </c>
      <c r="I4340" s="9">
        <f t="shared" si="610"/>
        <v>3.0559835644581534E-2</v>
      </c>
      <c r="J4340" s="1">
        <f t="shared" si="611"/>
        <v>0.75</v>
      </c>
      <c r="K4340" s="9">
        <f t="shared" si="604"/>
        <v>1.9607843137254902E-2</v>
      </c>
      <c r="L4340" s="1">
        <f t="shared" si="605"/>
        <v>1</v>
      </c>
      <c r="M4340" s="1">
        <f t="shared" si="606"/>
        <v>40.130000000000003</v>
      </c>
      <c r="N4340" s="1">
        <f t="shared" si="607"/>
        <v>38.94</v>
      </c>
      <c r="O4340" s="1">
        <f t="shared" si="608"/>
        <v>37.04</v>
      </c>
      <c r="P4340" s="1">
        <f t="shared" si="609"/>
        <v>18.897959183673468</v>
      </c>
    </row>
    <row r="4341" spans="1:16">
      <c r="A4341" s="2">
        <v>36755</v>
      </c>
      <c r="B4341" s="1">
        <v>38</v>
      </c>
      <c r="C4341" s="1">
        <v>39.06</v>
      </c>
      <c r="D4341" s="1">
        <v>36.880000000000003</v>
      </c>
      <c r="E4341" s="1">
        <v>38.25</v>
      </c>
      <c r="F4341" s="1">
        <v>4974100</v>
      </c>
      <c r="G4341" s="1">
        <v>38.25</v>
      </c>
      <c r="H4341" s="1">
        <f t="shared" si="603"/>
        <v>2.1799999999999997</v>
      </c>
      <c r="I4341" s="9">
        <f t="shared" si="610"/>
        <v>5.911062906724511E-2</v>
      </c>
      <c r="J4341" s="1">
        <f t="shared" si="611"/>
        <v>-0.38000000000000256</v>
      </c>
      <c r="K4341" s="9">
        <f t="shared" si="604"/>
        <v>-9.8369143152990564E-3</v>
      </c>
      <c r="L4341" s="1">
        <f t="shared" si="605"/>
        <v>1</v>
      </c>
      <c r="M4341" s="1">
        <f t="shared" si="606"/>
        <v>39.06</v>
      </c>
      <c r="N4341" s="1">
        <f t="shared" si="607"/>
        <v>36.880000000000003</v>
      </c>
      <c r="O4341" s="1">
        <f t="shared" si="608"/>
        <v>36.29</v>
      </c>
      <c r="P4341" s="1">
        <f t="shared" si="609"/>
        <v>18.51530612244898</v>
      </c>
    </row>
    <row r="4342" spans="1:16">
      <c r="A4342" s="2">
        <v>36754</v>
      </c>
      <c r="B4342" s="1">
        <v>37.56</v>
      </c>
      <c r="C4342" s="1">
        <v>39.880000000000003</v>
      </c>
      <c r="D4342" s="1">
        <v>37.53</v>
      </c>
      <c r="E4342" s="1">
        <v>38.630000000000003</v>
      </c>
      <c r="F4342" s="1">
        <v>9833200</v>
      </c>
      <c r="G4342" s="1">
        <v>38.630000000000003</v>
      </c>
      <c r="H4342" s="1">
        <f t="shared" si="603"/>
        <v>2.3500000000000014</v>
      </c>
      <c r="I4342" s="9">
        <f t="shared" si="610"/>
        <v>6.2616573407940357E-2</v>
      </c>
      <c r="J4342" s="1">
        <f t="shared" si="611"/>
        <v>1.0700000000000003</v>
      </c>
      <c r="K4342" s="9">
        <f t="shared" si="604"/>
        <v>2.8487752928647504E-2</v>
      </c>
      <c r="L4342" s="1">
        <f t="shared" si="605"/>
        <v>1</v>
      </c>
      <c r="M4342" s="1">
        <f t="shared" si="606"/>
        <v>39.880000000000003</v>
      </c>
      <c r="N4342" s="1">
        <f t="shared" si="607"/>
        <v>37.53</v>
      </c>
      <c r="O4342" s="1">
        <f t="shared" si="608"/>
        <v>36.67</v>
      </c>
      <c r="P4342" s="1">
        <f t="shared" si="609"/>
        <v>18.70918367346939</v>
      </c>
    </row>
    <row r="4343" spans="1:16">
      <c r="A4343" s="2">
        <v>36753</v>
      </c>
      <c r="B4343" s="1">
        <v>34.630000000000003</v>
      </c>
      <c r="C4343" s="1">
        <v>38.31</v>
      </c>
      <c r="D4343" s="1">
        <v>34.380000000000003</v>
      </c>
      <c r="E4343" s="1">
        <v>37.56</v>
      </c>
      <c r="F4343" s="1">
        <v>8497200</v>
      </c>
      <c r="G4343" s="1">
        <v>37.56</v>
      </c>
      <c r="H4343" s="1">
        <f t="shared" si="603"/>
        <v>3.9299999999999997</v>
      </c>
      <c r="I4343" s="9">
        <f t="shared" si="610"/>
        <v>0.11431064572425827</v>
      </c>
      <c r="J4343" s="1">
        <f t="shared" si="611"/>
        <v>2.6799999999999997</v>
      </c>
      <c r="K4343" s="9">
        <f t="shared" si="604"/>
        <v>7.6834862385321084E-2</v>
      </c>
      <c r="L4343" s="1">
        <f t="shared" si="605"/>
        <v>1</v>
      </c>
      <c r="M4343" s="1">
        <f t="shared" si="606"/>
        <v>38.31</v>
      </c>
      <c r="N4343" s="1">
        <f t="shared" si="607"/>
        <v>34.380000000000003</v>
      </c>
      <c r="O4343" s="1">
        <f t="shared" si="608"/>
        <v>35.6</v>
      </c>
      <c r="P4343" s="1">
        <f t="shared" si="609"/>
        <v>18.163265306122451</v>
      </c>
    </row>
    <row r="4344" spans="1:16">
      <c r="A4344" s="2">
        <v>36752</v>
      </c>
      <c r="B4344" s="1">
        <v>33.5</v>
      </c>
      <c r="C4344" s="1">
        <v>35.19</v>
      </c>
      <c r="D4344" s="1">
        <v>32.69</v>
      </c>
      <c r="E4344" s="1">
        <v>34.880000000000003</v>
      </c>
      <c r="F4344" s="1">
        <v>6217200</v>
      </c>
      <c r="G4344" s="1">
        <v>34.880000000000003</v>
      </c>
      <c r="H4344" s="1">
        <f t="shared" si="603"/>
        <v>2.5</v>
      </c>
      <c r="I4344" s="9">
        <f t="shared" si="610"/>
        <v>7.6475986540226373E-2</v>
      </c>
      <c r="J4344" s="1">
        <f t="shared" si="611"/>
        <v>1.1900000000000048</v>
      </c>
      <c r="K4344" s="9">
        <f t="shared" si="604"/>
        <v>3.5322054021965123E-2</v>
      </c>
      <c r="L4344" s="1">
        <f t="shared" si="605"/>
        <v>1</v>
      </c>
      <c r="M4344" s="1">
        <f t="shared" si="606"/>
        <v>35.19</v>
      </c>
      <c r="N4344" s="1">
        <f t="shared" si="607"/>
        <v>32.69</v>
      </c>
      <c r="O4344" s="1">
        <f t="shared" si="608"/>
        <v>32.92</v>
      </c>
      <c r="P4344" s="1">
        <f t="shared" si="609"/>
        <v>16.795918367346939</v>
      </c>
    </row>
    <row r="4345" spans="1:16">
      <c r="A4345" s="2">
        <v>36749</v>
      </c>
      <c r="B4345" s="1">
        <v>30.5</v>
      </c>
      <c r="C4345" s="1">
        <v>34</v>
      </c>
      <c r="D4345" s="1">
        <v>30.31</v>
      </c>
      <c r="E4345" s="1">
        <v>33.69</v>
      </c>
      <c r="F4345" s="1">
        <v>9116200</v>
      </c>
      <c r="G4345" s="1">
        <v>33.69</v>
      </c>
      <c r="H4345" s="1">
        <f t="shared" si="603"/>
        <v>3.6900000000000013</v>
      </c>
      <c r="I4345" s="9">
        <f t="shared" si="610"/>
        <v>0.12174199934015181</v>
      </c>
      <c r="J4345" s="1">
        <f t="shared" si="611"/>
        <v>3.2499999999999964</v>
      </c>
      <c r="K4345" s="9">
        <f t="shared" si="604"/>
        <v>0.10676741130091973</v>
      </c>
      <c r="L4345" s="1">
        <f t="shared" si="605"/>
        <v>1</v>
      </c>
      <c r="M4345" s="1">
        <f t="shared" si="606"/>
        <v>34</v>
      </c>
      <c r="N4345" s="1">
        <f t="shared" si="607"/>
        <v>30.31</v>
      </c>
      <c r="O4345" s="1">
        <f t="shared" si="608"/>
        <v>31.729999999999997</v>
      </c>
      <c r="P4345" s="1">
        <f t="shared" si="609"/>
        <v>16.188775510204081</v>
      </c>
    </row>
    <row r="4346" spans="1:16">
      <c r="A4346" s="2">
        <v>36748</v>
      </c>
      <c r="B4346" s="1">
        <v>31.5</v>
      </c>
      <c r="C4346" s="1">
        <v>31.75</v>
      </c>
      <c r="D4346" s="1">
        <v>29.75</v>
      </c>
      <c r="E4346" s="1">
        <v>30.44</v>
      </c>
      <c r="F4346" s="1">
        <v>6073000</v>
      </c>
      <c r="G4346" s="1">
        <v>30.44</v>
      </c>
      <c r="H4346" s="1">
        <f t="shared" si="603"/>
        <v>2</v>
      </c>
      <c r="I4346" s="9">
        <f t="shared" si="610"/>
        <v>6.7226890756302518E-2</v>
      </c>
      <c r="J4346" s="1">
        <f t="shared" si="611"/>
        <v>-0.43999999999999773</v>
      </c>
      <c r="K4346" s="9">
        <f t="shared" si="604"/>
        <v>-1.4248704663212363E-2</v>
      </c>
      <c r="L4346" s="1">
        <f t="shared" si="605"/>
        <v>1</v>
      </c>
      <c r="M4346" s="1">
        <f t="shared" si="606"/>
        <v>31.75</v>
      </c>
      <c r="N4346" s="1">
        <f t="shared" si="607"/>
        <v>29.75</v>
      </c>
      <c r="O4346" s="1">
        <f t="shared" si="608"/>
        <v>28.48</v>
      </c>
      <c r="P4346" s="1">
        <f t="shared" si="609"/>
        <v>14.530612244897959</v>
      </c>
    </row>
    <row r="4347" spans="1:16">
      <c r="A4347" s="2">
        <v>36747</v>
      </c>
      <c r="B4347" s="1">
        <v>32.380000000000003</v>
      </c>
      <c r="C4347" s="1">
        <v>32.380000000000003</v>
      </c>
      <c r="D4347" s="1">
        <v>30.38</v>
      </c>
      <c r="E4347" s="1">
        <v>30.88</v>
      </c>
      <c r="F4347" s="1">
        <v>8874400</v>
      </c>
      <c r="G4347" s="1">
        <v>30.88</v>
      </c>
      <c r="H4347" s="1">
        <f t="shared" si="603"/>
        <v>2.0000000000000036</v>
      </c>
      <c r="I4347" s="9">
        <f t="shared" si="610"/>
        <v>6.5832784726794061E-2</v>
      </c>
      <c r="J4347" s="1">
        <f t="shared" si="611"/>
        <v>-2.0599999999999987</v>
      </c>
      <c r="K4347" s="9">
        <f t="shared" si="604"/>
        <v>-6.2537947783849385E-2</v>
      </c>
      <c r="L4347" s="1">
        <f t="shared" si="605"/>
        <v>1</v>
      </c>
      <c r="M4347" s="1">
        <f t="shared" si="606"/>
        <v>32.380000000000003</v>
      </c>
      <c r="N4347" s="1">
        <f t="shared" si="607"/>
        <v>30.38</v>
      </c>
      <c r="O4347" s="1">
        <f t="shared" si="608"/>
        <v>28.919999999999998</v>
      </c>
      <c r="P4347" s="1">
        <f t="shared" si="609"/>
        <v>14.755102040816325</v>
      </c>
    </row>
    <row r="4348" spans="1:16">
      <c r="A4348" s="2">
        <v>36746</v>
      </c>
      <c r="B4348" s="1">
        <v>33.25</v>
      </c>
      <c r="C4348" s="1">
        <v>33.380000000000003</v>
      </c>
      <c r="D4348" s="1">
        <v>32.44</v>
      </c>
      <c r="E4348" s="1">
        <v>32.94</v>
      </c>
      <c r="F4348" s="1">
        <v>5050600</v>
      </c>
      <c r="G4348" s="1">
        <v>32.94</v>
      </c>
      <c r="H4348" s="1">
        <f t="shared" si="603"/>
        <v>0.94000000000000483</v>
      </c>
      <c r="I4348" s="9">
        <f t="shared" si="610"/>
        <v>2.8976572133169079E-2</v>
      </c>
      <c r="J4348" s="1">
        <f t="shared" si="611"/>
        <v>-0.87000000000000455</v>
      </c>
      <c r="K4348" s="9">
        <f t="shared" si="604"/>
        <v>-2.5732031943212202E-2</v>
      </c>
      <c r="L4348" s="1">
        <f t="shared" si="605"/>
        <v>1</v>
      </c>
      <c r="M4348" s="1">
        <f t="shared" si="606"/>
        <v>33.380000000000003</v>
      </c>
      <c r="N4348" s="1">
        <f t="shared" si="607"/>
        <v>32.44</v>
      </c>
      <c r="O4348" s="1">
        <f t="shared" si="608"/>
        <v>30.979999999999997</v>
      </c>
      <c r="P4348" s="1">
        <f t="shared" si="609"/>
        <v>15.80612244897959</v>
      </c>
    </row>
    <row r="4349" spans="1:16">
      <c r="A4349" s="2">
        <v>36745</v>
      </c>
      <c r="B4349" s="1">
        <v>32</v>
      </c>
      <c r="C4349" s="1">
        <v>34.25</v>
      </c>
      <c r="D4349" s="1">
        <v>31.63</v>
      </c>
      <c r="E4349" s="1">
        <v>33.81</v>
      </c>
      <c r="F4349" s="1">
        <v>4403100</v>
      </c>
      <c r="G4349" s="1">
        <v>33.81</v>
      </c>
      <c r="H4349" s="1">
        <f t="shared" si="603"/>
        <v>2.620000000000001</v>
      </c>
      <c r="I4349" s="9">
        <f t="shared" si="610"/>
        <v>8.2832753714827734E-2</v>
      </c>
      <c r="J4349" s="1">
        <f t="shared" si="611"/>
        <v>1.3100000000000023</v>
      </c>
      <c r="K4349" s="9">
        <f t="shared" si="604"/>
        <v>4.0307692307692378E-2</v>
      </c>
      <c r="L4349" s="1">
        <f t="shared" si="605"/>
        <v>1</v>
      </c>
      <c r="M4349" s="1">
        <f t="shared" si="606"/>
        <v>34.25</v>
      </c>
      <c r="N4349" s="1">
        <f t="shared" si="607"/>
        <v>31.63</v>
      </c>
      <c r="O4349" s="1">
        <f t="shared" si="608"/>
        <v>31.85</v>
      </c>
      <c r="P4349" s="1">
        <f t="shared" si="609"/>
        <v>16.25</v>
      </c>
    </row>
    <row r="4350" spans="1:16">
      <c r="A4350" s="2">
        <v>36742</v>
      </c>
      <c r="B4350" s="1">
        <v>31.94</v>
      </c>
      <c r="C4350" s="1">
        <v>34.19</v>
      </c>
      <c r="D4350" s="1">
        <v>31.5</v>
      </c>
      <c r="E4350" s="1">
        <v>32.5</v>
      </c>
      <c r="F4350" s="1">
        <v>4871100</v>
      </c>
      <c r="G4350" s="1">
        <v>32.5</v>
      </c>
      <c r="H4350" s="1">
        <f t="shared" si="603"/>
        <v>2.6899999999999977</v>
      </c>
      <c r="I4350" s="9">
        <f t="shared" si="610"/>
        <v>8.5396825396825318E-2</v>
      </c>
      <c r="J4350" s="1">
        <f t="shared" si="611"/>
        <v>1</v>
      </c>
      <c r="K4350" s="9">
        <f t="shared" si="604"/>
        <v>3.1746031746031744E-2</v>
      </c>
      <c r="L4350" s="1">
        <f t="shared" si="605"/>
        <v>1</v>
      </c>
      <c r="M4350" s="1">
        <f t="shared" si="606"/>
        <v>34.19</v>
      </c>
      <c r="N4350" s="1">
        <f t="shared" si="607"/>
        <v>31.5</v>
      </c>
      <c r="O4350" s="1">
        <f t="shared" si="608"/>
        <v>30.54</v>
      </c>
      <c r="P4350" s="1">
        <f t="shared" si="609"/>
        <v>15.581632653061224</v>
      </c>
    </row>
    <row r="4351" spans="1:16">
      <c r="A4351" s="2">
        <v>36741</v>
      </c>
      <c r="B4351" s="1">
        <v>29.44</v>
      </c>
      <c r="C4351" s="1">
        <v>31.75</v>
      </c>
      <c r="D4351" s="1">
        <v>29.31</v>
      </c>
      <c r="E4351" s="1">
        <v>31.5</v>
      </c>
      <c r="F4351" s="1">
        <v>5144100</v>
      </c>
      <c r="G4351" s="1">
        <v>31.5</v>
      </c>
      <c r="H4351" s="1">
        <f t="shared" si="603"/>
        <v>2.4400000000000013</v>
      </c>
      <c r="I4351" s="9">
        <f t="shared" si="610"/>
        <v>8.3248038212214312E-2</v>
      </c>
      <c r="J4351" s="1">
        <f t="shared" si="611"/>
        <v>0.69000000000000128</v>
      </c>
      <c r="K4351" s="9">
        <f t="shared" si="604"/>
        <v>2.2395326192794589E-2</v>
      </c>
      <c r="L4351" s="1">
        <f t="shared" si="605"/>
        <v>1</v>
      </c>
      <c r="M4351" s="1">
        <f t="shared" si="606"/>
        <v>31.75</v>
      </c>
      <c r="N4351" s="1">
        <f t="shared" si="607"/>
        <v>29.31</v>
      </c>
      <c r="O4351" s="1">
        <f t="shared" si="608"/>
        <v>29.54</v>
      </c>
      <c r="P4351" s="1">
        <f t="shared" si="609"/>
        <v>15.071428571428571</v>
      </c>
    </row>
    <row r="4352" spans="1:16">
      <c r="A4352" s="2">
        <v>36740</v>
      </c>
      <c r="B4352" s="1">
        <v>30.25</v>
      </c>
      <c r="C4352" s="1">
        <v>32</v>
      </c>
      <c r="D4352" s="1">
        <v>30.22</v>
      </c>
      <c r="E4352" s="1">
        <v>30.81</v>
      </c>
      <c r="F4352" s="1">
        <v>4952900</v>
      </c>
      <c r="G4352" s="1">
        <v>30.81</v>
      </c>
      <c r="H4352" s="1">
        <f t="shared" si="603"/>
        <v>1.7800000000000011</v>
      </c>
      <c r="I4352" s="9">
        <f t="shared" si="610"/>
        <v>5.8901389808074162E-2</v>
      </c>
      <c r="J4352" s="1">
        <f t="shared" si="611"/>
        <v>0.55999999999999872</v>
      </c>
      <c r="K4352" s="9">
        <f t="shared" si="604"/>
        <v>1.8512396694214835E-2</v>
      </c>
      <c r="L4352" s="1">
        <f t="shared" si="605"/>
        <v>1</v>
      </c>
      <c r="M4352" s="1">
        <f t="shared" si="606"/>
        <v>32</v>
      </c>
      <c r="N4352" s="1">
        <f t="shared" si="607"/>
        <v>30.22</v>
      </c>
      <c r="O4352" s="1">
        <f t="shared" si="608"/>
        <v>28.849999999999998</v>
      </c>
      <c r="P4352" s="1">
        <f t="shared" si="609"/>
        <v>14.719387755102041</v>
      </c>
    </row>
    <row r="4353" spans="1:16">
      <c r="A4353" s="2">
        <v>36739</v>
      </c>
      <c r="B4353" s="1">
        <v>30.63</v>
      </c>
      <c r="C4353" s="1">
        <v>32.25</v>
      </c>
      <c r="D4353" s="1">
        <v>30.25</v>
      </c>
      <c r="E4353" s="1">
        <v>30.25</v>
      </c>
      <c r="F4353" s="1">
        <v>8156400</v>
      </c>
      <c r="G4353" s="1">
        <v>30.25</v>
      </c>
      <c r="H4353" s="1">
        <f t="shared" si="603"/>
        <v>2</v>
      </c>
      <c r="I4353" s="9">
        <f t="shared" si="610"/>
        <v>6.6115702479338845E-2</v>
      </c>
      <c r="J4353" s="1">
        <f t="shared" si="611"/>
        <v>0.12000000000000099</v>
      </c>
      <c r="K4353" s="9">
        <f t="shared" si="604"/>
        <v>3.9827414537006636E-3</v>
      </c>
      <c r="L4353" s="1">
        <f t="shared" si="605"/>
        <v>1</v>
      </c>
      <c r="M4353" s="1">
        <f t="shared" si="606"/>
        <v>32.25</v>
      </c>
      <c r="N4353" s="1">
        <f t="shared" si="607"/>
        <v>30.25</v>
      </c>
      <c r="O4353" s="1">
        <f t="shared" si="608"/>
        <v>28.29</v>
      </c>
      <c r="P4353" s="1">
        <f t="shared" si="609"/>
        <v>14.433673469387754</v>
      </c>
    </row>
    <row r="4354" spans="1:16">
      <c r="A4354" s="2">
        <v>36738</v>
      </c>
      <c r="B4354" s="1">
        <v>30.06</v>
      </c>
      <c r="C4354" s="1">
        <v>30.25</v>
      </c>
      <c r="D4354" s="1">
        <v>27.88</v>
      </c>
      <c r="E4354" s="1">
        <v>30.13</v>
      </c>
      <c r="F4354" s="1">
        <v>9478800</v>
      </c>
      <c r="G4354" s="1">
        <v>30.13</v>
      </c>
      <c r="H4354" s="1">
        <f t="shared" si="603"/>
        <v>2.370000000000001</v>
      </c>
      <c r="I4354" s="9">
        <f t="shared" si="610"/>
        <v>8.5007173601147817E-2</v>
      </c>
      <c r="J4354" s="1">
        <f t="shared" si="611"/>
        <v>0.12999999999999901</v>
      </c>
      <c r="K4354" s="9">
        <f t="shared" si="604"/>
        <v>4.3333333333333002E-3</v>
      </c>
      <c r="L4354" s="1">
        <f t="shared" si="605"/>
        <v>1</v>
      </c>
      <c r="M4354" s="1">
        <f t="shared" si="606"/>
        <v>30.25</v>
      </c>
      <c r="N4354" s="1">
        <f t="shared" si="607"/>
        <v>27.88</v>
      </c>
      <c r="O4354" s="1">
        <f t="shared" si="608"/>
        <v>28.169999999999998</v>
      </c>
      <c r="P4354" s="1">
        <f t="shared" si="609"/>
        <v>14.372448979591836</v>
      </c>
    </row>
    <row r="4355" spans="1:16">
      <c r="A4355" s="2">
        <v>36735</v>
      </c>
      <c r="B4355" s="1">
        <v>31.44</v>
      </c>
      <c r="C4355" s="1">
        <v>32.130000000000003</v>
      </c>
      <c r="D4355" s="1">
        <v>29</v>
      </c>
      <c r="E4355" s="1">
        <v>30</v>
      </c>
      <c r="F4355" s="1">
        <v>12447000</v>
      </c>
      <c r="G4355" s="1">
        <v>30</v>
      </c>
      <c r="H4355" s="1">
        <f t="shared" ref="H4355:H4418" si="612">C4355-D4355</f>
        <v>3.1300000000000026</v>
      </c>
      <c r="I4355" s="9">
        <f t="shared" si="610"/>
        <v>0.1079310344827587</v>
      </c>
      <c r="J4355" s="1">
        <f t="shared" si="611"/>
        <v>-1.379999999999999</v>
      </c>
      <c r="K4355" s="9">
        <f t="shared" ref="K4355:K4418" si="613">(G4355-G4356)/G4356</f>
        <v>-4.3977055449330754E-2</v>
      </c>
      <c r="L4355" s="1">
        <f t="shared" ref="L4355:L4418" si="614">G4355/E4355</f>
        <v>1</v>
      </c>
      <c r="M4355" s="1">
        <f t="shared" ref="M4355:M4418" si="615">L4355*C4355</f>
        <v>32.130000000000003</v>
      </c>
      <c r="N4355" s="1">
        <f t="shared" ref="N4355:N4418" si="616">L4355*D4355</f>
        <v>29</v>
      </c>
      <c r="O4355" s="1">
        <f t="shared" ref="O4355:O4418" si="617">G4355-$G$5163</f>
        <v>28.04</v>
      </c>
      <c r="P4355" s="1">
        <f t="shared" ref="P4355:P4418" si="618">(G4355-$G$5163)/$G$5163</f>
        <v>14.306122448979592</v>
      </c>
    </row>
    <row r="4356" spans="1:16">
      <c r="A4356" s="2">
        <v>36734</v>
      </c>
      <c r="B4356" s="1">
        <v>31.44</v>
      </c>
      <c r="C4356" s="1">
        <v>32</v>
      </c>
      <c r="D4356" s="1">
        <v>29.75</v>
      </c>
      <c r="E4356" s="1">
        <v>31.38</v>
      </c>
      <c r="F4356" s="1">
        <v>23579300</v>
      </c>
      <c r="G4356" s="1">
        <v>31.38</v>
      </c>
      <c r="H4356" s="1">
        <f t="shared" si="612"/>
        <v>2.25</v>
      </c>
      <c r="I4356" s="9">
        <f t="shared" ref="I4356:I4419" si="619">(C4356-D4356)/D4356</f>
        <v>7.5630252100840331E-2</v>
      </c>
      <c r="J4356" s="1">
        <f t="shared" ref="J4356:J4419" si="620">G4356-G4357</f>
        <v>-4.6800000000000033</v>
      </c>
      <c r="K4356" s="9">
        <f t="shared" si="613"/>
        <v>-0.12978369384359409</v>
      </c>
      <c r="L4356" s="1">
        <f t="shared" si="614"/>
        <v>1</v>
      </c>
      <c r="M4356" s="1">
        <f t="shared" si="615"/>
        <v>32</v>
      </c>
      <c r="N4356" s="1">
        <f t="shared" si="616"/>
        <v>29.75</v>
      </c>
      <c r="O4356" s="1">
        <f t="shared" si="617"/>
        <v>29.419999999999998</v>
      </c>
      <c r="P4356" s="1">
        <f t="shared" si="618"/>
        <v>15.010204081632653</v>
      </c>
    </row>
    <row r="4357" spans="1:16">
      <c r="A4357" s="2">
        <v>36733</v>
      </c>
      <c r="B4357" s="1">
        <v>35.06</v>
      </c>
      <c r="C4357" s="1">
        <v>36.72</v>
      </c>
      <c r="D4357" s="1">
        <v>34.06</v>
      </c>
      <c r="E4357" s="1">
        <v>36.06</v>
      </c>
      <c r="F4357" s="1">
        <v>15547800</v>
      </c>
      <c r="G4357" s="1">
        <v>36.06</v>
      </c>
      <c r="H4357" s="1">
        <f t="shared" si="612"/>
        <v>2.6599999999999966</v>
      </c>
      <c r="I4357" s="9">
        <f t="shared" si="619"/>
        <v>7.8097475044039827E-2</v>
      </c>
      <c r="J4357" s="1">
        <f t="shared" si="620"/>
        <v>-1.5700000000000003</v>
      </c>
      <c r="K4357" s="9">
        <f t="shared" si="613"/>
        <v>-4.1722030294977418E-2</v>
      </c>
      <c r="L4357" s="1">
        <f t="shared" si="614"/>
        <v>1</v>
      </c>
      <c r="M4357" s="1">
        <f t="shared" si="615"/>
        <v>36.72</v>
      </c>
      <c r="N4357" s="1">
        <f t="shared" si="616"/>
        <v>34.06</v>
      </c>
      <c r="O4357" s="1">
        <f t="shared" si="617"/>
        <v>34.1</v>
      </c>
      <c r="P4357" s="1">
        <f t="shared" si="618"/>
        <v>17.397959183673471</v>
      </c>
    </row>
    <row r="4358" spans="1:16">
      <c r="A4358" s="2">
        <v>36732</v>
      </c>
      <c r="B4358" s="1">
        <v>36.75</v>
      </c>
      <c r="C4358" s="1">
        <v>38.75</v>
      </c>
      <c r="D4358" s="1">
        <v>33.25</v>
      </c>
      <c r="E4358" s="1">
        <v>37.630000000000003</v>
      </c>
      <c r="F4358" s="1">
        <v>27752500</v>
      </c>
      <c r="G4358" s="1">
        <v>37.630000000000003</v>
      </c>
      <c r="H4358" s="1">
        <f t="shared" si="612"/>
        <v>5.5</v>
      </c>
      <c r="I4358" s="9">
        <f t="shared" si="619"/>
        <v>0.16541353383458646</v>
      </c>
      <c r="J4358" s="1">
        <f t="shared" si="620"/>
        <v>-1.1199999999999974</v>
      </c>
      <c r="K4358" s="9">
        <f t="shared" si="613"/>
        <v>-2.8903225806451546E-2</v>
      </c>
      <c r="L4358" s="1">
        <f t="shared" si="614"/>
        <v>1</v>
      </c>
      <c r="M4358" s="1">
        <f t="shared" si="615"/>
        <v>38.75</v>
      </c>
      <c r="N4358" s="1">
        <f t="shared" si="616"/>
        <v>33.25</v>
      </c>
      <c r="O4358" s="1">
        <f t="shared" si="617"/>
        <v>35.67</v>
      </c>
      <c r="P4358" s="1">
        <f t="shared" si="618"/>
        <v>18.198979591836736</v>
      </c>
    </row>
    <row r="4359" spans="1:16">
      <c r="A4359" s="2">
        <v>36731</v>
      </c>
      <c r="B4359" s="1">
        <v>41.06</v>
      </c>
      <c r="C4359" s="1">
        <v>41.38</v>
      </c>
      <c r="D4359" s="1">
        <v>38.06</v>
      </c>
      <c r="E4359" s="1">
        <v>38.75</v>
      </c>
      <c r="F4359" s="1">
        <v>5778200</v>
      </c>
      <c r="G4359" s="1">
        <v>38.75</v>
      </c>
      <c r="H4359" s="1">
        <f t="shared" si="612"/>
        <v>3.3200000000000003</v>
      </c>
      <c r="I4359" s="9">
        <f t="shared" si="619"/>
        <v>8.7230688386757751E-2</v>
      </c>
      <c r="J4359" s="1">
        <f t="shared" si="620"/>
        <v>-2.3800000000000026</v>
      </c>
      <c r="K4359" s="9">
        <f t="shared" si="613"/>
        <v>-5.7865305130075428E-2</v>
      </c>
      <c r="L4359" s="1">
        <f t="shared" si="614"/>
        <v>1</v>
      </c>
      <c r="M4359" s="1">
        <f t="shared" si="615"/>
        <v>41.38</v>
      </c>
      <c r="N4359" s="1">
        <f t="shared" si="616"/>
        <v>38.06</v>
      </c>
      <c r="O4359" s="1">
        <f t="shared" si="617"/>
        <v>36.79</v>
      </c>
      <c r="P4359" s="1">
        <f t="shared" si="618"/>
        <v>18.770408163265305</v>
      </c>
    </row>
    <row r="4360" spans="1:16">
      <c r="A4360" s="2">
        <v>36728</v>
      </c>
      <c r="B4360" s="1">
        <v>40.44</v>
      </c>
      <c r="C4360" s="1">
        <v>42.5</v>
      </c>
      <c r="D4360" s="1">
        <v>40.44</v>
      </c>
      <c r="E4360" s="1">
        <v>41.13</v>
      </c>
      <c r="F4360" s="1">
        <v>4712900</v>
      </c>
      <c r="G4360" s="1">
        <v>41.13</v>
      </c>
      <c r="H4360" s="1">
        <f t="shared" si="612"/>
        <v>2.0600000000000023</v>
      </c>
      <c r="I4360" s="9">
        <f t="shared" si="619"/>
        <v>5.0939663699307677E-2</v>
      </c>
      <c r="J4360" s="1">
        <f t="shared" si="620"/>
        <v>0.82000000000000028</v>
      </c>
      <c r="K4360" s="9">
        <f t="shared" si="613"/>
        <v>2.0342346812205415E-2</v>
      </c>
      <c r="L4360" s="1">
        <f t="shared" si="614"/>
        <v>1</v>
      </c>
      <c r="M4360" s="1">
        <f t="shared" si="615"/>
        <v>42.5</v>
      </c>
      <c r="N4360" s="1">
        <f t="shared" si="616"/>
        <v>40.44</v>
      </c>
      <c r="O4360" s="1">
        <f t="shared" si="617"/>
        <v>39.17</v>
      </c>
      <c r="P4360" s="1">
        <f t="shared" si="618"/>
        <v>19.98469387755102</v>
      </c>
    </row>
    <row r="4361" spans="1:16">
      <c r="A4361" s="2">
        <v>36727</v>
      </c>
      <c r="B4361" s="1">
        <v>40.94</v>
      </c>
      <c r="C4361" s="1">
        <v>43.38</v>
      </c>
      <c r="D4361" s="1">
        <v>39.5</v>
      </c>
      <c r="E4361" s="1">
        <v>40.31</v>
      </c>
      <c r="F4361" s="1">
        <v>6945700</v>
      </c>
      <c r="G4361" s="1">
        <v>40.31</v>
      </c>
      <c r="H4361" s="1">
        <f t="shared" si="612"/>
        <v>3.8800000000000026</v>
      </c>
      <c r="I4361" s="9">
        <f t="shared" si="619"/>
        <v>9.8227848101265891E-2</v>
      </c>
      <c r="J4361" s="1">
        <f t="shared" si="620"/>
        <v>-0.57000000000000028</v>
      </c>
      <c r="K4361" s="9">
        <f t="shared" si="613"/>
        <v>-1.3943248532289634E-2</v>
      </c>
      <c r="L4361" s="1">
        <f t="shared" si="614"/>
        <v>1</v>
      </c>
      <c r="M4361" s="1">
        <f t="shared" si="615"/>
        <v>43.38</v>
      </c>
      <c r="N4361" s="1">
        <f t="shared" si="616"/>
        <v>39.5</v>
      </c>
      <c r="O4361" s="1">
        <f t="shared" si="617"/>
        <v>38.35</v>
      </c>
      <c r="P4361" s="1">
        <f t="shared" si="618"/>
        <v>19.566326530612248</v>
      </c>
    </row>
    <row r="4362" spans="1:16">
      <c r="A4362" s="2">
        <v>36726</v>
      </c>
      <c r="B4362" s="1">
        <v>41.5</v>
      </c>
      <c r="C4362" s="1">
        <v>41.56</v>
      </c>
      <c r="D4362" s="1">
        <v>39</v>
      </c>
      <c r="E4362" s="1">
        <v>40.880000000000003</v>
      </c>
      <c r="F4362" s="1">
        <v>4743700</v>
      </c>
      <c r="G4362" s="1">
        <v>40.880000000000003</v>
      </c>
      <c r="H4362" s="1">
        <f t="shared" si="612"/>
        <v>2.5600000000000023</v>
      </c>
      <c r="I4362" s="9">
        <f t="shared" si="619"/>
        <v>6.5641025641025696E-2</v>
      </c>
      <c r="J4362" s="1">
        <f t="shared" si="620"/>
        <v>-0.86999999999999744</v>
      </c>
      <c r="K4362" s="9">
        <f t="shared" si="613"/>
        <v>-2.0838323353293352E-2</v>
      </c>
      <c r="L4362" s="1">
        <f t="shared" si="614"/>
        <v>1</v>
      </c>
      <c r="M4362" s="1">
        <f t="shared" si="615"/>
        <v>41.56</v>
      </c>
      <c r="N4362" s="1">
        <f t="shared" si="616"/>
        <v>39</v>
      </c>
      <c r="O4362" s="1">
        <f t="shared" si="617"/>
        <v>38.92</v>
      </c>
      <c r="P4362" s="1">
        <f t="shared" si="618"/>
        <v>19.857142857142858</v>
      </c>
    </row>
    <row r="4363" spans="1:16">
      <c r="A4363" s="2">
        <v>36725</v>
      </c>
      <c r="B4363" s="1">
        <v>40.130000000000003</v>
      </c>
      <c r="C4363" s="1">
        <v>43.63</v>
      </c>
      <c r="D4363" s="1">
        <v>39.5</v>
      </c>
      <c r="E4363" s="1">
        <v>41.75</v>
      </c>
      <c r="F4363" s="1">
        <v>7958400</v>
      </c>
      <c r="G4363" s="1">
        <v>41.75</v>
      </c>
      <c r="H4363" s="1">
        <f t="shared" si="612"/>
        <v>4.1300000000000026</v>
      </c>
      <c r="I4363" s="9">
        <f t="shared" si="619"/>
        <v>0.10455696202531652</v>
      </c>
      <c r="J4363" s="1">
        <f t="shared" si="620"/>
        <v>0.61999999999999744</v>
      </c>
      <c r="K4363" s="9">
        <f t="shared" si="613"/>
        <v>1.5074155117918731E-2</v>
      </c>
      <c r="L4363" s="1">
        <f t="shared" si="614"/>
        <v>1</v>
      </c>
      <c r="M4363" s="1">
        <f t="shared" si="615"/>
        <v>43.63</v>
      </c>
      <c r="N4363" s="1">
        <f t="shared" si="616"/>
        <v>39.5</v>
      </c>
      <c r="O4363" s="1">
        <f t="shared" si="617"/>
        <v>39.79</v>
      </c>
      <c r="P4363" s="1">
        <f t="shared" si="618"/>
        <v>20.301020408163264</v>
      </c>
    </row>
    <row r="4364" spans="1:16">
      <c r="A4364" s="2">
        <v>36724</v>
      </c>
      <c r="B4364" s="1">
        <v>42.88</v>
      </c>
      <c r="C4364" s="1">
        <v>43.94</v>
      </c>
      <c r="D4364" s="1">
        <v>40.25</v>
      </c>
      <c r="E4364" s="1">
        <v>41.13</v>
      </c>
      <c r="F4364" s="1">
        <v>6530000</v>
      </c>
      <c r="G4364" s="1">
        <v>41.13</v>
      </c>
      <c r="H4364" s="1">
        <f t="shared" si="612"/>
        <v>3.6899999999999977</v>
      </c>
      <c r="I4364" s="9">
        <f t="shared" si="619"/>
        <v>9.1677018633540316E-2</v>
      </c>
      <c r="J4364" s="1">
        <f t="shared" si="620"/>
        <v>-1.5</v>
      </c>
      <c r="K4364" s="9">
        <f t="shared" si="613"/>
        <v>-3.5186488388458829E-2</v>
      </c>
      <c r="L4364" s="1">
        <f t="shared" si="614"/>
        <v>1</v>
      </c>
      <c r="M4364" s="1">
        <f t="shared" si="615"/>
        <v>43.94</v>
      </c>
      <c r="N4364" s="1">
        <f t="shared" si="616"/>
        <v>40.25</v>
      </c>
      <c r="O4364" s="1">
        <f t="shared" si="617"/>
        <v>39.17</v>
      </c>
      <c r="P4364" s="1">
        <f t="shared" si="618"/>
        <v>19.98469387755102</v>
      </c>
    </row>
    <row r="4365" spans="1:16">
      <c r="A4365" s="2">
        <v>36721</v>
      </c>
      <c r="B4365" s="1">
        <v>36.380000000000003</v>
      </c>
      <c r="C4365" s="1">
        <v>43.2</v>
      </c>
      <c r="D4365" s="1">
        <v>36.31</v>
      </c>
      <c r="E4365" s="1">
        <v>42.63</v>
      </c>
      <c r="F4365" s="1">
        <v>22436100</v>
      </c>
      <c r="G4365" s="1">
        <v>42.63</v>
      </c>
      <c r="H4365" s="1">
        <f t="shared" si="612"/>
        <v>6.8900000000000006</v>
      </c>
      <c r="I4365" s="9">
        <f t="shared" si="619"/>
        <v>0.18975488846047922</v>
      </c>
      <c r="J4365" s="1">
        <f t="shared" si="620"/>
        <v>7.6300000000000026</v>
      </c>
      <c r="K4365" s="9">
        <f t="shared" si="613"/>
        <v>0.21800000000000008</v>
      </c>
      <c r="L4365" s="1">
        <f t="shared" si="614"/>
        <v>1</v>
      </c>
      <c r="M4365" s="1">
        <f t="shared" si="615"/>
        <v>43.2</v>
      </c>
      <c r="N4365" s="1">
        <f t="shared" si="616"/>
        <v>36.31</v>
      </c>
      <c r="O4365" s="1">
        <f t="shared" si="617"/>
        <v>40.67</v>
      </c>
      <c r="P4365" s="1">
        <f t="shared" si="618"/>
        <v>20.75</v>
      </c>
    </row>
    <row r="4366" spans="1:16">
      <c r="A4366" s="2">
        <v>36720</v>
      </c>
      <c r="B4366" s="1">
        <v>35.630000000000003</v>
      </c>
      <c r="C4366" s="1">
        <v>36</v>
      </c>
      <c r="D4366" s="1">
        <v>34.880000000000003</v>
      </c>
      <c r="E4366" s="1">
        <v>35</v>
      </c>
      <c r="F4366" s="1">
        <v>8597500</v>
      </c>
      <c r="G4366" s="1">
        <v>35</v>
      </c>
      <c r="H4366" s="1">
        <f t="shared" si="612"/>
        <v>1.1199999999999974</v>
      </c>
      <c r="I4366" s="9">
        <f t="shared" si="619"/>
        <v>3.2110091743119192E-2</v>
      </c>
      <c r="J4366" s="1">
        <f t="shared" si="620"/>
        <v>-6.0000000000002274E-2</v>
      </c>
      <c r="K4366" s="9">
        <f t="shared" si="613"/>
        <v>-1.711351968054828E-3</v>
      </c>
      <c r="L4366" s="1">
        <f t="shared" si="614"/>
        <v>1</v>
      </c>
      <c r="M4366" s="1">
        <f t="shared" si="615"/>
        <v>36</v>
      </c>
      <c r="N4366" s="1">
        <f t="shared" si="616"/>
        <v>34.880000000000003</v>
      </c>
      <c r="O4366" s="1">
        <f t="shared" si="617"/>
        <v>33.04</v>
      </c>
      <c r="P4366" s="1">
        <f t="shared" si="618"/>
        <v>16.857142857142858</v>
      </c>
    </row>
    <row r="4367" spans="1:16">
      <c r="A4367" s="2">
        <v>36719</v>
      </c>
      <c r="B4367" s="1">
        <v>35.44</v>
      </c>
      <c r="C4367" s="1">
        <v>36.130000000000003</v>
      </c>
      <c r="D4367" s="1">
        <v>34.25</v>
      </c>
      <c r="E4367" s="1">
        <v>35.06</v>
      </c>
      <c r="F4367" s="1">
        <v>11265900</v>
      </c>
      <c r="G4367" s="1">
        <v>35.06</v>
      </c>
      <c r="H4367" s="1">
        <f t="shared" si="612"/>
        <v>1.8800000000000026</v>
      </c>
      <c r="I4367" s="9">
        <f t="shared" si="619"/>
        <v>5.4890510948905187E-2</v>
      </c>
      <c r="J4367" s="1">
        <f t="shared" si="620"/>
        <v>1.9299999999999997</v>
      </c>
      <c r="K4367" s="9">
        <f t="shared" si="613"/>
        <v>5.8255357681859327E-2</v>
      </c>
      <c r="L4367" s="1">
        <f t="shared" si="614"/>
        <v>1</v>
      </c>
      <c r="M4367" s="1">
        <f t="shared" si="615"/>
        <v>36.130000000000003</v>
      </c>
      <c r="N4367" s="1">
        <f t="shared" si="616"/>
        <v>34.25</v>
      </c>
      <c r="O4367" s="1">
        <f t="shared" si="617"/>
        <v>33.1</v>
      </c>
      <c r="P4367" s="1">
        <f t="shared" si="618"/>
        <v>16.887755102040817</v>
      </c>
    </row>
    <row r="4368" spans="1:16">
      <c r="A4368" s="2">
        <v>36718</v>
      </c>
      <c r="B4368" s="1">
        <v>35.19</v>
      </c>
      <c r="C4368" s="1">
        <v>35.25</v>
      </c>
      <c r="D4368" s="1">
        <v>32.630000000000003</v>
      </c>
      <c r="E4368" s="1">
        <v>33.130000000000003</v>
      </c>
      <c r="F4368" s="1">
        <v>9896500</v>
      </c>
      <c r="G4368" s="1">
        <v>33.130000000000003</v>
      </c>
      <c r="H4368" s="1">
        <f t="shared" si="612"/>
        <v>2.6199999999999974</v>
      </c>
      <c r="I4368" s="9">
        <f t="shared" si="619"/>
        <v>8.0294207784247534E-2</v>
      </c>
      <c r="J4368" s="1">
        <f t="shared" si="620"/>
        <v>-1.9299999999999997</v>
      </c>
      <c r="K4368" s="9">
        <f t="shared" si="613"/>
        <v>-5.5048488305761541E-2</v>
      </c>
      <c r="L4368" s="1">
        <f t="shared" si="614"/>
        <v>1</v>
      </c>
      <c r="M4368" s="1">
        <f t="shared" si="615"/>
        <v>35.25</v>
      </c>
      <c r="N4368" s="1">
        <f t="shared" si="616"/>
        <v>32.630000000000003</v>
      </c>
      <c r="O4368" s="1">
        <f t="shared" si="617"/>
        <v>31.17</v>
      </c>
      <c r="P4368" s="1">
        <f t="shared" si="618"/>
        <v>15.903061224489797</v>
      </c>
    </row>
    <row r="4369" spans="1:16">
      <c r="A4369" s="2">
        <v>36717</v>
      </c>
      <c r="B4369" s="1">
        <v>36.380000000000003</v>
      </c>
      <c r="C4369" s="1">
        <v>36.380000000000003</v>
      </c>
      <c r="D4369" s="1">
        <v>35</v>
      </c>
      <c r="E4369" s="1">
        <v>35.06</v>
      </c>
      <c r="F4369" s="1">
        <v>4240600</v>
      </c>
      <c r="G4369" s="1">
        <v>35.06</v>
      </c>
      <c r="H4369" s="1">
        <f t="shared" si="612"/>
        <v>1.3800000000000026</v>
      </c>
      <c r="I4369" s="9">
        <f t="shared" si="619"/>
        <v>3.94285714285715E-2</v>
      </c>
      <c r="J4369" s="1">
        <f t="shared" si="620"/>
        <v>-1.0700000000000003</v>
      </c>
      <c r="K4369" s="9">
        <f t="shared" si="613"/>
        <v>-2.9615278162192091E-2</v>
      </c>
      <c r="L4369" s="1">
        <f t="shared" si="614"/>
        <v>1</v>
      </c>
      <c r="M4369" s="1">
        <f t="shared" si="615"/>
        <v>36.380000000000003</v>
      </c>
      <c r="N4369" s="1">
        <f t="shared" si="616"/>
        <v>35</v>
      </c>
      <c r="O4369" s="1">
        <f t="shared" si="617"/>
        <v>33.1</v>
      </c>
      <c r="P4369" s="1">
        <f t="shared" si="618"/>
        <v>16.887755102040817</v>
      </c>
    </row>
    <row r="4370" spans="1:16">
      <c r="A4370" s="2">
        <v>36714</v>
      </c>
      <c r="B4370" s="1">
        <v>36.130000000000003</v>
      </c>
      <c r="C4370" s="1">
        <v>37</v>
      </c>
      <c r="D4370" s="1">
        <v>35.25</v>
      </c>
      <c r="E4370" s="1">
        <v>36.130000000000003</v>
      </c>
      <c r="F4370" s="1">
        <v>3870600</v>
      </c>
      <c r="G4370" s="1">
        <v>36.130000000000003</v>
      </c>
      <c r="H4370" s="1">
        <f t="shared" si="612"/>
        <v>1.75</v>
      </c>
      <c r="I4370" s="9">
        <f t="shared" si="619"/>
        <v>4.9645390070921988E-2</v>
      </c>
      <c r="J4370" s="1">
        <f t="shared" si="620"/>
        <v>7.0000000000000284E-2</v>
      </c>
      <c r="K4370" s="9">
        <f t="shared" si="613"/>
        <v>1.9412090959512003E-3</v>
      </c>
      <c r="L4370" s="1">
        <f t="shared" si="614"/>
        <v>1</v>
      </c>
      <c r="M4370" s="1">
        <f t="shared" si="615"/>
        <v>37</v>
      </c>
      <c r="N4370" s="1">
        <f t="shared" si="616"/>
        <v>35.25</v>
      </c>
      <c r="O4370" s="1">
        <f t="shared" si="617"/>
        <v>34.17</v>
      </c>
      <c r="P4370" s="1">
        <f t="shared" si="618"/>
        <v>17.433673469387756</v>
      </c>
    </row>
    <row r="4371" spans="1:16">
      <c r="A4371" s="2">
        <v>36713</v>
      </c>
      <c r="B4371" s="1">
        <v>36.880000000000003</v>
      </c>
      <c r="C4371" s="1">
        <v>37.380000000000003</v>
      </c>
      <c r="D4371" s="1">
        <v>34.75</v>
      </c>
      <c r="E4371" s="1">
        <v>36.06</v>
      </c>
      <c r="F4371" s="1">
        <v>6767100</v>
      </c>
      <c r="G4371" s="1">
        <v>36.06</v>
      </c>
      <c r="H4371" s="1">
        <f t="shared" si="612"/>
        <v>2.6300000000000026</v>
      </c>
      <c r="I4371" s="9">
        <f t="shared" si="619"/>
        <v>7.5683453237410145E-2</v>
      </c>
      <c r="J4371" s="1">
        <f t="shared" si="620"/>
        <v>-0.43999999999999773</v>
      </c>
      <c r="K4371" s="9">
        <f t="shared" si="613"/>
        <v>-1.2054794520547883E-2</v>
      </c>
      <c r="L4371" s="1">
        <f t="shared" si="614"/>
        <v>1</v>
      </c>
      <c r="M4371" s="1">
        <f t="shared" si="615"/>
        <v>37.380000000000003</v>
      </c>
      <c r="N4371" s="1">
        <f t="shared" si="616"/>
        <v>34.75</v>
      </c>
      <c r="O4371" s="1">
        <f t="shared" si="617"/>
        <v>34.1</v>
      </c>
      <c r="P4371" s="1">
        <f t="shared" si="618"/>
        <v>17.397959183673471</v>
      </c>
    </row>
    <row r="4372" spans="1:16">
      <c r="A4372" s="2">
        <v>36712</v>
      </c>
      <c r="B4372" s="1">
        <v>37</v>
      </c>
      <c r="C4372" s="1">
        <v>38.5</v>
      </c>
      <c r="D4372" s="1">
        <v>36.380000000000003</v>
      </c>
      <c r="E4372" s="1">
        <v>36.5</v>
      </c>
      <c r="F4372" s="1">
        <v>4213600</v>
      </c>
      <c r="G4372" s="1">
        <v>36.5</v>
      </c>
      <c r="H4372" s="1">
        <f t="shared" si="612"/>
        <v>2.1199999999999974</v>
      </c>
      <c r="I4372" s="9">
        <f t="shared" si="619"/>
        <v>5.8273776800439728E-2</v>
      </c>
      <c r="J4372" s="1">
        <f t="shared" si="620"/>
        <v>-0.5</v>
      </c>
      <c r="K4372" s="9">
        <f t="shared" si="613"/>
        <v>-1.3513513513513514E-2</v>
      </c>
      <c r="L4372" s="1">
        <f t="shared" si="614"/>
        <v>1</v>
      </c>
      <c r="M4372" s="1">
        <f t="shared" si="615"/>
        <v>38.5</v>
      </c>
      <c r="N4372" s="1">
        <f t="shared" si="616"/>
        <v>36.380000000000003</v>
      </c>
      <c r="O4372" s="1">
        <f t="shared" si="617"/>
        <v>34.54</v>
      </c>
      <c r="P4372" s="1">
        <f t="shared" si="618"/>
        <v>17.622448979591837</v>
      </c>
    </row>
    <row r="4373" spans="1:16">
      <c r="A4373" s="2">
        <v>36710</v>
      </c>
      <c r="B4373" s="1">
        <v>36.69</v>
      </c>
      <c r="C4373" s="1">
        <v>37.5</v>
      </c>
      <c r="D4373" s="1">
        <v>36.5</v>
      </c>
      <c r="E4373" s="1">
        <v>37</v>
      </c>
      <c r="F4373" s="1">
        <v>1762400</v>
      </c>
      <c r="G4373" s="1">
        <v>37</v>
      </c>
      <c r="H4373" s="1">
        <f t="shared" si="612"/>
        <v>1</v>
      </c>
      <c r="I4373" s="9">
        <f t="shared" si="619"/>
        <v>2.7397260273972601E-2</v>
      </c>
      <c r="J4373" s="1">
        <f t="shared" si="620"/>
        <v>0.68999999999999773</v>
      </c>
      <c r="K4373" s="9">
        <f t="shared" si="613"/>
        <v>1.9003029468465923E-2</v>
      </c>
      <c r="L4373" s="1">
        <f t="shared" si="614"/>
        <v>1</v>
      </c>
      <c r="M4373" s="1">
        <f t="shared" si="615"/>
        <v>37.5</v>
      </c>
      <c r="N4373" s="1">
        <f t="shared" si="616"/>
        <v>36.5</v>
      </c>
      <c r="O4373" s="1">
        <f t="shared" si="617"/>
        <v>35.04</v>
      </c>
      <c r="P4373" s="1">
        <f t="shared" si="618"/>
        <v>17.877551020408163</v>
      </c>
    </row>
    <row r="4374" spans="1:16">
      <c r="A4374" s="2">
        <v>36707</v>
      </c>
      <c r="B4374" s="1">
        <v>37</v>
      </c>
      <c r="C4374" s="1">
        <v>37.25</v>
      </c>
      <c r="D4374" s="1">
        <v>35.5</v>
      </c>
      <c r="E4374" s="1">
        <v>36.31</v>
      </c>
      <c r="F4374" s="1">
        <v>6451900</v>
      </c>
      <c r="G4374" s="1">
        <v>36.31</v>
      </c>
      <c r="H4374" s="1">
        <f t="shared" si="612"/>
        <v>1.75</v>
      </c>
      <c r="I4374" s="9">
        <f t="shared" si="619"/>
        <v>4.9295774647887321E-2</v>
      </c>
      <c r="J4374" s="1">
        <f t="shared" si="620"/>
        <v>-0.82000000000000028</v>
      </c>
      <c r="K4374" s="9">
        <f t="shared" si="613"/>
        <v>-2.2084567734985194E-2</v>
      </c>
      <c r="L4374" s="1">
        <f t="shared" si="614"/>
        <v>1</v>
      </c>
      <c r="M4374" s="1">
        <f t="shared" si="615"/>
        <v>37.25</v>
      </c>
      <c r="N4374" s="1">
        <f t="shared" si="616"/>
        <v>35.5</v>
      </c>
      <c r="O4374" s="1">
        <f t="shared" si="617"/>
        <v>34.35</v>
      </c>
      <c r="P4374" s="1">
        <f t="shared" si="618"/>
        <v>17.525510204081634</v>
      </c>
    </row>
    <row r="4375" spans="1:16">
      <c r="A4375" s="2">
        <v>36706</v>
      </c>
      <c r="B4375" s="1">
        <v>37.130000000000003</v>
      </c>
      <c r="C4375" s="1">
        <v>38.5</v>
      </c>
      <c r="D4375" s="1">
        <v>36.130000000000003</v>
      </c>
      <c r="E4375" s="1">
        <v>37.130000000000003</v>
      </c>
      <c r="F4375" s="1">
        <v>8986500</v>
      </c>
      <c r="G4375" s="1">
        <v>37.130000000000003</v>
      </c>
      <c r="H4375" s="1">
        <f t="shared" si="612"/>
        <v>2.3699999999999974</v>
      </c>
      <c r="I4375" s="9">
        <f t="shared" si="619"/>
        <v>6.5596457237752481E-2</v>
      </c>
      <c r="J4375" s="1">
        <f t="shared" si="620"/>
        <v>-0.75</v>
      </c>
      <c r="K4375" s="9">
        <f t="shared" si="613"/>
        <v>-1.979936642027455E-2</v>
      </c>
      <c r="L4375" s="1">
        <f t="shared" si="614"/>
        <v>1</v>
      </c>
      <c r="M4375" s="1">
        <f t="shared" si="615"/>
        <v>38.5</v>
      </c>
      <c r="N4375" s="1">
        <f t="shared" si="616"/>
        <v>36.130000000000003</v>
      </c>
      <c r="O4375" s="1">
        <f t="shared" si="617"/>
        <v>35.17</v>
      </c>
      <c r="P4375" s="1">
        <f t="shared" si="618"/>
        <v>17.94387755102041</v>
      </c>
    </row>
    <row r="4376" spans="1:16">
      <c r="A4376" s="2">
        <v>36705</v>
      </c>
      <c r="B4376" s="1">
        <v>36.880000000000003</v>
      </c>
      <c r="C4376" s="1">
        <v>39.94</v>
      </c>
      <c r="D4376" s="1">
        <v>36.130000000000003</v>
      </c>
      <c r="E4376" s="1">
        <v>37.880000000000003</v>
      </c>
      <c r="F4376" s="1">
        <v>14874300</v>
      </c>
      <c r="G4376" s="1">
        <v>37.880000000000003</v>
      </c>
      <c r="H4376" s="1">
        <f t="shared" si="612"/>
        <v>3.8099999999999952</v>
      </c>
      <c r="I4376" s="9">
        <f t="shared" si="619"/>
        <v>0.10545253252145018</v>
      </c>
      <c r="J4376" s="1">
        <f t="shared" si="620"/>
        <v>1.3800000000000026</v>
      </c>
      <c r="K4376" s="9">
        <f t="shared" si="613"/>
        <v>3.7808219178082261E-2</v>
      </c>
      <c r="L4376" s="1">
        <f t="shared" si="614"/>
        <v>1</v>
      </c>
      <c r="M4376" s="1">
        <f t="shared" si="615"/>
        <v>39.94</v>
      </c>
      <c r="N4376" s="1">
        <f t="shared" si="616"/>
        <v>36.130000000000003</v>
      </c>
      <c r="O4376" s="1">
        <f t="shared" si="617"/>
        <v>35.92</v>
      </c>
      <c r="P4376" s="1">
        <f t="shared" si="618"/>
        <v>18.326530612244898</v>
      </c>
    </row>
    <row r="4377" spans="1:16">
      <c r="A4377" s="2">
        <v>36704</v>
      </c>
      <c r="B4377" s="1">
        <v>33.75</v>
      </c>
      <c r="C4377" s="1">
        <v>38.5</v>
      </c>
      <c r="D4377" s="1">
        <v>33.5</v>
      </c>
      <c r="E4377" s="1">
        <v>36.5</v>
      </c>
      <c r="F4377" s="1">
        <v>17638200</v>
      </c>
      <c r="G4377" s="1">
        <v>36.5</v>
      </c>
      <c r="H4377" s="1">
        <f t="shared" si="612"/>
        <v>5</v>
      </c>
      <c r="I4377" s="9">
        <f t="shared" si="619"/>
        <v>0.14925373134328357</v>
      </c>
      <c r="J4377" s="1">
        <f t="shared" si="620"/>
        <v>2.5600000000000023</v>
      </c>
      <c r="K4377" s="9">
        <f t="shared" si="613"/>
        <v>7.5427224513848035E-2</v>
      </c>
      <c r="L4377" s="1">
        <f t="shared" si="614"/>
        <v>1</v>
      </c>
      <c r="M4377" s="1">
        <f t="shared" si="615"/>
        <v>38.5</v>
      </c>
      <c r="N4377" s="1">
        <f t="shared" si="616"/>
        <v>33.5</v>
      </c>
      <c r="O4377" s="1">
        <f t="shared" si="617"/>
        <v>34.54</v>
      </c>
      <c r="P4377" s="1">
        <f t="shared" si="618"/>
        <v>17.622448979591837</v>
      </c>
    </row>
    <row r="4378" spans="1:16">
      <c r="A4378" s="2">
        <v>36703</v>
      </c>
      <c r="B4378" s="1">
        <v>35.31</v>
      </c>
      <c r="C4378" s="1">
        <v>35.33</v>
      </c>
      <c r="D4378" s="1">
        <v>32.81</v>
      </c>
      <c r="E4378" s="1">
        <v>33.94</v>
      </c>
      <c r="F4378" s="1">
        <v>21076400</v>
      </c>
      <c r="G4378" s="1">
        <v>33.94</v>
      </c>
      <c r="H4378" s="1">
        <f t="shared" si="612"/>
        <v>2.519999999999996</v>
      </c>
      <c r="I4378" s="9">
        <f t="shared" si="619"/>
        <v>7.6805851874428399E-2</v>
      </c>
      <c r="J4378" s="1">
        <f t="shared" si="620"/>
        <v>5.9999999999995168E-2</v>
      </c>
      <c r="K4378" s="9">
        <f t="shared" si="613"/>
        <v>1.7709563164107192E-3</v>
      </c>
      <c r="L4378" s="1">
        <f t="shared" si="614"/>
        <v>1</v>
      </c>
      <c r="M4378" s="1">
        <f t="shared" si="615"/>
        <v>35.33</v>
      </c>
      <c r="N4378" s="1">
        <f t="shared" si="616"/>
        <v>32.81</v>
      </c>
      <c r="O4378" s="1">
        <f t="shared" si="617"/>
        <v>31.979999999999997</v>
      </c>
      <c r="P4378" s="1">
        <f t="shared" si="618"/>
        <v>16.316326530612244</v>
      </c>
    </row>
    <row r="4379" spans="1:16">
      <c r="A4379" s="2">
        <v>36700</v>
      </c>
      <c r="B4379" s="1">
        <v>36.630000000000003</v>
      </c>
      <c r="C4379" s="1">
        <v>37</v>
      </c>
      <c r="D4379" s="1">
        <v>32.47</v>
      </c>
      <c r="E4379" s="1">
        <v>33.880000000000003</v>
      </c>
      <c r="F4379" s="1">
        <v>51838200</v>
      </c>
      <c r="G4379" s="1">
        <v>33.880000000000003</v>
      </c>
      <c r="H4379" s="1">
        <f t="shared" si="612"/>
        <v>4.5300000000000011</v>
      </c>
      <c r="I4379" s="9">
        <f t="shared" si="619"/>
        <v>0.13951339698182941</v>
      </c>
      <c r="J4379" s="1">
        <f t="shared" si="620"/>
        <v>-8.1199999999999974</v>
      </c>
      <c r="K4379" s="9">
        <f t="shared" si="613"/>
        <v>-0.19333333333333327</v>
      </c>
      <c r="L4379" s="1">
        <f t="shared" si="614"/>
        <v>1</v>
      </c>
      <c r="M4379" s="1">
        <f t="shared" si="615"/>
        <v>37</v>
      </c>
      <c r="N4379" s="1">
        <f t="shared" si="616"/>
        <v>32.47</v>
      </c>
      <c r="O4379" s="1">
        <f t="shared" si="617"/>
        <v>31.92</v>
      </c>
      <c r="P4379" s="1">
        <f t="shared" si="618"/>
        <v>16.285714285714288</v>
      </c>
    </row>
    <row r="4380" spans="1:16">
      <c r="A4380" s="2">
        <v>36699</v>
      </c>
      <c r="B4380" s="1">
        <v>46.19</v>
      </c>
      <c r="C4380" s="1">
        <v>46.44</v>
      </c>
      <c r="D4380" s="1">
        <v>41.63</v>
      </c>
      <c r="E4380" s="1">
        <v>42</v>
      </c>
      <c r="F4380" s="1">
        <v>10516100</v>
      </c>
      <c r="G4380" s="1">
        <v>42</v>
      </c>
      <c r="H4380" s="1">
        <f t="shared" si="612"/>
        <v>4.8099999999999952</v>
      </c>
      <c r="I4380" s="9">
        <f t="shared" si="619"/>
        <v>0.1155416766754743</v>
      </c>
      <c r="J4380" s="1">
        <f t="shared" si="620"/>
        <v>-4.0600000000000023</v>
      </c>
      <c r="K4380" s="9">
        <f t="shared" si="613"/>
        <v>-8.8145896656534994E-2</v>
      </c>
      <c r="L4380" s="1">
        <f t="shared" si="614"/>
        <v>1</v>
      </c>
      <c r="M4380" s="1">
        <f t="shared" si="615"/>
        <v>46.44</v>
      </c>
      <c r="N4380" s="1">
        <f t="shared" si="616"/>
        <v>41.63</v>
      </c>
      <c r="O4380" s="1">
        <f t="shared" si="617"/>
        <v>40.04</v>
      </c>
      <c r="P4380" s="1">
        <f t="shared" si="618"/>
        <v>20.428571428571427</v>
      </c>
    </row>
    <row r="4381" spans="1:16">
      <c r="A4381" s="2">
        <v>36698</v>
      </c>
      <c r="B4381" s="1">
        <v>45.44</v>
      </c>
      <c r="C4381" s="1">
        <v>46.94</v>
      </c>
      <c r="D4381" s="1">
        <v>45.06</v>
      </c>
      <c r="E4381" s="1">
        <v>46.06</v>
      </c>
      <c r="F4381" s="1">
        <v>3573300</v>
      </c>
      <c r="G4381" s="1">
        <v>46.06</v>
      </c>
      <c r="H4381" s="1">
        <f t="shared" si="612"/>
        <v>1.8799999999999955</v>
      </c>
      <c r="I4381" s="9">
        <f t="shared" si="619"/>
        <v>4.1722148246781963E-2</v>
      </c>
      <c r="J4381" s="1">
        <f t="shared" si="620"/>
        <v>-7.0000000000000284E-2</v>
      </c>
      <c r="K4381" s="9">
        <f t="shared" si="613"/>
        <v>-1.5174506828528134E-3</v>
      </c>
      <c r="L4381" s="1">
        <f t="shared" si="614"/>
        <v>1</v>
      </c>
      <c r="M4381" s="1">
        <f t="shared" si="615"/>
        <v>46.94</v>
      </c>
      <c r="N4381" s="1">
        <f t="shared" si="616"/>
        <v>45.06</v>
      </c>
      <c r="O4381" s="1">
        <f t="shared" si="617"/>
        <v>44.1</v>
      </c>
      <c r="P4381" s="1">
        <f t="shared" si="618"/>
        <v>22.5</v>
      </c>
    </row>
    <row r="4382" spans="1:16">
      <c r="A4382" s="2">
        <v>36697</v>
      </c>
      <c r="B4382" s="1">
        <v>45.88</v>
      </c>
      <c r="C4382" s="1">
        <v>48.63</v>
      </c>
      <c r="D4382" s="1">
        <v>45.13</v>
      </c>
      <c r="E4382" s="1">
        <v>46.13</v>
      </c>
      <c r="F4382" s="1">
        <v>6199100</v>
      </c>
      <c r="G4382" s="1">
        <v>46.13</v>
      </c>
      <c r="H4382" s="1">
        <f t="shared" si="612"/>
        <v>3.5</v>
      </c>
      <c r="I4382" s="9">
        <f t="shared" si="619"/>
        <v>7.7553733658320398E-2</v>
      </c>
      <c r="J4382" s="1">
        <f t="shared" si="620"/>
        <v>0.82000000000000028</v>
      </c>
      <c r="K4382" s="9">
        <f t="shared" si="613"/>
        <v>1.8097550209666746E-2</v>
      </c>
      <c r="L4382" s="1">
        <f t="shared" si="614"/>
        <v>1</v>
      </c>
      <c r="M4382" s="1">
        <f t="shared" si="615"/>
        <v>48.63</v>
      </c>
      <c r="N4382" s="1">
        <f t="shared" si="616"/>
        <v>45.13</v>
      </c>
      <c r="O4382" s="1">
        <f t="shared" si="617"/>
        <v>44.17</v>
      </c>
      <c r="P4382" s="1">
        <f t="shared" si="618"/>
        <v>22.535714285714288</v>
      </c>
    </row>
    <row r="4383" spans="1:16">
      <c r="A4383" s="2">
        <v>36696</v>
      </c>
      <c r="B4383" s="1">
        <v>45.5</v>
      </c>
      <c r="C4383" s="1">
        <v>45.88</v>
      </c>
      <c r="D4383" s="1">
        <v>43.5</v>
      </c>
      <c r="E4383" s="1">
        <v>45.31</v>
      </c>
      <c r="F4383" s="1">
        <v>5151500</v>
      </c>
      <c r="G4383" s="1">
        <v>45.31</v>
      </c>
      <c r="H4383" s="1">
        <f t="shared" si="612"/>
        <v>2.3800000000000026</v>
      </c>
      <c r="I4383" s="9">
        <f t="shared" si="619"/>
        <v>5.4712643678160977E-2</v>
      </c>
      <c r="J4383" s="1">
        <f t="shared" si="620"/>
        <v>-0.68999999999999773</v>
      </c>
      <c r="K4383" s="9">
        <f t="shared" si="613"/>
        <v>-1.4999999999999951E-2</v>
      </c>
      <c r="L4383" s="1">
        <f t="shared" si="614"/>
        <v>1</v>
      </c>
      <c r="M4383" s="1">
        <f t="shared" si="615"/>
        <v>45.88</v>
      </c>
      <c r="N4383" s="1">
        <f t="shared" si="616"/>
        <v>43.5</v>
      </c>
      <c r="O4383" s="1">
        <f t="shared" si="617"/>
        <v>43.35</v>
      </c>
      <c r="P4383" s="1">
        <f t="shared" si="618"/>
        <v>22.117346938775512</v>
      </c>
    </row>
    <row r="4384" spans="1:16">
      <c r="A4384" s="2">
        <v>36693</v>
      </c>
      <c r="B4384" s="1">
        <v>47.25</v>
      </c>
      <c r="C4384" s="1">
        <v>47.44</v>
      </c>
      <c r="D4384" s="1">
        <v>45.38</v>
      </c>
      <c r="E4384" s="1">
        <v>46</v>
      </c>
      <c r="F4384" s="1">
        <v>3070900</v>
      </c>
      <c r="G4384" s="1">
        <v>46</v>
      </c>
      <c r="H4384" s="1">
        <f t="shared" si="612"/>
        <v>2.0599999999999952</v>
      </c>
      <c r="I4384" s="9">
        <f t="shared" si="619"/>
        <v>4.5394446892904255E-2</v>
      </c>
      <c r="J4384" s="1">
        <f t="shared" si="620"/>
        <v>-0.31000000000000227</v>
      </c>
      <c r="K4384" s="9">
        <f t="shared" si="613"/>
        <v>-6.6940185705031798E-3</v>
      </c>
      <c r="L4384" s="1">
        <f t="shared" si="614"/>
        <v>1</v>
      </c>
      <c r="M4384" s="1">
        <f t="shared" si="615"/>
        <v>47.44</v>
      </c>
      <c r="N4384" s="1">
        <f t="shared" si="616"/>
        <v>45.38</v>
      </c>
      <c r="O4384" s="1">
        <f t="shared" si="617"/>
        <v>44.04</v>
      </c>
      <c r="P4384" s="1">
        <f t="shared" si="618"/>
        <v>22.469387755102041</v>
      </c>
    </row>
    <row r="4385" spans="1:16">
      <c r="A4385" s="2">
        <v>36692</v>
      </c>
      <c r="B4385" s="1">
        <v>47</v>
      </c>
      <c r="C4385" s="1">
        <v>47.94</v>
      </c>
      <c r="D4385" s="1">
        <v>45.31</v>
      </c>
      <c r="E4385" s="1">
        <v>46.31</v>
      </c>
      <c r="F4385" s="1">
        <v>3554700</v>
      </c>
      <c r="G4385" s="1">
        <v>46.31</v>
      </c>
      <c r="H4385" s="1">
        <f t="shared" si="612"/>
        <v>2.6299999999999955</v>
      </c>
      <c r="I4385" s="9">
        <f t="shared" si="619"/>
        <v>5.8044581770028587E-2</v>
      </c>
      <c r="J4385" s="1">
        <f t="shared" si="620"/>
        <v>-0.12999999999999545</v>
      </c>
      <c r="K4385" s="9">
        <f t="shared" si="613"/>
        <v>-2.7993109388457249E-3</v>
      </c>
      <c r="L4385" s="1">
        <f t="shared" si="614"/>
        <v>1</v>
      </c>
      <c r="M4385" s="1">
        <f t="shared" si="615"/>
        <v>47.94</v>
      </c>
      <c r="N4385" s="1">
        <f t="shared" si="616"/>
        <v>45.31</v>
      </c>
      <c r="O4385" s="1">
        <f t="shared" si="617"/>
        <v>44.35</v>
      </c>
      <c r="P4385" s="1">
        <f t="shared" si="618"/>
        <v>22.627551020408163</v>
      </c>
    </row>
    <row r="4386" spans="1:16">
      <c r="A4386" s="2">
        <v>36691</v>
      </c>
      <c r="B4386" s="1">
        <v>49.31</v>
      </c>
      <c r="C4386" s="1">
        <v>49.88</v>
      </c>
      <c r="D4386" s="1">
        <v>46</v>
      </c>
      <c r="E4386" s="1">
        <v>46.44</v>
      </c>
      <c r="F4386" s="1">
        <v>5020500</v>
      </c>
      <c r="G4386" s="1">
        <v>46.44</v>
      </c>
      <c r="H4386" s="1">
        <f t="shared" si="612"/>
        <v>3.8800000000000026</v>
      </c>
      <c r="I4386" s="9">
        <f t="shared" si="619"/>
        <v>8.4347826086956582E-2</v>
      </c>
      <c r="J4386" s="1">
        <f t="shared" si="620"/>
        <v>-2.5600000000000023</v>
      </c>
      <c r="K4386" s="9">
        <f t="shared" si="613"/>
        <v>-5.2244897959183717E-2</v>
      </c>
      <c r="L4386" s="1">
        <f t="shared" si="614"/>
        <v>1</v>
      </c>
      <c r="M4386" s="1">
        <f t="shared" si="615"/>
        <v>49.88</v>
      </c>
      <c r="N4386" s="1">
        <f t="shared" si="616"/>
        <v>46</v>
      </c>
      <c r="O4386" s="1">
        <f t="shared" si="617"/>
        <v>44.48</v>
      </c>
      <c r="P4386" s="1">
        <f t="shared" si="618"/>
        <v>22.693877551020407</v>
      </c>
    </row>
    <row r="4387" spans="1:16">
      <c r="A4387" s="2">
        <v>36690</v>
      </c>
      <c r="B4387" s="1">
        <v>48.19</v>
      </c>
      <c r="C4387" s="1">
        <v>49.5</v>
      </c>
      <c r="D4387" s="1">
        <v>46.25</v>
      </c>
      <c r="E4387" s="1">
        <v>49</v>
      </c>
      <c r="F4387" s="1">
        <v>4788500</v>
      </c>
      <c r="G4387" s="1">
        <v>49</v>
      </c>
      <c r="H4387" s="1">
        <f t="shared" si="612"/>
        <v>3.25</v>
      </c>
      <c r="I4387" s="9">
        <f t="shared" si="619"/>
        <v>7.0270270270270274E-2</v>
      </c>
      <c r="J4387" s="1">
        <f t="shared" si="620"/>
        <v>0.56000000000000227</v>
      </c>
      <c r="K4387" s="9">
        <f t="shared" si="613"/>
        <v>1.1560693641618545E-2</v>
      </c>
      <c r="L4387" s="1">
        <f t="shared" si="614"/>
        <v>1</v>
      </c>
      <c r="M4387" s="1">
        <f t="shared" si="615"/>
        <v>49.5</v>
      </c>
      <c r="N4387" s="1">
        <f t="shared" si="616"/>
        <v>46.25</v>
      </c>
      <c r="O4387" s="1">
        <f t="shared" si="617"/>
        <v>47.04</v>
      </c>
      <c r="P4387" s="1">
        <f t="shared" si="618"/>
        <v>24</v>
      </c>
    </row>
    <row r="4388" spans="1:16">
      <c r="A4388" s="2">
        <v>36689</v>
      </c>
      <c r="B4388" s="1">
        <v>52.19</v>
      </c>
      <c r="C4388" s="1">
        <v>52.19</v>
      </c>
      <c r="D4388" s="1">
        <v>47</v>
      </c>
      <c r="E4388" s="1">
        <v>48.44</v>
      </c>
      <c r="F4388" s="1">
        <v>3986000</v>
      </c>
      <c r="G4388" s="1">
        <v>48.44</v>
      </c>
      <c r="H4388" s="1">
        <f t="shared" si="612"/>
        <v>5.1899999999999977</v>
      </c>
      <c r="I4388" s="9">
        <f t="shared" si="619"/>
        <v>0.11042553191489357</v>
      </c>
      <c r="J4388" s="1">
        <f t="shared" si="620"/>
        <v>-3.75</v>
      </c>
      <c r="K4388" s="9">
        <f t="shared" si="613"/>
        <v>-7.1852845372676763E-2</v>
      </c>
      <c r="L4388" s="1">
        <f t="shared" si="614"/>
        <v>1</v>
      </c>
      <c r="M4388" s="1">
        <f t="shared" si="615"/>
        <v>52.19</v>
      </c>
      <c r="N4388" s="1">
        <f t="shared" si="616"/>
        <v>47</v>
      </c>
      <c r="O4388" s="1">
        <f t="shared" si="617"/>
        <v>46.48</v>
      </c>
      <c r="P4388" s="1">
        <f t="shared" si="618"/>
        <v>23.714285714285712</v>
      </c>
    </row>
    <row r="4389" spans="1:16">
      <c r="A4389" s="2">
        <v>36686</v>
      </c>
      <c r="B4389" s="1">
        <v>51.94</v>
      </c>
      <c r="C4389" s="1">
        <v>53.25</v>
      </c>
      <c r="D4389" s="1">
        <v>51.88</v>
      </c>
      <c r="E4389" s="1">
        <v>52.19</v>
      </c>
      <c r="F4389" s="1">
        <v>1922300</v>
      </c>
      <c r="G4389" s="1">
        <v>52.19</v>
      </c>
      <c r="H4389" s="1">
        <f t="shared" si="612"/>
        <v>1.3699999999999974</v>
      </c>
      <c r="I4389" s="9">
        <f t="shared" si="619"/>
        <v>2.6407093292212747E-2</v>
      </c>
      <c r="J4389" s="1">
        <f t="shared" si="620"/>
        <v>0.30999999999999517</v>
      </c>
      <c r="K4389" s="9">
        <f t="shared" si="613"/>
        <v>5.9753276792597369E-3</v>
      </c>
      <c r="L4389" s="1">
        <f t="shared" si="614"/>
        <v>1</v>
      </c>
      <c r="M4389" s="1">
        <f t="shared" si="615"/>
        <v>53.25</v>
      </c>
      <c r="N4389" s="1">
        <f t="shared" si="616"/>
        <v>51.88</v>
      </c>
      <c r="O4389" s="1">
        <f t="shared" si="617"/>
        <v>50.23</v>
      </c>
      <c r="P4389" s="1">
        <f t="shared" si="618"/>
        <v>25.627551020408163</v>
      </c>
    </row>
    <row r="4390" spans="1:16">
      <c r="A4390" s="2">
        <v>36685</v>
      </c>
      <c r="B4390" s="1">
        <v>52.56</v>
      </c>
      <c r="C4390" s="1">
        <v>53.44</v>
      </c>
      <c r="D4390" s="1">
        <v>51.63</v>
      </c>
      <c r="E4390" s="1">
        <v>51.88</v>
      </c>
      <c r="F4390" s="1">
        <v>3040300</v>
      </c>
      <c r="G4390" s="1">
        <v>51.88</v>
      </c>
      <c r="H4390" s="1">
        <f t="shared" si="612"/>
        <v>1.8099999999999952</v>
      </c>
      <c r="I4390" s="9">
        <f t="shared" si="619"/>
        <v>3.5057137323261572E-2</v>
      </c>
      <c r="J4390" s="1">
        <f t="shared" si="620"/>
        <v>7.0000000000000284E-2</v>
      </c>
      <c r="K4390" s="9">
        <f t="shared" si="613"/>
        <v>1.3510905230650508E-3</v>
      </c>
      <c r="L4390" s="1">
        <f t="shared" si="614"/>
        <v>1</v>
      </c>
      <c r="M4390" s="1">
        <f t="shared" si="615"/>
        <v>53.44</v>
      </c>
      <c r="N4390" s="1">
        <f t="shared" si="616"/>
        <v>51.63</v>
      </c>
      <c r="O4390" s="1">
        <f t="shared" si="617"/>
        <v>49.92</v>
      </c>
      <c r="P4390" s="1">
        <f t="shared" si="618"/>
        <v>25.469387755102041</v>
      </c>
    </row>
    <row r="4391" spans="1:16">
      <c r="A4391" s="2">
        <v>36684</v>
      </c>
      <c r="B4391" s="1">
        <v>51.88</v>
      </c>
      <c r="C4391" s="1">
        <v>52.19</v>
      </c>
      <c r="D4391" s="1">
        <v>50.13</v>
      </c>
      <c r="E4391" s="1">
        <v>51.81</v>
      </c>
      <c r="F4391" s="1">
        <v>3841200</v>
      </c>
      <c r="G4391" s="1">
        <v>51.81</v>
      </c>
      <c r="H4391" s="1">
        <f t="shared" si="612"/>
        <v>2.0599999999999952</v>
      </c>
      <c r="I4391" s="9">
        <f t="shared" si="619"/>
        <v>4.1093157789746558E-2</v>
      </c>
      <c r="J4391" s="1">
        <f t="shared" si="620"/>
        <v>1.25</v>
      </c>
      <c r="K4391" s="9">
        <f t="shared" si="613"/>
        <v>2.4723101265822785E-2</v>
      </c>
      <c r="L4391" s="1">
        <f t="shared" si="614"/>
        <v>1</v>
      </c>
      <c r="M4391" s="1">
        <f t="shared" si="615"/>
        <v>52.19</v>
      </c>
      <c r="N4391" s="1">
        <f t="shared" si="616"/>
        <v>50.13</v>
      </c>
      <c r="O4391" s="1">
        <f t="shared" si="617"/>
        <v>49.85</v>
      </c>
      <c r="P4391" s="1">
        <f t="shared" si="618"/>
        <v>25.433673469387756</v>
      </c>
    </row>
    <row r="4392" spans="1:16">
      <c r="A4392" s="2">
        <v>36683</v>
      </c>
      <c r="B4392" s="1">
        <v>54</v>
      </c>
      <c r="C4392" s="1">
        <v>54.56</v>
      </c>
      <c r="D4392" s="1">
        <v>50.25</v>
      </c>
      <c r="E4392" s="1">
        <v>50.56</v>
      </c>
      <c r="F4392" s="1">
        <v>4853100</v>
      </c>
      <c r="G4392" s="1">
        <v>50.56</v>
      </c>
      <c r="H4392" s="1">
        <f t="shared" si="612"/>
        <v>4.3100000000000023</v>
      </c>
      <c r="I4392" s="9">
        <f t="shared" si="619"/>
        <v>8.5771144278607006E-2</v>
      </c>
      <c r="J4392" s="1">
        <f t="shared" si="620"/>
        <v>-3.9399999999999977</v>
      </c>
      <c r="K4392" s="9">
        <f t="shared" si="613"/>
        <v>-7.2293577981651341E-2</v>
      </c>
      <c r="L4392" s="1">
        <f t="shared" si="614"/>
        <v>1</v>
      </c>
      <c r="M4392" s="1">
        <f t="shared" si="615"/>
        <v>54.56</v>
      </c>
      <c r="N4392" s="1">
        <f t="shared" si="616"/>
        <v>50.25</v>
      </c>
      <c r="O4392" s="1">
        <f t="shared" si="617"/>
        <v>48.6</v>
      </c>
      <c r="P4392" s="1">
        <f t="shared" si="618"/>
        <v>24.795918367346939</v>
      </c>
    </row>
    <row r="4393" spans="1:16">
      <c r="A4393" s="2">
        <v>36682</v>
      </c>
      <c r="B4393" s="1">
        <v>55.03</v>
      </c>
      <c r="C4393" s="1">
        <v>56.25</v>
      </c>
      <c r="D4393" s="1">
        <v>52.5</v>
      </c>
      <c r="E4393" s="1">
        <v>54.5</v>
      </c>
      <c r="F4393" s="1">
        <v>6813200</v>
      </c>
      <c r="G4393" s="1">
        <v>54.5</v>
      </c>
      <c r="H4393" s="1">
        <f t="shared" si="612"/>
        <v>3.75</v>
      </c>
      <c r="I4393" s="9">
        <f t="shared" si="619"/>
        <v>7.1428571428571425E-2</v>
      </c>
      <c r="J4393" s="1">
        <f t="shared" si="620"/>
        <v>-3.3800000000000026</v>
      </c>
      <c r="K4393" s="9">
        <f t="shared" si="613"/>
        <v>-5.8396682791983456E-2</v>
      </c>
      <c r="L4393" s="1">
        <f t="shared" si="614"/>
        <v>1</v>
      </c>
      <c r="M4393" s="1">
        <f t="shared" si="615"/>
        <v>56.25</v>
      </c>
      <c r="N4393" s="1">
        <f t="shared" si="616"/>
        <v>52.5</v>
      </c>
      <c r="O4393" s="1">
        <f t="shared" si="617"/>
        <v>52.54</v>
      </c>
      <c r="P4393" s="1">
        <f t="shared" si="618"/>
        <v>26.806122448979593</v>
      </c>
    </row>
    <row r="4394" spans="1:16">
      <c r="A4394" s="2">
        <v>36679</v>
      </c>
      <c r="B4394" s="1">
        <v>52.38</v>
      </c>
      <c r="C4394" s="1">
        <v>58.13</v>
      </c>
      <c r="D4394" s="1">
        <v>52.25</v>
      </c>
      <c r="E4394" s="1">
        <v>57.88</v>
      </c>
      <c r="F4394" s="1">
        <v>8322500</v>
      </c>
      <c r="G4394" s="1">
        <v>57.88</v>
      </c>
      <c r="H4394" s="1">
        <f t="shared" si="612"/>
        <v>5.8800000000000026</v>
      </c>
      <c r="I4394" s="9">
        <f t="shared" si="619"/>
        <v>0.11253588516746417</v>
      </c>
      <c r="J4394" s="1">
        <f t="shared" si="620"/>
        <v>7.6900000000000048</v>
      </c>
      <c r="K4394" s="9">
        <f t="shared" si="613"/>
        <v>0.1532177724646345</v>
      </c>
      <c r="L4394" s="1">
        <f t="shared" si="614"/>
        <v>1</v>
      </c>
      <c r="M4394" s="1">
        <f t="shared" si="615"/>
        <v>58.13</v>
      </c>
      <c r="N4394" s="1">
        <f t="shared" si="616"/>
        <v>52.25</v>
      </c>
      <c r="O4394" s="1">
        <f t="shared" si="617"/>
        <v>55.92</v>
      </c>
      <c r="P4394" s="1">
        <f t="shared" si="618"/>
        <v>28.530612244897959</v>
      </c>
    </row>
    <row r="4395" spans="1:16">
      <c r="A4395" s="2">
        <v>36678</v>
      </c>
      <c r="B4395" s="1">
        <v>48.88</v>
      </c>
      <c r="C4395" s="1">
        <v>51.13</v>
      </c>
      <c r="D4395" s="1">
        <v>46.38</v>
      </c>
      <c r="E4395" s="1">
        <v>50.19</v>
      </c>
      <c r="F4395" s="1">
        <v>7622200</v>
      </c>
      <c r="G4395" s="1">
        <v>50.19</v>
      </c>
      <c r="H4395" s="1">
        <f t="shared" si="612"/>
        <v>4.75</v>
      </c>
      <c r="I4395" s="9">
        <f t="shared" si="619"/>
        <v>0.10241483398016386</v>
      </c>
      <c r="J4395" s="1">
        <f t="shared" si="620"/>
        <v>1.8799999999999955</v>
      </c>
      <c r="K4395" s="9">
        <f t="shared" si="613"/>
        <v>3.8915338439246439E-2</v>
      </c>
      <c r="L4395" s="1">
        <f t="shared" si="614"/>
        <v>1</v>
      </c>
      <c r="M4395" s="1">
        <f t="shared" si="615"/>
        <v>51.13</v>
      </c>
      <c r="N4395" s="1">
        <f t="shared" si="616"/>
        <v>46.38</v>
      </c>
      <c r="O4395" s="1">
        <f t="shared" si="617"/>
        <v>48.23</v>
      </c>
      <c r="P4395" s="1">
        <f t="shared" si="618"/>
        <v>24.607142857142858</v>
      </c>
    </row>
    <row r="4396" spans="1:16">
      <c r="A4396" s="2">
        <v>36677</v>
      </c>
      <c r="B4396" s="1">
        <v>50.75</v>
      </c>
      <c r="C4396" s="1">
        <v>52.25</v>
      </c>
      <c r="D4396" s="1">
        <v>48.13</v>
      </c>
      <c r="E4396" s="1">
        <v>48.31</v>
      </c>
      <c r="F4396" s="1">
        <v>6882000</v>
      </c>
      <c r="G4396" s="1">
        <v>48.31</v>
      </c>
      <c r="H4396" s="1">
        <f t="shared" si="612"/>
        <v>4.1199999999999974</v>
      </c>
      <c r="I4396" s="9">
        <f t="shared" si="619"/>
        <v>8.5601495948472828E-2</v>
      </c>
      <c r="J4396" s="1">
        <f t="shared" si="620"/>
        <v>-3.4399999999999977</v>
      </c>
      <c r="K4396" s="9">
        <f t="shared" si="613"/>
        <v>-6.6473429951690782E-2</v>
      </c>
      <c r="L4396" s="1">
        <f t="shared" si="614"/>
        <v>1</v>
      </c>
      <c r="M4396" s="1">
        <f t="shared" si="615"/>
        <v>52.25</v>
      </c>
      <c r="N4396" s="1">
        <f t="shared" si="616"/>
        <v>48.13</v>
      </c>
      <c r="O4396" s="1">
        <f t="shared" si="617"/>
        <v>46.35</v>
      </c>
      <c r="P4396" s="1">
        <f t="shared" si="618"/>
        <v>23.647959183673471</v>
      </c>
    </row>
    <row r="4397" spans="1:16">
      <c r="A4397" s="2">
        <v>36676</v>
      </c>
      <c r="B4397" s="1">
        <v>47.31</v>
      </c>
      <c r="C4397" s="1">
        <v>51.88</v>
      </c>
      <c r="D4397" s="1">
        <v>47.31</v>
      </c>
      <c r="E4397" s="1">
        <v>51.75</v>
      </c>
      <c r="F4397" s="1">
        <v>5613200</v>
      </c>
      <c r="G4397" s="1">
        <v>51.75</v>
      </c>
      <c r="H4397" s="1">
        <f t="shared" si="612"/>
        <v>4.57</v>
      </c>
      <c r="I4397" s="9">
        <f t="shared" si="619"/>
        <v>9.6596913971676177E-2</v>
      </c>
      <c r="J4397" s="1">
        <f t="shared" si="620"/>
        <v>5.25</v>
      </c>
      <c r="K4397" s="9">
        <f t="shared" si="613"/>
        <v>0.11290322580645161</v>
      </c>
      <c r="L4397" s="1">
        <f t="shared" si="614"/>
        <v>1</v>
      </c>
      <c r="M4397" s="1">
        <f t="shared" si="615"/>
        <v>51.88</v>
      </c>
      <c r="N4397" s="1">
        <f t="shared" si="616"/>
        <v>47.31</v>
      </c>
      <c r="O4397" s="1">
        <f t="shared" si="617"/>
        <v>49.79</v>
      </c>
      <c r="P4397" s="1">
        <f t="shared" si="618"/>
        <v>25.403061224489797</v>
      </c>
    </row>
    <row r="4398" spans="1:16">
      <c r="A4398" s="2">
        <v>36672</v>
      </c>
      <c r="B4398" s="1">
        <v>46.25</v>
      </c>
      <c r="C4398" s="1">
        <v>47.75</v>
      </c>
      <c r="D4398" s="1">
        <v>44</v>
      </c>
      <c r="E4398" s="1">
        <v>46.5</v>
      </c>
      <c r="F4398" s="1">
        <v>3621000</v>
      </c>
      <c r="G4398" s="1">
        <v>46.5</v>
      </c>
      <c r="H4398" s="1">
        <f t="shared" si="612"/>
        <v>3.75</v>
      </c>
      <c r="I4398" s="9">
        <f t="shared" si="619"/>
        <v>8.5227272727272721E-2</v>
      </c>
      <c r="J4398" s="1">
        <f t="shared" si="620"/>
        <v>1</v>
      </c>
      <c r="K4398" s="9">
        <f t="shared" si="613"/>
        <v>2.197802197802198E-2</v>
      </c>
      <c r="L4398" s="1">
        <f t="shared" si="614"/>
        <v>1</v>
      </c>
      <c r="M4398" s="1">
        <f t="shared" si="615"/>
        <v>47.75</v>
      </c>
      <c r="N4398" s="1">
        <f t="shared" si="616"/>
        <v>44</v>
      </c>
      <c r="O4398" s="1">
        <f t="shared" si="617"/>
        <v>44.54</v>
      </c>
      <c r="P4398" s="1">
        <f t="shared" si="618"/>
        <v>22.724489795918366</v>
      </c>
    </row>
    <row r="4399" spans="1:16">
      <c r="A4399" s="2">
        <v>36671</v>
      </c>
      <c r="B4399" s="1">
        <v>49.5</v>
      </c>
      <c r="C4399" s="1">
        <v>50</v>
      </c>
      <c r="D4399" s="1">
        <v>45.5</v>
      </c>
      <c r="E4399" s="1">
        <v>45.5</v>
      </c>
      <c r="F4399" s="1">
        <v>4919500</v>
      </c>
      <c r="G4399" s="1">
        <v>45.5</v>
      </c>
      <c r="H4399" s="1">
        <f t="shared" si="612"/>
        <v>4.5</v>
      </c>
      <c r="I4399" s="9">
        <f t="shared" si="619"/>
        <v>9.8901098901098897E-2</v>
      </c>
      <c r="J4399" s="1">
        <f t="shared" si="620"/>
        <v>-3.0600000000000023</v>
      </c>
      <c r="K4399" s="9">
        <f t="shared" si="613"/>
        <v>-6.3014827018121958E-2</v>
      </c>
      <c r="L4399" s="1">
        <f t="shared" si="614"/>
        <v>1</v>
      </c>
      <c r="M4399" s="1">
        <f t="shared" si="615"/>
        <v>50</v>
      </c>
      <c r="N4399" s="1">
        <f t="shared" si="616"/>
        <v>45.5</v>
      </c>
      <c r="O4399" s="1">
        <f t="shared" si="617"/>
        <v>43.54</v>
      </c>
      <c r="P4399" s="1">
        <f t="shared" si="618"/>
        <v>22.214285714285715</v>
      </c>
    </row>
    <row r="4400" spans="1:16">
      <c r="A4400" s="2">
        <v>36670</v>
      </c>
      <c r="B4400" s="1">
        <v>46.44</v>
      </c>
      <c r="C4400" s="1">
        <v>49.75</v>
      </c>
      <c r="D4400" s="1">
        <v>40.44</v>
      </c>
      <c r="E4400" s="1">
        <v>48.56</v>
      </c>
      <c r="F4400" s="1">
        <v>11666600</v>
      </c>
      <c r="G4400" s="1">
        <v>48.56</v>
      </c>
      <c r="H4400" s="1">
        <f t="shared" si="612"/>
        <v>9.3100000000000023</v>
      </c>
      <c r="I4400" s="9">
        <f t="shared" si="619"/>
        <v>0.23021760633036603</v>
      </c>
      <c r="J4400" s="1">
        <f t="shared" si="620"/>
        <v>1.8700000000000045</v>
      </c>
      <c r="K4400" s="9">
        <f t="shared" si="613"/>
        <v>4.0051402869993674E-2</v>
      </c>
      <c r="L4400" s="1">
        <f t="shared" si="614"/>
        <v>1</v>
      </c>
      <c r="M4400" s="1">
        <f t="shared" si="615"/>
        <v>49.75</v>
      </c>
      <c r="N4400" s="1">
        <f t="shared" si="616"/>
        <v>40.44</v>
      </c>
      <c r="O4400" s="1">
        <f t="shared" si="617"/>
        <v>46.6</v>
      </c>
      <c r="P4400" s="1">
        <f t="shared" si="618"/>
        <v>23.775510204081634</v>
      </c>
    </row>
    <row r="4401" spans="1:16">
      <c r="A4401" s="2">
        <v>36669</v>
      </c>
      <c r="B4401" s="1">
        <v>50.5</v>
      </c>
      <c r="C4401" s="1">
        <v>51.88</v>
      </c>
      <c r="D4401" s="1">
        <v>46.5</v>
      </c>
      <c r="E4401" s="1">
        <v>46.69</v>
      </c>
      <c r="F4401" s="1">
        <v>5837200</v>
      </c>
      <c r="G4401" s="1">
        <v>46.69</v>
      </c>
      <c r="H4401" s="1">
        <f t="shared" si="612"/>
        <v>5.3800000000000026</v>
      </c>
      <c r="I4401" s="9">
        <f t="shared" si="619"/>
        <v>0.11569892473118285</v>
      </c>
      <c r="J4401" s="1">
        <f t="shared" si="620"/>
        <v>-5.1900000000000048</v>
      </c>
      <c r="K4401" s="9">
        <f t="shared" si="613"/>
        <v>-0.10003855050115661</v>
      </c>
      <c r="L4401" s="1">
        <f t="shared" si="614"/>
        <v>1</v>
      </c>
      <c r="M4401" s="1">
        <f t="shared" si="615"/>
        <v>51.88</v>
      </c>
      <c r="N4401" s="1">
        <f t="shared" si="616"/>
        <v>46.5</v>
      </c>
      <c r="O4401" s="1">
        <f t="shared" si="617"/>
        <v>44.73</v>
      </c>
      <c r="P4401" s="1">
        <f t="shared" si="618"/>
        <v>22.821428571428569</v>
      </c>
    </row>
    <row r="4402" spans="1:16">
      <c r="A4402" s="2">
        <v>36668</v>
      </c>
      <c r="B4402" s="1">
        <v>53</v>
      </c>
      <c r="C4402" s="1">
        <v>53.13</v>
      </c>
      <c r="D4402" s="1">
        <v>46.88</v>
      </c>
      <c r="E4402" s="1">
        <v>51.88</v>
      </c>
      <c r="F4402" s="1">
        <v>8272800</v>
      </c>
      <c r="G4402" s="1">
        <v>51.88</v>
      </c>
      <c r="H4402" s="1">
        <f t="shared" si="612"/>
        <v>6.25</v>
      </c>
      <c r="I4402" s="9">
        <f t="shared" si="619"/>
        <v>0.13331911262798635</v>
      </c>
      <c r="J4402" s="1">
        <f t="shared" si="620"/>
        <v>-0.75</v>
      </c>
      <c r="K4402" s="9">
        <f t="shared" si="613"/>
        <v>-1.4250427512825384E-2</v>
      </c>
      <c r="L4402" s="1">
        <f t="shared" si="614"/>
        <v>1</v>
      </c>
      <c r="M4402" s="1">
        <f t="shared" si="615"/>
        <v>53.13</v>
      </c>
      <c r="N4402" s="1">
        <f t="shared" si="616"/>
        <v>46.88</v>
      </c>
      <c r="O4402" s="1">
        <f t="shared" si="617"/>
        <v>49.92</v>
      </c>
      <c r="P4402" s="1">
        <f t="shared" si="618"/>
        <v>25.469387755102041</v>
      </c>
    </row>
    <row r="4403" spans="1:16">
      <c r="A4403" s="2">
        <v>36665</v>
      </c>
      <c r="B4403" s="1">
        <v>54.63</v>
      </c>
      <c r="C4403" s="1">
        <v>55.75</v>
      </c>
      <c r="D4403" s="1">
        <v>52.25</v>
      </c>
      <c r="E4403" s="1">
        <v>52.63</v>
      </c>
      <c r="F4403" s="1">
        <v>4610900</v>
      </c>
      <c r="G4403" s="1">
        <v>52.63</v>
      </c>
      <c r="H4403" s="1">
        <f t="shared" si="612"/>
        <v>3.5</v>
      </c>
      <c r="I4403" s="9">
        <f t="shared" si="619"/>
        <v>6.6985645933014357E-2</v>
      </c>
      <c r="J4403" s="1">
        <f t="shared" si="620"/>
        <v>-2.75</v>
      </c>
      <c r="K4403" s="9">
        <f t="shared" si="613"/>
        <v>-4.9656915854098947E-2</v>
      </c>
      <c r="L4403" s="1">
        <f t="shared" si="614"/>
        <v>1</v>
      </c>
      <c r="M4403" s="1">
        <f t="shared" si="615"/>
        <v>55.75</v>
      </c>
      <c r="N4403" s="1">
        <f t="shared" si="616"/>
        <v>52.25</v>
      </c>
      <c r="O4403" s="1">
        <f t="shared" si="617"/>
        <v>50.67</v>
      </c>
      <c r="P4403" s="1">
        <f t="shared" si="618"/>
        <v>25.852040816326532</v>
      </c>
    </row>
    <row r="4404" spans="1:16">
      <c r="A4404" s="2">
        <v>36664</v>
      </c>
      <c r="B4404" s="1">
        <v>60.38</v>
      </c>
      <c r="C4404" s="1">
        <v>60.88</v>
      </c>
      <c r="D4404" s="1">
        <v>55.13</v>
      </c>
      <c r="E4404" s="1">
        <v>55.38</v>
      </c>
      <c r="F4404" s="1">
        <v>4727000</v>
      </c>
      <c r="G4404" s="1">
        <v>55.38</v>
      </c>
      <c r="H4404" s="1">
        <f t="shared" si="612"/>
        <v>5.75</v>
      </c>
      <c r="I4404" s="9">
        <f t="shared" si="619"/>
        <v>0.1042989298022855</v>
      </c>
      <c r="J4404" s="1">
        <f t="shared" si="620"/>
        <v>-5.6199999999999974</v>
      </c>
      <c r="K4404" s="9">
        <f t="shared" si="613"/>
        <v>-9.213114754098356E-2</v>
      </c>
      <c r="L4404" s="1">
        <f t="shared" si="614"/>
        <v>1</v>
      </c>
      <c r="M4404" s="1">
        <f t="shared" si="615"/>
        <v>60.88</v>
      </c>
      <c r="N4404" s="1">
        <f t="shared" si="616"/>
        <v>55.13</v>
      </c>
      <c r="O4404" s="1">
        <f t="shared" si="617"/>
        <v>53.42</v>
      </c>
      <c r="P4404" s="1">
        <f t="shared" si="618"/>
        <v>27.255102040816329</v>
      </c>
    </row>
    <row r="4405" spans="1:16">
      <c r="A4405" s="2">
        <v>36663</v>
      </c>
      <c r="B4405" s="1">
        <v>57.19</v>
      </c>
      <c r="C4405" s="1">
        <v>62.38</v>
      </c>
      <c r="D4405" s="1">
        <v>57</v>
      </c>
      <c r="E4405" s="1">
        <v>61</v>
      </c>
      <c r="F4405" s="1">
        <v>6998600</v>
      </c>
      <c r="G4405" s="1">
        <v>61</v>
      </c>
      <c r="H4405" s="1">
        <f t="shared" si="612"/>
        <v>5.3800000000000026</v>
      </c>
      <c r="I4405" s="9">
        <f t="shared" si="619"/>
        <v>9.438596491228074E-2</v>
      </c>
      <c r="J4405" s="1">
        <f t="shared" si="620"/>
        <v>1.9399999999999977</v>
      </c>
      <c r="K4405" s="9">
        <f t="shared" si="613"/>
        <v>3.2847951236031112E-2</v>
      </c>
      <c r="L4405" s="1">
        <f t="shared" si="614"/>
        <v>1</v>
      </c>
      <c r="M4405" s="1">
        <f t="shared" si="615"/>
        <v>62.38</v>
      </c>
      <c r="N4405" s="1">
        <f t="shared" si="616"/>
        <v>57</v>
      </c>
      <c r="O4405" s="1">
        <f t="shared" si="617"/>
        <v>59.04</v>
      </c>
      <c r="P4405" s="1">
        <f t="shared" si="618"/>
        <v>30.122448979591837</v>
      </c>
    </row>
    <row r="4406" spans="1:16">
      <c r="A4406" s="2">
        <v>36662</v>
      </c>
      <c r="B4406" s="1">
        <v>57.13</v>
      </c>
      <c r="C4406" s="1">
        <v>59.88</v>
      </c>
      <c r="D4406" s="1">
        <v>56</v>
      </c>
      <c r="E4406" s="1">
        <v>59.06</v>
      </c>
      <c r="F4406" s="1">
        <v>6432200</v>
      </c>
      <c r="G4406" s="1">
        <v>59.06</v>
      </c>
      <c r="H4406" s="1">
        <f t="shared" si="612"/>
        <v>3.8800000000000026</v>
      </c>
      <c r="I4406" s="9">
        <f t="shared" si="619"/>
        <v>6.9285714285714325E-2</v>
      </c>
      <c r="J4406" s="1">
        <f t="shared" si="620"/>
        <v>3</v>
      </c>
      <c r="K4406" s="9">
        <f t="shared" si="613"/>
        <v>5.3514092044238314E-2</v>
      </c>
      <c r="L4406" s="1">
        <f t="shared" si="614"/>
        <v>1</v>
      </c>
      <c r="M4406" s="1">
        <f t="shared" si="615"/>
        <v>59.88</v>
      </c>
      <c r="N4406" s="1">
        <f t="shared" si="616"/>
        <v>56</v>
      </c>
      <c r="O4406" s="1">
        <f t="shared" si="617"/>
        <v>57.1</v>
      </c>
      <c r="P4406" s="1">
        <f t="shared" si="618"/>
        <v>29.132653061224492</v>
      </c>
    </row>
    <row r="4407" spans="1:16">
      <c r="A4407" s="2">
        <v>36661</v>
      </c>
      <c r="B4407" s="1">
        <v>53.63</v>
      </c>
      <c r="C4407" s="1">
        <v>56.5</v>
      </c>
      <c r="D4407" s="1">
        <v>50.88</v>
      </c>
      <c r="E4407" s="1">
        <v>56.06</v>
      </c>
      <c r="F4407" s="1">
        <v>4125400</v>
      </c>
      <c r="G4407" s="1">
        <v>56.06</v>
      </c>
      <c r="H4407" s="1">
        <f t="shared" si="612"/>
        <v>5.6199999999999974</v>
      </c>
      <c r="I4407" s="9">
        <f t="shared" si="619"/>
        <v>0.11045597484276724</v>
      </c>
      <c r="J4407" s="1">
        <f t="shared" si="620"/>
        <v>2.3100000000000023</v>
      </c>
      <c r="K4407" s="9">
        <f t="shared" si="613"/>
        <v>4.2976744186046557E-2</v>
      </c>
      <c r="L4407" s="1">
        <f t="shared" si="614"/>
        <v>1</v>
      </c>
      <c r="M4407" s="1">
        <f t="shared" si="615"/>
        <v>56.5</v>
      </c>
      <c r="N4407" s="1">
        <f t="shared" si="616"/>
        <v>50.88</v>
      </c>
      <c r="O4407" s="1">
        <f t="shared" si="617"/>
        <v>54.1</v>
      </c>
      <c r="P4407" s="1">
        <f t="shared" si="618"/>
        <v>27.602040816326532</v>
      </c>
    </row>
    <row r="4408" spans="1:16">
      <c r="A4408" s="2">
        <v>36658</v>
      </c>
      <c r="B4408" s="1">
        <v>54.69</v>
      </c>
      <c r="C4408" s="1">
        <v>56.5</v>
      </c>
      <c r="D4408" s="1">
        <v>53.13</v>
      </c>
      <c r="E4408" s="1">
        <v>53.75</v>
      </c>
      <c r="F4408" s="1">
        <v>3969600</v>
      </c>
      <c r="G4408" s="1">
        <v>53.75</v>
      </c>
      <c r="H4408" s="1">
        <f t="shared" si="612"/>
        <v>3.3699999999999974</v>
      </c>
      <c r="I4408" s="9">
        <f t="shared" si="619"/>
        <v>6.3429324298889464E-2</v>
      </c>
      <c r="J4408" s="1">
        <f t="shared" si="620"/>
        <v>-1.1300000000000026</v>
      </c>
      <c r="K4408" s="9">
        <f t="shared" si="613"/>
        <v>-2.0590379008746402E-2</v>
      </c>
      <c r="L4408" s="1">
        <f t="shared" si="614"/>
        <v>1</v>
      </c>
      <c r="M4408" s="1">
        <f t="shared" si="615"/>
        <v>56.5</v>
      </c>
      <c r="N4408" s="1">
        <f t="shared" si="616"/>
        <v>53.13</v>
      </c>
      <c r="O4408" s="1">
        <f t="shared" si="617"/>
        <v>51.79</v>
      </c>
      <c r="P4408" s="1">
        <f t="shared" si="618"/>
        <v>26.423469387755102</v>
      </c>
    </row>
    <row r="4409" spans="1:16">
      <c r="A4409" s="2">
        <v>36657</v>
      </c>
      <c r="B4409" s="1">
        <v>53.94</v>
      </c>
      <c r="C4409" s="1">
        <v>55.75</v>
      </c>
      <c r="D4409" s="1">
        <v>50.94</v>
      </c>
      <c r="E4409" s="1">
        <v>54.88</v>
      </c>
      <c r="F4409" s="1">
        <v>5580800</v>
      </c>
      <c r="G4409" s="1">
        <v>54.88</v>
      </c>
      <c r="H4409" s="1">
        <f t="shared" si="612"/>
        <v>4.8100000000000023</v>
      </c>
      <c r="I4409" s="9">
        <f t="shared" si="619"/>
        <v>9.4424813506085642E-2</v>
      </c>
      <c r="J4409" s="1">
        <f t="shared" si="620"/>
        <v>1.5700000000000003</v>
      </c>
      <c r="K4409" s="9">
        <f t="shared" si="613"/>
        <v>2.945038454323767E-2</v>
      </c>
      <c r="L4409" s="1">
        <f t="shared" si="614"/>
        <v>1</v>
      </c>
      <c r="M4409" s="1">
        <f t="shared" si="615"/>
        <v>55.75</v>
      </c>
      <c r="N4409" s="1">
        <f t="shared" si="616"/>
        <v>50.94</v>
      </c>
      <c r="O4409" s="1">
        <f t="shared" si="617"/>
        <v>52.92</v>
      </c>
      <c r="P4409" s="1">
        <f t="shared" si="618"/>
        <v>27</v>
      </c>
    </row>
    <row r="4410" spans="1:16">
      <c r="A4410" s="2">
        <v>36656</v>
      </c>
      <c r="B4410" s="1">
        <v>54.53</v>
      </c>
      <c r="C4410" s="1">
        <v>55.38</v>
      </c>
      <c r="D4410" s="1">
        <v>49</v>
      </c>
      <c r="E4410" s="1">
        <v>53.31</v>
      </c>
      <c r="F4410" s="1">
        <v>8711500</v>
      </c>
      <c r="G4410" s="1">
        <v>53.31</v>
      </c>
      <c r="H4410" s="1">
        <f t="shared" si="612"/>
        <v>6.3800000000000026</v>
      </c>
      <c r="I4410" s="9">
        <f t="shared" si="619"/>
        <v>0.13020408163265312</v>
      </c>
      <c r="J4410" s="1">
        <f t="shared" si="620"/>
        <v>-2.9399999999999977</v>
      </c>
      <c r="K4410" s="9">
        <f t="shared" si="613"/>
        <v>-5.2266666666666628E-2</v>
      </c>
      <c r="L4410" s="1">
        <f t="shared" si="614"/>
        <v>1</v>
      </c>
      <c r="M4410" s="1">
        <f t="shared" si="615"/>
        <v>55.38</v>
      </c>
      <c r="N4410" s="1">
        <f t="shared" si="616"/>
        <v>49</v>
      </c>
      <c r="O4410" s="1">
        <f t="shared" si="617"/>
        <v>51.35</v>
      </c>
      <c r="P4410" s="1">
        <f t="shared" si="618"/>
        <v>26.198979591836736</v>
      </c>
    </row>
    <row r="4411" spans="1:16">
      <c r="A4411" s="2">
        <v>36655</v>
      </c>
      <c r="B4411" s="1">
        <v>56.5</v>
      </c>
      <c r="C4411" s="1">
        <v>57.75</v>
      </c>
      <c r="D4411" s="1">
        <v>53</v>
      </c>
      <c r="E4411" s="1">
        <v>56.25</v>
      </c>
      <c r="F4411" s="1">
        <v>4551800</v>
      </c>
      <c r="G4411" s="1">
        <v>56.25</v>
      </c>
      <c r="H4411" s="1">
        <f t="shared" si="612"/>
        <v>4.75</v>
      </c>
      <c r="I4411" s="9">
        <f t="shared" si="619"/>
        <v>8.9622641509433956E-2</v>
      </c>
      <c r="J4411" s="1">
        <f t="shared" si="620"/>
        <v>0.22999999999999687</v>
      </c>
      <c r="K4411" s="9">
        <f t="shared" si="613"/>
        <v>4.1056765440913396E-3</v>
      </c>
      <c r="L4411" s="1">
        <f t="shared" si="614"/>
        <v>1</v>
      </c>
      <c r="M4411" s="1">
        <f t="shared" si="615"/>
        <v>57.75</v>
      </c>
      <c r="N4411" s="1">
        <f t="shared" si="616"/>
        <v>53</v>
      </c>
      <c r="O4411" s="1">
        <f t="shared" si="617"/>
        <v>54.29</v>
      </c>
      <c r="P4411" s="1">
        <f t="shared" si="618"/>
        <v>27.698979591836736</v>
      </c>
    </row>
    <row r="4412" spans="1:16">
      <c r="A4412" s="2">
        <v>36654</v>
      </c>
      <c r="B4412" s="1">
        <v>56.81</v>
      </c>
      <c r="C4412" s="1">
        <v>59.25</v>
      </c>
      <c r="D4412" s="1">
        <v>55.44</v>
      </c>
      <c r="E4412" s="1">
        <v>56.02</v>
      </c>
      <c r="F4412" s="1">
        <v>3950000</v>
      </c>
      <c r="G4412" s="1">
        <v>56.02</v>
      </c>
      <c r="H4412" s="1">
        <f t="shared" si="612"/>
        <v>3.8100000000000023</v>
      </c>
      <c r="I4412" s="9">
        <f t="shared" si="619"/>
        <v>6.8722943722943769E-2</v>
      </c>
      <c r="J4412" s="1">
        <f t="shared" si="620"/>
        <v>-2.4799999999999969</v>
      </c>
      <c r="K4412" s="9">
        <f t="shared" si="613"/>
        <v>-4.2393162393162341E-2</v>
      </c>
      <c r="L4412" s="1">
        <f t="shared" si="614"/>
        <v>1</v>
      </c>
      <c r="M4412" s="1">
        <f t="shared" si="615"/>
        <v>59.25</v>
      </c>
      <c r="N4412" s="1">
        <f t="shared" si="616"/>
        <v>55.44</v>
      </c>
      <c r="O4412" s="1">
        <f t="shared" si="617"/>
        <v>54.06</v>
      </c>
      <c r="P4412" s="1">
        <f t="shared" si="618"/>
        <v>27.581632653061227</v>
      </c>
    </row>
    <row r="4413" spans="1:16">
      <c r="A4413" s="2">
        <v>36651</v>
      </c>
      <c r="B4413" s="1">
        <v>54.63</v>
      </c>
      <c r="C4413" s="1">
        <v>58.63</v>
      </c>
      <c r="D4413" s="1">
        <v>54.13</v>
      </c>
      <c r="E4413" s="1">
        <v>58.5</v>
      </c>
      <c r="F4413" s="1">
        <v>4062100</v>
      </c>
      <c r="G4413" s="1">
        <v>58.5</v>
      </c>
      <c r="H4413" s="1">
        <f t="shared" si="612"/>
        <v>4.5</v>
      </c>
      <c r="I4413" s="9">
        <f t="shared" si="619"/>
        <v>8.3133197857010899E-2</v>
      </c>
      <c r="J4413" s="1">
        <f t="shared" si="620"/>
        <v>3.4399999999999977</v>
      </c>
      <c r="K4413" s="9">
        <f t="shared" si="613"/>
        <v>6.2477297493643252E-2</v>
      </c>
      <c r="L4413" s="1">
        <f t="shared" si="614"/>
        <v>1</v>
      </c>
      <c r="M4413" s="1">
        <f t="shared" si="615"/>
        <v>58.63</v>
      </c>
      <c r="N4413" s="1">
        <f t="shared" si="616"/>
        <v>54.13</v>
      </c>
      <c r="O4413" s="1">
        <f t="shared" si="617"/>
        <v>56.54</v>
      </c>
      <c r="P4413" s="1">
        <f t="shared" si="618"/>
        <v>28.846938775510203</v>
      </c>
    </row>
    <row r="4414" spans="1:16">
      <c r="A4414" s="2">
        <v>36650</v>
      </c>
      <c r="B4414" s="1">
        <v>54.25</v>
      </c>
      <c r="C4414" s="1">
        <v>56.5</v>
      </c>
      <c r="D4414" s="1">
        <v>53.13</v>
      </c>
      <c r="E4414" s="1">
        <v>55.06</v>
      </c>
      <c r="F4414" s="1">
        <v>4725200</v>
      </c>
      <c r="G4414" s="1">
        <v>55.06</v>
      </c>
      <c r="H4414" s="1">
        <f t="shared" si="612"/>
        <v>3.3699999999999974</v>
      </c>
      <c r="I4414" s="9">
        <f t="shared" si="619"/>
        <v>6.3429324298889464E-2</v>
      </c>
      <c r="J4414" s="1">
        <f t="shared" si="620"/>
        <v>0.92999999999999972</v>
      </c>
      <c r="K4414" s="9">
        <f t="shared" si="613"/>
        <v>1.7180860890448912E-2</v>
      </c>
      <c r="L4414" s="1">
        <f t="shared" si="614"/>
        <v>1</v>
      </c>
      <c r="M4414" s="1">
        <f t="shared" si="615"/>
        <v>56.5</v>
      </c>
      <c r="N4414" s="1">
        <f t="shared" si="616"/>
        <v>53.13</v>
      </c>
      <c r="O4414" s="1">
        <f t="shared" si="617"/>
        <v>53.1</v>
      </c>
      <c r="P4414" s="1">
        <f t="shared" si="618"/>
        <v>27.091836734693878</v>
      </c>
    </row>
    <row r="4415" spans="1:16">
      <c r="A4415" s="2">
        <v>36649</v>
      </c>
      <c r="B4415" s="1">
        <v>55.25</v>
      </c>
      <c r="C4415" s="1">
        <v>56.56</v>
      </c>
      <c r="D4415" s="1">
        <v>53</v>
      </c>
      <c r="E4415" s="1">
        <v>54.13</v>
      </c>
      <c r="F4415" s="1">
        <v>5424800</v>
      </c>
      <c r="G4415" s="1">
        <v>54.13</v>
      </c>
      <c r="H4415" s="1">
        <f t="shared" si="612"/>
        <v>3.5600000000000023</v>
      </c>
      <c r="I4415" s="9">
        <f t="shared" si="619"/>
        <v>6.7169811320754766E-2</v>
      </c>
      <c r="J4415" s="1">
        <f t="shared" si="620"/>
        <v>-2</v>
      </c>
      <c r="K4415" s="9">
        <f t="shared" si="613"/>
        <v>-3.5631569570639586E-2</v>
      </c>
      <c r="L4415" s="1">
        <f t="shared" si="614"/>
        <v>1</v>
      </c>
      <c r="M4415" s="1">
        <f t="shared" si="615"/>
        <v>56.56</v>
      </c>
      <c r="N4415" s="1">
        <f t="shared" si="616"/>
        <v>53</v>
      </c>
      <c r="O4415" s="1">
        <f t="shared" si="617"/>
        <v>52.17</v>
      </c>
      <c r="P4415" s="1">
        <f t="shared" si="618"/>
        <v>26.617346938775512</v>
      </c>
    </row>
    <row r="4416" spans="1:16">
      <c r="A4416" s="2">
        <v>36648</v>
      </c>
      <c r="B4416" s="1">
        <v>59.19</v>
      </c>
      <c r="C4416" s="1">
        <v>60</v>
      </c>
      <c r="D4416" s="1">
        <v>55.88</v>
      </c>
      <c r="E4416" s="1">
        <v>56.13</v>
      </c>
      <c r="F4416" s="1">
        <v>7427900</v>
      </c>
      <c r="G4416" s="1">
        <v>56.13</v>
      </c>
      <c r="H4416" s="1">
        <f t="shared" si="612"/>
        <v>4.1199999999999974</v>
      </c>
      <c r="I4416" s="9">
        <f t="shared" si="619"/>
        <v>7.3729420186113045E-2</v>
      </c>
      <c r="J4416" s="1">
        <f t="shared" si="620"/>
        <v>-3.8099999999999952</v>
      </c>
      <c r="K4416" s="9">
        <f t="shared" si="613"/>
        <v>-6.3563563563563491E-2</v>
      </c>
      <c r="L4416" s="1">
        <f t="shared" si="614"/>
        <v>1</v>
      </c>
      <c r="M4416" s="1">
        <f t="shared" si="615"/>
        <v>60</v>
      </c>
      <c r="N4416" s="1">
        <f t="shared" si="616"/>
        <v>55.88</v>
      </c>
      <c r="O4416" s="1">
        <f t="shared" si="617"/>
        <v>54.17</v>
      </c>
      <c r="P4416" s="1">
        <f t="shared" si="618"/>
        <v>27.637755102040817</v>
      </c>
    </row>
    <row r="4417" spans="1:16">
      <c r="A4417" s="2">
        <v>36647</v>
      </c>
      <c r="B4417" s="1">
        <v>56</v>
      </c>
      <c r="C4417" s="1">
        <v>60.31</v>
      </c>
      <c r="D4417" s="1">
        <v>55.25</v>
      </c>
      <c r="E4417" s="1">
        <v>59.94</v>
      </c>
      <c r="F4417" s="1">
        <v>8578500</v>
      </c>
      <c r="G4417" s="1">
        <v>59.94</v>
      </c>
      <c r="H4417" s="1">
        <f t="shared" si="612"/>
        <v>5.0600000000000023</v>
      </c>
      <c r="I4417" s="9">
        <f t="shared" si="619"/>
        <v>9.1583710407239866E-2</v>
      </c>
      <c r="J4417" s="1">
        <f t="shared" si="620"/>
        <v>4.75</v>
      </c>
      <c r="K4417" s="9">
        <f t="shared" si="613"/>
        <v>8.606631636165972E-2</v>
      </c>
      <c r="L4417" s="1">
        <f t="shared" si="614"/>
        <v>1</v>
      </c>
      <c r="M4417" s="1">
        <f t="shared" si="615"/>
        <v>60.31</v>
      </c>
      <c r="N4417" s="1">
        <f t="shared" si="616"/>
        <v>55.25</v>
      </c>
      <c r="O4417" s="1">
        <f t="shared" si="617"/>
        <v>57.98</v>
      </c>
      <c r="P4417" s="1">
        <f t="shared" si="618"/>
        <v>29.581632653061224</v>
      </c>
    </row>
    <row r="4418" spans="1:16">
      <c r="A4418" s="2">
        <v>36644</v>
      </c>
      <c r="B4418" s="1">
        <v>54</v>
      </c>
      <c r="C4418" s="1">
        <v>55.63</v>
      </c>
      <c r="D4418" s="1">
        <v>53.13</v>
      </c>
      <c r="E4418" s="1">
        <v>55.19</v>
      </c>
      <c r="F4418" s="1">
        <v>6833800</v>
      </c>
      <c r="G4418" s="1">
        <v>55.19</v>
      </c>
      <c r="H4418" s="1">
        <f t="shared" si="612"/>
        <v>2.5</v>
      </c>
      <c r="I4418" s="9">
        <f t="shared" si="619"/>
        <v>4.7054394880481833E-2</v>
      </c>
      <c r="J4418" s="1">
        <f t="shared" si="620"/>
        <v>2.3099999999999952</v>
      </c>
      <c r="K4418" s="9">
        <f t="shared" si="613"/>
        <v>4.36838124054462E-2</v>
      </c>
      <c r="L4418" s="1">
        <f t="shared" si="614"/>
        <v>1</v>
      </c>
      <c r="M4418" s="1">
        <f t="shared" si="615"/>
        <v>55.63</v>
      </c>
      <c r="N4418" s="1">
        <f t="shared" si="616"/>
        <v>53.13</v>
      </c>
      <c r="O4418" s="1">
        <f t="shared" si="617"/>
        <v>53.23</v>
      </c>
      <c r="P4418" s="1">
        <f t="shared" si="618"/>
        <v>27.158163265306122</v>
      </c>
    </row>
    <row r="4419" spans="1:16">
      <c r="A4419" s="2">
        <v>36643</v>
      </c>
      <c r="B4419" s="1">
        <v>49.31</v>
      </c>
      <c r="C4419" s="1">
        <v>55.25</v>
      </c>
      <c r="D4419" s="1">
        <v>48.5</v>
      </c>
      <c r="E4419" s="1">
        <v>52.88</v>
      </c>
      <c r="F4419" s="1">
        <v>11266000</v>
      </c>
      <c r="G4419" s="1">
        <v>52.88</v>
      </c>
      <c r="H4419" s="1">
        <f t="shared" ref="H4419:H4482" si="621">C4419-D4419</f>
        <v>6.75</v>
      </c>
      <c r="I4419" s="9">
        <f t="shared" si="619"/>
        <v>0.13917525773195877</v>
      </c>
      <c r="J4419" s="1">
        <f t="shared" si="620"/>
        <v>-0.61999999999999744</v>
      </c>
      <c r="K4419" s="9">
        <f t="shared" ref="K4419:K4482" si="622">(G4419-G4420)/G4420</f>
        <v>-1.1588785046728924E-2</v>
      </c>
      <c r="L4419" s="1">
        <f t="shared" ref="L4419:L4482" si="623">G4419/E4419</f>
        <v>1</v>
      </c>
      <c r="M4419" s="1">
        <f t="shared" ref="M4419:M4482" si="624">L4419*C4419</f>
        <v>55.25</v>
      </c>
      <c r="N4419" s="1">
        <f t="shared" ref="N4419:N4482" si="625">L4419*D4419</f>
        <v>48.5</v>
      </c>
      <c r="O4419" s="1">
        <f t="shared" ref="O4419:O4482" si="626">G4419-$G$5163</f>
        <v>50.92</v>
      </c>
      <c r="P4419" s="1">
        <f t="shared" ref="P4419:P4482" si="627">(G4419-$G$5163)/$G$5163</f>
        <v>25.979591836734695</v>
      </c>
    </row>
    <row r="4420" spans="1:16">
      <c r="A4420" s="2">
        <v>36642</v>
      </c>
      <c r="B4420" s="1">
        <v>53.31</v>
      </c>
      <c r="C4420" s="1">
        <v>57.44</v>
      </c>
      <c r="D4420" s="1">
        <v>52.45</v>
      </c>
      <c r="E4420" s="1">
        <v>53.5</v>
      </c>
      <c r="F4420" s="1">
        <v>12006400</v>
      </c>
      <c r="G4420" s="1">
        <v>53.5</v>
      </c>
      <c r="H4420" s="1">
        <f t="shared" si="621"/>
        <v>4.9899999999999949</v>
      </c>
      <c r="I4420" s="9">
        <f t="shared" ref="I4420:I4483" si="628">(C4420-D4420)/D4420</f>
        <v>9.5138226882745369E-2</v>
      </c>
      <c r="J4420" s="1">
        <f t="shared" ref="J4420:J4483" si="629">G4420-G4421</f>
        <v>1.0600000000000023</v>
      </c>
      <c r="K4420" s="9">
        <f t="shared" si="622"/>
        <v>2.0213577421815454E-2</v>
      </c>
      <c r="L4420" s="1">
        <f t="shared" si="623"/>
        <v>1</v>
      </c>
      <c r="M4420" s="1">
        <f t="shared" si="624"/>
        <v>57.44</v>
      </c>
      <c r="N4420" s="1">
        <f t="shared" si="625"/>
        <v>52.45</v>
      </c>
      <c r="O4420" s="1">
        <f t="shared" si="626"/>
        <v>51.54</v>
      </c>
      <c r="P4420" s="1">
        <f t="shared" si="627"/>
        <v>26.295918367346939</v>
      </c>
    </row>
    <row r="4421" spans="1:16">
      <c r="A4421" s="2">
        <v>36641</v>
      </c>
      <c r="B4421" s="1">
        <v>51.81</v>
      </c>
      <c r="C4421" s="1">
        <v>54.13</v>
      </c>
      <c r="D4421" s="1">
        <v>50.25</v>
      </c>
      <c r="E4421" s="1">
        <v>52.44</v>
      </c>
      <c r="F4421" s="1">
        <v>7150400</v>
      </c>
      <c r="G4421" s="1">
        <v>52.44</v>
      </c>
      <c r="H4421" s="1">
        <f t="shared" si="621"/>
        <v>3.8800000000000026</v>
      </c>
      <c r="I4421" s="9">
        <f t="shared" si="628"/>
        <v>7.7213930348258755E-2</v>
      </c>
      <c r="J4421" s="1">
        <f t="shared" si="629"/>
        <v>2.6299999999999955</v>
      </c>
      <c r="K4421" s="9">
        <f t="shared" si="622"/>
        <v>5.280064244127676E-2</v>
      </c>
      <c r="L4421" s="1">
        <f t="shared" si="623"/>
        <v>1</v>
      </c>
      <c r="M4421" s="1">
        <f t="shared" si="624"/>
        <v>54.13</v>
      </c>
      <c r="N4421" s="1">
        <f t="shared" si="625"/>
        <v>50.25</v>
      </c>
      <c r="O4421" s="1">
        <f t="shared" si="626"/>
        <v>50.48</v>
      </c>
      <c r="P4421" s="1">
        <f t="shared" si="627"/>
        <v>25.755102040816325</v>
      </c>
    </row>
    <row r="4422" spans="1:16">
      <c r="A4422" s="2">
        <v>36640</v>
      </c>
      <c r="B4422" s="1">
        <v>49.38</v>
      </c>
      <c r="C4422" s="1">
        <v>51.56</v>
      </c>
      <c r="D4422" s="1">
        <v>44.88</v>
      </c>
      <c r="E4422" s="1">
        <v>49.81</v>
      </c>
      <c r="F4422" s="1">
        <v>6693300</v>
      </c>
      <c r="G4422" s="1">
        <v>49.81</v>
      </c>
      <c r="H4422" s="1">
        <f t="shared" si="621"/>
        <v>6.68</v>
      </c>
      <c r="I4422" s="9">
        <f t="shared" si="628"/>
        <v>0.14884135472370766</v>
      </c>
      <c r="J4422" s="1">
        <f t="shared" si="629"/>
        <v>-2.5700000000000003</v>
      </c>
      <c r="K4422" s="9">
        <f t="shared" si="622"/>
        <v>-4.9064528445971749E-2</v>
      </c>
      <c r="L4422" s="1">
        <f t="shared" si="623"/>
        <v>1</v>
      </c>
      <c r="M4422" s="1">
        <f t="shared" si="624"/>
        <v>51.56</v>
      </c>
      <c r="N4422" s="1">
        <f t="shared" si="625"/>
        <v>44.88</v>
      </c>
      <c r="O4422" s="1">
        <f t="shared" si="626"/>
        <v>47.85</v>
      </c>
      <c r="P4422" s="1">
        <f t="shared" si="627"/>
        <v>24.413265306122451</v>
      </c>
    </row>
    <row r="4423" spans="1:16">
      <c r="A4423" s="2">
        <v>36636</v>
      </c>
      <c r="B4423" s="1">
        <v>53.38</v>
      </c>
      <c r="C4423" s="1">
        <v>53.69</v>
      </c>
      <c r="D4423" s="1">
        <v>49.88</v>
      </c>
      <c r="E4423" s="1">
        <v>52.38</v>
      </c>
      <c r="F4423" s="1">
        <v>4925300</v>
      </c>
      <c r="G4423" s="1">
        <v>52.38</v>
      </c>
      <c r="H4423" s="1">
        <f t="shared" si="621"/>
        <v>3.8099999999999952</v>
      </c>
      <c r="I4423" s="9">
        <f t="shared" si="628"/>
        <v>7.6383319967922914E-2</v>
      </c>
      <c r="J4423" s="1">
        <f t="shared" si="629"/>
        <v>-1.0599999999999952</v>
      </c>
      <c r="K4423" s="9">
        <f t="shared" si="622"/>
        <v>-1.9835329341317275E-2</v>
      </c>
      <c r="L4423" s="1">
        <f t="shared" si="623"/>
        <v>1</v>
      </c>
      <c r="M4423" s="1">
        <f t="shared" si="624"/>
        <v>53.69</v>
      </c>
      <c r="N4423" s="1">
        <f t="shared" si="625"/>
        <v>49.88</v>
      </c>
      <c r="O4423" s="1">
        <f t="shared" si="626"/>
        <v>50.42</v>
      </c>
      <c r="P4423" s="1">
        <f t="shared" si="627"/>
        <v>25.72448979591837</v>
      </c>
    </row>
    <row r="4424" spans="1:16">
      <c r="A4424" s="2">
        <v>36635</v>
      </c>
      <c r="B4424" s="1">
        <v>55.31</v>
      </c>
      <c r="C4424" s="1">
        <v>55.31</v>
      </c>
      <c r="D4424" s="1">
        <v>51.69</v>
      </c>
      <c r="E4424" s="1">
        <v>53.44</v>
      </c>
      <c r="F4424" s="1">
        <v>5373800</v>
      </c>
      <c r="G4424" s="1">
        <v>53.44</v>
      </c>
      <c r="H4424" s="1">
        <f t="shared" si="621"/>
        <v>3.6200000000000045</v>
      </c>
      <c r="I4424" s="9">
        <f t="shared" si="628"/>
        <v>7.003288837299293E-2</v>
      </c>
      <c r="J4424" s="1">
        <f t="shared" si="629"/>
        <v>-1.5</v>
      </c>
      <c r="K4424" s="9">
        <f t="shared" si="622"/>
        <v>-2.730251183108846E-2</v>
      </c>
      <c r="L4424" s="1">
        <f t="shared" si="623"/>
        <v>1</v>
      </c>
      <c r="M4424" s="1">
        <f t="shared" si="624"/>
        <v>55.31</v>
      </c>
      <c r="N4424" s="1">
        <f t="shared" si="625"/>
        <v>51.69</v>
      </c>
      <c r="O4424" s="1">
        <f t="shared" si="626"/>
        <v>51.48</v>
      </c>
      <c r="P4424" s="1">
        <f t="shared" si="627"/>
        <v>26.26530612244898</v>
      </c>
    </row>
    <row r="4425" spans="1:16">
      <c r="A4425" s="2">
        <v>36634</v>
      </c>
      <c r="B4425" s="1">
        <v>47.63</v>
      </c>
      <c r="C4425" s="1">
        <v>56.25</v>
      </c>
      <c r="D4425" s="1">
        <v>47.13</v>
      </c>
      <c r="E4425" s="1">
        <v>54.94</v>
      </c>
      <c r="F4425" s="1">
        <v>10735000</v>
      </c>
      <c r="G4425" s="1">
        <v>54.94</v>
      </c>
      <c r="H4425" s="1">
        <f t="shared" si="621"/>
        <v>9.1199999999999974</v>
      </c>
      <c r="I4425" s="9">
        <f t="shared" si="628"/>
        <v>0.19350732017823036</v>
      </c>
      <c r="J4425" s="1">
        <f t="shared" si="629"/>
        <v>7.8799999999999955</v>
      </c>
      <c r="K4425" s="9">
        <f t="shared" si="622"/>
        <v>0.16744581385465354</v>
      </c>
      <c r="L4425" s="1">
        <f t="shared" si="623"/>
        <v>1</v>
      </c>
      <c r="M4425" s="1">
        <f t="shared" si="624"/>
        <v>56.25</v>
      </c>
      <c r="N4425" s="1">
        <f t="shared" si="625"/>
        <v>47.13</v>
      </c>
      <c r="O4425" s="1">
        <f t="shared" si="626"/>
        <v>52.98</v>
      </c>
      <c r="P4425" s="1">
        <f t="shared" si="627"/>
        <v>27.030612244897959</v>
      </c>
    </row>
    <row r="4426" spans="1:16">
      <c r="A4426" s="2">
        <v>36633</v>
      </c>
      <c r="B4426" s="1">
        <v>45.25</v>
      </c>
      <c r="C4426" s="1">
        <v>52</v>
      </c>
      <c r="D4426" s="1">
        <v>44.63</v>
      </c>
      <c r="E4426" s="1">
        <v>47.06</v>
      </c>
      <c r="F4426" s="1">
        <v>12180900</v>
      </c>
      <c r="G4426" s="1">
        <v>47.06</v>
      </c>
      <c r="H4426" s="1">
        <f t="shared" si="621"/>
        <v>7.3699999999999974</v>
      </c>
      <c r="I4426" s="9">
        <f t="shared" si="628"/>
        <v>0.16513555904100374</v>
      </c>
      <c r="J4426" s="1">
        <f t="shared" si="629"/>
        <v>0.17999999999999972</v>
      </c>
      <c r="K4426" s="9">
        <f t="shared" si="622"/>
        <v>3.8395904436860006E-3</v>
      </c>
      <c r="L4426" s="1">
        <f t="shared" si="623"/>
        <v>1</v>
      </c>
      <c r="M4426" s="1">
        <f t="shared" si="624"/>
        <v>52</v>
      </c>
      <c r="N4426" s="1">
        <f t="shared" si="625"/>
        <v>44.63</v>
      </c>
      <c r="O4426" s="1">
        <f t="shared" si="626"/>
        <v>45.1</v>
      </c>
      <c r="P4426" s="1">
        <f t="shared" si="627"/>
        <v>23.010204081632654</v>
      </c>
    </row>
    <row r="4427" spans="1:16">
      <c r="A4427" s="2">
        <v>36630</v>
      </c>
      <c r="B4427" s="1">
        <v>47.88</v>
      </c>
      <c r="C4427" s="1">
        <v>52.38</v>
      </c>
      <c r="D4427" s="1">
        <v>40.81</v>
      </c>
      <c r="E4427" s="1">
        <v>46.88</v>
      </c>
      <c r="F4427" s="1">
        <v>20074500</v>
      </c>
      <c r="G4427" s="1">
        <v>46.88</v>
      </c>
      <c r="H4427" s="1">
        <f t="shared" si="621"/>
        <v>11.57</v>
      </c>
      <c r="I4427" s="9">
        <f t="shared" si="628"/>
        <v>0.28350894388630238</v>
      </c>
      <c r="J4427" s="1">
        <f t="shared" si="629"/>
        <v>-1.1199999999999974</v>
      </c>
      <c r="K4427" s="9">
        <f t="shared" si="622"/>
        <v>-2.3333333333333279E-2</v>
      </c>
      <c r="L4427" s="1">
        <f t="shared" si="623"/>
        <v>1</v>
      </c>
      <c r="M4427" s="1">
        <f t="shared" si="624"/>
        <v>52.38</v>
      </c>
      <c r="N4427" s="1">
        <f t="shared" si="625"/>
        <v>40.81</v>
      </c>
      <c r="O4427" s="1">
        <f t="shared" si="626"/>
        <v>44.92</v>
      </c>
      <c r="P4427" s="1">
        <f t="shared" si="627"/>
        <v>22.918367346938776</v>
      </c>
    </row>
    <row r="4428" spans="1:16">
      <c r="A4428" s="2">
        <v>36629</v>
      </c>
      <c r="B4428" s="1">
        <v>57.88</v>
      </c>
      <c r="C4428" s="1">
        <v>58.75</v>
      </c>
      <c r="D4428" s="1">
        <v>47.94</v>
      </c>
      <c r="E4428" s="1">
        <v>48</v>
      </c>
      <c r="F4428" s="1">
        <v>10679000</v>
      </c>
      <c r="G4428" s="1">
        <v>48</v>
      </c>
      <c r="H4428" s="1">
        <f t="shared" si="621"/>
        <v>10.810000000000002</v>
      </c>
      <c r="I4428" s="9">
        <f t="shared" si="628"/>
        <v>0.22549019607843143</v>
      </c>
      <c r="J4428" s="1">
        <f t="shared" si="629"/>
        <v>-8.3800000000000026</v>
      </c>
      <c r="K4428" s="9">
        <f t="shared" si="622"/>
        <v>-0.14863426747073435</v>
      </c>
      <c r="L4428" s="1">
        <f t="shared" si="623"/>
        <v>1</v>
      </c>
      <c r="M4428" s="1">
        <f t="shared" si="624"/>
        <v>58.75</v>
      </c>
      <c r="N4428" s="1">
        <f t="shared" si="625"/>
        <v>47.94</v>
      </c>
      <c r="O4428" s="1">
        <f t="shared" si="626"/>
        <v>46.04</v>
      </c>
      <c r="P4428" s="1">
        <f t="shared" si="627"/>
        <v>23.489795918367346</v>
      </c>
    </row>
    <row r="4429" spans="1:16">
      <c r="A4429" s="2">
        <v>36628</v>
      </c>
      <c r="B4429" s="1">
        <v>64</v>
      </c>
      <c r="C4429" s="1">
        <v>64.38</v>
      </c>
      <c r="D4429" s="1">
        <v>56.25</v>
      </c>
      <c r="E4429" s="1">
        <v>56.38</v>
      </c>
      <c r="F4429" s="1">
        <v>8695500</v>
      </c>
      <c r="G4429" s="1">
        <v>56.38</v>
      </c>
      <c r="H4429" s="1">
        <f t="shared" si="621"/>
        <v>8.1299999999999955</v>
      </c>
      <c r="I4429" s="9">
        <f t="shared" si="628"/>
        <v>0.14453333333333326</v>
      </c>
      <c r="J4429" s="1">
        <f t="shared" si="629"/>
        <v>-7</v>
      </c>
      <c r="K4429" s="9">
        <f t="shared" si="622"/>
        <v>-0.1104449353108236</v>
      </c>
      <c r="L4429" s="1">
        <f t="shared" si="623"/>
        <v>1</v>
      </c>
      <c r="M4429" s="1">
        <f t="shared" si="624"/>
        <v>64.38</v>
      </c>
      <c r="N4429" s="1">
        <f t="shared" si="625"/>
        <v>56.25</v>
      </c>
      <c r="O4429" s="1">
        <f t="shared" si="626"/>
        <v>54.42</v>
      </c>
      <c r="P4429" s="1">
        <f t="shared" si="627"/>
        <v>27.76530612244898</v>
      </c>
    </row>
    <row r="4430" spans="1:16">
      <c r="A4430" s="2">
        <v>36627</v>
      </c>
      <c r="B4430" s="1">
        <v>62.5</v>
      </c>
      <c r="C4430" s="1">
        <v>66</v>
      </c>
      <c r="D4430" s="1">
        <v>61.25</v>
      </c>
      <c r="E4430" s="1">
        <v>63.38</v>
      </c>
      <c r="F4430" s="1">
        <v>4706600</v>
      </c>
      <c r="G4430" s="1">
        <v>63.38</v>
      </c>
      <c r="H4430" s="1">
        <f t="shared" si="621"/>
        <v>4.75</v>
      </c>
      <c r="I4430" s="9">
        <f t="shared" si="628"/>
        <v>7.7551020408163265E-2</v>
      </c>
      <c r="J4430" s="1">
        <f t="shared" si="629"/>
        <v>0</v>
      </c>
      <c r="K4430" s="9">
        <f t="shared" si="622"/>
        <v>0</v>
      </c>
      <c r="L4430" s="1">
        <f t="shared" si="623"/>
        <v>1</v>
      </c>
      <c r="M4430" s="1">
        <f t="shared" si="624"/>
        <v>66</v>
      </c>
      <c r="N4430" s="1">
        <f t="shared" si="625"/>
        <v>61.25</v>
      </c>
      <c r="O4430" s="1">
        <f t="shared" si="626"/>
        <v>61.42</v>
      </c>
      <c r="P4430" s="1">
        <f t="shared" si="627"/>
        <v>31.336734693877553</v>
      </c>
    </row>
    <row r="4431" spans="1:16">
      <c r="A4431" s="2">
        <v>36626</v>
      </c>
      <c r="B4431" s="1">
        <v>67.25</v>
      </c>
      <c r="C4431" s="1">
        <v>68.44</v>
      </c>
      <c r="D4431" s="1">
        <v>63.25</v>
      </c>
      <c r="E4431" s="1">
        <v>63.38</v>
      </c>
      <c r="F4431" s="1">
        <v>4523600</v>
      </c>
      <c r="G4431" s="1">
        <v>63.38</v>
      </c>
      <c r="H4431" s="1">
        <f t="shared" si="621"/>
        <v>5.1899999999999977</v>
      </c>
      <c r="I4431" s="9">
        <f t="shared" si="628"/>
        <v>8.2055335968379411E-2</v>
      </c>
      <c r="J4431" s="1">
        <f t="shared" si="629"/>
        <v>-4.18</v>
      </c>
      <c r="K4431" s="9">
        <f t="shared" si="622"/>
        <v>-6.1870929544108937E-2</v>
      </c>
      <c r="L4431" s="1">
        <f t="shared" si="623"/>
        <v>1</v>
      </c>
      <c r="M4431" s="1">
        <f t="shared" si="624"/>
        <v>68.44</v>
      </c>
      <c r="N4431" s="1">
        <f t="shared" si="625"/>
        <v>63.25</v>
      </c>
      <c r="O4431" s="1">
        <f t="shared" si="626"/>
        <v>61.42</v>
      </c>
      <c r="P4431" s="1">
        <f t="shared" si="627"/>
        <v>31.336734693877553</v>
      </c>
    </row>
    <row r="4432" spans="1:16">
      <c r="A4432" s="2">
        <v>36623</v>
      </c>
      <c r="B4432" s="1">
        <v>65.13</v>
      </c>
      <c r="C4432" s="1">
        <v>68.63</v>
      </c>
      <c r="D4432" s="1">
        <v>64.13</v>
      </c>
      <c r="E4432" s="1">
        <v>67.56</v>
      </c>
      <c r="F4432" s="1">
        <v>6052300</v>
      </c>
      <c r="G4432" s="1">
        <v>67.56</v>
      </c>
      <c r="H4432" s="1">
        <f t="shared" si="621"/>
        <v>4.5</v>
      </c>
      <c r="I4432" s="9">
        <f t="shared" si="628"/>
        <v>7.0169967254015281E-2</v>
      </c>
      <c r="J4432" s="1">
        <f t="shared" si="629"/>
        <v>3.3100000000000023</v>
      </c>
      <c r="K4432" s="9">
        <f t="shared" si="622"/>
        <v>5.1517509727626497E-2</v>
      </c>
      <c r="L4432" s="1">
        <f t="shared" si="623"/>
        <v>1</v>
      </c>
      <c r="M4432" s="1">
        <f t="shared" si="624"/>
        <v>68.63</v>
      </c>
      <c r="N4432" s="1">
        <f t="shared" si="625"/>
        <v>64.13</v>
      </c>
      <c r="O4432" s="1">
        <f t="shared" si="626"/>
        <v>65.600000000000009</v>
      </c>
      <c r="P4432" s="1">
        <f t="shared" si="627"/>
        <v>33.469387755102048</v>
      </c>
    </row>
    <row r="4433" spans="1:16">
      <c r="A4433" s="2">
        <v>36622</v>
      </c>
      <c r="B4433" s="1">
        <v>63.44</v>
      </c>
      <c r="C4433" s="1">
        <v>65.5</v>
      </c>
      <c r="D4433" s="1">
        <v>61.88</v>
      </c>
      <c r="E4433" s="1">
        <v>64.25</v>
      </c>
      <c r="F4433" s="1">
        <v>6032700</v>
      </c>
      <c r="G4433" s="1">
        <v>64.25</v>
      </c>
      <c r="H4433" s="1">
        <f t="shared" si="621"/>
        <v>3.6199999999999974</v>
      </c>
      <c r="I4433" s="9">
        <f t="shared" si="628"/>
        <v>5.8500323206205518E-2</v>
      </c>
      <c r="J4433" s="1">
        <f t="shared" si="629"/>
        <v>2.0600000000000023</v>
      </c>
      <c r="K4433" s="9">
        <f t="shared" si="622"/>
        <v>3.3124296510693076E-2</v>
      </c>
      <c r="L4433" s="1">
        <f t="shared" si="623"/>
        <v>1</v>
      </c>
      <c r="M4433" s="1">
        <f t="shared" si="624"/>
        <v>65.5</v>
      </c>
      <c r="N4433" s="1">
        <f t="shared" si="625"/>
        <v>61.88</v>
      </c>
      <c r="O4433" s="1">
        <f t="shared" si="626"/>
        <v>62.29</v>
      </c>
      <c r="P4433" s="1">
        <f t="shared" si="627"/>
        <v>31.780612244897959</v>
      </c>
    </row>
    <row r="4434" spans="1:16">
      <c r="A4434" s="2">
        <v>36621</v>
      </c>
      <c r="B4434" s="1">
        <v>61.75</v>
      </c>
      <c r="C4434" s="1">
        <v>64.94</v>
      </c>
      <c r="D4434" s="1">
        <v>60.5</v>
      </c>
      <c r="E4434" s="1">
        <v>62.19</v>
      </c>
      <c r="F4434" s="1">
        <v>4900000</v>
      </c>
      <c r="G4434" s="1">
        <v>62.19</v>
      </c>
      <c r="H4434" s="1">
        <f t="shared" si="621"/>
        <v>4.4399999999999977</v>
      </c>
      <c r="I4434" s="9">
        <f t="shared" si="628"/>
        <v>7.3388429752066081E-2</v>
      </c>
      <c r="J4434" s="1">
        <f t="shared" si="629"/>
        <v>-1.75</v>
      </c>
      <c r="K4434" s="9">
        <f t="shared" si="622"/>
        <v>-2.7369408820769471E-2</v>
      </c>
      <c r="L4434" s="1">
        <f t="shared" si="623"/>
        <v>1</v>
      </c>
      <c r="M4434" s="1">
        <f t="shared" si="624"/>
        <v>64.94</v>
      </c>
      <c r="N4434" s="1">
        <f t="shared" si="625"/>
        <v>60.5</v>
      </c>
      <c r="O4434" s="1">
        <f t="shared" si="626"/>
        <v>60.23</v>
      </c>
      <c r="P4434" s="1">
        <f t="shared" si="627"/>
        <v>30.729591836734691</v>
      </c>
    </row>
    <row r="4435" spans="1:16">
      <c r="A4435" s="2">
        <v>36620</v>
      </c>
      <c r="B4435" s="1">
        <v>62.88</v>
      </c>
      <c r="C4435" s="1">
        <v>65.44</v>
      </c>
      <c r="D4435" s="1">
        <v>55.75</v>
      </c>
      <c r="E4435" s="1">
        <v>63.94</v>
      </c>
      <c r="F4435" s="1">
        <v>14318000</v>
      </c>
      <c r="G4435" s="1">
        <v>63.94</v>
      </c>
      <c r="H4435" s="1">
        <f t="shared" si="621"/>
        <v>9.6899999999999977</v>
      </c>
      <c r="I4435" s="9">
        <f t="shared" si="628"/>
        <v>0.17381165919282507</v>
      </c>
      <c r="J4435" s="1">
        <f t="shared" si="629"/>
        <v>0.37999999999999545</v>
      </c>
      <c r="K4435" s="9">
        <f t="shared" si="622"/>
        <v>5.9786028949023826E-3</v>
      </c>
      <c r="L4435" s="1">
        <f t="shared" si="623"/>
        <v>1</v>
      </c>
      <c r="M4435" s="1">
        <f t="shared" si="624"/>
        <v>65.44</v>
      </c>
      <c r="N4435" s="1">
        <f t="shared" si="625"/>
        <v>55.75</v>
      </c>
      <c r="O4435" s="1">
        <f t="shared" si="626"/>
        <v>61.98</v>
      </c>
      <c r="P4435" s="1">
        <f t="shared" si="627"/>
        <v>31.622448979591837</v>
      </c>
    </row>
    <row r="4436" spans="1:16">
      <c r="A4436" s="2">
        <v>36619</v>
      </c>
      <c r="B4436" s="1">
        <v>65.44</v>
      </c>
      <c r="C4436" s="1">
        <v>65.69</v>
      </c>
      <c r="D4436" s="1">
        <v>62</v>
      </c>
      <c r="E4436" s="1">
        <v>63.56</v>
      </c>
      <c r="F4436" s="1">
        <v>4865400</v>
      </c>
      <c r="G4436" s="1">
        <v>63.56</v>
      </c>
      <c r="H4436" s="1">
        <f t="shared" si="621"/>
        <v>3.6899999999999977</v>
      </c>
      <c r="I4436" s="9">
        <f t="shared" si="628"/>
        <v>5.9516129032258031E-2</v>
      </c>
      <c r="J4436" s="1">
        <f t="shared" si="629"/>
        <v>-3.4399999999999977</v>
      </c>
      <c r="K4436" s="9">
        <f t="shared" si="622"/>
        <v>-5.1343283582089519E-2</v>
      </c>
      <c r="L4436" s="1">
        <f t="shared" si="623"/>
        <v>1</v>
      </c>
      <c r="M4436" s="1">
        <f t="shared" si="624"/>
        <v>65.69</v>
      </c>
      <c r="N4436" s="1">
        <f t="shared" si="625"/>
        <v>62</v>
      </c>
      <c r="O4436" s="1">
        <f t="shared" si="626"/>
        <v>61.6</v>
      </c>
      <c r="P4436" s="1">
        <f t="shared" si="627"/>
        <v>31.428571428571431</v>
      </c>
    </row>
    <row r="4437" spans="1:16">
      <c r="A4437" s="2">
        <v>36616</v>
      </c>
      <c r="B4437" s="1">
        <v>66.75</v>
      </c>
      <c r="C4437" s="1">
        <v>67.13</v>
      </c>
      <c r="D4437" s="1">
        <v>63</v>
      </c>
      <c r="E4437" s="1">
        <v>67</v>
      </c>
      <c r="F4437" s="1">
        <v>5115500</v>
      </c>
      <c r="G4437" s="1">
        <v>67</v>
      </c>
      <c r="H4437" s="1">
        <f t="shared" si="621"/>
        <v>4.1299999999999955</v>
      </c>
      <c r="I4437" s="9">
        <f t="shared" si="628"/>
        <v>6.5555555555555478E-2</v>
      </c>
      <c r="J4437" s="1">
        <f t="shared" si="629"/>
        <v>0.5</v>
      </c>
      <c r="K4437" s="9">
        <f t="shared" si="622"/>
        <v>7.5187969924812026E-3</v>
      </c>
      <c r="L4437" s="1">
        <f t="shared" si="623"/>
        <v>1</v>
      </c>
      <c r="M4437" s="1">
        <f t="shared" si="624"/>
        <v>67.13</v>
      </c>
      <c r="N4437" s="1">
        <f t="shared" si="625"/>
        <v>63</v>
      </c>
      <c r="O4437" s="1">
        <f t="shared" si="626"/>
        <v>65.040000000000006</v>
      </c>
      <c r="P4437" s="1">
        <f t="shared" si="627"/>
        <v>33.183673469387756</v>
      </c>
    </row>
    <row r="4438" spans="1:16">
      <c r="A4438" s="2">
        <v>36615</v>
      </c>
      <c r="B4438" s="1">
        <v>64.5</v>
      </c>
      <c r="C4438" s="1">
        <v>67.38</v>
      </c>
      <c r="D4438" s="1">
        <v>64</v>
      </c>
      <c r="E4438" s="1">
        <v>66.5</v>
      </c>
      <c r="F4438" s="1">
        <v>5034000</v>
      </c>
      <c r="G4438" s="1">
        <v>66.5</v>
      </c>
      <c r="H4438" s="1">
        <f t="shared" si="621"/>
        <v>3.3799999999999955</v>
      </c>
      <c r="I4438" s="9">
        <f t="shared" si="628"/>
        <v>5.2812499999999929E-2</v>
      </c>
      <c r="J4438" s="1">
        <f t="shared" si="629"/>
        <v>0.25</v>
      </c>
      <c r="K4438" s="9">
        <f t="shared" si="622"/>
        <v>3.7735849056603774E-3</v>
      </c>
      <c r="L4438" s="1">
        <f t="shared" si="623"/>
        <v>1</v>
      </c>
      <c r="M4438" s="1">
        <f t="shared" si="624"/>
        <v>67.38</v>
      </c>
      <c r="N4438" s="1">
        <f t="shared" si="625"/>
        <v>64</v>
      </c>
      <c r="O4438" s="1">
        <f t="shared" si="626"/>
        <v>64.540000000000006</v>
      </c>
      <c r="P4438" s="1">
        <f t="shared" si="627"/>
        <v>32.928571428571431</v>
      </c>
    </row>
    <row r="4439" spans="1:16">
      <c r="A4439" s="2">
        <v>36614</v>
      </c>
      <c r="B4439" s="1">
        <v>69.5</v>
      </c>
      <c r="C4439" s="1">
        <v>69.88</v>
      </c>
      <c r="D4439" s="1">
        <v>65</v>
      </c>
      <c r="E4439" s="1">
        <v>66.25</v>
      </c>
      <c r="F4439" s="1">
        <v>5886500</v>
      </c>
      <c r="G4439" s="1">
        <v>66.25</v>
      </c>
      <c r="H4439" s="1">
        <f t="shared" si="621"/>
        <v>4.8799999999999955</v>
      </c>
      <c r="I4439" s="9">
        <f t="shared" si="628"/>
        <v>7.5076923076923013E-2</v>
      </c>
      <c r="J4439" s="1">
        <f t="shared" si="629"/>
        <v>-3.8799999999999955</v>
      </c>
      <c r="K4439" s="9">
        <f t="shared" si="622"/>
        <v>-5.5325823470697214E-2</v>
      </c>
      <c r="L4439" s="1">
        <f t="shared" si="623"/>
        <v>1</v>
      </c>
      <c r="M4439" s="1">
        <f t="shared" si="624"/>
        <v>69.88</v>
      </c>
      <c r="N4439" s="1">
        <f t="shared" si="625"/>
        <v>65</v>
      </c>
      <c r="O4439" s="1">
        <f t="shared" si="626"/>
        <v>64.290000000000006</v>
      </c>
      <c r="P4439" s="1">
        <f t="shared" si="627"/>
        <v>32.801020408163268</v>
      </c>
    </row>
    <row r="4440" spans="1:16">
      <c r="A4440" s="2">
        <v>36613</v>
      </c>
      <c r="B4440" s="1">
        <v>72.38</v>
      </c>
      <c r="C4440" s="1">
        <v>72.75</v>
      </c>
      <c r="D4440" s="1">
        <v>69.47</v>
      </c>
      <c r="E4440" s="1">
        <v>70.13</v>
      </c>
      <c r="F4440" s="1">
        <v>5197600</v>
      </c>
      <c r="G4440" s="1">
        <v>70.13</v>
      </c>
      <c r="H4440" s="1">
        <f t="shared" si="621"/>
        <v>3.2800000000000011</v>
      </c>
      <c r="I4440" s="9">
        <f t="shared" si="628"/>
        <v>4.7214625017993395E-2</v>
      </c>
      <c r="J4440" s="1">
        <f t="shared" si="629"/>
        <v>-3</v>
      </c>
      <c r="K4440" s="9">
        <f t="shared" si="622"/>
        <v>-4.1022836045398609E-2</v>
      </c>
      <c r="L4440" s="1">
        <f t="shared" si="623"/>
        <v>1</v>
      </c>
      <c r="M4440" s="1">
        <f t="shared" si="624"/>
        <v>72.75</v>
      </c>
      <c r="N4440" s="1">
        <f t="shared" si="625"/>
        <v>69.47</v>
      </c>
      <c r="O4440" s="1">
        <f t="shared" si="626"/>
        <v>68.17</v>
      </c>
      <c r="P4440" s="1">
        <f t="shared" si="627"/>
        <v>34.780612244897959</v>
      </c>
    </row>
    <row r="4441" spans="1:16">
      <c r="A4441" s="2">
        <v>36612</v>
      </c>
      <c r="B4441" s="1">
        <v>72.25</v>
      </c>
      <c r="C4441" s="1">
        <v>75.13</v>
      </c>
      <c r="D4441" s="1">
        <v>71.75</v>
      </c>
      <c r="E4441" s="1">
        <v>73.13</v>
      </c>
      <c r="F4441" s="1">
        <v>4748600</v>
      </c>
      <c r="G4441" s="1">
        <v>73.13</v>
      </c>
      <c r="H4441" s="1">
        <f t="shared" si="621"/>
        <v>3.3799999999999955</v>
      </c>
      <c r="I4441" s="9">
        <f t="shared" si="628"/>
        <v>4.7108013937282166E-2</v>
      </c>
      <c r="J4441" s="1">
        <f t="shared" si="629"/>
        <v>0.43999999999999773</v>
      </c>
      <c r="K4441" s="9">
        <f t="shared" si="622"/>
        <v>6.0531022148850979E-3</v>
      </c>
      <c r="L4441" s="1">
        <f t="shared" si="623"/>
        <v>1</v>
      </c>
      <c r="M4441" s="1">
        <f t="shared" si="624"/>
        <v>75.13</v>
      </c>
      <c r="N4441" s="1">
        <f t="shared" si="625"/>
        <v>71.75</v>
      </c>
      <c r="O4441" s="1">
        <f t="shared" si="626"/>
        <v>71.17</v>
      </c>
      <c r="P4441" s="1">
        <f t="shared" si="627"/>
        <v>36.311224489795919</v>
      </c>
    </row>
    <row r="4442" spans="1:16">
      <c r="A4442" s="2">
        <v>36609</v>
      </c>
      <c r="B4442" s="1">
        <v>74.63</v>
      </c>
      <c r="C4442" s="1">
        <v>75.25</v>
      </c>
      <c r="D4442" s="1">
        <v>71.31</v>
      </c>
      <c r="E4442" s="1">
        <v>72.69</v>
      </c>
      <c r="F4442" s="1">
        <v>9746000</v>
      </c>
      <c r="G4442" s="1">
        <v>72.69</v>
      </c>
      <c r="H4442" s="1">
        <f t="shared" si="621"/>
        <v>3.9399999999999977</v>
      </c>
      <c r="I4442" s="9">
        <f t="shared" si="628"/>
        <v>5.5251717851633679E-2</v>
      </c>
      <c r="J4442" s="1">
        <f t="shared" si="629"/>
        <v>5</v>
      </c>
      <c r="K4442" s="9">
        <f t="shared" si="622"/>
        <v>7.3866154527995276E-2</v>
      </c>
      <c r="L4442" s="1">
        <f t="shared" si="623"/>
        <v>1</v>
      </c>
      <c r="M4442" s="1">
        <f t="shared" si="624"/>
        <v>75.25</v>
      </c>
      <c r="N4442" s="1">
        <f t="shared" si="625"/>
        <v>71.31</v>
      </c>
      <c r="O4442" s="1">
        <f t="shared" si="626"/>
        <v>70.73</v>
      </c>
      <c r="P4442" s="1">
        <f t="shared" si="627"/>
        <v>36.086734693877553</v>
      </c>
    </row>
    <row r="4443" spans="1:16">
      <c r="A4443" s="2">
        <v>36608</v>
      </c>
      <c r="B4443" s="1">
        <v>69.5</v>
      </c>
      <c r="C4443" s="1">
        <v>70.94</v>
      </c>
      <c r="D4443" s="1">
        <v>67.5</v>
      </c>
      <c r="E4443" s="1">
        <v>67.69</v>
      </c>
      <c r="F4443" s="1">
        <v>5442100</v>
      </c>
      <c r="G4443" s="1">
        <v>67.69</v>
      </c>
      <c r="H4443" s="1">
        <f t="shared" si="621"/>
        <v>3.4399999999999977</v>
      </c>
      <c r="I4443" s="9">
        <f t="shared" si="628"/>
        <v>5.0962962962962932E-2</v>
      </c>
      <c r="J4443" s="1">
        <f t="shared" si="629"/>
        <v>-3</v>
      </c>
      <c r="K4443" s="9">
        <f t="shared" si="622"/>
        <v>-4.2438817371622577E-2</v>
      </c>
      <c r="L4443" s="1">
        <f t="shared" si="623"/>
        <v>1</v>
      </c>
      <c r="M4443" s="1">
        <f t="shared" si="624"/>
        <v>70.94</v>
      </c>
      <c r="N4443" s="1">
        <f t="shared" si="625"/>
        <v>67.5</v>
      </c>
      <c r="O4443" s="1">
        <f t="shared" si="626"/>
        <v>65.73</v>
      </c>
      <c r="P4443" s="1">
        <f t="shared" si="627"/>
        <v>33.535714285714292</v>
      </c>
    </row>
    <row r="4444" spans="1:16">
      <c r="A4444" s="2">
        <v>36607</v>
      </c>
      <c r="B4444" s="1">
        <v>70.88</v>
      </c>
      <c r="C4444" s="1">
        <v>74</v>
      </c>
      <c r="D4444" s="1">
        <v>69.25</v>
      </c>
      <c r="E4444" s="1">
        <v>70.69</v>
      </c>
      <c r="F4444" s="1">
        <v>11566400</v>
      </c>
      <c r="G4444" s="1">
        <v>70.69</v>
      </c>
      <c r="H4444" s="1">
        <f t="shared" si="621"/>
        <v>4.75</v>
      </c>
      <c r="I4444" s="9">
        <f t="shared" si="628"/>
        <v>6.8592057761732855E-2</v>
      </c>
      <c r="J4444" s="1">
        <f t="shared" si="629"/>
        <v>-1.6899999999999977</v>
      </c>
      <c r="K4444" s="9">
        <f t="shared" si="622"/>
        <v>-2.3348991434097788E-2</v>
      </c>
      <c r="L4444" s="1">
        <f t="shared" si="623"/>
        <v>1</v>
      </c>
      <c r="M4444" s="1">
        <f t="shared" si="624"/>
        <v>74</v>
      </c>
      <c r="N4444" s="1">
        <f t="shared" si="625"/>
        <v>69.25</v>
      </c>
      <c r="O4444" s="1">
        <f t="shared" si="626"/>
        <v>68.73</v>
      </c>
      <c r="P4444" s="1">
        <f t="shared" si="627"/>
        <v>35.066326530612244</v>
      </c>
    </row>
    <row r="4445" spans="1:16">
      <c r="A4445" s="2">
        <v>36606</v>
      </c>
      <c r="B4445" s="1">
        <v>65.13</v>
      </c>
      <c r="C4445" s="1">
        <v>73</v>
      </c>
      <c r="D4445" s="1">
        <v>62.25</v>
      </c>
      <c r="E4445" s="1">
        <v>72.38</v>
      </c>
      <c r="F4445" s="1">
        <v>17082900</v>
      </c>
      <c r="G4445" s="1">
        <v>72.38</v>
      </c>
      <c r="H4445" s="1">
        <f t="shared" si="621"/>
        <v>10.75</v>
      </c>
      <c r="I4445" s="9">
        <f t="shared" si="628"/>
        <v>0.17269076305220885</v>
      </c>
      <c r="J4445" s="1">
        <f t="shared" si="629"/>
        <v>8.1899999999999977</v>
      </c>
      <c r="K4445" s="9">
        <f t="shared" si="622"/>
        <v>0.12758996728462374</v>
      </c>
      <c r="L4445" s="1">
        <f t="shared" si="623"/>
        <v>1</v>
      </c>
      <c r="M4445" s="1">
        <f t="shared" si="624"/>
        <v>73</v>
      </c>
      <c r="N4445" s="1">
        <f t="shared" si="625"/>
        <v>62.25</v>
      </c>
      <c r="O4445" s="1">
        <f t="shared" si="626"/>
        <v>70.42</v>
      </c>
      <c r="P4445" s="1">
        <f t="shared" si="627"/>
        <v>35.928571428571431</v>
      </c>
    </row>
    <row r="4446" spans="1:16">
      <c r="A4446" s="2">
        <v>36605</v>
      </c>
      <c r="B4446" s="1">
        <v>63.5</v>
      </c>
      <c r="C4446" s="1">
        <v>64.5</v>
      </c>
      <c r="D4446" s="1">
        <v>62.38</v>
      </c>
      <c r="E4446" s="1">
        <v>64.19</v>
      </c>
      <c r="F4446" s="1">
        <v>5813500</v>
      </c>
      <c r="G4446" s="1">
        <v>64.19</v>
      </c>
      <c r="H4446" s="1">
        <f t="shared" si="621"/>
        <v>2.1199999999999974</v>
      </c>
      <c r="I4446" s="9">
        <f t="shared" si="628"/>
        <v>3.3985251683231764E-2</v>
      </c>
      <c r="J4446" s="1">
        <f t="shared" si="629"/>
        <v>-0.62000000000000455</v>
      </c>
      <c r="K4446" s="9">
        <f t="shared" si="622"/>
        <v>-9.5664249344237697E-3</v>
      </c>
      <c r="L4446" s="1">
        <f t="shared" si="623"/>
        <v>1</v>
      </c>
      <c r="M4446" s="1">
        <f t="shared" si="624"/>
        <v>64.5</v>
      </c>
      <c r="N4446" s="1">
        <f t="shared" si="625"/>
        <v>62.38</v>
      </c>
      <c r="O4446" s="1">
        <f t="shared" si="626"/>
        <v>62.23</v>
      </c>
      <c r="P4446" s="1">
        <f t="shared" si="627"/>
        <v>31.75</v>
      </c>
    </row>
    <row r="4447" spans="1:16">
      <c r="A4447" s="2">
        <v>36602</v>
      </c>
      <c r="B4447" s="1">
        <v>66.06</v>
      </c>
      <c r="C4447" s="1">
        <v>66.38</v>
      </c>
      <c r="D4447" s="1">
        <v>64.5</v>
      </c>
      <c r="E4447" s="1">
        <v>64.81</v>
      </c>
      <c r="F4447" s="1">
        <v>5298500</v>
      </c>
      <c r="G4447" s="1">
        <v>64.81</v>
      </c>
      <c r="H4447" s="1">
        <f t="shared" si="621"/>
        <v>1.8799999999999955</v>
      </c>
      <c r="I4447" s="9">
        <f t="shared" si="628"/>
        <v>2.9147286821705354E-2</v>
      </c>
      <c r="J4447" s="1">
        <f t="shared" si="629"/>
        <v>-1.4399999999999977</v>
      </c>
      <c r="K4447" s="9">
        <f t="shared" si="622"/>
        <v>-2.1735849056603741E-2</v>
      </c>
      <c r="L4447" s="1">
        <f t="shared" si="623"/>
        <v>1</v>
      </c>
      <c r="M4447" s="1">
        <f t="shared" si="624"/>
        <v>66.38</v>
      </c>
      <c r="N4447" s="1">
        <f t="shared" si="625"/>
        <v>64.5</v>
      </c>
      <c r="O4447" s="1">
        <f t="shared" si="626"/>
        <v>62.85</v>
      </c>
      <c r="P4447" s="1">
        <f t="shared" si="627"/>
        <v>32.066326530612244</v>
      </c>
    </row>
    <row r="4448" spans="1:16">
      <c r="A4448" s="2">
        <v>36601</v>
      </c>
      <c r="B4448" s="1">
        <v>62.25</v>
      </c>
      <c r="C4448" s="1">
        <v>66.38</v>
      </c>
      <c r="D4448" s="1">
        <v>60</v>
      </c>
      <c r="E4448" s="1">
        <v>66.25</v>
      </c>
      <c r="F4448" s="1">
        <v>9703100</v>
      </c>
      <c r="G4448" s="1">
        <v>66.25</v>
      </c>
      <c r="H4448" s="1">
        <f t="shared" si="621"/>
        <v>6.3799999999999955</v>
      </c>
      <c r="I4448" s="9">
        <f t="shared" si="628"/>
        <v>0.10633333333333325</v>
      </c>
      <c r="J4448" s="1">
        <f t="shared" si="629"/>
        <v>2.5</v>
      </c>
      <c r="K4448" s="9">
        <f t="shared" si="622"/>
        <v>3.9215686274509803E-2</v>
      </c>
      <c r="L4448" s="1">
        <f t="shared" si="623"/>
        <v>1</v>
      </c>
      <c r="M4448" s="1">
        <f t="shared" si="624"/>
        <v>66.38</v>
      </c>
      <c r="N4448" s="1">
        <f t="shared" si="625"/>
        <v>60</v>
      </c>
      <c r="O4448" s="1">
        <f t="shared" si="626"/>
        <v>64.290000000000006</v>
      </c>
      <c r="P4448" s="1">
        <f t="shared" si="627"/>
        <v>32.801020408163268</v>
      </c>
    </row>
    <row r="4449" spans="1:16">
      <c r="A4449" s="2">
        <v>36600</v>
      </c>
      <c r="B4449" s="1">
        <v>64.75</v>
      </c>
      <c r="C4449" s="1">
        <v>65.13</v>
      </c>
      <c r="D4449" s="1">
        <v>62</v>
      </c>
      <c r="E4449" s="1">
        <v>63.75</v>
      </c>
      <c r="F4449" s="1">
        <v>6082700</v>
      </c>
      <c r="G4449" s="1">
        <v>63.75</v>
      </c>
      <c r="H4449" s="1">
        <f t="shared" si="621"/>
        <v>3.1299999999999955</v>
      </c>
      <c r="I4449" s="9">
        <f t="shared" si="628"/>
        <v>5.0483870967741859E-2</v>
      </c>
      <c r="J4449" s="1">
        <f t="shared" si="629"/>
        <v>-1.8799999999999955</v>
      </c>
      <c r="K4449" s="9">
        <f t="shared" si="622"/>
        <v>-2.8645436538168454E-2</v>
      </c>
      <c r="L4449" s="1">
        <f t="shared" si="623"/>
        <v>1</v>
      </c>
      <c r="M4449" s="1">
        <f t="shared" si="624"/>
        <v>65.13</v>
      </c>
      <c r="N4449" s="1">
        <f t="shared" si="625"/>
        <v>62</v>
      </c>
      <c r="O4449" s="1">
        <f t="shared" si="626"/>
        <v>61.79</v>
      </c>
      <c r="P4449" s="1">
        <f t="shared" si="627"/>
        <v>31.525510204081634</v>
      </c>
    </row>
    <row r="4450" spans="1:16">
      <c r="A4450" s="2">
        <v>36599</v>
      </c>
      <c r="B4450" s="1">
        <v>66.06</v>
      </c>
      <c r="C4450" s="1">
        <v>66.94</v>
      </c>
      <c r="D4450" s="1">
        <v>63.38</v>
      </c>
      <c r="E4450" s="1">
        <v>65.63</v>
      </c>
      <c r="F4450" s="1">
        <v>4805300</v>
      </c>
      <c r="G4450" s="1">
        <v>65.63</v>
      </c>
      <c r="H4450" s="1">
        <f t="shared" si="621"/>
        <v>3.5599999999999952</v>
      </c>
      <c r="I4450" s="9">
        <f t="shared" si="628"/>
        <v>5.6169138529504496E-2</v>
      </c>
      <c r="J4450" s="1">
        <f t="shared" si="629"/>
        <v>0.31999999999999318</v>
      </c>
      <c r="K4450" s="9">
        <f t="shared" si="622"/>
        <v>4.8997090797732838E-3</v>
      </c>
      <c r="L4450" s="1">
        <f t="shared" si="623"/>
        <v>1</v>
      </c>
      <c r="M4450" s="1">
        <f t="shared" si="624"/>
        <v>66.94</v>
      </c>
      <c r="N4450" s="1">
        <f t="shared" si="625"/>
        <v>63.38</v>
      </c>
      <c r="O4450" s="1">
        <f t="shared" si="626"/>
        <v>63.669999999999995</v>
      </c>
      <c r="P4450" s="1">
        <f t="shared" si="627"/>
        <v>32.484693877551017</v>
      </c>
    </row>
    <row r="4451" spans="1:16">
      <c r="A4451" s="2">
        <v>36598</v>
      </c>
      <c r="B4451" s="1">
        <v>64</v>
      </c>
      <c r="C4451" s="1">
        <v>66.63</v>
      </c>
      <c r="D4451" s="1">
        <v>63</v>
      </c>
      <c r="E4451" s="1">
        <v>65.31</v>
      </c>
      <c r="F4451" s="1">
        <v>5634300</v>
      </c>
      <c r="G4451" s="1">
        <v>65.31</v>
      </c>
      <c r="H4451" s="1">
        <f t="shared" si="621"/>
        <v>3.6299999999999955</v>
      </c>
      <c r="I4451" s="9">
        <f t="shared" si="628"/>
        <v>5.7619047619047549E-2</v>
      </c>
      <c r="J4451" s="1">
        <f t="shared" si="629"/>
        <v>-1.5699999999999932</v>
      </c>
      <c r="K4451" s="9">
        <f t="shared" si="622"/>
        <v>-2.347488038277502E-2</v>
      </c>
      <c r="L4451" s="1">
        <f t="shared" si="623"/>
        <v>1</v>
      </c>
      <c r="M4451" s="1">
        <f t="shared" si="624"/>
        <v>66.63</v>
      </c>
      <c r="N4451" s="1">
        <f t="shared" si="625"/>
        <v>63</v>
      </c>
      <c r="O4451" s="1">
        <f t="shared" si="626"/>
        <v>63.35</v>
      </c>
      <c r="P4451" s="1">
        <f t="shared" si="627"/>
        <v>32.321428571428569</v>
      </c>
    </row>
    <row r="4452" spans="1:16">
      <c r="A4452" s="2">
        <v>36595</v>
      </c>
      <c r="B4452" s="1">
        <v>67.25</v>
      </c>
      <c r="C4452" s="1">
        <v>68.53</v>
      </c>
      <c r="D4452" s="1">
        <v>65</v>
      </c>
      <c r="E4452" s="1">
        <v>66.88</v>
      </c>
      <c r="F4452" s="1">
        <v>3713500</v>
      </c>
      <c r="G4452" s="1">
        <v>66.88</v>
      </c>
      <c r="H4452" s="1">
        <f t="shared" si="621"/>
        <v>3.5300000000000011</v>
      </c>
      <c r="I4452" s="9">
        <f t="shared" si="628"/>
        <v>5.4307692307692328E-2</v>
      </c>
      <c r="J4452" s="1">
        <f t="shared" si="629"/>
        <v>-1.9300000000000068</v>
      </c>
      <c r="K4452" s="9">
        <f t="shared" si="622"/>
        <v>-2.8048248801046456E-2</v>
      </c>
      <c r="L4452" s="1">
        <f t="shared" si="623"/>
        <v>1</v>
      </c>
      <c r="M4452" s="1">
        <f t="shared" si="624"/>
        <v>68.53</v>
      </c>
      <c r="N4452" s="1">
        <f t="shared" si="625"/>
        <v>65</v>
      </c>
      <c r="O4452" s="1">
        <f t="shared" si="626"/>
        <v>64.92</v>
      </c>
      <c r="P4452" s="1">
        <f t="shared" si="627"/>
        <v>33.122448979591837</v>
      </c>
    </row>
    <row r="4453" spans="1:16">
      <c r="A4453" s="2">
        <v>36594</v>
      </c>
      <c r="B4453" s="1">
        <v>63</v>
      </c>
      <c r="C4453" s="1">
        <v>69</v>
      </c>
      <c r="D4453" s="1">
        <v>62.19</v>
      </c>
      <c r="E4453" s="1">
        <v>68.81</v>
      </c>
      <c r="F4453" s="1">
        <v>8312500</v>
      </c>
      <c r="G4453" s="1">
        <v>68.81</v>
      </c>
      <c r="H4453" s="1">
        <f t="shared" si="621"/>
        <v>6.8100000000000023</v>
      </c>
      <c r="I4453" s="9">
        <f t="shared" si="628"/>
        <v>0.10950313555233965</v>
      </c>
      <c r="J4453" s="1">
        <f t="shared" si="629"/>
        <v>5.18</v>
      </c>
      <c r="K4453" s="9">
        <f t="shared" si="622"/>
        <v>8.1408140814081403E-2</v>
      </c>
      <c r="L4453" s="1">
        <f t="shared" si="623"/>
        <v>1</v>
      </c>
      <c r="M4453" s="1">
        <f t="shared" si="624"/>
        <v>69</v>
      </c>
      <c r="N4453" s="1">
        <f t="shared" si="625"/>
        <v>62.19</v>
      </c>
      <c r="O4453" s="1">
        <f t="shared" si="626"/>
        <v>66.850000000000009</v>
      </c>
      <c r="P4453" s="1">
        <f t="shared" si="627"/>
        <v>34.107142857142861</v>
      </c>
    </row>
    <row r="4454" spans="1:16">
      <c r="A4454" s="2">
        <v>36593</v>
      </c>
      <c r="B4454" s="1">
        <v>63.25</v>
      </c>
      <c r="C4454" s="1">
        <v>64.75</v>
      </c>
      <c r="D4454" s="1">
        <v>60.56</v>
      </c>
      <c r="E4454" s="1">
        <v>63.63</v>
      </c>
      <c r="F4454" s="1">
        <v>5940700</v>
      </c>
      <c r="G4454" s="1">
        <v>63.63</v>
      </c>
      <c r="H4454" s="1">
        <f t="shared" si="621"/>
        <v>4.1899999999999977</v>
      </c>
      <c r="I4454" s="9">
        <f t="shared" si="628"/>
        <v>6.9187582562747652E-2</v>
      </c>
      <c r="J4454" s="1">
        <f t="shared" si="629"/>
        <v>0.13000000000000256</v>
      </c>
      <c r="K4454" s="9">
        <f t="shared" si="622"/>
        <v>2.0472440944882295E-3</v>
      </c>
      <c r="L4454" s="1">
        <f t="shared" si="623"/>
        <v>1</v>
      </c>
      <c r="M4454" s="1">
        <f t="shared" si="624"/>
        <v>64.75</v>
      </c>
      <c r="N4454" s="1">
        <f t="shared" si="625"/>
        <v>60.56</v>
      </c>
      <c r="O4454" s="1">
        <f t="shared" si="626"/>
        <v>61.67</v>
      </c>
      <c r="P4454" s="1">
        <f t="shared" si="627"/>
        <v>31.464285714285715</v>
      </c>
    </row>
    <row r="4455" spans="1:16">
      <c r="A4455" s="2">
        <v>36592</v>
      </c>
      <c r="B4455" s="1">
        <v>64.88</v>
      </c>
      <c r="C4455" s="1">
        <v>65.81</v>
      </c>
      <c r="D4455" s="1">
        <v>62.13</v>
      </c>
      <c r="E4455" s="1">
        <v>63.5</v>
      </c>
      <c r="F4455" s="1">
        <v>4178800</v>
      </c>
      <c r="G4455" s="1">
        <v>63.5</v>
      </c>
      <c r="H4455" s="1">
        <f t="shared" si="621"/>
        <v>3.6799999999999997</v>
      </c>
      <c r="I4455" s="9">
        <f t="shared" si="628"/>
        <v>5.9230645420891674E-2</v>
      </c>
      <c r="J4455" s="1">
        <f t="shared" si="629"/>
        <v>-0.43999999999999773</v>
      </c>
      <c r="K4455" s="9">
        <f t="shared" si="622"/>
        <v>-6.8814513606505747E-3</v>
      </c>
      <c r="L4455" s="1">
        <f t="shared" si="623"/>
        <v>1</v>
      </c>
      <c r="M4455" s="1">
        <f t="shared" si="624"/>
        <v>65.81</v>
      </c>
      <c r="N4455" s="1">
        <f t="shared" si="625"/>
        <v>62.13</v>
      </c>
      <c r="O4455" s="1">
        <f t="shared" si="626"/>
        <v>61.54</v>
      </c>
      <c r="P4455" s="1">
        <f t="shared" si="627"/>
        <v>31.397959183673471</v>
      </c>
    </row>
    <row r="4456" spans="1:16">
      <c r="A4456" s="2">
        <v>36591</v>
      </c>
      <c r="B4456" s="1">
        <v>62.88</v>
      </c>
      <c r="C4456" s="1">
        <v>67.25</v>
      </c>
      <c r="D4456" s="1">
        <v>62.81</v>
      </c>
      <c r="E4456" s="1">
        <v>63.94</v>
      </c>
      <c r="F4456" s="1">
        <v>7665800</v>
      </c>
      <c r="G4456" s="1">
        <v>63.94</v>
      </c>
      <c r="H4456" s="1">
        <f t="shared" si="621"/>
        <v>4.4399999999999977</v>
      </c>
      <c r="I4456" s="9">
        <f t="shared" si="628"/>
        <v>7.0689380671867502E-2</v>
      </c>
      <c r="J4456" s="1">
        <f t="shared" si="629"/>
        <v>1.4399999999999977</v>
      </c>
      <c r="K4456" s="9">
        <f t="shared" si="622"/>
        <v>2.3039999999999963E-2</v>
      </c>
      <c r="L4456" s="1">
        <f t="shared" si="623"/>
        <v>1</v>
      </c>
      <c r="M4456" s="1">
        <f t="shared" si="624"/>
        <v>67.25</v>
      </c>
      <c r="N4456" s="1">
        <f t="shared" si="625"/>
        <v>62.81</v>
      </c>
      <c r="O4456" s="1">
        <f t="shared" si="626"/>
        <v>61.98</v>
      </c>
      <c r="P4456" s="1">
        <f t="shared" si="627"/>
        <v>31.622448979591837</v>
      </c>
    </row>
    <row r="4457" spans="1:16">
      <c r="A4457" s="2">
        <v>36588</v>
      </c>
      <c r="B4457" s="1">
        <v>63.25</v>
      </c>
      <c r="C4457" s="1">
        <v>64.75</v>
      </c>
      <c r="D4457" s="1">
        <v>62.06</v>
      </c>
      <c r="E4457" s="1">
        <v>62.5</v>
      </c>
      <c r="F4457" s="1">
        <v>6059500</v>
      </c>
      <c r="G4457" s="1">
        <v>62.5</v>
      </c>
      <c r="H4457" s="1">
        <f t="shared" si="621"/>
        <v>2.6899999999999977</v>
      </c>
      <c r="I4457" s="9">
        <f t="shared" si="628"/>
        <v>4.3345149854979018E-2</v>
      </c>
      <c r="J4457" s="1">
        <f t="shared" si="629"/>
        <v>-6.0000000000002274E-2</v>
      </c>
      <c r="K4457" s="9">
        <f t="shared" si="622"/>
        <v>-9.5907928388750438E-4</v>
      </c>
      <c r="L4457" s="1">
        <f t="shared" si="623"/>
        <v>1</v>
      </c>
      <c r="M4457" s="1">
        <f t="shared" si="624"/>
        <v>64.75</v>
      </c>
      <c r="N4457" s="1">
        <f t="shared" si="625"/>
        <v>62.06</v>
      </c>
      <c r="O4457" s="1">
        <f t="shared" si="626"/>
        <v>60.54</v>
      </c>
      <c r="P4457" s="1">
        <f t="shared" si="627"/>
        <v>30.887755102040817</v>
      </c>
    </row>
    <row r="4458" spans="1:16">
      <c r="A4458" s="2">
        <v>36587</v>
      </c>
      <c r="B4458" s="1">
        <v>64.94</v>
      </c>
      <c r="C4458" s="1">
        <v>65</v>
      </c>
      <c r="D4458" s="1">
        <v>62.19</v>
      </c>
      <c r="E4458" s="1">
        <v>62.56</v>
      </c>
      <c r="F4458" s="1">
        <v>7980100</v>
      </c>
      <c r="G4458" s="1">
        <v>62.56</v>
      </c>
      <c r="H4458" s="1">
        <f t="shared" si="621"/>
        <v>2.8100000000000023</v>
      </c>
      <c r="I4458" s="9">
        <f t="shared" si="628"/>
        <v>4.5184113201479373E-2</v>
      </c>
      <c r="J4458" s="1">
        <f t="shared" si="629"/>
        <v>-3.3199999999999932</v>
      </c>
      <c r="K4458" s="9">
        <f t="shared" si="622"/>
        <v>-5.0394656952033899E-2</v>
      </c>
      <c r="L4458" s="1">
        <f t="shared" si="623"/>
        <v>1</v>
      </c>
      <c r="M4458" s="1">
        <f t="shared" si="624"/>
        <v>65</v>
      </c>
      <c r="N4458" s="1">
        <f t="shared" si="625"/>
        <v>62.19</v>
      </c>
      <c r="O4458" s="1">
        <f t="shared" si="626"/>
        <v>60.6</v>
      </c>
      <c r="P4458" s="1">
        <f t="shared" si="627"/>
        <v>30.918367346938776</v>
      </c>
    </row>
    <row r="4459" spans="1:16">
      <c r="A4459" s="2">
        <v>36586</v>
      </c>
      <c r="B4459" s="1">
        <v>67.63</v>
      </c>
      <c r="C4459" s="1">
        <v>68.5</v>
      </c>
      <c r="D4459" s="1">
        <v>65</v>
      </c>
      <c r="E4459" s="1">
        <v>65.88</v>
      </c>
      <c r="F4459" s="1">
        <v>5576700</v>
      </c>
      <c r="G4459" s="1">
        <v>65.88</v>
      </c>
      <c r="H4459" s="1">
        <f t="shared" si="621"/>
        <v>3.5</v>
      </c>
      <c r="I4459" s="9">
        <f t="shared" si="628"/>
        <v>5.3846153846153849E-2</v>
      </c>
      <c r="J4459" s="1">
        <f t="shared" si="629"/>
        <v>-3</v>
      </c>
      <c r="K4459" s="9">
        <f t="shared" si="622"/>
        <v>-4.3554006968641118E-2</v>
      </c>
      <c r="L4459" s="1">
        <f t="shared" si="623"/>
        <v>1</v>
      </c>
      <c r="M4459" s="1">
        <f t="shared" si="624"/>
        <v>68.5</v>
      </c>
      <c r="N4459" s="1">
        <f t="shared" si="625"/>
        <v>65</v>
      </c>
      <c r="O4459" s="1">
        <f t="shared" si="626"/>
        <v>63.919999999999995</v>
      </c>
      <c r="P4459" s="1">
        <f t="shared" si="627"/>
        <v>32.612244897959179</v>
      </c>
    </row>
    <row r="4460" spans="1:16">
      <c r="A4460" s="2">
        <v>36585</v>
      </c>
      <c r="B4460" s="1">
        <v>66</v>
      </c>
      <c r="C4460" s="1">
        <v>68.97</v>
      </c>
      <c r="D4460" s="1">
        <v>65.88</v>
      </c>
      <c r="E4460" s="1">
        <v>68.88</v>
      </c>
      <c r="F4460" s="1">
        <v>7148500</v>
      </c>
      <c r="G4460" s="1">
        <v>68.88</v>
      </c>
      <c r="H4460" s="1">
        <f t="shared" si="621"/>
        <v>3.0900000000000034</v>
      </c>
      <c r="I4460" s="9">
        <f t="shared" si="628"/>
        <v>4.6903460837887122E-2</v>
      </c>
      <c r="J4460" s="1">
        <f t="shared" si="629"/>
        <v>3.1299999999999955</v>
      </c>
      <c r="K4460" s="9">
        <f t="shared" si="622"/>
        <v>4.760456273764252E-2</v>
      </c>
      <c r="L4460" s="1">
        <f t="shared" si="623"/>
        <v>1</v>
      </c>
      <c r="M4460" s="1">
        <f t="shared" si="624"/>
        <v>68.97</v>
      </c>
      <c r="N4460" s="1">
        <f t="shared" si="625"/>
        <v>65.88</v>
      </c>
      <c r="O4460" s="1">
        <f t="shared" si="626"/>
        <v>66.92</v>
      </c>
      <c r="P4460" s="1">
        <f t="shared" si="627"/>
        <v>34.142857142857146</v>
      </c>
    </row>
    <row r="4461" spans="1:16">
      <c r="A4461" s="2">
        <v>36584</v>
      </c>
      <c r="B4461" s="1">
        <v>66.56</v>
      </c>
      <c r="C4461" s="1">
        <v>67.19</v>
      </c>
      <c r="D4461" s="1">
        <v>64.13</v>
      </c>
      <c r="E4461" s="1">
        <v>65.75</v>
      </c>
      <c r="F4461" s="1">
        <v>5057700</v>
      </c>
      <c r="G4461" s="1">
        <v>65.75</v>
      </c>
      <c r="H4461" s="1">
        <f t="shared" si="621"/>
        <v>3.0600000000000023</v>
      </c>
      <c r="I4461" s="9">
        <f t="shared" si="628"/>
        <v>4.7715577732730427E-2</v>
      </c>
      <c r="J4461" s="1">
        <f t="shared" si="629"/>
        <v>-3.3799999999999955</v>
      </c>
      <c r="K4461" s="9">
        <f t="shared" si="622"/>
        <v>-4.8893389266599099E-2</v>
      </c>
      <c r="L4461" s="1">
        <f t="shared" si="623"/>
        <v>1</v>
      </c>
      <c r="M4461" s="1">
        <f t="shared" si="624"/>
        <v>67.19</v>
      </c>
      <c r="N4461" s="1">
        <f t="shared" si="625"/>
        <v>64.13</v>
      </c>
      <c r="O4461" s="1">
        <f t="shared" si="626"/>
        <v>63.79</v>
      </c>
      <c r="P4461" s="1">
        <f t="shared" si="627"/>
        <v>32.545918367346935</v>
      </c>
    </row>
    <row r="4462" spans="1:16">
      <c r="A4462" s="2">
        <v>36581</v>
      </c>
      <c r="B4462" s="1">
        <v>67.44</v>
      </c>
      <c r="C4462" s="1">
        <v>69.38</v>
      </c>
      <c r="D4462" s="1">
        <v>65.19</v>
      </c>
      <c r="E4462" s="1">
        <v>69.13</v>
      </c>
      <c r="F4462" s="1">
        <v>4870500</v>
      </c>
      <c r="G4462" s="1">
        <v>69.13</v>
      </c>
      <c r="H4462" s="1">
        <f t="shared" si="621"/>
        <v>4.1899999999999977</v>
      </c>
      <c r="I4462" s="9">
        <f t="shared" si="628"/>
        <v>6.4273661604540538E-2</v>
      </c>
      <c r="J4462" s="1">
        <f t="shared" si="629"/>
        <v>0.68999999999999773</v>
      </c>
      <c r="K4462" s="9">
        <f t="shared" si="622"/>
        <v>1.0081823495032113E-2</v>
      </c>
      <c r="L4462" s="1">
        <f t="shared" si="623"/>
        <v>1</v>
      </c>
      <c r="M4462" s="1">
        <f t="shared" si="624"/>
        <v>69.38</v>
      </c>
      <c r="N4462" s="1">
        <f t="shared" si="625"/>
        <v>65.19</v>
      </c>
      <c r="O4462" s="1">
        <f t="shared" si="626"/>
        <v>67.17</v>
      </c>
      <c r="P4462" s="1">
        <f t="shared" si="627"/>
        <v>34.270408163265309</v>
      </c>
    </row>
    <row r="4463" spans="1:16">
      <c r="A4463" s="2">
        <v>36580</v>
      </c>
      <c r="B4463" s="1">
        <v>70.56</v>
      </c>
      <c r="C4463" s="1">
        <v>71.38</v>
      </c>
      <c r="D4463" s="1">
        <v>65.63</v>
      </c>
      <c r="E4463" s="1">
        <v>68.44</v>
      </c>
      <c r="F4463" s="1">
        <v>5869300</v>
      </c>
      <c r="G4463" s="1">
        <v>68.44</v>
      </c>
      <c r="H4463" s="1">
        <f t="shared" si="621"/>
        <v>5.75</v>
      </c>
      <c r="I4463" s="9">
        <f t="shared" si="628"/>
        <v>8.7612372390675E-2</v>
      </c>
      <c r="J4463" s="1">
        <f t="shared" si="629"/>
        <v>-2</v>
      </c>
      <c r="K4463" s="9">
        <f t="shared" si="622"/>
        <v>-2.8392958546280524E-2</v>
      </c>
      <c r="L4463" s="1">
        <f t="shared" si="623"/>
        <v>1</v>
      </c>
      <c r="M4463" s="1">
        <f t="shared" si="624"/>
        <v>71.38</v>
      </c>
      <c r="N4463" s="1">
        <f t="shared" si="625"/>
        <v>65.63</v>
      </c>
      <c r="O4463" s="1">
        <f t="shared" si="626"/>
        <v>66.48</v>
      </c>
      <c r="P4463" s="1">
        <f t="shared" si="627"/>
        <v>33.91836734693878</v>
      </c>
    </row>
    <row r="4464" spans="1:16">
      <c r="A4464" s="2">
        <v>36579</v>
      </c>
      <c r="B4464" s="1">
        <v>64.88</v>
      </c>
      <c r="C4464" s="1">
        <v>71.75</v>
      </c>
      <c r="D4464" s="1">
        <v>64.69</v>
      </c>
      <c r="E4464" s="1">
        <v>70.44</v>
      </c>
      <c r="F4464" s="1">
        <v>8441200</v>
      </c>
      <c r="G4464" s="1">
        <v>70.44</v>
      </c>
      <c r="H4464" s="1">
        <f t="shared" si="621"/>
        <v>7.0600000000000023</v>
      </c>
      <c r="I4464" s="9">
        <f t="shared" si="628"/>
        <v>0.10913587880661621</v>
      </c>
      <c r="J4464" s="1">
        <f t="shared" si="629"/>
        <v>6.8799999999999955</v>
      </c>
      <c r="K4464" s="9">
        <f t="shared" si="622"/>
        <v>0.10824417872876015</v>
      </c>
      <c r="L4464" s="1">
        <f t="shared" si="623"/>
        <v>1</v>
      </c>
      <c r="M4464" s="1">
        <f t="shared" si="624"/>
        <v>71.75</v>
      </c>
      <c r="N4464" s="1">
        <f t="shared" si="625"/>
        <v>64.69</v>
      </c>
      <c r="O4464" s="1">
        <f t="shared" si="626"/>
        <v>68.48</v>
      </c>
      <c r="P4464" s="1">
        <f t="shared" si="627"/>
        <v>34.938775510204081</v>
      </c>
    </row>
    <row r="4465" spans="1:16">
      <c r="A4465" s="2">
        <v>36578</v>
      </c>
      <c r="B4465" s="1">
        <v>64.94</v>
      </c>
      <c r="C4465" s="1">
        <v>66.5</v>
      </c>
      <c r="D4465" s="1">
        <v>63.06</v>
      </c>
      <c r="E4465" s="1">
        <v>63.56</v>
      </c>
      <c r="F4465" s="1">
        <v>5685800</v>
      </c>
      <c r="G4465" s="1">
        <v>63.56</v>
      </c>
      <c r="H4465" s="1">
        <f t="shared" si="621"/>
        <v>3.4399999999999977</v>
      </c>
      <c r="I4465" s="9">
        <f t="shared" si="628"/>
        <v>5.4551221059308555E-2</v>
      </c>
      <c r="J4465" s="1">
        <f t="shared" si="629"/>
        <v>-1.1899999999999977</v>
      </c>
      <c r="K4465" s="9">
        <f t="shared" si="622"/>
        <v>-1.8378378378378343E-2</v>
      </c>
      <c r="L4465" s="1">
        <f t="shared" si="623"/>
        <v>1</v>
      </c>
      <c r="M4465" s="1">
        <f t="shared" si="624"/>
        <v>66.5</v>
      </c>
      <c r="N4465" s="1">
        <f t="shared" si="625"/>
        <v>63.06</v>
      </c>
      <c r="O4465" s="1">
        <f t="shared" si="626"/>
        <v>61.6</v>
      </c>
      <c r="P4465" s="1">
        <f t="shared" si="627"/>
        <v>31.428571428571431</v>
      </c>
    </row>
    <row r="4466" spans="1:16">
      <c r="A4466" s="2">
        <v>36574</v>
      </c>
      <c r="B4466" s="1">
        <v>68.44</v>
      </c>
      <c r="C4466" s="1">
        <v>69</v>
      </c>
      <c r="D4466" s="1">
        <v>63.88</v>
      </c>
      <c r="E4466" s="1">
        <v>64.75</v>
      </c>
      <c r="F4466" s="1">
        <v>8726400</v>
      </c>
      <c r="G4466" s="1">
        <v>64.75</v>
      </c>
      <c r="H4466" s="1">
        <f t="shared" si="621"/>
        <v>5.1199999999999974</v>
      </c>
      <c r="I4466" s="9">
        <f t="shared" si="628"/>
        <v>8.0150281778334331E-2</v>
      </c>
      <c r="J4466" s="1">
        <f t="shared" si="629"/>
        <v>-4.25</v>
      </c>
      <c r="K4466" s="9">
        <f t="shared" si="622"/>
        <v>-6.1594202898550728E-2</v>
      </c>
      <c r="L4466" s="1">
        <f t="shared" si="623"/>
        <v>1</v>
      </c>
      <c r="M4466" s="1">
        <f t="shared" si="624"/>
        <v>69</v>
      </c>
      <c r="N4466" s="1">
        <f t="shared" si="625"/>
        <v>63.88</v>
      </c>
      <c r="O4466" s="1">
        <f t="shared" si="626"/>
        <v>62.79</v>
      </c>
      <c r="P4466" s="1">
        <f t="shared" si="627"/>
        <v>32.035714285714285</v>
      </c>
    </row>
    <row r="4467" spans="1:16">
      <c r="A4467" s="2">
        <v>36573</v>
      </c>
      <c r="B4467" s="1">
        <v>71.25</v>
      </c>
      <c r="C4467" s="1">
        <v>71.31</v>
      </c>
      <c r="D4467" s="1">
        <v>68</v>
      </c>
      <c r="E4467" s="1">
        <v>69</v>
      </c>
      <c r="F4467" s="1">
        <v>6129600</v>
      </c>
      <c r="G4467" s="1">
        <v>69</v>
      </c>
      <c r="H4467" s="1">
        <f t="shared" si="621"/>
        <v>3.3100000000000023</v>
      </c>
      <c r="I4467" s="9">
        <f t="shared" si="628"/>
        <v>4.8676470588235328E-2</v>
      </c>
      <c r="J4467" s="1">
        <f t="shared" si="629"/>
        <v>-1.6899999999999977</v>
      </c>
      <c r="K4467" s="9">
        <f t="shared" si="622"/>
        <v>-2.3907200452680688E-2</v>
      </c>
      <c r="L4467" s="1">
        <f t="shared" si="623"/>
        <v>1</v>
      </c>
      <c r="M4467" s="1">
        <f t="shared" si="624"/>
        <v>71.31</v>
      </c>
      <c r="N4467" s="1">
        <f t="shared" si="625"/>
        <v>68</v>
      </c>
      <c r="O4467" s="1">
        <f t="shared" si="626"/>
        <v>67.040000000000006</v>
      </c>
      <c r="P4467" s="1">
        <f t="shared" si="627"/>
        <v>34.204081632653065</v>
      </c>
    </row>
    <row r="4468" spans="1:16">
      <c r="A4468" s="2">
        <v>36572</v>
      </c>
      <c r="B4468" s="1">
        <v>72.75</v>
      </c>
      <c r="C4468" s="1">
        <v>73.44</v>
      </c>
      <c r="D4468" s="1">
        <v>70.63</v>
      </c>
      <c r="E4468" s="1">
        <v>70.69</v>
      </c>
      <c r="F4468" s="1">
        <v>4260200</v>
      </c>
      <c r="G4468" s="1">
        <v>70.69</v>
      </c>
      <c r="H4468" s="1">
        <f t="shared" si="621"/>
        <v>2.8100000000000023</v>
      </c>
      <c r="I4468" s="9">
        <f t="shared" si="628"/>
        <v>3.9784793996885212E-2</v>
      </c>
      <c r="J4468" s="1">
        <f t="shared" si="629"/>
        <v>-3.1200000000000045</v>
      </c>
      <c r="K4468" s="9">
        <f t="shared" si="622"/>
        <v>-4.2270695027774072E-2</v>
      </c>
      <c r="L4468" s="1">
        <f t="shared" si="623"/>
        <v>1</v>
      </c>
      <c r="M4468" s="1">
        <f t="shared" si="624"/>
        <v>73.44</v>
      </c>
      <c r="N4468" s="1">
        <f t="shared" si="625"/>
        <v>70.63</v>
      </c>
      <c r="O4468" s="1">
        <f t="shared" si="626"/>
        <v>68.73</v>
      </c>
      <c r="P4468" s="1">
        <f t="shared" si="627"/>
        <v>35.066326530612244</v>
      </c>
    </row>
    <row r="4469" spans="1:16">
      <c r="A4469" s="2">
        <v>36571</v>
      </c>
      <c r="B4469" s="1">
        <v>73.44</v>
      </c>
      <c r="C4469" s="1">
        <v>76.19</v>
      </c>
      <c r="D4469" s="1">
        <v>70.63</v>
      </c>
      <c r="E4469" s="1">
        <v>73.81</v>
      </c>
      <c r="F4469" s="1">
        <v>6424500</v>
      </c>
      <c r="G4469" s="1">
        <v>73.81</v>
      </c>
      <c r="H4469" s="1">
        <f t="shared" si="621"/>
        <v>5.5600000000000023</v>
      </c>
      <c r="I4469" s="9">
        <f t="shared" si="628"/>
        <v>7.8720090613053975E-2</v>
      </c>
      <c r="J4469" s="1">
        <f t="shared" si="629"/>
        <v>-0.62999999999999545</v>
      </c>
      <c r="K4469" s="9">
        <f t="shared" si="622"/>
        <v>-8.4631918323481384E-3</v>
      </c>
      <c r="L4469" s="1">
        <f t="shared" si="623"/>
        <v>1</v>
      </c>
      <c r="M4469" s="1">
        <f t="shared" si="624"/>
        <v>76.19</v>
      </c>
      <c r="N4469" s="1">
        <f t="shared" si="625"/>
        <v>70.63</v>
      </c>
      <c r="O4469" s="1">
        <f t="shared" si="626"/>
        <v>71.850000000000009</v>
      </c>
      <c r="P4469" s="1">
        <f t="shared" si="627"/>
        <v>36.658163265306129</v>
      </c>
    </row>
    <row r="4470" spans="1:16">
      <c r="A4470" s="2">
        <v>36570</v>
      </c>
      <c r="B4470" s="1">
        <v>75.69</v>
      </c>
      <c r="C4470" s="1">
        <v>75.75</v>
      </c>
      <c r="D4470" s="1">
        <v>73.56</v>
      </c>
      <c r="E4470" s="1">
        <v>74.44</v>
      </c>
      <c r="F4470" s="1">
        <v>5169700</v>
      </c>
      <c r="G4470" s="1">
        <v>74.44</v>
      </c>
      <c r="H4470" s="1">
        <f t="shared" si="621"/>
        <v>2.1899999999999977</v>
      </c>
      <c r="I4470" s="9">
        <f t="shared" si="628"/>
        <v>2.9771615008156574E-2</v>
      </c>
      <c r="J4470" s="1">
        <f t="shared" si="629"/>
        <v>-1.75</v>
      </c>
      <c r="K4470" s="9">
        <f t="shared" si="622"/>
        <v>-2.2968893555584725E-2</v>
      </c>
      <c r="L4470" s="1">
        <f t="shared" si="623"/>
        <v>1</v>
      </c>
      <c r="M4470" s="1">
        <f t="shared" si="624"/>
        <v>75.75</v>
      </c>
      <c r="N4470" s="1">
        <f t="shared" si="625"/>
        <v>73.56</v>
      </c>
      <c r="O4470" s="1">
        <f t="shared" si="626"/>
        <v>72.48</v>
      </c>
      <c r="P4470" s="1">
        <f t="shared" si="627"/>
        <v>36.979591836734699</v>
      </c>
    </row>
    <row r="4471" spans="1:16">
      <c r="A4471" s="2">
        <v>36567</v>
      </c>
      <c r="B4471" s="1">
        <v>77.13</v>
      </c>
      <c r="C4471" s="1">
        <v>79.13</v>
      </c>
      <c r="D4471" s="1">
        <v>75.5</v>
      </c>
      <c r="E4471" s="1">
        <v>76.19</v>
      </c>
      <c r="F4471" s="1">
        <v>8309000</v>
      </c>
      <c r="G4471" s="1">
        <v>76.19</v>
      </c>
      <c r="H4471" s="1">
        <f t="shared" si="621"/>
        <v>3.6299999999999955</v>
      </c>
      <c r="I4471" s="9">
        <f t="shared" si="628"/>
        <v>4.8079470198675436E-2</v>
      </c>
      <c r="J4471" s="1">
        <f t="shared" si="629"/>
        <v>0</v>
      </c>
      <c r="K4471" s="9">
        <f t="shared" si="622"/>
        <v>0</v>
      </c>
      <c r="L4471" s="1">
        <f t="shared" si="623"/>
        <v>1</v>
      </c>
      <c r="M4471" s="1">
        <f t="shared" si="624"/>
        <v>79.13</v>
      </c>
      <c r="N4471" s="1">
        <f t="shared" si="625"/>
        <v>75.5</v>
      </c>
      <c r="O4471" s="1">
        <f t="shared" si="626"/>
        <v>74.23</v>
      </c>
      <c r="P4471" s="1">
        <f t="shared" si="627"/>
        <v>37.872448979591837</v>
      </c>
    </row>
    <row r="4472" spans="1:16">
      <c r="A4472" s="2">
        <v>36566</v>
      </c>
      <c r="B4472" s="1">
        <v>78.5</v>
      </c>
      <c r="C4472" s="1">
        <v>79.88</v>
      </c>
      <c r="D4472" s="1">
        <v>75.5</v>
      </c>
      <c r="E4472" s="1">
        <v>76.19</v>
      </c>
      <c r="F4472" s="1">
        <v>9979600</v>
      </c>
      <c r="G4472" s="1">
        <v>76.19</v>
      </c>
      <c r="H4472" s="1">
        <f t="shared" si="621"/>
        <v>4.3799999999999955</v>
      </c>
      <c r="I4472" s="9">
        <f t="shared" si="628"/>
        <v>5.8013245033112525E-2</v>
      </c>
      <c r="J4472" s="1">
        <f t="shared" si="629"/>
        <v>-4.0600000000000023</v>
      </c>
      <c r="K4472" s="9">
        <f t="shared" si="622"/>
        <v>-5.0591900311526508E-2</v>
      </c>
      <c r="L4472" s="1">
        <f t="shared" si="623"/>
        <v>1</v>
      </c>
      <c r="M4472" s="1">
        <f t="shared" si="624"/>
        <v>79.88</v>
      </c>
      <c r="N4472" s="1">
        <f t="shared" si="625"/>
        <v>75.5</v>
      </c>
      <c r="O4472" s="1">
        <f t="shared" si="626"/>
        <v>74.23</v>
      </c>
      <c r="P4472" s="1">
        <f t="shared" si="627"/>
        <v>37.872448979591837</v>
      </c>
    </row>
    <row r="4473" spans="1:16">
      <c r="A4473" s="2">
        <v>36565</v>
      </c>
      <c r="B4473" s="1">
        <v>80.55</v>
      </c>
      <c r="C4473" s="1">
        <v>83.73</v>
      </c>
      <c r="D4473" s="1">
        <v>80.02</v>
      </c>
      <c r="E4473" s="1">
        <v>80.25</v>
      </c>
      <c r="F4473" s="1">
        <v>9580400</v>
      </c>
      <c r="G4473" s="1">
        <v>80.25</v>
      </c>
      <c r="H4473" s="1">
        <f t="shared" si="621"/>
        <v>3.710000000000008</v>
      </c>
      <c r="I4473" s="9">
        <f t="shared" si="628"/>
        <v>4.6363409147713176E-2</v>
      </c>
      <c r="J4473" s="1">
        <f t="shared" si="629"/>
        <v>-2.8799999999999955</v>
      </c>
      <c r="K4473" s="9">
        <f t="shared" si="622"/>
        <v>-3.4644532659689593E-2</v>
      </c>
      <c r="L4473" s="1">
        <f t="shared" si="623"/>
        <v>1</v>
      </c>
      <c r="M4473" s="1">
        <f t="shared" si="624"/>
        <v>83.73</v>
      </c>
      <c r="N4473" s="1">
        <f t="shared" si="625"/>
        <v>80.02</v>
      </c>
      <c r="O4473" s="1">
        <f t="shared" si="626"/>
        <v>78.290000000000006</v>
      </c>
      <c r="P4473" s="1">
        <f t="shared" si="627"/>
        <v>39.943877551020414</v>
      </c>
    </row>
    <row r="4474" spans="1:16">
      <c r="A4474" s="2">
        <v>36564</v>
      </c>
      <c r="B4474" s="1">
        <v>74</v>
      </c>
      <c r="C4474" s="1">
        <v>84</v>
      </c>
      <c r="D4474" s="1">
        <v>73.44</v>
      </c>
      <c r="E4474" s="1">
        <v>83.13</v>
      </c>
      <c r="F4474" s="1">
        <v>19472800</v>
      </c>
      <c r="G4474" s="1">
        <v>83.13</v>
      </c>
      <c r="H4474" s="1">
        <f t="shared" si="621"/>
        <v>10.560000000000002</v>
      </c>
      <c r="I4474" s="9">
        <f t="shared" si="628"/>
        <v>0.14379084967320266</v>
      </c>
      <c r="J4474" s="1">
        <f t="shared" si="629"/>
        <v>8.1299999999999955</v>
      </c>
      <c r="K4474" s="9">
        <f t="shared" si="622"/>
        <v>0.10839999999999994</v>
      </c>
      <c r="L4474" s="1">
        <f t="shared" si="623"/>
        <v>1</v>
      </c>
      <c r="M4474" s="1">
        <f t="shared" si="624"/>
        <v>84</v>
      </c>
      <c r="N4474" s="1">
        <f t="shared" si="625"/>
        <v>73.44</v>
      </c>
      <c r="O4474" s="1">
        <f t="shared" si="626"/>
        <v>81.17</v>
      </c>
      <c r="P4474" s="1">
        <f t="shared" si="627"/>
        <v>41.413265306122447</v>
      </c>
    </row>
    <row r="4475" spans="1:16">
      <c r="A4475" s="2">
        <v>36563</v>
      </c>
      <c r="B4475" s="1">
        <v>76.19</v>
      </c>
      <c r="C4475" s="1">
        <v>76.88</v>
      </c>
      <c r="D4475" s="1">
        <v>73.13</v>
      </c>
      <c r="E4475" s="1">
        <v>75</v>
      </c>
      <c r="F4475" s="1">
        <v>10129000</v>
      </c>
      <c r="G4475" s="1">
        <v>75</v>
      </c>
      <c r="H4475" s="1">
        <f t="shared" si="621"/>
        <v>3.75</v>
      </c>
      <c r="I4475" s="9">
        <f t="shared" si="628"/>
        <v>5.1278545056748261E-2</v>
      </c>
      <c r="J4475" s="1">
        <f t="shared" si="629"/>
        <v>-3.5600000000000023</v>
      </c>
      <c r="K4475" s="9">
        <f t="shared" si="622"/>
        <v>-4.5315682281059089E-2</v>
      </c>
      <c r="L4475" s="1">
        <f t="shared" si="623"/>
        <v>1</v>
      </c>
      <c r="M4475" s="1">
        <f t="shared" si="624"/>
        <v>76.88</v>
      </c>
      <c r="N4475" s="1">
        <f t="shared" si="625"/>
        <v>73.13</v>
      </c>
      <c r="O4475" s="1">
        <f t="shared" si="626"/>
        <v>73.040000000000006</v>
      </c>
      <c r="P4475" s="1">
        <f t="shared" si="627"/>
        <v>37.265306122448983</v>
      </c>
    </row>
    <row r="4476" spans="1:16">
      <c r="A4476" s="2">
        <v>36560</v>
      </c>
      <c r="B4476" s="1">
        <v>82.75</v>
      </c>
      <c r="C4476" s="1">
        <v>82.75</v>
      </c>
      <c r="D4476" s="1">
        <v>77.88</v>
      </c>
      <c r="E4476" s="1">
        <v>78.56</v>
      </c>
      <c r="F4476" s="1">
        <v>11023000</v>
      </c>
      <c r="G4476" s="1">
        <v>78.56</v>
      </c>
      <c r="H4476" s="1">
        <f t="shared" si="621"/>
        <v>4.8700000000000045</v>
      </c>
      <c r="I4476" s="9">
        <f t="shared" si="628"/>
        <v>6.2532100667693949E-2</v>
      </c>
      <c r="J4476" s="1">
        <f t="shared" si="629"/>
        <v>-5.6299999999999955</v>
      </c>
      <c r="K4476" s="9">
        <f t="shared" si="622"/>
        <v>-6.6872550184107329E-2</v>
      </c>
      <c r="L4476" s="1">
        <f t="shared" si="623"/>
        <v>1</v>
      </c>
      <c r="M4476" s="1">
        <f t="shared" si="624"/>
        <v>82.75</v>
      </c>
      <c r="N4476" s="1">
        <f t="shared" si="625"/>
        <v>77.88</v>
      </c>
      <c r="O4476" s="1">
        <f t="shared" si="626"/>
        <v>76.600000000000009</v>
      </c>
      <c r="P4476" s="1">
        <f t="shared" si="627"/>
        <v>39.081632653061227</v>
      </c>
    </row>
    <row r="4477" spans="1:16">
      <c r="A4477" s="2">
        <v>36559</v>
      </c>
      <c r="B4477" s="1">
        <v>81.13</v>
      </c>
      <c r="C4477" s="1">
        <v>85.94</v>
      </c>
      <c r="D4477" s="1">
        <v>77.38</v>
      </c>
      <c r="E4477" s="1">
        <v>84.19</v>
      </c>
      <c r="F4477" s="1">
        <v>43750000</v>
      </c>
      <c r="G4477" s="1">
        <v>84.19</v>
      </c>
      <c r="H4477" s="1">
        <f t="shared" si="621"/>
        <v>8.5600000000000023</v>
      </c>
      <c r="I4477" s="9">
        <f t="shared" si="628"/>
        <v>0.11062289997415356</v>
      </c>
      <c r="J4477" s="1">
        <f t="shared" si="629"/>
        <v>14.75</v>
      </c>
      <c r="K4477" s="9">
        <f t="shared" si="622"/>
        <v>0.2124135944700461</v>
      </c>
      <c r="L4477" s="1">
        <f t="shared" si="623"/>
        <v>1</v>
      </c>
      <c r="M4477" s="1">
        <f t="shared" si="624"/>
        <v>85.94</v>
      </c>
      <c r="N4477" s="1">
        <f t="shared" si="625"/>
        <v>77.38</v>
      </c>
      <c r="O4477" s="1">
        <f t="shared" si="626"/>
        <v>82.23</v>
      </c>
      <c r="P4477" s="1">
        <f t="shared" si="627"/>
        <v>41.954081632653065</v>
      </c>
    </row>
    <row r="4478" spans="1:16">
      <c r="A4478" s="2">
        <v>36558</v>
      </c>
      <c r="B4478" s="1">
        <v>67.94</v>
      </c>
      <c r="C4478" s="1">
        <v>72.25</v>
      </c>
      <c r="D4478" s="1">
        <v>67.75</v>
      </c>
      <c r="E4478" s="1">
        <v>69.44</v>
      </c>
      <c r="F4478" s="1">
        <v>14025900</v>
      </c>
      <c r="G4478" s="1">
        <v>69.44</v>
      </c>
      <c r="H4478" s="1">
        <f t="shared" si="621"/>
        <v>4.5</v>
      </c>
      <c r="I4478" s="9">
        <f t="shared" si="628"/>
        <v>6.6420664206642069E-2</v>
      </c>
      <c r="J4478" s="1">
        <f t="shared" si="629"/>
        <v>2</v>
      </c>
      <c r="K4478" s="9">
        <f t="shared" si="622"/>
        <v>2.9655990510083038E-2</v>
      </c>
      <c r="L4478" s="1">
        <f t="shared" si="623"/>
        <v>1</v>
      </c>
      <c r="M4478" s="1">
        <f t="shared" si="624"/>
        <v>72.25</v>
      </c>
      <c r="N4478" s="1">
        <f t="shared" si="625"/>
        <v>67.75</v>
      </c>
      <c r="O4478" s="1">
        <f t="shared" si="626"/>
        <v>67.48</v>
      </c>
      <c r="P4478" s="1">
        <f t="shared" si="627"/>
        <v>34.428571428571431</v>
      </c>
    </row>
    <row r="4479" spans="1:16">
      <c r="A4479" s="2">
        <v>36557</v>
      </c>
      <c r="B4479" s="1">
        <v>67.5</v>
      </c>
      <c r="C4479" s="1">
        <v>70.63</v>
      </c>
      <c r="D4479" s="1">
        <v>64.38</v>
      </c>
      <c r="E4479" s="1">
        <v>67.44</v>
      </c>
      <c r="F4479" s="1">
        <v>13404600</v>
      </c>
      <c r="G4479" s="1">
        <v>67.44</v>
      </c>
      <c r="H4479" s="1">
        <f t="shared" si="621"/>
        <v>6.25</v>
      </c>
      <c r="I4479" s="9">
        <f t="shared" si="628"/>
        <v>9.7079838459148804E-2</v>
      </c>
      <c r="J4479" s="1">
        <f t="shared" si="629"/>
        <v>2.8799999999999955</v>
      </c>
      <c r="K4479" s="9">
        <f t="shared" si="622"/>
        <v>4.4609665427509222E-2</v>
      </c>
      <c r="L4479" s="1">
        <f t="shared" si="623"/>
        <v>1</v>
      </c>
      <c r="M4479" s="1">
        <f t="shared" si="624"/>
        <v>70.63</v>
      </c>
      <c r="N4479" s="1">
        <f t="shared" si="625"/>
        <v>64.38</v>
      </c>
      <c r="O4479" s="1">
        <f t="shared" si="626"/>
        <v>65.48</v>
      </c>
      <c r="P4479" s="1">
        <f t="shared" si="627"/>
        <v>33.408163265306122</v>
      </c>
    </row>
    <row r="4480" spans="1:16">
      <c r="A4480" s="2">
        <v>36556</v>
      </c>
      <c r="B4480" s="1">
        <v>60.38</v>
      </c>
      <c r="C4480" s="1">
        <v>64.75</v>
      </c>
      <c r="D4480" s="1">
        <v>58.44</v>
      </c>
      <c r="E4480" s="1">
        <v>64.56</v>
      </c>
      <c r="F4480" s="1">
        <v>10697900</v>
      </c>
      <c r="G4480" s="1">
        <v>64.56</v>
      </c>
      <c r="H4480" s="1">
        <f t="shared" si="621"/>
        <v>6.3100000000000023</v>
      </c>
      <c r="I4480" s="9">
        <f t="shared" si="628"/>
        <v>0.10797399041752229</v>
      </c>
      <c r="J4480" s="1">
        <f t="shared" si="629"/>
        <v>2.8700000000000045</v>
      </c>
      <c r="K4480" s="9">
        <f t="shared" si="622"/>
        <v>4.652293726698014E-2</v>
      </c>
      <c r="L4480" s="1">
        <f t="shared" si="623"/>
        <v>1</v>
      </c>
      <c r="M4480" s="1">
        <f t="shared" si="624"/>
        <v>64.75</v>
      </c>
      <c r="N4480" s="1">
        <f t="shared" si="625"/>
        <v>58.44</v>
      </c>
      <c r="O4480" s="1">
        <f t="shared" si="626"/>
        <v>62.6</v>
      </c>
      <c r="P4480" s="1">
        <f t="shared" si="627"/>
        <v>31.938775510204081</v>
      </c>
    </row>
    <row r="4481" spans="1:16">
      <c r="A4481" s="2">
        <v>36553</v>
      </c>
      <c r="B4481" s="1">
        <v>65</v>
      </c>
      <c r="C4481" s="1">
        <v>66.44</v>
      </c>
      <c r="D4481" s="1">
        <v>60</v>
      </c>
      <c r="E4481" s="1">
        <v>61.69</v>
      </c>
      <c r="F4481" s="1">
        <v>13777900</v>
      </c>
      <c r="G4481" s="1">
        <v>61.69</v>
      </c>
      <c r="H4481" s="1">
        <f t="shared" si="621"/>
        <v>6.4399999999999977</v>
      </c>
      <c r="I4481" s="9">
        <f t="shared" si="628"/>
        <v>0.10733333333333329</v>
      </c>
      <c r="J4481" s="1">
        <f t="shared" si="629"/>
        <v>-5.25</v>
      </c>
      <c r="K4481" s="9">
        <f t="shared" si="622"/>
        <v>-7.8428443382133256E-2</v>
      </c>
      <c r="L4481" s="1">
        <f t="shared" si="623"/>
        <v>1</v>
      </c>
      <c r="M4481" s="1">
        <f t="shared" si="624"/>
        <v>66.44</v>
      </c>
      <c r="N4481" s="1">
        <f t="shared" si="625"/>
        <v>60</v>
      </c>
      <c r="O4481" s="1">
        <f t="shared" si="626"/>
        <v>59.73</v>
      </c>
      <c r="P4481" s="1">
        <f t="shared" si="627"/>
        <v>30.474489795918366</v>
      </c>
    </row>
    <row r="4482" spans="1:16">
      <c r="A4482" s="2">
        <v>36552</v>
      </c>
      <c r="B4482" s="1">
        <v>65.19</v>
      </c>
      <c r="C4482" s="1">
        <v>67.75</v>
      </c>
      <c r="D4482" s="1">
        <v>64.63</v>
      </c>
      <c r="E4482" s="1">
        <v>66.94</v>
      </c>
      <c r="F4482" s="1">
        <v>6784000</v>
      </c>
      <c r="G4482" s="1">
        <v>66.94</v>
      </c>
      <c r="H4482" s="1">
        <f t="shared" si="621"/>
        <v>3.1200000000000045</v>
      </c>
      <c r="I4482" s="9">
        <f t="shared" si="628"/>
        <v>4.8274794986848286E-2</v>
      </c>
      <c r="J4482" s="1">
        <f t="shared" si="629"/>
        <v>2.1299999999999955</v>
      </c>
      <c r="K4482" s="9">
        <f t="shared" si="622"/>
        <v>3.2865298565036186E-2</v>
      </c>
      <c r="L4482" s="1">
        <f t="shared" si="623"/>
        <v>1</v>
      </c>
      <c r="M4482" s="1">
        <f t="shared" si="624"/>
        <v>67.75</v>
      </c>
      <c r="N4482" s="1">
        <f t="shared" si="625"/>
        <v>64.63</v>
      </c>
      <c r="O4482" s="1">
        <f t="shared" si="626"/>
        <v>64.98</v>
      </c>
      <c r="P4482" s="1">
        <f t="shared" si="627"/>
        <v>33.153061224489797</v>
      </c>
    </row>
    <row r="4483" spans="1:16">
      <c r="A4483" s="2">
        <v>36551</v>
      </c>
      <c r="B4483" s="1">
        <v>68.63</v>
      </c>
      <c r="C4483" s="1">
        <v>70</v>
      </c>
      <c r="D4483" s="1">
        <v>64.75</v>
      </c>
      <c r="E4483" s="1">
        <v>64.81</v>
      </c>
      <c r="F4483" s="1">
        <v>6558000</v>
      </c>
      <c r="G4483" s="1">
        <v>64.81</v>
      </c>
      <c r="H4483" s="1">
        <f t="shared" ref="H4483:H4546" si="630">C4483-D4483</f>
        <v>5.25</v>
      </c>
      <c r="I4483" s="9">
        <f t="shared" si="628"/>
        <v>8.1081081081081086E-2</v>
      </c>
      <c r="J4483" s="1">
        <f t="shared" si="629"/>
        <v>-4.4399999999999977</v>
      </c>
      <c r="K4483" s="9">
        <f t="shared" ref="K4483:K4546" si="631">(G4483-G4484)/G4484</f>
        <v>-6.4115523465703941E-2</v>
      </c>
      <c r="L4483" s="1">
        <f t="shared" ref="L4483:L4546" si="632">G4483/E4483</f>
        <v>1</v>
      </c>
      <c r="M4483" s="1">
        <f t="shared" ref="M4483:M4546" si="633">L4483*C4483</f>
        <v>70</v>
      </c>
      <c r="N4483" s="1">
        <f t="shared" ref="N4483:N4546" si="634">L4483*D4483</f>
        <v>64.75</v>
      </c>
      <c r="O4483" s="1">
        <f t="shared" ref="O4483:O4546" si="635">G4483-$G$5163</f>
        <v>62.85</v>
      </c>
      <c r="P4483" s="1">
        <f t="shared" ref="P4483:P4546" si="636">(G4483-$G$5163)/$G$5163</f>
        <v>32.066326530612244</v>
      </c>
    </row>
    <row r="4484" spans="1:16">
      <c r="A4484" s="2">
        <v>36550</v>
      </c>
      <c r="B4484" s="1">
        <v>70</v>
      </c>
      <c r="C4484" s="1">
        <v>71.25</v>
      </c>
      <c r="D4484" s="1">
        <v>66</v>
      </c>
      <c r="E4484" s="1">
        <v>69.25</v>
      </c>
      <c r="F4484" s="1">
        <v>9434100</v>
      </c>
      <c r="G4484" s="1">
        <v>69.25</v>
      </c>
      <c r="H4484" s="1">
        <f t="shared" si="630"/>
        <v>5.25</v>
      </c>
      <c r="I4484" s="9">
        <f t="shared" ref="I4484:I4547" si="637">(C4484-D4484)/D4484</f>
        <v>7.9545454545454544E-2</v>
      </c>
      <c r="J4484" s="1">
        <f t="shared" ref="J4484:J4547" si="638">G4484-G4485</f>
        <v>-0.87999999999999545</v>
      </c>
      <c r="K4484" s="9">
        <f t="shared" si="631"/>
        <v>-1.254812491087973E-2</v>
      </c>
      <c r="L4484" s="1">
        <f t="shared" si="632"/>
        <v>1</v>
      </c>
      <c r="M4484" s="1">
        <f t="shared" si="633"/>
        <v>71.25</v>
      </c>
      <c r="N4484" s="1">
        <f t="shared" si="634"/>
        <v>66</v>
      </c>
      <c r="O4484" s="1">
        <f t="shared" si="635"/>
        <v>67.290000000000006</v>
      </c>
      <c r="P4484" s="1">
        <f t="shared" si="636"/>
        <v>34.331632653061227</v>
      </c>
    </row>
    <row r="4485" spans="1:16">
      <c r="A4485" s="2">
        <v>36549</v>
      </c>
      <c r="B4485" s="1">
        <v>67.56</v>
      </c>
      <c r="C4485" s="1">
        <v>73.38</v>
      </c>
      <c r="D4485" s="1">
        <v>67.5</v>
      </c>
      <c r="E4485" s="1">
        <v>70.13</v>
      </c>
      <c r="F4485" s="1">
        <v>29170200</v>
      </c>
      <c r="G4485" s="1">
        <v>70.13</v>
      </c>
      <c r="H4485" s="1">
        <f t="shared" si="630"/>
        <v>5.8799999999999955</v>
      </c>
      <c r="I4485" s="9">
        <f t="shared" si="637"/>
        <v>8.7111111111111042E-2</v>
      </c>
      <c r="J4485" s="1">
        <f t="shared" si="638"/>
        <v>8.0699999999999932</v>
      </c>
      <c r="K4485" s="9">
        <f t="shared" si="631"/>
        <v>0.13003544956493704</v>
      </c>
      <c r="L4485" s="1">
        <f t="shared" si="632"/>
        <v>1</v>
      </c>
      <c r="M4485" s="1">
        <f t="shared" si="633"/>
        <v>73.38</v>
      </c>
      <c r="N4485" s="1">
        <f t="shared" si="634"/>
        <v>67.5</v>
      </c>
      <c r="O4485" s="1">
        <f t="shared" si="635"/>
        <v>68.17</v>
      </c>
      <c r="P4485" s="1">
        <f t="shared" si="636"/>
        <v>34.780612244897959</v>
      </c>
    </row>
    <row r="4486" spans="1:16">
      <c r="A4486" s="2">
        <v>36546</v>
      </c>
      <c r="B4486" s="1">
        <v>64.63</v>
      </c>
      <c r="C4486" s="1">
        <v>64.63</v>
      </c>
      <c r="D4486" s="1">
        <v>60</v>
      </c>
      <c r="E4486" s="1">
        <v>62.06</v>
      </c>
      <c r="F4486" s="1">
        <v>11461900</v>
      </c>
      <c r="G4486" s="1">
        <v>62.06</v>
      </c>
      <c r="H4486" s="1">
        <f t="shared" si="630"/>
        <v>4.6299999999999955</v>
      </c>
      <c r="I4486" s="9">
        <f t="shared" si="637"/>
        <v>7.7166666666666592E-2</v>
      </c>
      <c r="J4486" s="1">
        <f t="shared" si="638"/>
        <v>-2.6899999999999977</v>
      </c>
      <c r="K4486" s="9">
        <f t="shared" si="631"/>
        <v>-4.1544401544401512E-2</v>
      </c>
      <c r="L4486" s="1">
        <f t="shared" si="632"/>
        <v>1</v>
      </c>
      <c r="M4486" s="1">
        <f t="shared" si="633"/>
        <v>64.63</v>
      </c>
      <c r="N4486" s="1">
        <f t="shared" si="634"/>
        <v>60</v>
      </c>
      <c r="O4486" s="1">
        <f t="shared" si="635"/>
        <v>60.1</v>
      </c>
      <c r="P4486" s="1">
        <f t="shared" si="636"/>
        <v>30.663265306122451</v>
      </c>
    </row>
    <row r="4487" spans="1:16">
      <c r="A4487" s="2">
        <v>36545</v>
      </c>
      <c r="B4487" s="1">
        <v>66.94</v>
      </c>
      <c r="C4487" s="1">
        <v>67</v>
      </c>
      <c r="D4487" s="1">
        <v>63.94</v>
      </c>
      <c r="E4487" s="1">
        <v>64.75</v>
      </c>
      <c r="F4487" s="1">
        <v>5978000</v>
      </c>
      <c r="G4487" s="1">
        <v>64.75</v>
      </c>
      <c r="H4487" s="1">
        <f t="shared" si="630"/>
        <v>3.0600000000000023</v>
      </c>
      <c r="I4487" s="9">
        <f t="shared" si="637"/>
        <v>4.7857366280888373E-2</v>
      </c>
      <c r="J4487" s="1">
        <f t="shared" si="638"/>
        <v>-2.0600000000000023</v>
      </c>
      <c r="K4487" s="9">
        <f t="shared" si="631"/>
        <v>-3.0833707528813085E-2</v>
      </c>
      <c r="L4487" s="1">
        <f t="shared" si="632"/>
        <v>1</v>
      </c>
      <c r="M4487" s="1">
        <f t="shared" si="633"/>
        <v>67</v>
      </c>
      <c r="N4487" s="1">
        <f t="shared" si="634"/>
        <v>63.94</v>
      </c>
      <c r="O4487" s="1">
        <f t="shared" si="635"/>
        <v>62.79</v>
      </c>
      <c r="P4487" s="1">
        <f t="shared" si="636"/>
        <v>32.035714285714285</v>
      </c>
    </row>
    <row r="4488" spans="1:16">
      <c r="A4488" s="2">
        <v>36544</v>
      </c>
      <c r="B4488" s="1">
        <v>64.13</v>
      </c>
      <c r="C4488" s="1">
        <v>67.5</v>
      </c>
      <c r="D4488" s="1">
        <v>63</v>
      </c>
      <c r="E4488" s="1">
        <v>66.81</v>
      </c>
      <c r="F4488" s="1">
        <v>8245500</v>
      </c>
      <c r="G4488" s="1">
        <v>66.81</v>
      </c>
      <c r="H4488" s="1">
        <f t="shared" si="630"/>
        <v>4.5</v>
      </c>
      <c r="I4488" s="9">
        <f t="shared" si="637"/>
        <v>7.1428571428571425E-2</v>
      </c>
      <c r="J4488" s="1">
        <f t="shared" si="638"/>
        <v>2.6800000000000068</v>
      </c>
      <c r="K4488" s="9">
        <f t="shared" si="631"/>
        <v>4.1790113831280319E-2</v>
      </c>
      <c r="L4488" s="1">
        <f t="shared" si="632"/>
        <v>1</v>
      </c>
      <c r="M4488" s="1">
        <f t="shared" si="633"/>
        <v>67.5</v>
      </c>
      <c r="N4488" s="1">
        <f t="shared" si="634"/>
        <v>63</v>
      </c>
      <c r="O4488" s="1">
        <f t="shared" si="635"/>
        <v>64.850000000000009</v>
      </c>
      <c r="P4488" s="1">
        <f t="shared" si="636"/>
        <v>33.086734693877553</v>
      </c>
    </row>
    <row r="4489" spans="1:16">
      <c r="A4489" s="2">
        <v>36543</v>
      </c>
      <c r="B4489" s="1">
        <v>63.44</v>
      </c>
      <c r="C4489" s="1">
        <v>65.19</v>
      </c>
      <c r="D4489" s="1">
        <v>63</v>
      </c>
      <c r="E4489" s="1">
        <v>64.13</v>
      </c>
      <c r="F4489" s="1">
        <v>5384900</v>
      </c>
      <c r="G4489" s="1">
        <v>64.13</v>
      </c>
      <c r="H4489" s="1">
        <f t="shared" si="630"/>
        <v>2.1899999999999977</v>
      </c>
      <c r="I4489" s="9">
        <f t="shared" si="637"/>
        <v>3.4761904761904723E-2</v>
      </c>
      <c r="J4489" s="1">
        <f t="shared" si="638"/>
        <v>-0.12000000000000455</v>
      </c>
      <c r="K4489" s="9">
        <f t="shared" si="631"/>
        <v>-1.8677042801557128E-3</v>
      </c>
      <c r="L4489" s="1">
        <f t="shared" si="632"/>
        <v>1</v>
      </c>
      <c r="M4489" s="1">
        <f t="shared" si="633"/>
        <v>65.19</v>
      </c>
      <c r="N4489" s="1">
        <f t="shared" si="634"/>
        <v>63</v>
      </c>
      <c r="O4489" s="1">
        <f t="shared" si="635"/>
        <v>62.169999999999995</v>
      </c>
      <c r="P4489" s="1">
        <f t="shared" si="636"/>
        <v>31.719387755102037</v>
      </c>
    </row>
    <row r="4490" spans="1:16">
      <c r="A4490" s="2">
        <v>36539</v>
      </c>
      <c r="B4490" s="1">
        <v>66.75</v>
      </c>
      <c r="C4490" s="1">
        <v>68.63</v>
      </c>
      <c r="D4490" s="1">
        <v>64</v>
      </c>
      <c r="E4490" s="1">
        <v>64.25</v>
      </c>
      <c r="F4490" s="1">
        <v>6853600</v>
      </c>
      <c r="G4490" s="1">
        <v>64.25</v>
      </c>
      <c r="H4490" s="1">
        <f t="shared" si="630"/>
        <v>4.6299999999999955</v>
      </c>
      <c r="I4490" s="9">
        <f t="shared" si="637"/>
        <v>7.2343749999999929E-2</v>
      </c>
      <c r="J4490" s="1">
        <f t="shared" si="638"/>
        <v>-1.6899999999999977</v>
      </c>
      <c r="K4490" s="9">
        <f t="shared" si="631"/>
        <v>-2.5629360024264448E-2</v>
      </c>
      <c r="L4490" s="1">
        <f t="shared" si="632"/>
        <v>1</v>
      </c>
      <c r="M4490" s="1">
        <f t="shared" si="633"/>
        <v>68.63</v>
      </c>
      <c r="N4490" s="1">
        <f t="shared" si="634"/>
        <v>64</v>
      </c>
      <c r="O4490" s="1">
        <f t="shared" si="635"/>
        <v>62.29</v>
      </c>
      <c r="P4490" s="1">
        <f t="shared" si="636"/>
        <v>31.780612244897959</v>
      </c>
    </row>
    <row r="4491" spans="1:16">
      <c r="A4491" s="2">
        <v>36538</v>
      </c>
      <c r="B4491" s="1">
        <v>64.94</v>
      </c>
      <c r="C4491" s="1">
        <v>67.19</v>
      </c>
      <c r="D4491" s="1">
        <v>63.13</v>
      </c>
      <c r="E4491" s="1">
        <v>65.94</v>
      </c>
      <c r="F4491" s="1">
        <v>10448100</v>
      </c>
      <c r="G4491" s="1">
        <v>65.94</v>
      </c>
      <c r="H4491" s="1">
        <f t="shared" si="630"/>
        <v>4.0599999999999952</v>
      </c>
      <c r="I4491" s="9">
        <f t="shared" si="637"/>
        <v>6.4311737684143749E-2</v>
      </c>
      <c r="J4491" s="1">
        <f t="shared" si="638"/>
        <v>2.3799999999999955</v>
      </c>
      <c r="K4491" s="9">
        <f t="shared" si="631"/>
        <v>3.7444933920704776E-2</v>
      </c>
      <c r="L4491" s="1">
        <f t="shared" si="632"/>
        <v>1</v>
      </c>
      <c r="M4491" s="1">
        <f t="shared" si="633"/>
        <v>67.19</v>
      </c>
      <c r="N4491" s="1">
        <f t="shared" si="634"/>
        <v>63.13</v>
      </c>
      <c r="O4491" s="1">
        <f t="shared" si="635"/>
        <v>63.98</v>
      </c>
      <c r="P4491" s="1">
        <f t="shared" si="636"/>
        <v>32.642857142857139</v>
      </c>
    </row>
    <row r="4492" spans="1:16">
      <c r="A4492" s="2">
        <v>36537</v>
      </c>
      <c r="B4492" s="1">
        <v>67.88</v>
      </c>
      <c r="C4492" s="1">
        <v>68</v>
      </c>
      <c r="D4492" s="1">
        <v>63</v>
      </c>
      <c r="E4492" s="1">
        <v>63.56</v>
      </c>
      <c r="F4492" s="1">
        <v>10804500</v>
      </c>
      <c r="G4492" s="1">
        <v>63.56</v>
      </c>
      <c r="H4492" s="1">
        <f t="shared" si="630"/>
        <v>5</v>
      </c>
      <c r="I4492" s="9">
        <f t="shared" si="637"/>
        <v>7.9365079365079361E-2</v>
      </c>
      <c r="J4492" s="1">
        <f t="shared" si="638"/>
        <v>-3.1899999999999977</v>
      </c>
      <c r="K4492" s="9">
        <f t="shared" si="631"/>
        <v>-4.779026217228461E-2</v>
      </c>
      <c r="L4492" s="1">
        <f t="shared" si="632"/>
        <v>1</v>
      </c>
      <c r="M4492" s="1">
        <f t="shared" si="633"/>
        <v>68</v>
      </c>
      <c r="N4492" s="1">
        <f t="shared" si="634"/>
        <v>63</v>
      </c>
      <c r="O4492" s="1">
        <f t="shared" si="635"/>
        <v>61.6</v>
      </c>
      <c r="P4492" s="1">
        <f t="shared" si="636"/>
        <v>31.428571428571431</v>
      </c>
    </row>
    <row r="4493" spans="1:16">
      <c r="A4493" s="2">
        <v>36536</v>
      </c>
      <c r="B4493" s="1">
        <v>66.88</v>
      </c>
      <c r="C4493" s="1">
        <v>70</v>
      </c>
      <c r="D4493" s="1">
        <v>65</v>
      </c>
      <c r="E4493" s="1">
        <v>66.75</v>
      </c>
      <c r="F4493" s="1">
        <v>10532700</v>
      </c>
      <c r="G4493" s="1">
        <v>66.75</v>
      </c>
      <c r="H4493" s="1">
        <f t="shared" si="630"/>
        <v>5</v>
      </c>
      <c r="I4493" s="9">
        <f t="shared" si="637"/>
        <v>7.6923076923076927E-2</v>
      </c>
      <c r="J4493" s="1">
        <f t="shared" si="638"/>
        <v>-2.4399999999999977</v>
      </c>
      <c r="K4493" s="9">
        <f t="shared" si="631"/>
        <v>-3.526521173579994E-2</v>
      </c>
      <c r="L4493" s="1">
        <f t="shared" si="632"/>
        <v>1</v>
      </c>
      <c r="M4493" s="1">
        <f t="shared" si="633"/>
        <v>70</v>
      </c>
      <c r="N4493" s="1">
        <f t="shared" si="634"/>
        <v>65</v>
      </c>
      <c r="O4493" s="1">
        <f t="shared" si="635"/>
        <v>64.790000000000006</v>
      </c>
      <c r="P4493" s="1">
        <f t="shared" si="636"/>
        <v>33.056122448979593</v>
      </c>
    </row>
    <row r="4494" spans="1:16">
      <c r="A4494" s="2">
        <v>36535</v>
      </c>
      <c r="B4494" s="1">
        <v>72.56</v>
      </c>
      <c r="C4494" s="1">
        <v>72.63</v>
      </c>
      <c r="D4494" s="1">
        <v>65.56</v>
      </c>
      <c r="E4494" s="1">
        <v>69.19</v>
      </c>
      <c r="F4494" s="1">
        <v>14757900</v>
      </c>
      <c r="G4494" s="1">
        <v>69.19</v>
      </c>
      <c r="H4494" s="1">
        <f t="shared" si="630"/>
        <v>7.0699999999999932</v>
      </c>
      <c r="I4494" s="9">
        <f t="shared" si="637"/>
        <v>0.10784014643075035</v>
      </c>
      <c r="J4494" s="1">
        <f t="shared" si="638"/>
        <v>-0.37000000000000455</v>
      </c>
      <c r="K4494" s="9">
        <f t="shared" si="631"/>
        <v>-5.3191489361702777E-3</v>
      </c>
      <c r="L4494" s="1">
        <f t="shared" si="632"/>
        <v>1</v>
      </c>
      <c r="M4494" s="1">
        <f t="shared" si="633"/>
        <v>72.63</v>
      </c>
      <c r="N4494" s="1">
        <f t="shared" si="634"/>
        <v>65.56</v>
      </c>
      <c r="O4494" s="1">
        <f t="shared" si="635"/>
        <v>67.23</v>
      </c>
      <c r="P4494" s="1">
        <f t="shared" si="636"/>
        <v>34.301020408163268</v>
      </c>
    </row>
    <row r="4495" spans="1:16">
      <c r="A4495" s="2">
        <v>36532</v>
      </c>
      <c r="B4495" s="1">
        <v>67</v>
      </c>
      <c r="C4495" s="1">
        <v>70.5</v>
      </c>
      <c r="D4495" s="1">
        <v>66.19</v>
      </c>
      <c r="E4495" s="1">
        <v>69.56</v>
      </c>
      <c r="F4495" s="1">
        <v>10505400</v>
      </c>
      <c r="G4495" s="1">
        <v>69.56</v>
      </c>
      <c r="H4495" s="1">
        <f t="shared" si="630"/>
        <v>4.3100000000000023</v>
      </c>
      <c r="I4495" s="9">
        <f t="shared" si="637"/>
        <v>6.5115576371053072E-2</v>
      </c>
      <c r="J4495" s="1">
        <f t="shared" si="638"/>
        <v>4</v>
      </c>
      <c r="K4495" s="9">
        <f t="shared" si="631"/>
        <v>6.1012812690665039E-2</v>
      </c>
      <c r="L4495" s="1">
        <f t="shared" si="632"/>
        <v>1</v>
      </c>
      <c r="M4495" s="1">
        <f t="shared" si="633"/>
        <v>70.5</v>
      </c>
      <c r="N4495" s="1">
        <f t="shared" si="634"/>
        <v>66.19</v>
      </c>
      <c r="O4495" s="1">
        <f t="shared" si="635"/>
        <v>67.600000000000009</v>
      </c>
      <c r="P4495" s="1">
        <f t="shared" si="636"/>
        <v>34.489795918367349</v>
      </c>
    </row>
    <row r="4496" spans="1:16">
      <c r="A4496" s="2">
        <v>36531</v>
      </c>
      <c r="B4496" s="1">
        <v>71.31</v>
      </c>
      <c r="C4496" s="1">
        <v>72.69</v>
      </c>
      <c r="D4496" s="1">
        <v>64</v>
      </c>
      <c r="E4496" s="1">
        <v>65.56</v>
      </c>
      <c r="F4496" s="1">
        <v>18752000</v>
      </c>
      <c r="G4496" s="1">
        <v>65.56</v>
      </c>
      <c r="H4496" s="1">
        <f t="shared" si="630"/>
        <v>8.6899999999999977</v>
      </c>
      <c r="I4496" s="9">
        <f t="shared" si="637"/>
        <v>0.13578124999999996</v>
      </c>
      <c r="J4496" s="1">
        <f t="shared" si="638"/>
        <v>-4.1899999999999977</v>
      </c>
      <c r="K4496" s="9">
        <f t="shared" si="631"/>
        <v>-6.007168458781359E-2</v>
      </c>
      <c r="L4496" s="1">
        <f t="shared" si="632"/>
        <v>1</v>
      </c>
      <c r="M4496" s="1">
        <f t="shared" si="633"/>
        <v>72.69</v>
      </c>
      <c r="N4496" s="1">
        <f t="shared" si="634"/>
        <v>64</v>
      </c>
      <c r="O4496" s="1">
        <f t="shared" si="635"/>
        <v>63.6</v>
      </c>
      <c r="P4496" s="1">
        <f t="shared" si="636"/>
        <v>32.448979591836739</v>
      </c>
    </row>
    <row r="4497" spans="1:16">
      <c r="A4497" s="2">
        <v>36530</v>
      </c>
      <c r="B4497" s="1">
        <v>70.5</v>
      </c>
      <c r="C4497" s="1">
        <v>75.13</v>
      </c>
      <c r="D4497" s="1">
        <v>68</v>
      </c>
      <c r="E4497" s="1">
        <v>69.75</v>
      </c>
      <c r="F4497" s="1">
        <v>38457400</v>
      </c>
      <c r="G4497" s="1">
        <v>69.75</v>
      </c>
      <c r="H4497" s="1">
        <f t="shared" si="630"/>
        <v>7.1299999999999955</v>
      </c>
      <c r="I4497" s="9">
        <f t="shared" si="637"/>
        <v>0.10485294117647052</v>
      </c>
      <c r="J4497" s="1">
        <f t="shared" si="638"/>
        <v>-12.189999999999998</v>
      </c>
      <c r="K4497" s="9">
        <f t="shared" si="631"/>
        <v>-0.14876739077373685</v>
      </c>
      <c r="L4497" s="1">
        <f t="shared" si="632"/>
        <v>1</v>
      </c>
      <c r="M4497" s="1">
        <f t="shared" si="633"/>
        <v>75.13</v>
      </c>
      <c r="N4497" s="1">
        <f t="shared" si="634"/>
        <v>68</v>
      </c>
      <c r="O4497" s="1">
        <f t="shared" si="635"/>
        <v>67.790000000000006</v>
      </c>
      <c r="P4497" s="1">
        <f t="shared" si="636"/>
        <v>34.586734693877553</v>
      </c>
    </row>
    <row r="4498" spans="1:16">
      <c r="A4498" s="2">
        <v>36529</v>
      </c>
      <c r="B4498" s="1">
        <v>85.38</v>
      </c>
      <c r="C4498" s="1">
        <v>91.5</v>
      </c>
      <c r="D4498" s="1">
        <v>81.75</v>
      </c>
      <c r="E4498" s="1">
        <v>81.94</v>
      </c>
      <c r="F4498" s="1">
        <v>17487400</v>
      </c>
      <c r="G4498" s="1">
        <v>81.94</v>
      </c>
      <c r="H4498" s="1">
        <f t="shared" si="630"/>
        <v>9.75</v>
      </c>
      <c r="I4498" s="9">
        <f t="shared" si="637"/>
        <v>0.11926605504587157</v>
      </c>
      <c r="J4498" s="1">
        <f t="shared" si="638"/>
        <v>-7.4399999999999977</v>
      </c>
      <c r="K4498" s="9">
        <f t="shared" si="631"/>
        <v>-8.3240098456030406E-2</v>
      </c>
      <c r="L4498" s="1">
        <f t="shared" si="632"/>
        <v>1</v>
      </c>
      <c r="M4498" s="1">
        <f t="shared" si="633"/>
        <v>91.5</v>
      </c>
      <c r="N4498" s="1">
        <f t="shared" si="634"/>
        <v>81.75</v>
      </c>
      <c r="O4498" s="1">
        <f t="shared" si="635"/>
        <v>79.98</v>
      </c>
      <c r="P4498" s="1">
        <f t="shared" si="636"/>
        <v>40.806122448979593</v>
      </c>
    </row>
    <row r="4499" spans="1:16">
      <c r="A4499" s="2">
        <v>36528</v>
      </c>
      <c r="B4499" s="1">
        <v>81.5</v>
      </c>
      <c r="C4499" s="1">
        <v>89.56</v>
      </c>
      <c r="D4499" s="1">
        <v>79.05</v>
      </c>
      <c r="E4499" s="1">
        <v>89.38</v>
      </c>
      <c r="F4499" s="1">
        <v>16117600</v>
      </c>
      <c r="G4499" s="1">
        <v>89.38</v>
      </c>
      <c r="H4499" s="1">
        <f t="shared" si="630"/>
        <v>10.510000000000005</v>
      </c>
      <c r="I4499" s="9">
        <f t="shared" si="637"/>
        <v>0.13295382669196718</v>
      </c>
      <c r="J4499" s="1">
        <f t="shared" si="638"/>
        <v>13.25</v>
      </c>
      <c r="K4499" s="9">
        <f t="shared" si="631"/>
        <v>0.17404439774070671</v>
      </c>
      <c r="L4499" s="1">
        <f t="shared" si="632"/>
        <v>1</v>
      </c>
      <c r="M4499" s="1">
        <f t="shared" si="633"/>
        <v>89.56</v>
      </c>
      <c r="N4499" s="1">
        <f t="shared" si="634"/>
        <v>79.05</v>
      </c>
      <c r="O4499" s="1">
        <f t="shared" si="635"/>
        <v>87.42</v>
      </c>
      <c r="P4499" s="1">
        <f t="shared" si="636"/>
        <v>44.602040816326536</v>
      </c>
    </row>
    <row r="4500" spans="1:16">
      <c r="A4500" s="2">
        <v>36525</v>
      </c>
      <c r="B4500" s="1">
        <v>79.31</v>
      </c>
      <c r="C4500" s="1">
        <v>79.38</v>
      </c>
      <c r="D4500" s="1">
        <v>76</v>
      </c>
      <c r="E4500" s="1">
        <v>76.13</v>
      </c>
      <c r="F4500" s="1">
        <v>7270700</v>
      </c>
      <c r="G4500" s="1">
        <v>76.13</v>
      </c>
      <c r="H4500" s="1">
        <f t="shared" si="630"/>
        <v>3.3799999999999955</v>
      </c>
      <c r="I4500" s="9">
        <f t="shared" si="637"/>
        <v>4.4473684210526256E-2</v>
      </c>
      <c r="J4500" s="1">
        <f t="shared" si="638"/>
        <v>-2.9300000000000068</v>
      </c>
      <c r="K4500" s="9">
        <f t="shared" si="631"/>
        <v>-3.7060460409815414E-2</v>
      </c>
      <c r="L4500" s="1">
        <f t="shared" si="632"/>
        <v>1</v>
      </c>
      <c r="M4500" s="1">
        <f t="shared" si="633"/>
        <v>79.38</v>
      </c>
      <c r="N4500" s="1">
        <f t="shared" si="634"/>
        <v>76</v>
      </c>
      <c r="O4500" s="1">
        <f t="shared" si="635"/>
        <v>74.17</v>
      </c>
      <c r="P4500" s="1">
        <f t="shared" si="636"/>
        <v>37.841836734693878</v>
      </c>
    </row>
    <row r="4501" spans="1:16">
      <c r="A4501" s="2">
        <v>36524</v>
      </c>
      <c r="B4501" s="1">
        <v>84.63</v>
      </c>
      <c r="C4501" s="1">
        <v>85.13</v>
      </c>
      <c r="D4501" s="1">
        <v>78.5</v>
      </c>
      <c r="E4501" s="1">
        <v>79.06</v>
      </c>
      <c r="F4501" s="1">
        <v>9256600</v>
      </c>
      <c r="G4501" s="1">
        <v>79.06</v>
      </c>
      <c r="H4501" s="1">
        <f t="shared" si="630"/>
        <v>6.6299999999999955</v>
      </c>
      <c r="I4501" s="9">
        <f t="shared" si="637"/>
        <v>8.4458598726114595E-2</v>
      </c>
      <c r="J4501" s="1">
        <f t="shared" si="638"/>
        <v>-4.4399999999999977</v>
      </c>
      <c r="K4501" s="9">
        <f t="shared" si="631"/>
        <v>-5.3173652694610753E-2</v>
      </c>
      <c r="L4501" s="1">
        <f t="shared" si="632"/>
        <v>1</v>
      </c>
      <c r="M4501" s="1">
        <f t="shared" si="633"/>
        <v>85.13</v>
      </c>
      <c r="N4501" s="1">
        <f t="shared" si="634"/>
        <v>78.5</v>
      </c>
      <c r="O4501" s="1">
        <f t="shared" si="635"/>
        <v>77.100000000000009</v>
      </c>
      <c r="P4501" s="1">
        <f t="shared" si="636"/>
        <v>39.336734693877553</v>
      </c>
    </row>
    <row r="4502" spans="1:16">
      <c r="A4502" s="2">
        <v>36523</v>
      </c>
      <c r="B4502" s="1">
        <v>83.44</v>
      </c>
      <c r="C4502" s="1">
        <v>85.38</v>
      </c>
      <c r="D4502" s="1">
        <v>82.63</v>
      </c>
      <c r="E4502" s="1">
        <v>83.5</v>
      </c>
      <c r="F4502" s="1">
        <v>5913000</v>
      </c>
      <c r="G4502" s="1">
        <v>83.5</v>
      </c>
      <c r="H4502" s="1">
        <f t="shared" si="630"/>
        <v>2.75</v>
      </c>
      <c r="I4502" s="9">
        <f t="shared" si="637"/>
        <v>3.3280890717657025E-2</v>
      </c>
      <c r="J4502" s="1">
        <f t="shared" si="638"/>
        <v>1.1899999999999977</v>
      </c>
      <c r="K4502" s="9">
        <f t="shared" si="631"/>
        <v>1.4457538573684823E-2</v>
      </c>
      <c r="L4502" s="1">
        <f t="shared" si="632"/>
        <v>1</v>
      </c>
      <c r="M4502" s="1">
        <f t="shared" si="633"/>
        <v>85.38</v>
      </c>
      <c r="N4502" s="1">
        <f t="shared" si="634"/>
        <v>82.63</v>
      </c>
      <c r="O4502" s="1">
        <f t="shared" si="635"/>
        <v>81.540000000000006</v>
      </c>
      <c r="P4502" s="1">
        <f t="shared" si="636"/>
        <v>41.602040816326536</v>
      </c>
    </row>
    <row r="4503" spans="1:16">
      <c r="A4503" s="2">
        <v>36522</v>
      </c>
      <c r="B4503" s="1">
        <v>83.06</v>
      </c>
      <c r="C4503" s="1">
        <v>86.5</v>
      </c>
      <c r="D4503" s="1">
        <v>81.56</v>
      </c>
      <c r="E4503" s="1">
        <v>82.31</v>
      </c>
      <c r="F4503" s="1">
        <v>10304300</v>
      </c>
      <c r="G4503" s="1">
        <v>82.31</v>
      </c>
      <c r="H4503" s="1">
        <f t="shared" si="630"/>
        <v>4.9399999999999977</v>
      </c>
      <c r="I4503" s="9">
        <f t="shared" si="637"/>
        <v>6.0568906326630673E-2</v>
      </c>
      <c r="J4503" s="1">
        <f t="shared" si="638"/>
        <v>1.1800000000000068</v>
      </c>
      <c r="K4503" s="9">
        <f t="shared" si="631"/>
        <v>1.4544558116603068E-2</v>
      </c>
      <c r="L4503" s="1">
        <f t="shared" si="632"/>
        <v>1</v>
      </c>
      <c r="M4503" s="1">
        <f t="shared" si="633"/>
        <v>86.5</v>
      </c>
      <c r="N4503" s="1">
        <f t="shared" si="634"/>
        <v>81.56</v>
      </c>
      <c r="O4503" s="1">
        <f t="shared" si="635"/>
        <v>80.350000000000009</v>
      </c>
      <c r="P4503" s="1">
        <f t="shared" si="636"/>
        <v>40.994897959183682</v>
      </c>
    </row>
    <row r="4504" spans="1:16">
      <c r="A4504" s="2">
        <v>36521</v>
      </c>
      <c r="B4504" s="1">
        <v>87.75</v>
      </c>
      <c r="C4504" s="1">
        <v>88.25</v>
      </c>
      <c r="D4504" s="1">
        <v>80</v>
      </c>
      <c r="E4504" s="1">
        <v>81.13</v>
      </c>
      <c r="F4504" s="1">
        <v>16523800</v>
      </c>
      <c r="G4504" s="1">
        <v>81.13</v>
      </c>
      <c r="H4504" s="1">
        <f t="shared" si="630"/>
        <v>8.25</v>
      </c>
      <c r="I4504" s="9">
        <f t="shared" si="637"/>
        <v>0.10312499999999999</v>
      </c>
      <c r="J4504" s="1">
        <f t="shared" si="638"/>
        <v>-8.8700000000000045</v>
      </c>
      <c r="K4504" s="9">
        <f t="shared" si="631"/>
        <v>-9.8555555555555605E-2</v>
      </c>
      <c r="L4504" s="1">
        <f t="shared" si="632"/>
        <v>1</v>
      </c>
      <c r="M4504" s="1">
        <f t="shared" si="633"/>
        <v>88.25</v>
      </c>
      <c r="N4504" s="1">
        <f t="shared" si="634"/>
        <v>80</v>
      </c>
      <c r="O4504" s="1">
        <f t="shared" si="635"/>
        <v>79.17</v>
      </c>
      <c r="P4504" s="1">
        <f t="shared" si="636"/>
        <v>40.392857142857146</v>
      </c>
    </row>
    <row r="4505" spans="1:16">
      <c r="A4505" s="2">
        <v>36517</v>
      </c>
      <c r="B4505" s="1">
        <v>98</v>
      </c>
      <c r="C4505" s="1">
        <v>99</v>
      </c>
      <c r="D4505" s="1">
        <v>89.06</v>
      </c>
      <c r="E4505" s="1">
        <v>90</v>
      </c>
      <c r="F4505" s="1">
        <v>12914600</v>
      </c>
      <c r="G4505" s="1">
        <v>90</v>
      </c>
      <c r="H4505" s="1">
        <f t="shared" si="630"/>
        <v>9.9399999999999977</v>
      </c>
      <c r="I4505" s="9">
        <f t="shared" si="637"/>
        <v>0.11161015046036377</v>
      </c>
      <c r="J4505" s="1">
        <f t="shared" si="638"/>
        <v>-7.6899999999999977</v>
      </c>
      <c r="K4505" s="9">
        <f t="shared" si="631"/>
        <v>-7.8718394922714693E-2</v>
      </c>
      <c r="L4505" s="1">
        <f t="shared" si="632"/>
        <v>1</v>
      </c>
      <c r="M4505" s="1">
        <f t="shared" si="633"/>
        <v>99</v>
      </c>
      <c r="N4505" s="1">
        <f t="shared" si="634"/>
        <v>89.06</v>
      </c>
      <c r="O4505" s="1">
        <f t="shared" si="635"/>
        <v>88.04</v>
      </c>
      <c r="P4505" s="1">
        <f t="shared" si="636"/>
        <v>44.91836734693878</v>
      </c>
    </row>
    <row r="4506" spans="1:16">
      <c r="A4506" s="2">
        <v>36516</v>
      </c>
      <c r="B4506" s="1">
        <v>100.56</v>
      </c>
      <c r="C4506" s="1">
        <v>100.56</v>
      </c>
      <c r="D4506" s="1">
        <v>95.5</v>
      </c>
      <c r="E4506" s="1">
        <v>97.69</v>
      </c>
      <c r="F4506" s="1">
        <v>5921000</v>
      </c>
      <c r="G4506" s="1">
        <v>97.69</v>
      </c>
      <c r="H4506" s="1">
        <f t="shared" si="630"/>
        <v>5.0600000000000023</v>
      </c>
      <c r="I4506" s="9">
        <f t="shared" si="637"/>
        <v>5.2984293193717301E-2</v>
      </c>
      <c r="J4506" s="1">
        <f t="shared" si="638"/>
        <v>-2.1899999999999977</v>
      </c>
      <c r="K4506" s="9">
        <f t="shared" si="631"/>
        <v>-2.1926311573888645E-2</v>
      </c>
      <c r="L4506" s="1">
        <f t="shared" si="632"/>
        <v>1</v>
      </c>
      <c r="M4506" s="1">
        <f t="shared" si="633"/>
        <v>100.56</v>
      </c>
      <c r="N4506" s="1">
        <f t="shared" si="634"/>
        <v>95.5</v>
      </c>
      <c r="O4506" s="1">
        <f t="shared" si="635"/>
        <v>95.73</v>
      </c>
      <c r="P4506" s="1">
        <f t="shared" si="636"/>
        <v>48.841836734693878</v>
      </c>
    </row>
    <row r="4507" spans="1:16">
      <c r="A4507" s="2">
        <v>36515</v>
      </c>
      <c r="B4507" s="1">
        <v>96.56</v>
      </c>
      <c r="C4507" s="1">
        <v>100.44</v>
      </c>
      <c r="D4507" s="1">
        <v>95.5</v>
      </c>
      <c r="E4507" s="1">
        <v>99.88</v>
      </c>
      <c r="F4507" s="1">
        <v>9509500</v>
      </c>
      <c r="G4507" s="1">
        <v>99.88</v>
      </c>
      <c r="H4507" s="1">
        <f t="shared" si="630"/>
        <v>4.9399999999999977</v>
      </c>
      <c r="I4507" s="9">
        <f t="shared" si="637"/>
        <v>5.1727748691099452E-2</v>
      </c>
      <c r="J4507" s="1">
        <f t="shared" si="638"/>
        <v>2.8799999999999955</v>
      </c>
      <c r="K4507" s="9">
        <f t="shared" si="631"/>
        <v>2.969072164948449E-2</v>
      </c>
      <c r="L4507" s="1">
        <f t="shared" si="632"/>
        <v>1</v>
      </c>
      <c r="M4507" s="1">
        <f t="shared" si="633"/>
        <v>100.44</v>
      </c>
      <c r="N4507" s="1">
        <f t="shared" si="634"/>
        <v>95.5</v>
      </c>
      <c r="O4507" s="1">
        <f t="shared" si="635"/>
        <v>97.92</v>
      </c>
      <c r="P4507" s="1">
        <f t="shared" si="636"/>
        <v>49.95918367346939</v>
      </c>
    </row>
    <row r="4508" spans="1:16">
      <c r="A4508" s="2">
        <v>36514</v>
      </c>
      <c r="B4508" s="1">
        <v>97.75</v>
      </c>
      <c r="C4508" s="1">
        <v>102</v>
      </c>
      <c r="D4508" s="1">
        <v>95.06</v>
      </c>
      <c r="E4508" s="1">
        <v>97</v>
      </c>
      <c r="F4508" s="1">
        <v>10566600</v>
      </c>
      <c r="G4508" s="1">
        <v>97</v>
      </c>
      <c r="H4508" s="1">
        <f t="shared" si="630"/>
        <v>6.9399999999999977</v>
      </c>
      <c r="I4508" s="9">
        <f t="shared" si="637"/>
        <v>7.300652219650744E-2</v>
      </c>
      <c r="J4508" s="1">
        <f t="shared" si="638"/>
        <v>2.9399999999999977</v>
      </c>
      <c r="K4508" s="9">
        <f t="shared" si="631"/>
        <v>3.1256644694875588E-2</v>
      </c>
      <c r="L4508" s="1">
        <f t="shared" si="632"/>
        <v>1</v>
      </c>
      <c r="M4508" s="1">
        <f t="shared" si="633"/>
        <v>102</v>
      </c>
      <c r="N4508" s="1">
        <f t="shared" si="634"/>
        <v>95.06</v>
      </c>
      <c r="O4508" s="1">
        <f t="shared" si="635"/>
        <v>95.04</v>
      </c>
      <c r="P4508" s="1">
        <f t="shared" si="636"/>
        <v>48.489795918367349</v>
      </c>
    </row>
    <row r="4509" spans="1:16">
      <c r="A4509" s="2">
        <v>36511</v>
      </c>
      <c r="B4509" s="1">
        <v>97.19</v>
      </c>
      <c r="C4509" s="1">
        <v>97.63</v>
      </c>
      <c r="D4509" s="1">
        <v>93.81</v>
      </c>
      <c r="E4509" s="1">
        <v>94.06</v>
      </c>
      <c r="F4509" s="1">
        <v>5955900</v>
      </c>
      <c r="G4509" s="1">
        <v>94.06</v>
      </c>
      <c r="H4509" s="1">
        <f t="shared" si="630"/>
        <v>3.8199999999999932</v>
      </c>
      <c r="I4509" s="9">
        <f t="shared" si="637"/>
        <v>4.0720605479159934E-2</v>
      </c>
      <c r="J4509" s="1">
        <f t="shared" si="638"/>
        <v>-0.81999999999999318</v>
      </c>
      <c r="K4509" s="9">
        <f t="shared" si="631"/>
        <v>-8.6424957841483262E-3</v>
      </c>
      <c r="L4509" s="1">
        <f t="shared" si="632"/>
        <v>1</v>
      </c>
      <c r="M4509" s="1">
        <f t="shared" si="633"/>
        <v>97.63</v>
      </c>
      <c r="N4509" s="1">
        <f t="shared" si="634"/>
        <v>93.81</v>
      </c>
      <c r="O4509" s="1">
        <f t="shared" si="635"/>
        <v>92.100000000000009</v>
      </c>
      <c r="P4509" s="1">
        <f t="shared" si="636"/>
        <v>46.989795918367349</v>
      </c>
    </row>
    <row r="4510" spans="1:16">
      <c r="A4510" s="2">
        <v>36510</v>
      </c>
      <c r="B4510" s="1">
        <v>98.25</v>
      </c>
      <c r="C4510" s="1">
        <v>98.75</v>
      </c>
      <c r="D4510" s="1">
        <v>93.5</v>
      </c>
      <c r="E4510" s="1">
        <v>94.88</v>
      </c>
      <c r="F4510" s="1">
        <v>7004400</v>
      </c>
      <c r="G4510" s="1">
        <v>94.88</v>
      </c>
      <c r="H4510" s="1">
        <f t="shared" si="630"/>
        <v>5.25</v>
      </c>
      <c r="I4510" s="9">
        <f t="shared" si="637"/>
        <v>5.6149732620320858E-2</v>
      </c>
      <c r="J4510" s="1">
        <f t="shared" si="638"/>
        <v>-1.6200000000000045</v>
      </c>
      <c r="K4510" s="9">
        <f t="shared" si="631"/>
        <v>-1.6787564766839427E-2</v>
      </c>
      <c r="L4510" s="1">
        <f t="shared" si="632"/>
        <v>1</v>
      </c>
      <c r="M4510" s="1">
        <f t="shared" si="633"/>
        <v>98.75</v>
      </c>
      <c r="N4510" s="1">
        <f t="shared" si="634"/>
        <v>93.5</v>
      </c>
      <c r="O4510" s="1">
        <f t="shared" si="635"/>
        <v>92.92</v>
      </c>
      <c r="P4510" s="1">
        <f t="shared" si="636"/>
        <v>47.408163265306122</v>
      </c>
    </row>
    <row r="4511" spans="1:16">
      <c r="A4511" s="2">
        <v>36509</v>
      </c>
      <c r="B4511" s="1">
        <v>92.88</v>
      </c>
      <c r="C4511" s="1">
        <v>99.44</v>
      </c>
      <c r="D4511" s="1">
        <v>91</v>
      </c>
      <c r="E4511" s="1">
        <v>96.5</v>
      </c>
      <c r="F4511" s="1">
        <v>10133500</v>
      </c>
      <c r="G4511" s="1">
        <v>96.5</v>
      </c>
      <c r="H4511" s="1">
        <f t="shared" si="630"/>
        <v>8.4399999999999977</v>
      </c>
      <c r="I4511" s="9">
        <f t="shared" si="637"/>
        <v>9.274725274725272E-2</v>
      </c>
      <c r="J4511" s="1">
        <f t="shared" si="638"/>
        <v>0.87000000000000455</v>
      </c>
      <c r="K4511" s="9">
        <f t="shared" si="631"/>
        <v>9.0975635260901865E-3</v>
      </c>
      <c r="L4511" s="1">
        <f t="shared" si="632"/>
        <v>1</v>
      </c>
      <c r="M4511" s="1">
        <f t="shared" si="633"/>
        <v>99.44</v>
      </c>
      <c r="N4511" s="1">
        <f t="shared" si="634"/>
        <v>91</v>
      </c>
      <c r="O4511" s="1">
        <f t="shared" si="635"/>
        <v>94.54</v>
      </c>
      <c r="P4511" s="1">
        <f t="shared" si="636"/>
        <v>48.234693877551024</v>
      </c>
    </row>
    <row r="4512" spans="1:16">
      <c r="A4512" s="2">
        <v>36508</v>
      </c>
      <c r="B4512" s="1">
        <v>103.75</v>
      </c>
      <c r="C4512" s="1">
        <v>104</v>
      </c>
      <c r="D4512" s="1">
        <v>93.56</v>
      </c>
      <c r="E4512" s="1">
        <v>95.63</v>
      </c>
      <c r="F4512" s="1">
        <v>10107900</v>
      </c>
      <c r="G4512" s="1">
        <v>95.63</v>
      </c>
      <c r="H4512" s="1">
        <f t="shared" si="630"/>
        <v>10.439999999999998</v>
      </c>
      <c r="I4512" s="9">
        <f t="shared" si="637"/>
        <v>0.11158614792646428</v>
      </c>
      <c r="J4512" s="1">
        <f t="shared" si="638"/>
        <v>-6.8700000000000045</v>
      </c>
      <c r="K4512" s="9">
        <f t="shared" si="631"/>
        <v>-6.7024390243902485E-2</v>
      </c>
      <c r="L4512" s="1">
        <f t="shared" si="632"/>
        <v>1</v>
      </c>
      <c r="M4512" s="1">
        <f t="shared" si="633"/>
        <v>104</v>
      </c>
      <c r="N4512" s="1">
        <f t="shared" si="634"/>
        <v>93.56</v>
      </c>
      <c r="O4512" s="1">
        <f t="shared" si="635"/>
        <v>93.67</v>
      </c>
      <c r="P4512" s="1">
        <f t="shared" si="636"/>
        <v>47.790816326530617</v>
      </c>
    </row>
    <row r="4513" spans="1:16">
      <c r="A4513" s="2">
        <v>36507</v>
      </c>
      <c r="B4513" s="1">
        <v>106.63</v>
      </c>
      <c r="C4513" s="1">
        <v>106.63</v>
      </c>
      <c r="D4513" s="1">
        <v>101.5</v>
      </c>
      <c r="E4513" s="1">
        <v>102.5</v>
      </c>
      <c r="F4513" s="1">
        <v>8653700</v>
      </c>
      <c r="G4513" s="1">
        <v>102.5</v>
      </c>
      <c r="H4513" s="1">
        <f t="shared" si="630"/>
        <v>5.1299999999999955</v>
      </c>
      <c r="I4513" s="9">
        <f t="shared" si="637"/>
        <v>5.0541871921182223E-2</v>
      </c>
      <c r="J4513" s="1">
        <f t="shared" si="638"/>
        <v>-4.1899999999999977</v>
      </c>
      <c r="K4513" s="9">
        <f t="shared" si="631"/>
        <v>-3.9272659105820583E-2</v>
      </c>
      <c r="L4513" s="1">
        <f t="shared" si="632"/>
        <v>1</v>
      </c>
      <c r="M4513" s="1">
        <f t="shared" si="633"/>
        <v>106.63</v>
      </c>
      <c r="N4513" s="1">
        <f t="shared" si="634"/>
        <v>101.5</v>
      </c>
      <c r="O4513" s="1">
        <f t="shared" si="635"/>
        <v>100.54</v>
      </c>
      <c r="P4513" s="1">
        <f t="shared" si="636"/>
        <v>51.295918367346943</v>
      </c>
    </row>
    <row r="4514" spans="1:16">
      <c r="A4514" s="2">
        <v>36504</v>
      </c>
      <c r="B4514" s="1">
        <v>111.94</v>
      </c>
      <c r="C4514" s="1">
        <v>112</v>
      </c>
      <c r="D4514" s="1">
        <v>104.44</v>
      </c>
      <c r="E4514" s="1">
        <v>106.69</v>
      </c>
      <c r="F4514" s="1">
        <v>14929000</v>
      </c>
      <c r="G4514" s="1">
        <v>106.69</v>
      </c>
      <c r="H4514" s="1">
        <f t="shared" si="630"/>
        <v>7.5600000000000023</v>
      </c>
      <c r="I4514" s="9">
        <f t="shared" si="637"/>
        <v>7.2386058981233264E-2</v>
      </c>
      <c r="J4514" s="1">
        <f t="shared" si="638"/>
        <v>3.0600000000000023</v>
      </c>
      <c r="K4514" s="9">
        <f t="shared" si="631"/>
        <v>2.9528128920196878E-2</v>
      </c>
      <c r="L4514" s="1">
        <f t="shared" si="632"/>
        <v>1</v>
      </c>
      <c r="M4514" s="1">
        <f t="shared" si="633"/>
        <v>112</v>
      </c>
      <c r="N4514" s="1">
        <f t="shared" si="634"/>
        <v>104.44</v>
      </c>
      <c r="O4514" s="1">
        <f t="shared" si="635"/>
        <v>104.73</v>
      </c>
      <c r="P4514" s="1">
        <f t="shared" si="636"/>
        <v>53.433673469387756</v>
      </c>
    </row>
    <row r="4515" spans="1:16">
      <c r="A4515" s="2">
        <v>36503</v>
      </c>
      <c r="B4515" s="1">
        <v>95.5</v>
      </c>
      <c r="C4515" s="1">
        <v>113</v>
      </c>
      <c r="D4515" s="1">
        <v>93.44</v>
      </c>
      <c r="E4515" s="1">
        <v>103.63</v>
      </c>
      <c r="F4515" s="1">
        <v>41364600</v>
      </c>
      <c r="G4515" s="1">
        <v>103.63</v>
      </c>
      <c r="H4515" s="1">
        <f t="shared" si="630"/>
        <v>19.560000000000002</v>
      </c>
      <c r="I4515" s="9">
        <f t="shared" si="637"/>
        <v>0.20933219178082194</v>
      </c>
      <c r="J4515" s="1">
        <f t="shared" si="638"/>
        <v>15.069999999999993</v>
      </c>
      <c r="K4515" s="9">
        <f t="shared" si="631"/>
        <v>0.17016711833784998</v>
      </c>
      <c r="L4515" s="1">
        <f t="shared" si="632"/>
        <v>1</v>
      </c>
      <c r="M4515" s="1">
        <f t="shared" si="633"/>
        <v>113</v>
      </c>
      <c r="N4515" s="1">
        <f t="shared" si="634"/>
        <v>93.44</v>
      </c>
      <c r="O4515" s="1">
        <f t="shared" si="635"/>
        <v>101.67</v>
      </c>
      <c r="P4515" s="1">
        <f t="shared" si="636"/>
        <v>51.872448979591837</v>
      </c>
    </row>
    <row r="4516" spans="1:16">
      <c r="A4516" s="2">
        <v>36502</v>
      </c>
      <c r="B4516" s="1">
        <v>86.81</v>
      </c>
      <c r="C4516" s="1">
        <v>93</v>
      </c>
      <c r="D4516" s="1">
        <v>86</v>
      </c>
      <c r="E4516" s="1">
        <v>88.56</v>
      </c>
      <c r="F4516" s="1">
        <v>12867200</v>
      </c>
      <c r="G4516" s="1">
        <v>88.56</v>
      </c>
      <c r="H4516" s="1">
        <f t="shared" si="630"/>
        <v>7</v>
      </c>
      <c r="I4516" s="9">
        <f t="shared" si="637"/>
        <v>8.1395348837209308E-2</v>
      </c>
      <c r="J4516" s="1">
        <f t="shared" si="638"/>
        <v>2.5</v>
      </c>
      <c r="K4516" s="9">
        <f t="shared" si="631"/>
        <v>2.9049500348594003E-2</v>
      </c>
      <c r="L4516" s="1">
        <f t="shared" si="632"/>
        <v>1</v>
      </c>
      <c r="M4516" s="1">
        <f t="shared" si="633"/>
        <v>93</v>
      </c>
      <c r="N4516" s="1">
        <f t="shared" si="634"/>
        <v>86</v>
      </c>
      <c r="O4516" s="1">
        <f t="shared" si="635"/>
        <v>86.600000000000009</v>
      </c>
      <c r="P4516" s="1">
        <f t="shared" si="636"/>
        <v>44.183673469387763</v>
      </c>
    </row>
    <row r="4517" spans="1:16">
      <c r="A4517" s="2">
        <v>36501</v>
      </c>
      <c r="B4517" s="1">
        <v>88</v>
      </c>
      <c r="C4517" s="1">
        <v>88</v>
      </c>
      <c r="D4517" s="1">
        <v>84.38</v>
      </c>
      <c r="E4517" s="1">
        <v>86.06</v>
      </c>
      <c r="F4517" s="1">
        <v>6727100</v>
      </c>
      <c r="G4517" s="1">
        <v>86.06</v>
      </c>
      <c r="H4517" s="1">
        <f t="shared" si="630"/>
        <v>3.6200000000000045</v>
      </c>
      <c r="I4517" s="9">
        <f t="shared" si="637"/>
        <v>4.2901161412657082E-2</v>
      </c>
      <c r="J4517" s="1">
        <f t="shared" si="638"/>
        <v>-1.6899999999999977</v>
      </c>
      <c r="K4517" s="9">
        <f t="shared" si="631"/>
        <v>-1.9259259259259233E-2</v>
      </c>
      <c r="L4517" s="1">
        <f t="shared" si="632"/>
        <v>1</v>
      </c>
      <c r="M4517" s="1">
        <f t="shared" si="633"/>
        <v>88</v>
      </c>
      <c r="N4517" s="1">
        <f t="shared" si="634"/>
        <v>84.38</v>
      </c>
      <c r="O4517" s="1">
        <f t="shared" si="635"/>
        <v>84.100000000000009</v>
      </c>
      <c r="P4517" s="1">
        <f t="shared" si="636"/>
        <v>42.908163265306129</v>
      </c>
    </row>
    <row r="4518" spans="1:16">
      <c r="A4518" s="2">
        <v>36500</v>
      </c>
      <c r="B4518" s="1">
        <v>86.88</v>
      </c>
      <c r="C4518" s="1">
        <v>89.88</v>
      </c>
      <c r="D4518" s="1">
        <v>84.69</v>
      </c>
      <c r="E4518" s="1">
        <v>87.75</v>
      </c>
      <c r="F4518" s="1">
        <v>9199200</v>
      </c>
      <c r="G4518" s="1">
        <v>87.75</v>
      </c>
      <c r="H4518" s="1">
        <f t="shared" si="630"/>
        <v>5.1899999999999977</v>
      </c>
      <c r="I4518" s="9">
        <f t="shared" si="637"/>
        <v>6.1282323769040005E-2</v>
      </c>
      <c r="J4518" s="1">
        <f t="shared" si="638"/>
        <v>1.1899999999999977</v>
      </c>
      <c r="K4518" s="9">
        <f t="shared" si="631"/>
        <v>1.374768946395561E-2</v>
      </c>
      <c r="L4518" s="1">
        <f t="shared" si="632"/>
        <v>1</v>
      </c>
      <c r="M4518" s="1">
        <f t="shared" si="633"/>
        <v>89.88</v>
      </c>
      <c r="N4518" s="1">
        <f t="shared" si="634"/>
        <v>84.69</v>
      </c>
      <c r="O4518" s="1">
        <f t="shared" si="635"/>
        <v>85.79</v>
      </c>
      <c r="P4518" s="1">
        <f t="shared" si="636"/>
        <v>43.770408163265309</v>
      </c>
    </row>
    <row r="4519" spans="1:16">
      <c r="A4519" s="2">
        <v>36497</v>
      </c>
      <c r="B4519" s="1">
        <v>92.5</v>
      </c>
      <c r="C4519" s="1">
        <v>93.38</v>
      </c>
      <c r="D4519" s="1">
        <v>86.06</v>
      </c>
      <c r="E4519" s="1">
        <v>86.56</v>
      </c>
      <c r="F4519" s="1">
        <v>11151200</v>
      </c>
      <c r="G4519" s="1">
        <v>86.56</v>
      </c>
      <c r="H4519" s="1">
        <f t="shared" si="630"/>
        <v>7.3199999999999932</v>
      </c>
      <c r="I4519" s="9">
        <f t="shared" si="637"/>
        <v>8.5056937020683163E-2</v>
      </c>
      <c r="J4519" s="1">
        <f t="shared" si="638"/>
        <v>-2.5</v>
      </c>
      <c r="K4519" s="9">
        <f t="shared" si="631"/>
        <v>-2.8070963395463732E-2</v>
      </c>
      <c r="L4519" s="1">
        <f t="shared" si="632"/>
        <v>1</v>
      </c>
      <c r="M4519" s="1">
        <f t="shared" si="633"/>
        <v>93.38</v>
      </c>
      <c r="N4519" s="1">
        <f t="shared" si="634"/>
        <v>86.06</v>
      </c>
      <c r="O4519" s="1">
        <f t="shared" si="635"/>
        <v>84.600000000000009</v>
      </c>
      <c r="P4519" s="1">
        <f t="shared" si="636"/>
        <v>43.163265306122454</v>
      </c>
    </row>
    <row r="4520" spans="1:16">
      <c r="A4520" s="2">
        <v>36496</v>
      </c>
      <c r="B4520" s="1">
        <v>86</v>
      </c>
      <c r="C4520" s="1">
        <v>91.31</v>
      </c>
      <c r="D4520" s="1">
        <v>85.63</v>
      </c>
      <c r="E4520" s="1">
        <v>89.06</v>
      </c>
      <c r="F4520" s="1">
        <v>9538700</v>
      </c>
      <c r="G4520" s="1">
        <v>89.06</v>
      </c>
      <c r="H4520" s="1">
        <f t="shared" si="630"/>
        <v>5.6800000000000068</v>
      </c>
      <c r="I4520" s="9">
        <f t="shared" si="637"/>
        <v>6.633189302814442E-2</v>
      </c>
      <c r="J4520" s="1">
        <f t="shared" si="638"/>
        <v>4.0600000000000023</v>
      </c>
      <c r="K4520" s="9">
        <f t="shared" si="631"/>
        <v>4.7764705882352966E-2</v>
      </c>
      <c r="L4520" s="1">
        <f t="shared" si="632"/>
        <v>1</v>
      </c>
      <c r="M4520" s="1">
        <f t="shared" si="633"/>
        <v>91.31</v>
      </c>
      <c r="N4520" s="1">
        <f t="shared" si="634"/>
        <v>85.63</v>
      </c>
      <c r="O4520" s="1">
        <f t="shared" si="635"/>
        <v>87.100000000000009</v>
      </c>
      <c r="P4520" s="1">
        <f t="shared" si="636"/>
        <v>44.438775510204088</v>
      </c>
    </row>
    <row r="4521" spans="1:16">
      <c r="A4521" s="2">
        <v>36495</v>
      </c>
      <c r="B4521" s="1">
        <v>87.25</v>
      </c>
      <c r="C4521" s="1">
        <v>87.88</v>
      </c>
      <c r="D4521" s="1">
        <v>81.97</v>
      </c>
      <c r="E4521" s="1">
        <v>85</v>
      </c>
      <c r="F4521" s="1">
        <v>10663600</v>
      </c>
      <c r="G4521" s="1">
        <v>85</v>
      </c>
      <c r="H4521" s="1">
        <f t="shared" si="630"/>
        <v>5.9099999999999966</v>
      </c>
      <c r="I4521" s="9">
        <f t="shared" si="637"/>
        <v>7.2099548615347037E-2</v>
      </c>
      <c r="J4521" s="1">
        <f t="shared" si="638"/>
        <v>-6.0000000000002274E-2</v>
      </c>
      <c r="K4521" s="9">
        <f t="shared" si="631"/>
        <v>-7.053844345168384E-4</v>
      </c>
      <c r="L4521" s="1">
        <f t="shared" si="632"/>
        <v>1</v>
      </c>
      <c r="M4521" s="1">
        <f t="shared" si="633"/>
        <v>87.88</v>
      </c>
      <c r="N4521" s="1">
        <f t="shared" si="634"/>
        <v>81.97</v>
      </c>
      <c r="O4521" s="1">
        <f t="shared" si="635"/>
        <v>83.04</v>
      </c>
      <c r="P4521" s="1">
        <f t="shared" si="636"/>
        <v>42.367346938775512</v>
      </c>
    </row>
    <row r="4522" spans="1:16">
      <c r="A4522" s="2">
        <v>36494</v>
      </c>
      <c r="B4522" s="1">
        <v>88.27</v>
      </c>
      <c r="C4522" s="1">
        <v>88.88</v>
      </c>
      <c r="D4522" s="1">
        <v>83.81</v>
      </c>
      <c r="E4522" s="1">
        <v>85.06</v>
      </c>
      <c r="F4522" s="1">
        <v>13465500</v>
      </c>
      <c r="G4522" s="1">
        <v>85.06</v>
      </c>
      <c r="H4522" s="1">
        <f t="shared" si="630"/>
        <v>5.0699999999999932</v>
      </c>
      <c r="I4522" s="9">
        <f t="shared" si="637"/>
        <v>6.049397446605409E-2</v>
      </c>
      <c r="J4522" s="1">
        <f t="shared" si="638"/>
        <v>-5.3799999999999955</v>
      </c>
      <c r="K4522" s="9">
        <f t="shared" si="631"/>
        <v>-5.9486952675807114E-2</v>
      </c>
      <c r="L4522" s="1">
        <f t="shared" si="632"/>
        <v>1</v>
      </c>
      <c r="M4522" s="1">
        <f t="shared" si="633"/>
        <v>88.88</v>
      </c>
      <c r="N4522" s="1">
        <f t="shared" si="634"/>
        <v>83.81</v>
      </c>
      <c r="O4522" s="1">
        <f t="shared" si="635"/>
        <v>83.100000000000009</v>
      </c>
      <c r="P4522" s="1">
        <f t="shared" si="636"/>
        <v>42.397959183673471</v>
      </c>
    </row>
    <row r="4523" spans="1:16">
      <c r="A4523" s="2">
        <v>36493</v>
      </c>
      <c r="B4523" s="1">
        <v>95.5</v>
      </c>
      <c r="C4523" s="1">
        <v>96.88</v>
      </c>
      <c r="D4523" s="1">
        <v>90.13</v>
      </c>
      <c r="E4523" s="1">
        <v>90.44</v>
      </c>
      <c r="F4523" s="1">
        <v>18053700</v>
      </c>
      <c r="G4523" s="1">
        <v>90.44</v>
      </c>
      <c r="H4523" s="1">
        <f t="shared" si="630"/>
        <v>6.75</v>
      </c>
      <c r="I4523" s="9">
        <f t="shared" si="637"/>
        <v>7.4891822922445367E-2</v>
      </c>
      <c r="J4523" s="1">
        <f t="shared" si="638"/>
        <v>-2.6899999999999977</v>
      </c>
      <c r="K4523" s="9">
        <f t="shared" si="631"/>
        <v>-2.8884355202405218E-2</v>
      </c>
      <c r="L4523" s="1">
        <f t="shared" si="632"/>
        <v>1</v>
      </c>
      <c r="M4523" s="1">
        <f t="shared" si="633"/>
        <v>96.88</v>
      </c>
      <c r="N4523" s="1">
        <f t="shared" si="634"/>
        <v>90.13</v>
      </c>
      <c r="O4523" s="1">
        <f t="shared" si="635"/>
        <v>88.48</v>
      </c>
      <c r="P4523" s="1">
        <f t="shared" si="636"/>
        <v>45.142857142857146</v>
      </c>
    </row>
    <row r="4524" spans="1:16">
      <c r="A4524" s="2">
        <v>36490</v>
      </c>
      <c r="B4524" s="1">
        <v>91.06</v>
      </c>
      <c r="C4524" s="1">
        <v>95.13</v>
      </c>
      <c r="D4524" s="1">
        <v>90.63</v>
      </c>
      <c r="E4524" s="1">
        <v>93.13</v>
      </c>
      <c r="F4524" s="1">
        <v>11496000</v>
      </c>
      <c r="G4524" s="1">
        <v>93.13</v>
      </c>
      <c r="H4524" s="1">
        <f t="shared" si="630"/>
        <v>4.5</v>
      </c>
      <c r="I4524" s="9">
        <f t="shared" si="637"/>
        <v>4.9652432969215496E-2</v>
      </c>
      <c r="J4524" s="1">
        <f t="shared" si="638"/>
        <v>5.8799999999999955</v>
      </c>
      <c r="K4524" s="9">
        <f t="shared" si="631"/>
        <v>6.7392550143266422E-2</v>
      </c>
      <c r="L4524" s="1">
        <f t="shared" si="632"/>
        <v>1</v>
      </c>
      <c r="M4524" s="1">
        <f t="shared" si="633"/>
        <v>95.13</v>
      </c>
      <c r="N4524" s="1">
        <f t="shared" si="634"/>
        <v>90.63</v>
      </c>
      <c r="O4524" s="1">
        <f t="shared" si="635"/>
        <v>91.17</v>
      </c>
      <c r="P4524" s="1">
        <f t="shared" si="636"/>
        <v>46.515306122448983</v>
      </c>
    </row>
    <row r="4525" spans="1:16">
      <c r="A4525" s="2">
        <v>36488</v>
      </c>
      <c r="B4525" s="1">
        <v>84.25</v>
      </c>
      <c r="C4525" s="1">
        <v>87.75</v>
      </c>
      <c r="D4525" s="1">
        <v>83.25</v>
      </c>
      <c r="E4525" s="1">
        <v>87.25</v>
      </c>
      <c r="F4525" s="1">
        <v>14483100</v>
      </c>
      <c r="G4525" s="1">
        <v>87.25</v>
      </c>
      <c r="H4525" s="1">
        <f t="shared" si="630"/>
        <v>4.5</v>
      </c>
      <c r="I4525" s="9">
        <f t="shared" si="637"/>
        <v>5.4054054054054057E-2</v>
      </c>
      <c r="J4525" s="1">
        <f t="shared" si="638"/>
        <v>5.5</v>
      </c>
      <c r="K4525" s="9">
        <f t="shared" si="631"/>
        <v>6.7278287461773695E-2</v>
      </c>
      <c r="L4525" s="1">
        <f t="shared" si="632"/>
        <v>1</v>
      </c>
      <c r="M4525" s="1">
        <f t="shared" si="633"/>
        <v>87.75</v>
      </c>
      <c r="N4525" s="1">
        <f t="shared" si="634"/>
        <v>83.25</v>
      </c>
      <c r="O4525" s="1">
        <f t="shared" si="635"/>
        <v>85.29</v>
      </c>
      <c r="P4525" s="1">
        <f t="shared" si="636"/>
        <v>43.515306122448983</v>
      </c>
    </row>
    <row r="4526" spans="1:16">
      <c r="A4526" s="2">
        <v>36487</v>
      </c>
      <c r="B4526" s="1">
        <v>80.38</v>
      </c>
      <c r="C4526" s="1">
        <v>85.63</v>
      </c>
      <c r="D4526" s="1">
        <v>76.25</v>
      </c>
      <c r="E4526" s="1">
        <v>81.75</v>
      </c>
      <c r="F4526" s="1">
        <v>18332500</v>
      </c>
      <c r="G4526" s="1">
        <v>81.75</v>
      </c>
      <c r="H4526" s="1">
        <f t="shared" si="630"/>
        <v>9.3799999999999955</v>
      </c>
      <c r="I4526" s="9">
        <f t="shared" si="637"/>
        <v>0.12301639344262288</v>
      </c>
      <c r="J4526" s="1">
        <f t="shared" si="638"/>
        <v>1.25</v>
      </c>
      <c r="K4526" s="9">
        <f t="shared" si="631"/>
        <v>1.5527950310559006E-2</v>
      </c>
      <c r="L4526" s="1">
        <f t="shared" si="632"/>
        <v>1</v>
      </c>
      <c r="M4526" s="1">
        <f t="shared" si="633"/>
        <v>85.63</v>
      </c>
      <c r="N4526" s="1">
        <f t="shared" si="634"/>
        <v>76.25</v>
      </c>
      <c r="O4526" s="1">
        <f t="shared" si="635"/>
        <v>79.790000000000006</v>
      </c>
      <c r="P4526" s="1">
        <f t="shared" si="636"/>
        <v>40.70918367346939</v>
      </c>
    </row>
    <row r="4527" spans="1:16">
      <c r="A4527" s="2">
        <v>36486</v>
      </c>
      <c r="B4527" s="1">
        <v>77.88</v>
      </c>
      <c r="C4527" s="1">
        <v>82.5</v>
      </c>
      <c r="D4527" s="1">
        <v>76</v>
      </c>
      <c r="E4527" s="1">
        <v>80.5</v>
      </c>
      <c r="F4527" s="1">
        <v>10708400</v>
      </c>
      <c r="G4527" s="1">
        <v>80.5</v>
      </c>
      <c r="H4527" s="1">
        <f t="shared" si="630"/>
        <v>6.5</v>
      </c>
      <c r="I4527" s="9">
        <f t="shared" si="637"/>
        <v>8.5526315789473686E-2</v>
      </c>
      <c r="J4527" s="1">
        <f t="shared" si="638"/>
        <v>2.5600000000000023</v>
      </c>
      <c r="K4527" s="9">
        <f t="shared" si="631"/>
        <v>3.2845778804208393E-2</v>
      </c>
      <c r="L4527" s="1">
        <f t="shared" si="632"/>
        <v>1</v>
      </c>
      <c r="M4527" s="1">
        <f t="shared" si="633"/>
        <v>82.5</v>
      </c>
      <c r="N4527" s="1">
        <f t="shared" si="634"/>
        <v>76</v>
      </c>
      <c r="O4527" s="1">
        <f t="shared" si="635"/>
        <v>78.540000000000006</v>
      </c>
      <c r="P4527" s="1">
        <f t="shared" si="636"/>
        <v>40.071428571428577</v>
      </c>
    </row>
    <row r="4528" spans="1:16">
      <c r="A4528" s="2">
        <v>36483</v>
      </c>
      <c r="B4528" s="1">
        <v>77.88</v>
      </c>
      <c r="C4528" s="1">
        <v>78.13</v>
      </c>
      <c r="D4528" s="1">
        <v>76.06</v>
      </c>
      <c r="E4528" s="1">
        <v>77.94</v>
      </c>
      <c r="F4528" s="1">
        <v>5760600</v>
      </c>
      <c r="G4528" s="1">
        <v>77.94</v>
      </c>
      <c r="H4528" s="1">
        <f t="shared" si="630"/>
        <v>2.0699999999999932</v>
      </c>
      <c r="I4528" s="9">
        <f t="shared" si="637"/>
        <v>2.7215356297659653E-2</v>
      </c>
      <c r="J4528" s="1">
        <f t="shared" si="638"/>
        <v>0</v>
      </c>
      <c r="K4528" s="9">
        <f t="shared" si="631"/>
        <v>0</v>
      </c>
      <c r="L4528" s="1">
        <f t="shared" si="632"/>
        <v>1</v>
      </c>
      <c r="M4528" s="1">
        <f t="shared" si="633"/>
        <v>78.13</v>
      </c>
      <c r="N4528" s="1">
        <f t="shared" si="634"/>
        <v>76.06</v>
      </c>
      <c r="O4528" s="1">
        <f t="shared" si="635"/>
        <v>75.98</v>
      </c>
      <c r="P4528" s="1">
        <f t="shared" si="636"/>
        <v>38.765306122448983</v>
      </c>
    </row>
    <row r="4529" spans="1:16">
      <c r="A4529" s="2">
        <v>36482</v>
      </c>
      <c r="B4529" s="1">
        <v>76.75</v>
      </c>
      <c r="C4529" s="1">
        <v>78.19</v>
      </c>
      <c r="D4529" s="1">
        <v>75.25</v>
      </c>
      <c r="E4529" s="1">
        <v>77.94</v>
      </c>
      <c r="F4529" s="1">
        <v>5810400</v>
      </c>
      <c r="G4529" s="1">
        <v>77.94</v>
      </c>
      <c r="H4529" s="1">
        <f t="shared" si="630"/>
        <v>2.9399999999999977</v>
      </c>
      <c r="I4529" s="9">
        <f t="shared" si="637"/>
        <v>3.9069767441860435E-2</v>
      </c>
      <c r="J4529" s="1">
        <f t="shared" si="638"/>
        <v>1.4399999999999977</v>
      </c>
      <c r="K4529" s="9">
        <f t="shared" si="631"/>
        <v>1.8823529411764676E-2</v>
      </c>
      <c r="L4529" s="1">
        <f t="shared" si="632"/>
        <v>1</v>
      </c>
      <c r="M4529" s="1">
        <f t="shared" si="633"/>
        <v>78.19</v>
      </c>
      <c r="N4529" s="1">
        <f t="shared" si="634"/>
        <v>75.25</v>
      </c>
      <c r="O4529" s="1">
        <f t="shared" si="635"/>
        <v>75.98</v>
      </c>
      <c r="P4529" s="1">
        <f t="shared" si="636"/>
        <v>38.765306122448983</v>
      </c>
    </row>
    <row r="4530" spans="1:16">
      <c r="A4530" s="2">
        <v>36481</v>
      </c>
      <c r="B4530" s="1">
        <v>77.94</v>
      </c>
      <c r="C4530" s="1">
        <v>80</v>
      </c>
      <c r="D4530" s="1">
        <v>75.44</v>
      </c>
      <c r="E4530" s="1">
        <v>76.5</v>
      </c>
      <c r="F4530" s="1">
        <v>6657400</v>
      </c>
      <c r="G4530" s="1">
        <v>76.5</v>
      </c>
      <c r="H4530" s="1">
        <f t="shared" si="630"/>
        <v>4.5600000000000023</v>
      </c>
      <c r="I4530" s="9">
        <f t="shared" si="637"/>
        <v>6.0445387062566309E-2</v>
      </c>
      <c r="J4530" s="1">
        <f t="shared" si="638"/>
        <v>-2.4399999999999977</v>
      </c>
      <c r="K4530" s="9">
        <f t="shared" si="631"/>
        <v>-3.0909551558145398E-2</v>
      </c>
      <c r="L4530" s="1">
        <f t="shared" si="632"/>
        <v>1</v>
      </c>
      <c r="M4530" s="1">
        <f t="shared" si="633"/>
        <v>80</v>
      </c>
      <c r="N4530" s="1">
        <f t="shared" si="634"/>
        <v>75.44</v>
      </c>
      <c r="O4530" s="1">
        <f t="shared" si="635"/>
        <v>74.540000000000006</v>
      </c>
      <c r="P4530" s="1">
        <f t="shared" si="636"/>
        <v>38.030612244897966</v>
      </c>
    </row>
    <row r="4531" spans="1:16">
      <c r="A4531" s="2">
        <v>36480</v>
      </c>
      <c r="B4531" s="1">
        <v>74.25</v>
      </c>
      <c r="C4531" s="1">
        <v>79.63</v>
      </c>
      <c r="D4531" s="1">
        <v>73.75</v>
      </c>
      <c r="E4531" s="1">
        <v>78.94</v>
      </c>
      <c r="F4531" s="1">
        <v>15238700</v>
      </c>
      <c r="G4531" s="1">
        <v>78.94</v>
      </c>
      <c r="H4531" s="1">
        <f t="shared" si="630"/>
        <v>5.8799999999999955</v>
      </c>
      <c r="I4531" s="9">
        <f t="shared" si="637"/>
        <v>7.9728813559321973E-2</v>
      </c>
      <c r="J4531" s="1">
        <f t="shared" si="638"/>
        <v>5.4399999999999977</v>
      </c>
      <c r="K4531" s="9">
        <f t="shared" si="631"/>
        <v>7.4013605442176833E-2</v>
      </c>
      <c r="L4531" s="1">
        <f t="shared" si="632"/>
        <v>1</v>
      </c>
      <c r="M4531" s="1">
        <f t="shared" si="633"/>
        <v>79.63</v>
      </c>
      <c r="N4531" s="1">
        <f t="shared" si="634"/>
        <v>73.75</v>
      </c>
      <c r="O4531" s="1">
        <f t="shared" si="635"/>
        <v>76.98</v>
      </c>
      <c r="P4531" s="1">
        <f t="shared" si="636"/>
        <v>39.275510204081634</v>
      </c>
    </row>
    <row r="4532" spans="1:16">
      <c r="A4532" s="2">
        <v>36479</v>
      </c>
      <c r="B4532" s="1">
        <v>75.63</v>
      </c>
      <c r="C4532" s="1">
        <v>76</v>
      </c>
      <c r="D4532" s="1">
        <v>73.31</v>
      </c>
      <c r="E4532" s="1">
        <v>73.5</v>
      </c>
      <c r="F4532" s="1">
        <v>6437200</v>
      </c>
      <c r="G4532" s="1">
        <v>73.5</v>
      </c>
      <c r="H4532" s="1">
        <f t="shared" si="630"/>
        <v>2.6899999999999977</v>
      </c>
      <c r="I4532" s="9">
        <f t="shared" si="637"/>
        <v>3.6693493384258598E-2</v>
      </c>
      <c r="J4532" s="1">
        <f t="shared" si="638"/>
        <v>-1.4399999999999977</v>
      </c>
      <c r="K4532" s="9">
        <f t="shared" si="631"/>
        <v>-1.9215372297838242E-2</v>
      </c>
      <c r="L4532" s="1">
        <f t="shared" si="632"/>
        <v>1</v>
      </c>
      <c r="M4532" s="1">
        <f t="shared" si="633"/>
        <v>76</v>
      </c>
      <c r="N4532" s="1">
        <f t="shared" si="634"/>
        <v>73.31</v>
      </c>
      <c r="O4532" s="1">
        <f t="shared" si="635"/>
        <v>71.540000000000006</v>
      </c>
      <c r="P4532" s="1">
        <f t="shared" si="636"/>
        <v>36.500000000000007</v>
      </c>
    </row>
    <row r="4533" spans="1:16">
      <c r="A4533" s="2">
        <v>36476</v>
      </c>
      <c r="B4533" s="1">
        <v>73.75</v>
      </c>
      <c r="C4533" s="1">
        <v>75</v>
      </c>
      <c r="D4533" s="1">
        <v>70.81</v>
      </c>
      <c r="E4533" s="1">
        <v>74.94</v>
      </c>
      <c r="F4533" s="1">
        <v>10319600</v>
      </c>
      <c r="G4533" s="1">
        <v>74.94</v>
      </c>
      <c r="H4533" s="1">
        <f t="shared" si="630"/>
        <v>4.1899999999999977</v>
      </c>
      <c r="I4533" s="9">
        <f t="shared" si="637"/>
        <v>5.9172433272136671E-2</v>
      </c>
      <c r="J4533" s="1">
        <f t="shared" si="638"/>
        <v>1.9399999999999977</v>
      </c>
      <c r="K4533" s="9">
        <f t="shared" si="631"/>
        <v>2.6575342465753393E-2</v>
      </c>
      <c r="L4533" s="1">
        <f t="shared" si="632"/>
        <v>1</v>
      </c>
      <c r="M4533" s="1">
        <f t="shared" si="633"/>
        <v>75</v>
      </c>
      <c r="N4533" s="1">
        <f t="shared" si="634"/>
        <v>70.81</v>
      </c>
      <c r="O4533" s="1">
        <f t="shared" si="635"/>
        <v>72.98</v>
      </c>
      <c r="P4533" s="1">
        <f t="shared" si="636"/>
        <v>37.234693877551024</v>
      </c>
    </row>
    <row r="4534" spans="1:16">
      <c r="A4534" s="2">
        <v>36475</v>
      </c>
      <c r="B4534" s="1">
        <v>74.75</v>
      </c>
      <c r="C4534" s="1">
        <v>76.63</v>
      </c>
      <c r="D4534" s="1">
        <v>71.38</v>
      </c>
      <c r="E4534" s="1">
        <v>73</v>
      </c>
      <c r="F4534" s="1">
        <v>9293900</v>
      </c>
      <c r="G4534" s="1">
        <v>73</v>
      </c>
      <c r="H4534" s="1">
        <f t="shared" si="630"/>
        <v>5.25</v>
      </c>
      <c r="I4534" s="9">
        <f t="shared" si="637"/>
        <v>7.3550014009526488E-2</v>
      </c>
      <c r="J4534" s="1">
        <f t="shared" si="638"/>
        <v>1</v>
      </c>
      <c r="K4534" s="9">
        <f t="shared" si="631"/>
        <v>1.3888888888888888E-2</v>
      </c>
      <c r="L4534" s="1">
        <f t="shared" si="632"/>
        <v>1</v>
      </c>
      <c r="M4534" s="1">
        <f t="shared" si="633"/>
        <v>76.63</v>
      </c>
      <c r="N4534" s="1">
        <f t="shared" si="634"/>
        <v>71.38</v>
      </c>
      <c r="O4534" s="1">
        <f t="shared" si="635"/>
        <v>71.040000000000006</v>
      </c>
      <c r="P4534" s="1">
        <f t="shared" si="636"/>
        <v>36.244897959183675</v>
      </c>
    </row>
    <row r="4535" spans="1:16">
      <c r="A4535" s="2">
        <v>36474</v>
      </c>
      <c r="B4535" s="1">
        <v>71.56</v>
      </c>
      <c r="C4535" s="1">
        <v>75</v>
      </c>
      <c r="D4535" s="1">
        <v>70.13</v>
      </c>
      <c r="E4535" s="1">
        <v>72</v>
      </c>
      <c r="F4535" s="1">
        <v>11506700</v>
      </c>
      <c r="G4535" s="1">
        <v>72</v>
      </c>
      <c r="H4535" s="1">
        <f t="shared" si="630"/>
        <v>4.8700000000000045</v>
      </c>
      <c r="I4535" s="9">
        <f t="shared" si="637"/>
        <v>6.9442463995437118E-2</v>
      </c>
      <c r="J4535" s="1">
        <f t="shared" si="638"/>
        <v>1.1899999999999977</v>
      </c>
      <c r="K4535" s="9">
        <f t="shared" si="631"/>
        <v>1.6805535941251202E-2</v>
      </c>
      <c r="L4535" s="1">
        <f t="shared" si="632"/>
        <v>1</v>
      </c>
      <c r="M4535" s="1">
        <f t="shared" si="633"/>
        <v>75</v>
      </c>
      <c r="N4535" s="1">
        <f t="shared" si="634"/>
        <v>70.13</v>
      </c>
      <c r="O4535" s="1">
        <f t="shared" si="635"/>
        <v>70.040000000000006</v>
      </c>
      <c r="P4535" s="1">
        <f t="shared" si="636"/>
        <v>35.734693877551024</v>
      </c>
    </row>
    <row r="4536" spans="1:16">
      <c r="A4536" s="2">
        <v>36473</v>
      </c>
      <c r="B4536" s="1">
        <v>82</v>
      </c>
      <c r="C4536" s="1">
        <v>83.06</v>
      </c>
      <c r="D4536" s="1">
        <v>70</v>
      </c>
      <c r="E4536" s="1">
        <v>70.81</v>
      </c>
      <c r="F4536" s="1">
        <v>26477100</v>
      </c>
      <c r="G4536" s="1">
        <v>70.81</v>
      </c>
      <c r="H4536" s="1">
        <f t="shared" si="630"/>
        <v>13.060000000000002</v>
      </c>
      <c r="I4536" s="9">
        <f t="shared" si="637"/>
        <v>0.18657142857142861</v>
      </c>
      <c r="J4536" s="1">
        <f t="shared" si="638"/>
        <v>-7.1899999999999977</v>
      </c>
      <c r="K4536" s="9">
        <f t="shared" si="631"/>
        <v>-9.2179487179487152E-2</v>
      </c>
      <c r="L4536" s="1">
        <f t="shared" si="632"/>
        <v>1</v>
      </c>
      <c r="M4536" s="1">
        <f t="shared" si="633"/>
        <v>83.06</v>
      </c>
      <c r="N4536" s="1">
        <f t="shared" si="634"/>
        <v>70</v>
      </c>
      <c r="O4536" s="1">
        <f t="shared" si="635"/>
        <v>68.850000000000009</v>
      </c>
      <c r="P4536" s="1">
        <f t="shared" si="636"/>
        <v>35.12755102040817</v>
      </c>
    </row>
    <row r="4537" spans="1:16">
      <c r="A4537" s="2">
        <v>36472</v>
      </c>
      <c r="B4537" s="1">
        <v>64.81</v>
      </c>
      <c r="C4537" s="1">
        <v>80</v>
      </c>
      <c r="D4537" s="1">
        <v>63.5</v>
      </c>
      <c r="E4537" s="1">
        <v>78</v>
      </c>
      <c r="F4537" s="1">
        <v>32339400</v>
      </c>
      <c r="G4537" s="1">
        <v>78</v>
      </c>
      <c r="H4537" s="1">
        <f t="shared" si="630"/>
        <v>16.5</v>
      </c>
      <c r="I4537" s="9">
        <f t="shared" si="637"/>
        <v>0.25984251968503935</v>
      </c>
      <c r="J4537" s="1">
        <f t="shared" si="638"/>
        <v>13.060000000000002</v>
      </c>
      <c r="K4537" s="9">
        <f t="shared" si="631"/>
        <v>0.20110871573760397</v>
      </c>
      <c r="L4537" s="1">
        <f t="shared" si="632"/>
        <v>1</v>
      </c>
      <c r="M4537" s="1">
        <f t="shared" si="633"/>
        <v>80</v>
      </c>
      <c r="N4537" s="1">
        <f t="shared" si="634"/>
        <v>63.5</v>
      </c>
      <c r="O4537" s="1">
        <f t="shared" si="635"/>
        <v>76.040000000000006</v>
      </c>
      <c r="P4537" s="1">
        <f t="shared" si="636"/>
        <v>38.795918367346943</v>
      </c>
    </row>
    <row r="4538" spans="1:16">
      <c r="A4538" s="2">
        <v>36469</v>
      </c>
      <c r="B4538" s="1">
        <v>64.75</v>
      </c>
      <c r="C4538" s="1">
        <v>65.5</v>
      </c>
      <c r="D4538" s="1">
        <v>62.25</v>
      </c>
      <c r="E4538" s="1">
        <v>64.94</v>
      </c>
      <c r="F4538" s="1">
        <v>11091400</v>
      </c>
      <c r="G4538" s="1">
        <v>64.94</v>
      </c>
      <c r="H4538" s="1">
        <f t="shared" si="630"/>
        <v>3.25</v>
      </c>
      <c r="I4538" s="9">
        <f t="shared" si="637"/>
        <v>5.2208835341365459E-2</v>
      </c>
      <c r="J4538" s="1">
        <f t="shared" si="638"/>
        <v>1.8799999999999955</v>
      </c>
      <c r="K4538" s="9">
        <f t="shared" si="631"/>
        <v>2.9812876625436021E-2</v>
      </c>
      <c r="L4538" s="1">
        <f t="shared" si="632"/>
        <v>1</v>
      </c>
      <c r="M4538" s="1">
        <f t="shared" si="633"/>
        <v>65.5</v>
      </c>
      <c r="N4538" s="1">
        <f t="shared" si="634"/>
        <v>62.25</v>
      </c>
      <c r="O4538" s="1">
        <f t="shared" si="635"/>
        <v>62.98</v>
      </c>
      <c r="P4538" s="1">
        <f t="shared" si="636"/>
        <v>32.132653061224488</v>
      </c>
    </row>
    <row r="4539" spans="1:16">
      <c r="A4539" s="2">
        <v>36468</v>
      </c>
      <c r="B4539" s="1">
        <v>67.19</v>
      </c>
      <c r="C4539" s="1">
        <v>67.88</v>
      </c>
      <c r="D4539" s="1">
        <v>61</v>
      </c>
      <c r="E4539" s="1">
        <v>63.06</v>
      </c>
      <c r="F4539" s="1">
        <v>16759200</v>
      </c>
      <c r="G4539" s="1">
        <v>63.06</v>
      </c>
      <c r="H4539" s="1">
        <f t="shared" si="630"/>
        <v>6.8799999999999955</v>
      </c>
      <c r="I4539" s="9">
        <f t="shared" si="637"/>
        <v>0.11278688524590157</v>
      </c>
      <c r="J4539" s="1">
        <f t="shared" si="638"/>
        <v>-2.75</v>
      </c>
      <c r="K4539" s="9">
        <f t="shared" si="631"/>
        <v>-4.1786962467710076E-2</v>
      </c>
      <c r="L4539" s="1">
        <f t="shared" si="632"/>
        <v>1</v>
      </c>
      <c r="M4539" s="1">
        <f t="shared" si="633"/>
        <v>67.88</v>
      </c>
      <c r="N4539" s="1">
        <f t="shared" si="634"/>
        <v>61</v>
      </c>
      <c r="O4539" s="1">
        <f t="shared" si="635"/>
        <v>61.1</v>
      </c>
      <c r="P4539" s="1">
        <f t="shared" si="636"/>
        <v>31.173469387755102</v>
      </c>
    </row>
    <row r="4540" spans="1:16">
      <c r="A4540" s="2">
        <v>36467</v>
      </c>
      <c r="B4540" s="1">
        <v>68.19</v>
      </c>
      <c r="C4540" s="1">
        <v>68.5</v>
      </c>
      <c r="D4540" s="1">
        <v>65</v>
      </c>
      <c r="E4540" s="1">
        <v>65.81</v>
      </c>
      <c r="F4540" s="1">
        <v>10772100</v>
      </c>
      <c r="G4540" s="1">
        <v>65.81</v>
      </c>
      <c r="H4540" s="1">
        <f t="shared" si="630"/>
        <v>3.5</v>
      </c>
      <c r="I4540" s="9">
        <f t="shared" si="637"/>
        <v>5.3846153846153849E-2</v>
      </c>
      <c r="J4540" s="1">
        <f t="shared" si="638"/>
        <v>-0.62999999999999545</v>
      </c>
      <c r="K4540" s="9">
        <f t="shared" si="631"/>
        <v>-9.4822396146898771E-3</v>
      </c>
      <c r="L4540" s="1">
        <f t="shared" si="632"/>
        <v>1</v>
      </c>
      <c r="M4540" s="1">
        <f t="shared" si="633"/>
        <v>68.5</v>
      </c>
      <c r="N4540" s="1">
        <f t="shared" si="634"/>
        <v>65</v>
      </c>
      <c r="O4540" s="1">
        <f t="shared" si="635"/>
        <v>63.85</v>
      </c>
      <c r="P4540" s="1">
        <f t="shared" si="636"/>
        <v>32.576530612244902</v>
      </c>
    </row>
    <row r="4541" spans="1:16">
      <c r="A4541" s="2">
        <v>36466</v>
      </c>
      <c r="B4541" s="1">
        <v>69.75</v>
      </c>
      <c r="C4541" s="1">
        <v>70</v>
      </c>
      <c r="D4541" s="1">
        <v>65.06</v>
      </c>
      <c r="E4541" s="1">
        <v>66.44</v>
      </c>
      <c r="F4541" s="1">
        <v>13243200</v>
      </c>
      <c r="G4541" s="1">
        <v>66.44</v>
      </c>
      <c r="H4541" s="1">
        <f t="shared" si="630"/>
        <v>4.9399999999999977</v>
      </c>
      <c r="I4541" s="9">
        <f t="shared" si="637"/>
        <v>7.5929910851521634E-2</v>
      </c>
      <c r="J4541" s="1">
        <f t="shared" si="638"/>
        <v>-2.6899999999999977</v>
      </c>
      <c r="K4541" s="9">
        <f t="shared" si="631"/>
        <v>-3.8912194416317054E-2</v>
      </c>
      <c r="L4541" s="1">
        <f t="shared" si="632"/>
        <v>1</v>
      </c>
      <c r="M4541" s="1">
        <f t="shared" si="633"/>
        <v>70</v>
      </c>
      <c r="N4541" s="1">
        <f t="shared" si="634"/>
        <v>65.06</v>
      </c>
      <c r="O4541" s="1">
        <f t="shared" si="635"/>
        <v>64.48</v>
      </c>
      <c r="P4541" s="1">
        <f t="shared" si="636"/>
        <v>32.897959183673471</v>
      </c>
    </row>
    <row r="4542" spans="1:16">
      <c r="A4542" s="2">
        <v>36465</v>
      </c>
      <c r="B4542" s="1">
        <v>68.06</v>
      </c>
      <c r="C4542" s="1">
        <v>71.88</v>
      </c>
      <c r="D4542" s="1">
        <v>66.31</v>
      </c>
      <c r="E4542" s="1">
        <v>69.13</v>
      </c>
      <c r="F4542" s="1">
        <v>12824100</v>
      </c>
      <c r="G4542" s="1">
        <v>69.13</v>
      </c>
      <c r="H4542" s="1">
        <f t="shared" si="630"/>
        <v>5.5699999999999932</v>
      </c>
      <c r="I4542" s="9">
        <f t="shared" si="637"/>
        <v>8.399939677273402E-2</v>
      </c>
      <c r="J4542" s="1">
        <f t="shared" si="638"/>
        <v>-1.5</v>
      </c>
      <c r="K4542" s="9">
        <f t="shared" si="631"/>
        <v>-2.1237434517910238E-2</v>
      </c>
      <c r="L4542" s="1">
        <f t="shared" si="632"/>
        <v>1</v>
      </c>
      <c r="M4542" s="1">
        <f t="shared" si="633"/>
        <v>71.88</v>
      </c>
      <c r="N4542" s="1">
        <f t="shared" si="634"/>
        <v>66.31</v>
      </c>
      <c r="O4542" s="1">
        <f t="shared" si="635"/>
        <v>67.17</v>
      </c>
      <c r="P4542" s="1">
        <f t="shared" si="636"/>
        <v>34.270408163265309</v>
      </c>
    </row>
    <row r="4543" spans="1:16">
      <c r="A4543" s="2">
        <v>36462</v>
      </c>
      <c r="B4543" s="1">
        <v>72.75</v>
      </c>
      <c r="C4543" s="1">
        <v>72.81</v>
      </c>
      <c r="D4543" s="1">
        <v>69.25</v>
      </c>
      <c r="E4543" s="1">
        <v>70.63</v>
      </c>
      <c r="F4543" s="1">
        <v>9688800</v>
      </c>
      <c r="G4543" s="1">
        <v>70.63</v>
      </c>
      <c r="H4543" s="1">
        <f t="shared" si="630"/>
        <v>3.5600000000000023</v>
      </c>
      <c r="I4543" s="9">
        <f t="shared" si="637"/>
        <v>5.1407942238267182E-2</v>
      </c>
      <c r="J4543" s="1">
        <f t="shared" si="638"/>
        <v>-0.37000000000000455</v>
      </c>
      <c r="K4543" s="9">
        <f t="shared" si="631"/>
        <v>-5.2112676056338672E-3</v>
      </c>
      <c r="L4543" s="1">
        <f t="shared" si="632"/>
        <v>1</v>
      </c>
      <c r="M4543" s="1">
        <f t="shared" si="633"/>
        <v>72.81</v>
      </c>
      <c r="N4543" s="1">
        <f t="shared" si="634"/>
        <v>69.25</v>
      </c>
      <c r="O4543" s="1">
        <f t="shared" si="635"/>
        <v>68.67</v>
      </c>
      <c r="P4543" s="1">
        <f t="shared" si="636"/>
        <v>35.035714285714285</v>
      </c>
    </row>
    <row r="4544" spans="1:16">
      <c r="A4544" s="2">
        <v>36461</v>
      </c>
      <c r="B4544" s="1">
        <v>69.5</v>
      </c>
      <c r="C4544" s="1">
        <v>73.13</v>
      </c>
      <c r="D4544" s="1">
        <v>65.88</v>
      </c>
      <c r="E4544" s="1">
        <v>71</v>
      </c>
      <c r="F4544" s="1">
        <v>35726400</v>
      </c>
      <c r="G4544" s="1">
        <v>71</v>
      </c>
      <c r="H4544" s="1">
        <f t="shared" si="630"/>
        <v>7.25</v>
      </c>
      <c r="I4544" s="9">
        <f t="shared" si="637"/>
        <v>0.11004857316332727</v>
      </c>
      <c r="J4544" s="1">
        <f t="shared" si="638"/>
        <v>-4.9399999999999977</v>
      </c>
      <c r="K4544" s="9">
        <f t="shared" si="631"/>
        <v>-6.5051356333947832E-2</v>
      </c>
      <c r="L4544" s="1">
        <f t="shared" si="632"/>
        <v>1</v>
      </c>
      <c r="M4544" s="1">
        <f t="shared" si="633"/>
        <v>73.13</v>
      </c>
      <c r="N4544" s="1">
        <f t="shared" si="634"/>
        <v>65.88</v>
      </c>
      <c r="O4544" s="1">
        <f t="shared" si="635"/>
        <v>69.040000000000006</v>
      </c>
      <c r="P4544" s="1">
        <f t="shared" si="636"/>
        <v>35.224489795918373</v>
      </c>
    </row>
    <row r="4545" spans="1:16">
      <c r="A4545" s="2">
        <v>36460</v>
      </c>
      <c r="B4545" s="1">
        <v>79.38</v>
      </c>
      <c r="C4545" s="1">
        <v>79.38</v>
      </c>
      <c r="D4545" s="1">
        <v>74.81</v>
      </c>
      <c r="E4545" s="1">
        <v>75.94</v>
      </c>
      <c r="F4545" s="1">
        <v>12835200</v>
      </c>
      <c r="G4545" s="1">
        <v>75.94</v>
      </c>
      <c r="H4545" s="1">
        <f t="shared" si="630"/>
        <v>4.5699999999999932</v>
      </c>
      <c r="I4545" s="9">
        <f t="shared" si="637"/>
        <v>6.1088089827563065E-2</v>
      </c>
      <c r="J4545" s="1">
        <f t="shared" si="638"/>
        <v>-5.3100000000000023</v>
      </c>
      <c r="K4545" s="9">
        <f t="shared" si="631"/>
        <v>-6.5353846153846179E-2</v>
      </c>
      <c r="L4545" s="1">
        <f t="shared" si="632"/>
        <v>1</v>
      </c>
      <c r="M4545" s="1">
        <f t="shared" si="633"/>
        <v>79.38</v>
      </c>
      <c r="N4545" s="1">
        <f t="shared" si="634"/>
        <v>74.81</v>
      </c>
      <c r="O4545" s="1">
        <f t="shared" si="635"/>
        <v>73.98</v>
      </c>
      <c r="P4545" s="1">
        <f t="shared" si="636"/>
        <v>37.744897959183675</v>
      </c>
    </row>
    <row r="4546" spans="1:16">
      <c r="A4546" s="2">
        <v>36459</v>
      </c>
      <c r="B4546" s="1">
        <v>83.13</v>
      </c>
      <c r="C4546" s="1">
        <v>84.31</v>
      </c>
      <c r="D4546" s="1">
        <v>80.13</v>
      </c>
      <c r="E4546" s="1">
        <v>81.25</v>
      </c>
      <c r="F4546" s="1">
        <v>7711500</v>
      </c>
      <c r="G4546" s="1">
        <v>81.25</v>
      </c>
      <c r="H4546" s="1">
        <f t="shared" si="630"/>
        <v>4.1800000000000068</v>
      </c>
      <c r="I4546" s="9">
        <f t="shared" si="637"/>
        <v>5.2165231498814517E-2</v>
      </c>
      <c r="J4546" s="1">
        <f t="shared" si="638"/>
        <v>-1.5</v>
      </c>
      <c r="K4546" s="9">
        <f t="shared" si="631"/>
        <v>-1.812688821752266E-2</v>
      </c>
      <c r="L4546" s="1">
        <f t="shared" si="632"/>
        <v>1</v>
      </c>
      <c r="M4546" s="1">
        <f t="shared" si="633"/>
        <v>84.31</v>
      </c>
      <c r="N4546" s="1">
        <f t="shared" si="634"/>
        <v>80.13</v>
      </c>
      <c r="O4546" s="1">
        <f t="shared" si="635"/>
        <v>79.290000000000006</v>
      </c>
      <c r="P4546" s="1">
        <f t="shared" si="636"/>
        <v>40.454081632653065</v>
      </c>
    </row>
    <row r="4547" spans="1:16">
      <c r="A4547" s="2">
        <v>36458</v>
      </c>
      <c r="B4547" s="1">
        <v>79</v>
      </c>
      <c r="C4547" s="1">
        <v>83</v>
      </c>
      <c r="D4547" s="1">
        <v>77.94</v>
      </c>
      <c r="E4547" s="1">
        <v>82.75</v>
      </c>
      <c r="F4547" s="1">
        <v>7180900</v>
      </c>
      <c r="G4547" s="1">
        <v>82.75</v>
      </c>
      <c r="H4547" s="1">
        <f t="shared" ref="H4547:H4610" si="639">C4547-D4547</f>
        <v>5.0600000000000023</v>
      </c>
      <c r="I4547" s="9">
        <f t="shared" si="637"/>
        <v>6.4921734667693132E-2</v>
      </c>
      <c r="J4547" s="1">
        <f t="shared" si="638"/>
        <v>4.1200000000000045</v>
      </c>
      <c r="K4547" s="9">
        <f t="shared" ref="K4547:K4610" si="640">(G4547-G4548)/G4548</f>
        <v>5.2397303828055512E-2</v>
      </c>
      <c r="L4547" s="1">
        <f t="shared" ref="L4547:L4610" si="641">G4547/E4547</f>
        <v>1</v>
      </c>
      <c r="M4547" s="1">
        <f t="shared" ref="M4547:M4610" si="642">L4547*C4547</f>
        <v>83</v>
      </c>
      <c r="N4547" s="1">
        <f t="shared" ref="N4547:N4610" si="643">L4547*D4547</f>
        <v>77.94</v>
      </c>
      <c r="O4547" s="1">
        <f t="shared" ref="O4547:O4610" si="644">G4547-$G$5163</f>
        <v>80.790000000000006</v>
      </c>
      <c r="P4547" s="1">
        <f t="shared" ref="P4547:P4610" si="645">(G4547-$G$5163)/$G$5163</f>
        <v>41.219387755102048</v>
      </c>
    </row>
    <row r="4548" spans="1:16">
      <c r="A4548" s="2">
        <v>36455</v>
      </c>
      <c r="B4548" s="1">
        <v>81.44</v>
      </c>
      <c r="C4548" s="1">
        <v>83.63</v>
      </c>
      <c r="D4548" s="1">
        <v>78</v>
      </c>
      <c r="E4548" s="1">
        <v>78.63</v>
      </c>
      <c r="F4548" s="1">
        <v>7304800</v>
      </c>
      <c r="G4548" s="1">
        <v>78.63</v>
      </c>
      <c r="H4548" s="1">
        <f t="shared" si="639"/>
        <v>5.6299999999999955</v>
      </c>
      <c r="I4548" s="9">
        <f t="shared" ref="I4548:I4611" si="646">(C4548-D4548)/D4548</f>
        <v>7.217948717948712E-2</v>
      </c>
      <c r="J4548" s="1">
        <f t="shared" ref="J4548:J4611" si="647">G4548-G4549</f>
        <v>-2.1200000000000045</v>
      </c>
      <c r="K4548" s="9">
        <f t="shared" si="640"/>
        <v>-2.6253869969040305E-2</v>
      </c>
      <c r="L4548" s="1">
        <f t="shared" si="641"/>
        <v>1</v>
      </c>
      <c r="M4548" s="1">
        <f t="shared" si="642"/>
        <v>83.63</v>
      </c>
      <c r="N4548" s="1">
        <f t="shared" si="643"/>
        <v>78</v>
      </c>
      <c r="O4548" s="1">
        <f t="shared" si="644"/>
        <v>76.67</v>
      </c>
      <c r="P4548" s="1">
        <f t="shared" si="645"/>
        <v>39.117346938775512</v>
      </c>
    </row>
    <row r="4549" spans="1:16">
      <c r="A4549" s="2">
        <v>36454</v>
      </c>
      <c r="B4549" s="1">
        <v>77.94</v>
      </c>
      <c r="C4549" s="1">
        <v>82.81</v>
      </c>
      <c r="D4549" s="1">
        <v>77.06</v>
      </c>
      <c r="E4549" s="1">
        <v>80.75</v>
      </c>
      <c r="F4549" s="1">
        <v>8961000</v>
      </c>
      <c r="G4549" s="1">
        <v>80.75</v>
      </c>
      <c r="H4549" s="1">
        <f t="shared" si="639"/>
        <v>5.75</v>
      </c>
      <c r="I4549" s="9">
        <f t="shared" si="646"/>
        <v>7.4617181417077599E-2</v>
      </c>
      <c r="J4549" s="1">
        <f t="shared" si="647"/>
        <v>0.25</v>
      </c>
      <c r="K4549" s="9">
        <f t="shared" si="640"/>
        <v>3.105590062111801E-3</v>
      </c>
      <c r="L4549" s="1">
        <f t="shared" si="641"/>
        <v>1</v>
      </c>
      <c r="M4549" s="1">
        <f t="shared" si="642"/>
        <v>82.81</v>
      </c>
      <c r="N4549" s="1">
        <f t="shared" si="643"/>
        <v>77.06</v>
      </c>
      <c r="O4549" s="1">
        <f t="shared" si="644"/>
        <v>78.790000000000006</v>
      </c>
      <c r="P4549" s="1">
        <f t="shared" si="645"/>
        <v>40.198979591836739</v>
      </c>
    </row>
    <row r="4550" spans="1:16">
      <c r="A4550" s="2">
        <v>36453</v>
      </c>
      <c r="B4550" s="1">
        <v>78.31</v>
      </c>
      <c r="C4550" s="1">
        <v>80.63</v>
      </c>
      <c r="D4550" s="1">
        <v>76.34</v>
      </c>
      <c r="E4550" s="1">
        <v>80.5</v>
      </c>
      <c r="F4550" s="1">
        <v>7735500</v>
      </c>
      <c r="G4550" s="1">
        <v>80.5</v>
      </c>
      <c r="H4550" s="1">
        <f t="shared" si="639"/>
        <v>4.289999999999992</v>
      </c>
      <c r="I4550" s="9">
        <f t="shared" si="646"/>
        <v>5.6195965417867332E-2</v>
      </c>
      <c r="J4550" s="1">
        <f t="shared" si="647"/>
        <v>3.8700000000000045</v>
      </c>
      <c r="K4550" s="9">
        <f t="shared" si="640"/>
        <v>5.05024141980948E-2</v>
      </c>
      <c r="L4550" s="1">
        <f t="shared" si="641"/>
        <v>1</v>
      </c>
      <c r="M4550" s="1">
        <f t="shared" si="642"/>
        <v>80.63</v>
      </c>
      <c r="N4550" s="1">
        <f t="shared" si="643"/>
        <v>76.34</v>
      </c>
      <c r="O4550" s="1">
        <f t="shared" si="644"/>
        <v>78.540000000000006</v>
      </c>
      <c r="P4550" s="1">
        <f t="shared" si="645"/>
        <v>40.071428571428577</v>
      </c>
    </row>
    <row r="4551" spans="1:16">
      <c r="A4551" s="2">
        <v>36452</v>
      </c>
      <c r="B4551" s="1">
        <v>77.63</v>
      </c>
      <c r="C4551" s="1">
        <v>78.25</v>
      </c>
      <c r="D4551" s="1">
        <v>75.63</v>
      </c>
      <c r="E4551" s="1">
        <v>76.63</v>
      </c>
      <c r="F4551" s="1">
        <v>7780000</v>
      </c>
      <c r="G4551" s="1">
        <v>76.63</v>
      </c>
      <c r="H4551" s="1">
        <f t="shared" si="639"/>
        <v>2.6200000000000045</v>
      </c>
      <c r="I4551" s="9">
        <f t="shared" si="646"/>
        <v>3.464233769668127E-2</v>
      </c>
      <c r="J4551" s="1">
        <f t="shared" si="647"/>
        <v>2.5699999999999932</v>
      </c>
      <c r="K4551" s="9">
        <f t="shared" si="640"/>
        <v>3.4701593302727422E-2</v>
      </c>
      <c r="L4551" s="1">
        <f t="shared" si="641"/>
        <v>1</v>
      </c>
      <c r="M4551" s="1">
        <f t="shared" si="642"/>
        <v>78.25</v>
      </c>
      <c r="N4551" s="1">
        <f t="shared" si="643"/>
        <v>75.63</v>
      </c>
      <c r="O4551" s="1">
        <f t="shared" si="644"/>
        <v>74.67</v>
      </c>
      <c r="P4551" s="1">
        <f t="shared" si="645"/>
        <v>38.096938775510203</v>
      </c>
    </row>
    <row r="4552" spans="1:16">
      <c r="A4552" s="2">
        <v>36451</v>
      </c>
      <c r="B4552" s="1">
        <v>75.06</v>
      </c>
      <c r="C4552" s="1">
        <v>76.5</v>
      </c>
      <c r="D4552" s="1">
        <v>71.06</v>
      </c>
      <c r="E4552" s="1">
        <v>74.06</v>
      </c>
      <c r="F4552" s="1">
        <v>10793800</v>
      </c>
      <c r="G4552" s="1">
        <v>74.06</v>
      </c>
      <c r="H4552" s="1">
        <f t="shared" si="639"/>
        <v>5.4399999999999977</v>
      </c>
      <c r="I4552" s="9">
        <f t="shared" si="646"/>
        <v>7.6555023923444945E-2</v>
      </c>
      <c r="J4552" s="1">
        <f t="shared" si="647"/>
        <v>-1</v>
      </c>
      <c r="K4552" s="9">
        <f t="shared" si="640"/>
        <v>-1.332267519317879E-2</v>
      </c>
      <c r="L4552" s="1">
        <f t="shared" si="641"/>
        <v>1</v>
      </c>
      <c r="M4552" s="1">
        <f t="shared" si="642"/>
        <v>76.5</v>
      </c>
      <c r="N4552" s="1">
        <f t="shared" si="643"/>
        <v>71.06</v>
      </c>
      <c r="O4552" s="1">
        <f t="shared" si="644"/>
        <v>72.100000000000009</v>
      </c>
      <c r="P4552" s="1">
        <f t="shared" si="645"/>
        <v>36.785714285714292</v>
      </c>
    </row>
    <row r="4553" spans="1:16">
      <c r="A4553" s="2">
        <v>36448</v>
      </c>
      <c r="B4553" s="1">
        <v>75.88</v>
      </c>
      <c r="C4553" s="1">
        <v>77.06</v>
      </c>
      <c r="D4553" s="1">
        <v>73.94</v>
      </c>
      <c r="E4553" s="1">
        <v>75.06</v>
      </c>
      <c r="F4553" s="1">
        <v>12186900</v>
      </c>
      <c r="G4553" s="1">
        <v>75.06</v>
      </c>
      <c r="H4553" s="1">
        <f t="shared" si="639"/>
        <v>3.1200000000000045</v>
      </c>
      <c r="I4553" s="9">
        <f t="shared" si="646"/>
        <v>4.2196375439545637E-2</v>
      </c>
      <c r="J4553" s="1">
        <f t="shared" si="647"/>
        <v>-4.5300000000000011</v>
      </c>
      <c r="K4553" s="9">
        <f t="shared" si="640"/>
        <v>-5.6916698077647959E-2</v>
      </c>
      <c r="L4553" s="1">
        <f t="shared" si="641"/>
        <v>1</v>
      </c>
      <c r="M4553" s="1">
        <f t="shared" si="642"/>
        <v>77.06</v>
      </c>
      <c r="N4553" s="1">
        <f t="shared" si="643"/>
        <v>73.94</v>
      </c>
      <c r="O4553" s="1">
        <f t="shared" si="644"/>
        <v>73.100000000000009</v>
      </c>
      <c r="P4553" s="1">
        <f t="shared" si="645"/>
        <v>37.295918367346943</v>
      </c>
    </row>
    <row r="4554" spans="1:16">
      <c r="A4554" s="2">
        <v>36447</v>
      </c>
      <c r="B4554" s="1">
        <v>80.5</v>
      </c>
      <c r="C4554" s="1">
        <v>83.38</v>
      </c>
      <c r="D4554" s="1">
        <v>78.44</v>
      </c>
      <c r="E4554" s="1">
        <v>79.59</v>
      </c>
      <c r="F4554" s="1">
        <v>12713000</v>
      </c>
      <c r="G4554" s="1">
        <v>79.59</v>
      </c>
      <c r="H4554" s="1">
        <f t="shared" si="639"/>
        <v>4.9399999999999977</v>
      </c>
      <c r="I4554" s="9">
        <f t="shared" si="646"/>
        <v>6.2978072412034652E-2</v>
      </c>
      <c r="J4554" s="1">
        <f t="shared" si="647"/>
        <v>-0.34999999999999432</v>
      </c>
      <c r="K4554" s="9">
        <f t="shared" si="640"/>
        <v>-4.3782837127845173E-3</v>
      </c>
      <c r="L4554" s="1">
        <f t="shared" si="641"/>
        <v>1</v>
      </c>
      <c r="M4554" s="1">
        <f t="shared" si="642"/>
        <v>83.38</v>
      </c>
      <c r="N4554" s="1">
        <f t="shared" si="643"/>
        <v>78.44</v>
      </c>
      <c r="O4554" s="1">
        <f t="shared" si="644"/>
        <v>77.63000000000001</v>
      </c>
      <c r="P4554" s="1">
        <f t="shared" si="645"/>
        <v>39.607142857142861</v>
      </c>
    </row>
    <row r="4555" spans="1:16">
      <c r="A4555" s="2">
        <v>36446</v>
      </c>
      <c r="B4555" s="1">
        <v>82.5</v>
      </c>
      <c r="C4555" s="1">
        <v>85</v>
      </c>
      <c r="D4555" s="1">
        <v>79.56</v>
      </c>
      <c r="E4555" s="1">
        <v>79.94</v>
      </c>
      <c r="F4555" s="1">
        <v>11561800</v>
      </c>
      <c r="G4555" s="1">
        <v>79.94</v>
      </c>
      <c r="H4555" s="1">
        <f t="shared" si="639"/>
        <v>5.4399999999999977</v>
      </c>
      <c r="I4555" s="9">
        <f t="shared" si="646"/>
        <v>6.8376068376068341E-2</v>
      </c>
      <c r="J4555" s="1">
        <f t="shared" si="647"/>
        <v>-5</v>
      </c>
      <c r="K4555" s="9">
        <f t="shared" si="640"/>
        <v>-5.8865081233812101E-2</v>
      </c>
      <c r="L4555" s="1">
        <f t="shared" si="641"/>
        <v>1</v>
      </c>
      <c r="M4555" s="1">
        <f t="shared" si="642"/>
        <v>85</v>
      </c>
      <c r="N4555" s="1">
        <f t="shared" si="643"/>
        <v>79.56</v>
      </c>
      <c r="O4555" s="1">
        <f t="shared" si="644"/>
        <v>77.98</v>
      </c>
      <c r="P4555" s="1">
        <f t="shared" si="645"/>
        <v>39.785714285714292</v>
      </c>
    </row>
    <row r="4556" spans="1:16">
      <c r="A4556" s="2">
        <v>36445</v>
      </c>
      <c r="B4556" s="1">
        <v>87.69</v>
      </c>
      <c r="C4556" s="1">
        <v>88.5</v>
      </c>
      <c r="D4556" s="1">
        <v>84.88</v>
      </c>
      <c r="E4556" s="1">
        <v>84.94</v>
      </c>
      <c r="F4556" s="1">
        <v>7231400</v>
      </c>
      <c r="G4556" s="1">
        <v>84.94</v>
      </c>
      <c r="H4556" s="1">
        <f t="shared" si="639"/>
        <v>3.6200000000000045</v>
      </c>
      <c r="I4556" s="9">
        <f t="shared" si="646"/>
        <v>4.2648444863336528E-2</v>
      </c>
      <c r="J4556" s="1">
        <f t="shared" si="647"/>
        <v>-3.4399999999999977</v>
      </c>
      <c r="K4556" s="9">
        <f t="shared" si="640"/>
        <v>-3.892283322018554E-2</v>
      </c>
      <c r="L4556" s="1">
        <f t="shared" si="641"/>
        <v>1</v>
      </c>
      <c r="M4556" s="1">
        <f t="shared" si="642"/>
        <v>88.5</v>
      </c>
      <c r="N4556" s="1">
        <f t="shared" si="643"/>
        <v>84.88</v>
      </c>
      <c r="O4556" s="1">
        <f t="shared" si="644"/>
        <v>82.98</v>
      </c>
      <c r="P4556" s="1">
        <f t="shared" si="645"/>
        <v>42.336734693877553</v>
      </c>
    </row>
    <row r="4557" spans="1:16">
      <c r="A4557" s="2">
        <v>36444</v>
      </c>
      <c r="B4557" s="1">
        <v>89.13</v>
      </c>
      <c r="C4557" s="1">
        <v>89.38</v>
      </c>
      <c r="D4557" s="1">
        <v>86.75</v>
      </c>
      <c r="E4557" s="1">
        <v>88.38</v>
      </c>
      <c r="F4557" s="1">
        <v>6692400</v>
      </c>
      <c r="G4557" s="1">
        <v>88.38</v>
      </c>
      <c r="H4557" s="1">
        <f t="shared" si="639"/>
        <v>2.6299999999999955</v>
      </c>
      <c r="I4557" s="9">
        <f t="shared" si="646"/>
        <v>3.0317002881844329E-2</v>
      </c>
      <c r="J4557" s="1">
        <f t="shared" si="647"/>
        <v>-0.87000000000000455</v>
      </c>
      <c r="K4557" s="9">
        <f t="shared" si="640"/>
        <v>-9.7478991596639166E-3</v>
      </c>
      <c r="L4557" s="1">
        <f t="shared" si="641"/>
        <v>1</v>
      </c>
      <c r="M4557" s="1">
        <f t="shared" si="642"/>
        <v>89.38</v>
      </c>
      <c r="N4557" s="1">
        <f t="shared" si="643"/>
        <v>86.75</v>
      </c>
      <c r="O4557" s="1">
        <f t="shared" si="644"/>
        <v>86.42</v>
      </c>
      <c r="P4557" s="1">
        <f t="shared" si="645"/>
        <v>44.091836734693878</v>
      </c>
    </row>
    <row r="4558" spans="1:16">
      <c r="A4558" s="2">
        <v>36441</v>
      </c>
      <c r="B4558" s="1">
        <v>86.88</v>
      </c>
      <c r="C4558" s="1">
        <v>89.5</v>
      </c>
      <c r="D4558" s="1">
        <v>84.44</v>
      </c>
      <c r="E4558" s="1">
        <v>89.25</v>
      </c>
      <c r="F4558" s="1">
        <v>11458700</v>
      </c>
      <c r="G4558" s="1">
        <v>89.25</v>
      </c>
      <c r="H4558" s="1">
        <f t="shared" si="639"/>
        <v>5.0600000000000023</v>
      </c>
      <c r="I4558" s="9">
        <f t="shared" si="646"/>
        <v>5.9924206537186199E-2</v>
      </c>
      <c r="J4558" s="1">
        <f t="shared" si="647"/>
        <v>1.9399999999999977</v>
      </c>
      <c r="K4558" s="9">
        <f t="shared" si="640"/>
        <v>2.2219677012942363E-2</v>
      </c>
      <c r="L4558" s="1">
        <f t="shared" si="641"/>
        <v>1</v>
      </c>
      <c r="M4558" s="1">
        <f t="shared" si="642"/>
        <v>89.5</v>
      </c>
      <c r="N4558" s="1">
        <f t="shared" si="643"/>
        <v>84.44</v>
      </c>
      <c r="O4558" s="1">
        <f t="shared" si="644"/>
        <v>87.29</v>
      </c>
      <c r="P4558" s="1">
        <f t="shared" si="645"/>
        <v>44.535714285714292</v>
      </c>
    </row>
    <row r="4559" spans="1:16">
      <c r="A4559" s="2">
        <v>36440</v>
      </c>
      <c r="B4559" s="1">
        <v>85.63</v>
      </c>
      <c r="C4559" s="1">
        <v>90</v>
      </c>
      <c r="D4559" s="1">
        <v>83.5</v>
      </c>
      <c r="E4559" s="1">
        <v>87.31</v>
      </c>
      <c r="F4559" s="1">
        <v>24609400</v>
      </c>
      <c r="G4559" s="1">
        <v>87.31</v>
      </c>
      <c r="H4559" s="1">
        <f t="shared" si="639"/>
        <v>6.5</v>
      </c>
      <c r="I4559" s="9">
        <f t="shared" si="646"/>
        <v>7.7844311377245512E-2</v>
      </c>
      <c r="J4559" s="1">
        <f t="shared" si="647"/>
        <v>4.8700000000000045</v>
      </c>
      <c r="K4559" s="9">
        <f t="shared" si="640"/>
        <v>5.907326540514319E-2</v>
      </c>
      <c r="L4559" s="1">
        <f t="shared" si="641"/>
        <v>1</v>
      </c>
      <c r="M4559" s="1">
        <f t="shared" si="642"/>
        <v>90</v>
      </c>
      <c r="N4559" s="1">
        <f t="shared" si="643"/>
        <v>83.5</v>
      </c>
      <c r="O4559" s="1">
        <f t="shared" si="644"/>
        <v>85.350000000000009</v>
      </c>
      <c r="P4559" s="1">
        <f t="shared" si="645"/>
        <v>43.545918367346943</v>
      </c>
    </row>
    <row r="4560" spans="1:16">
      <c r="A4560" s="2">
        <v>36439</v>
      </c>
      <c r="B4560" s="1">
        <v>79.56</v>
      </c>
      <c r="C4560" s="1">
        <v>83.63</v>
      </c>
      <c r="D4560" s="1">
        <v>79.5</v>
      </c>
      <c r="E4560" s="1">
        <v>82.44</v>
      </c>
      <c r="F4560" s="1">
        <v>15532200</v>
      </c>
      <c r="G4560" s="1">
        <v>82.44</v>
      </c>
      <c r="H4560" s="1">
        <f t="shared" si="639"/>
        <v>4.1299999999999955</v>
      </c>
      <c r="I4560" s="9">
        <f t="shared" si="646"/>
        <v>5.1949685534591138E-2</v>
      </c>
      <c r="J4560" s="1">
        <f t="shared" si="647"/>
        <v>4</v>
      </c>
      <c r="K4560" s="9">
        <f t="shared" si="640"/>
        <v>5.0994390617032127E-2</v>
      </c>
      <c r="L4560" s="1">
        <f t="shared" si="641"/>
        <v>1</v>
      </c>
      <c r="M4560" s="1">
        <f t="shared" si="642"/>
        <v>83.63</v>
      </c>
      <c r="N4560" s="1">
        <f t="shared" si="643"/>
        <v>79.5</v>
      </c>
      <c r="O4560" s="1">
        <f t="shared" si="644"/>
        <v>80.48</v>
      </c>
      <c r="P4560" s="1">
        <f t="shared" si="645"/>
        <v>41.061224489795919</v>
      </c>
    </row>
    <row r="4561" spans="1:16">
      <c r="A4561" s="2">
        <v>36438</v>
      </c>
      <c r="B4561" s="1">
        <v>77.13</v>
      </c>
      <c r="C4561" s="1">
        <v>79.75</v>
      </c>
      <c r="D4561" s="1">
        <v>74.75</v>
      </c>
      <c r="E4561" s="1">
        <v>78.44</v>
      </c>
      <c r="F4561" s="1">
        <v>16420100</v>
      </c>
      <c r="G4561" s="1">
        <v>78.44</v>
      </c>
      <c r="H4561" s="1">
        <f t="shared" si="639"/>
        <v>5</v>
      </c>
      <c r="I4561" s="9">
        <f t="shared" si="646"/>
        <v>6.6889632107023408E-2</v>
      </c>
      <c r="J4561" s="1">
        <f t="shared" si="647"/>
        <v>1.3799999999999955</v>
      </c>
      <c r="K4561" s="9">
        <f t="shared" si="640"/>
        <v>1.7908123540098565E-2</v>
      </c>
      <c r="L4561" s="1">
        <f t="shared" si="641"/>
        <v>1</v>
      </c>
      <c r="M4561" s="1">
        <f t="shared" si="642"/>
        <v>79.75</v>
      </c>
      <c r="N4561" s="1">
        <f t="shared" si="643"/>
        <v>74.75</v>
      </c>
      <c r="O4561" s="1">
        <f t="shared" si="644"/>
        <v>76.48</v>
      </c>
      <c r="P4561" s="1">
        <f t="shared" si="645"/>
        <v>39.020408163265309</v>
      </c>
    </row>
    <row r="4562" spans="1:16">
      <c r="A4562" s="2">
        <v>36437</v>
      </c>
      <c r="B4562" s="1">
        <v>79.44</v>
      </c>
      <c r="C4562" s="1">
        <v>79.75</v>
      </c>
      <c r="D4562" s="1">
        <v>75.75</v>
      </c>
      <c r="E4562" s="1">
        <v>77.06</v>
      </c>
      <c r="F4562" s="1">
        <v>9757400</v>
      </c>
      <c r="G4562" s="1">
        <v>77.06</v>
      </c>
      <c r="H4562" s="1">
        <f t="shared" si="639"/>
        <v>4</v>
      </c>
      <c r="I4562" s="9">
        <f t="shared" si="646"/>
        <v>5.2805280528052806E-2</v>
      </c>
      <c r="J4562" s="1">
        <f t="shared" si="647"/>
        <v>-0.18999999999999773</v>
      </c>
      <c r="K4562" s="9">
        <f t="shared" si="640"/>
        <v>-2.4595469255663137E-3</v>
      </c>
      <c r="L4562" s="1">
        <f t="shared" si="641"/>
        <v>1</v>
      </c>
      <c r="M4562" s="1">
        <f t="shared" si="642"/>
        <v>79.75</v>
      </c>
      <c r="N4562" s="1">
        <f t="shared" si="643"/>
        <v>75.75</v>
      </c>
      <c r="O4562" s="1">
        <f t="shared" si="644"/>
        <v>75.100000000000009</v>
      </c>
      <c r="P4562" s="1">
        <f t="shared" si="645"/>
        <v>38.316326530612251</v>
      </c>
    </row>
    <row r="4563" spans="1:16">
      <c r="A4563" s="2">
        <v>36434</v>
      </c>
      <c r="B4563" s="1">
        <v>77</v>
      </c>
      <c r="C4563" s="1">
        <v>79.25</v>
      </c>
      <c r="D4563" s="1">
        <v>76.66</v>
      </c>
      <c r="E4563" s="1">
        <v>77.25</v>
      </c>
      <c r="F4563" s="1">
        <v>10430300</v>
      </c>
      <c r="G4563" s="1">
        <v>77.25</v>
      </c>
      <c r="H4563" s="1">
        <f t="shared" si="639"/>
        <v>2.5900000000000034</v>
      </c>
      <c r="I4563" s="9">
        <f t="shared" si="646"/>
        <v>3.3785546569266939E-2</v>
      </c>
      <c r="J4563" s="1">
        <f t="shared" si="647"/>
        <v>-2.6899999999999977</v>
      </c>
      <c r="K4563" s="9">
        <f t="shared" si="640"/>
        <v>-3.3650237678258664E-2</v>
      </c>
      <c r="L4563" s="1">
        <f t="shared" si="641"/>
        <v>1</v>
      </c>
      <c r="M4563" s="1">
        <f t="shared" si="642"/>
        <v>79.25</v>
      </c>
      <c r="N4563" s="1">
        <f t="shared" si="643"/>
        <v>76.66</v>
      </c>
      <c r="O4563" s="1">
        <f t="shared" si="644"/>
        <v>75.290000000000006</v>
      </c>
      <c r="P4563" s="1">
        <f t="shared" si="645"/>
        <v>38.413265306122454</v>
      </c>
    </row>
    <row r="4564" spans="1:16">
      <c r="A4564" s="2">
        <v>36433</v>
      </c>
      <c r="B4564" s="1">
        <v>79.81</v>
      </c>
      <c r="C4564" s="1">
        <v>81.5</v>
      </c>
      <c r="D4564" s="1">
        <v>76.25</v>
      </c>
      <c r="E4564" s="1">
        <v>79.94</v>
      </c>
      <c r="F4564" s="1">
        <v>31046200</v>
      </c>
      <c r="G4564" s="1">
        <v>79.94</v>
      </c>
      <c r="H4564" s="1">
        <f t="shared" si="639"/>
        <v>5.25</v>
      </c>
      <c r="I4564" s="9">
        <f t="shared" si="646"/>
        <v>6.8852459016393447E-2</v>
      </c>
      <c r="J4564" s="1">
        <f t="shared" si="647"/>
        <v>-0.81000000000000227</v>
      </c>
      <c r="K4564" s="9">
        <f t="shared" si="640"/>
        <v>-1.0030959752322009E-2</v>
      </c>
      <c r="L4564" s="1">
        <f t="shared" si="641"/>
        <v>1</v>
      </c>
      <c r="M4564" s="1">
        <f t="shared" si="642"/>
        <v>81.5</v>
      </c>
      <c r="N4564" s="1">
        <f t="shared" si="643"/>
        <v>76.25</v>
      </c>
      <c r="O4564" s="1">
        <f t="shared" si="644"/>
        <v>77.98</v>
      </c>
      <c r="P4564" s="1">
        <f t="shared" si="645"/>
        <v>39.785714285714292</v>
      </c>
    </row>
    <row r="4565" spans="1:16">
      <c r="A4565" s="2">
        <v>36432</v>
      </c>
      <c r="B4565" s="1">
        <v>66.5</v>
      </c>
      <c r="C4565" s="1">
        <v>85</v>
      </c>
      <c r="D4565" s="1">
        <v>65.75</v>
      </c>
      <c r="E4565" s="1">
        <v>80.75</v>
      </c>
      <c r="F4565" s="1">
        <v>79374400</v>
      </c>
      <c r="G4565" s="1">
        <v>80.75</v>
      </c>
      <c r="H4565" s="1">
        <f t="shared" si="639"/>
        <v>19.25</v>
      </c>
      <c r="I4565" s="9">
        <f t="shared" si="646"/>
        <v>0.29277566539923955</v>
      </c>
      <c r="J4565" s="1">
        <f t="shared" si="647"/>
        <v>14.870000000000005</v>
      </c>
      <c r="K4565" s="9">
        <f t="shared" si="640"/>
        <v>0.22571341833636924</v>
      </c>
      <c r="L4565" s="1">
        <f t="shared" si="641"/>
        <v>1</v>
      </c>
      <c r="M4565" s="1">
        <f t="shared" si="642"/>
        <v>85</v>
      </c>
      <c r="N4565" s="1">
        <f t="shared" si="643"/>
        <v>65.75</v>
      </c>
      <c r="O4565" s="1">
        <f t="shared" si="644"/>
        <v>78.790000000000006</v>
      </c>
      <c r="P4565" s="1">
        <f t="shared" si="645"/>
        <v>40.198979591836739</v>
      </c>
    </row>
    <row r="4566" spans="1:16">
      <c r="A4566" s="2">
        <v>36431</v>
      </c>
      <c r="B4566" s="1">
        <v>62.5</v>
      </c>
      <c r="C4566" s="1">
        <v>66.5</v>
      </c>
      <c r="D4566" s="1">
        <v>61.13</v>
      </c>
      <c r="E4566" s="1">
        <v>65.88</v>
      </c>
      <c r="F4566" s="1">
        <v>15768800</v>
      </c>
      <c r="G4566" s="1">
        <v>65.88</v>
      </c>
      <c r="H4566" s="1">
        <f t="shared" si="639"/>
        <v>5.3699999999999974</v>
      </c>
      <c r="I4566" s="9">
        <f t="shared" si="646"/>
        <v>8.7845575004089599E-2</v>
      </c>
      <c r="J4566" s="1">
        <f t="shared" si="647"/>
        <v>3.3199999999999932</v>
      </c>
      <c r="K4566" s="9">
        <f t="shared" si="640"/>
        <v>5.3069053708439784E-2</v>
      </c>
      <c r="L4566" s="1">
        <f t="shared" si="641"/>
        <v>1</v>
      </c>
      <c r="M4566" s="1">
        <f t="shared" si="642"/>
        <v>66.5</v>
      </c>
      <c r="N4566" s="1">
        <f t="shared" si="643"/>
        <v>61.13</v>
      </c>
      <c r="O4566" s="1">
        <f t="shared" si="644"/>
        <v>63.919999999999995</v>
      </c>
      <c r="P4566" s="1">
        <f t="shared" si="645"/>
        <v>32.612244897959179</v>
      </c>
    </row>
    <row r="4567" spans="1:16">
      <c r="A4567" s="2">
        <v>36430</v>
      </c>
      <c r="B4567" s="1">
        <v>66.19</v>
      </c>
      <c r="C4567" s="1">
        <v>67.88</v>
      </c>
      <c r="D4567" s="1">
        <v>61.88</v>
      </c>
      <c r="E4567" s="1">
        <v>62.56</v>
      </c>
      <c r="F4567" s="1">
        <v>14383100</v>
      </c>
      <c r="G4567" s="1">
        <v>62.56</v>
      </c>
      <c r="H4567" s="1">
        <f t="shared" si="639"/>
        <v>5.9999999999999929</v>
      </c>
      <c r="I4567" s="9">
        <f t="shared" si="646"/>
        <v>9.6961861667743898E-2</v>
      </c>
      <c r="J4567" s="1">
        <f t="shared" si="647"/>
        <v>-2.4399999999999977</v>
      </c>
      <c r="K4567" s="9">
        <f t="shared" si="640"/>
        <v>-3.7538461538461507E-2</v>
      </c>
      <c r="L4567" s="1">
        <f t="shared" si="641"/>
        <v>1</v>
      </c>
      <c r="M4567" s="1">
        <f t="shared" si="642"/>
        <v>67.88</v>
      </c>
      <c r="N4567" s="1">
        <f t="shared" si="643"/>
        <v>61.88</v>
      </c>
      <c r="O4567" s="1">
        <f t="shared" si="644"/>
        <v>60.6</v>
      </c>
      <c r="P4567" s="1">
        <f t="shared" si="645"/>
        <v>30.918367346938776</v>
      </c>
    </row>
    <row r="4568" spans="1:16">
      <c r="A4568" s="2">
        <v>36427</v>
      </c>
      <c r="B4568" s="1">
        <v>62</v>
      </c>
      <c r="C4568" s="1">
        <v>66</v>
      </c>
      <c r="D4568" s="1">
        <v>61.5</v>
      </c>
      <c r="E4568" s="1">
        <v>65</v>
      </c>
      <c r="F4568" s="1">
        <v>10972500</v>
      </c>
      <c r="G4568" s="1">
        <v>65</v>
      </c>
      <c r="H4568" s="1">
        <f t="shared" si="639"/>
        <v>4.5</v>
      </c>
      <c r="I4568" s="9">
        <f t="shared" si="646"/>
        <v>7.3170731707317069E-2</v>
      </c>
      <c r="J4568" s="1">
        <f t="shared" si="647"/>
        <v>2.75</v>
      </c>
      <c r="K4568" s="9">
        <f t="shared" si="640"/>
        <v>4.4176706827309238E-2</v>
      </c>
      <c r="L4568" s="1">
        <f t="shared" si="641"/>
        <v>1</v>
      </c>
      <c r="M4568" s="1">
        <f t="shared" si="642"/>
        <v>66</v>
      </c>
      <c r="N4568" s="1">
        <f t="shared" si="643"/>
        <v>61.5</v>
      </c>
      <c r="O4568" s="1">
        <f t="shared" si="644"/>
        <v>63.04</v>
      </c>
      <c r="P4568" s="1">
        <f t="shared" si="645"/>
        <v>32.163265306122447</v>
      </c>
    </row>
    <row r="4569" spans="1:16">
      <c r="A4569" s="2">
        <v>36426</v>
      </c>
      <c r="B4569" s="1">
        <v>67</v>
      </c>
      <c r="C4569" s="1">
        <v>68.75</v>
      </c>
      <c r="D4569" s="1">
        <v>61.23</v>
      </c>
      <c r="E4569" s="1">
        <v>62.25</v>
      </c>
      <c r="F4569" s="1">
        <v>14373600</v>
      </c>
      <c r="G4569" s="1">
        <v>62.25</v>
      </c>
      <c r="H4569" s="1">
        <f t="shared" si="639"/>
        <v>7.5200000000000031</v>
      </c>
      <c r="I4569" s="9">
        <f t="shared" si="646"/>
        <v>0.12281561326147319</v>
      </c>
      <c r="J4569" s="1">
        <f t="shared" si="647"/>
        <v>-3.75</v>
      </c>
      <c r="K4569" s="9">
        <f t="shared" si="640"/>
        <v>-5.6818181818181816E-2</v>
      </c>
      <c r="L4569" s="1">
        <f t="shared" si="641"/>
        <v>1</v>
      </c>
      <c r="M4569" s="1">
        <f t="shared" si="642"/>
        <v>68.75</v>
      </c>
      <c r="N4569" s="1">
        <f t="shared" si="643"/>
        <v>61.23</v>
      </c>
      <c r="O4569" s="1">
        <f t="shared" si="644"/>
        <v>60.29</v>
      </c>
      <c r="P4569" s="1">
        <f t="shared" si="645"/>
        <v>30.760204081632654</v>
      </c>
    </row>
    <row r="4570" spans="1:16">
      <c r="A4570" s="2">
        <v>36425</v>
      </c>
      <c r="B4570" s="1">
        <v>62.88</v>
      </c>
      <c r="C4570" s="1">
        <v>66.5</v>
      </c>
      <c r="D4570" s="1">
        <v>60.69</v>
      </c>
      <c r="E4570" s="1">
        <v>66</v>
      </c>
      <c r="F4570" s="1">
        <v>10037500</v>
      </c>
      <c r="G4570" s="1">
        <v>66</v>
      </c>
      <c r="H4570" s="1">
        <f t="shared" si="639"/>
        <v>5.8100000000000023</v>
      </c>
      <c r="I4570" s="9">
        <f t="shared" si="646"/>
        <v>9.5732410611303387E-2</v>
      </c>
      <c r="J4570" s="1">
        <f t="shared" si="647"/>
        <v>3.75</v>
      </c>
      <c r="K4570" s="9">
        <f t="shared" si="640"/>
        <v>6.0240963855421686E-2</v>
      </c>
      <c r="L4570" s="1">
        <f t="shared" si="641"/>
        <v>1</v>
      </c>
      <c r="M4570" s="1">
        <f t="shared" si="642"/>
        <v>66.5</v>
      </c>
      <c r="N4570" s="1">
        <f t="shared" si="643"/>
        <v>60.69</v>
      </c>
      <c r="O4570" s="1">
        <f t="shared" si="644"/>
        <v>64.040000000000006</v>
      </c>
      <c r="P4570" s="1">
        <f t="shared" si="645"/>
        <v>32.673469387755105</v>
      </c>
    </row>
    <row r="4571" spans="1:16">
      <c r="A4571" s="2">
        <v>36424</v>
      </c>
      <c r="B4571" s="1">
        <v>61.63</v>
      </c>
      <c r="C4571" s="1">
        <v>63.94</v>
      </c>
      <c r="D4571" s="1">
        <v>61</v>
      </c>
      <c r="E4571" s="1">
        <v>62.25</v>
      </c>
      <c r="F4571" s="1">
        <v>8232500</v>
      </c>
      <c r="G4571" s="1">
        <v>62.25</v>
      </c>
      <c r="H4571" s="1">
        <f t="shared" si="639"/>
        <v>2.9399999999999977</v>
      </c>
      <c r="I4571" s="9">
        <f t="shared" si="646"/>
        <v>4.8196721311475371E-2</v>
      </c>
      <c r="J4571" s="1">
        <f t="shared" si="647"/>
        <v>-0.5</v>
      </c>
      <c r="K4571" s="9">
        <f t="shared" si="640"/>
        <v>-7.9681274900398405E-3</v>
      </c>
      <c r="L4571" s="1">
        <f t="shared" si="641"/>
        <v>1</v>
      </c>
      <c r="M4571" s="1">
        <f t="shared" si="642"/>
        <v>63.94</v>
      </c>
      <c r="N4571" s="1">
        <f t="shared" si="643"/>
        <v>61</v>
      </c>
      <c r="O4571" s="1">
        <f t="shared" si="644"/>
        <v>60.29</v>
      </c>
      <c r="P4571" s="1">
        <f t="shared" si="645"/>
        <v>30.760204081632654</v>
      </c>
    </row>
    <row r="4572" spans="1:16">
      <c r="A4572" s="2">
        <v>36423</v>
      </c>
      <c r="B4572" s="1">
        <v>63.69</v>
      </c>
      <c r="C4572" s="1">
        <v>65</v>
      </c>
      <c r="D4572" s="1">
        <v>62.69</v>
      </c>
      <c r="E4572" s="1">
        <v>62.75</v>
      </c>
      <c r="F4572" s="1">
        <v>5957100</v>
      </c>
      <c r="G4572" s="1">
        <v>62.75</v>
      </c>
      <c r="H4572" s="1">
        <f t="shared" si="639"/>
        <v>2.3100000000000023</v>
      </c>
      <c r="I4572" s="9">
        <f t="shared" si="646"/>
        <v>3.684798213431173E-2</v>
      </c>
      <c r="J4572" s="1">
        <f t="shared" si="647"/>
        <v>-1.0600000000000023</v>
      </c>
      <c r="K4572" s="9">
        <f t="shared" si="640"/>
        <v>-1.6611816329728919E-2</v>
      </c>
      <c r="L4572" s="1">
        <f t="shared" si="641"/>
        <v>1</v>
      </c>
      <c r="M4572" s="1">
        <f t="shared" si="642"/>
        <v>65</v>
      </c>
      <c r="N4572" s="1">
        <f t="shared" si="643"/>
        <v>62.69</v>
      </c>
      <c r="O4572" s="1">
        <f t="shared" si="644"/>
        <v>60.79</v>
      </c>
      <c r="P4572" s="1">
        <f t="shared" si="645"/>
        <v>31.01530612244898</v>
      </c>
    </row>
    <row r="4573" spans="1:16">
      <c r="A4573" s="2">
        <v>36420</v>
      </c>
      <c r="B4573" s="1">
        <v>65.63</v>
      </c>
      <c r="C4573" s="1">
        <v>66</v>
      </c>
      <c r="D4573" s="1">
        <v>62.75</v>
      </c>
      <c r="E4573" s="1">
        <v>63.81</v>
      </c>
      <c r="F4573" s="1">
        <v>7239500</v>
      </c>
      <c r="G4573" s="1">
        <v>63.81</v>
      </c>
      <c r="H4573" s="1">
        <f t="shared" si="639"/>
        <v>3.25</v>
      </c>
      <c r="I4573" s="9">
        <f t="shared" si="646"/>
        <v>5.1792828685258967E-2</v>
      </c>
      <c r="J4573" s="1">
        <f t="shared" si="647"/>
        <v>-1.4399999999999977</v>
      </c>
      <c r="K4573" s="9">
        <f t="shared" si="640"/>
        <v>-2.2068965517241343E-2</v>
      </c>
      <c r="L4573" s="1">
        <f t="shared" si="641"/>
        <v>1</v>
      </c>
      <c r="M4573" s="1">
        <f t="shared" si="642"/>
        <v>66</v>
      </c>
      <c r="N4573" s="1">
        <f t="shared" si="643"/>
        <v>62.75</v>
      </c>
      <c r="O4573" s="1">
        <f t="shared" si="644"/>
        <v>61.85</v>
      </c>
      <c r="P4573" s="1">
        <f t="shared" si="645"/>
        <v>31.556122448979593</v>
      </c>
    </row>
    <row r="4574" spans="1:16">
      <c r="A4574" s="2">
        <v>36419</v>
      </c>
      <c r="B4574" s="1">
        <v>64.94</v>
      </c>
      <c r="C4574" s="1">
        <v>65.81</v>
      </c>
      <c r="D4574" s="1">
        <v>62.75</v>
      </c>
      <c r="E4574" s="1">
        <v>65.25</v>
      </c>
      <c r="F4574" s="1">
        <v>7058900</v>
      </c>
      <c r="G4574" s="1">
        <v>65.25</v>
      </c>
      <c r="H4574" s="1">
        <f t="shared" si="639"/>
        <v>3.0600000000000023</v>
      </c>
      <c r="I4574" s="9">
        <f t="shared" si="646"/>
        <v>4.8764940239043861E-2</v>
      </c>
      <c r="J4574" s="1">
        <f t="shared" si="647"/>
        <v>-0.31000000000000227</v>
      </c>
      <c r="K4574" s="9">
        <f t="shared" si="640"/>
        <v>-4.7284929835265752E-3</v>
      </c>
      <c r="L4574" s="1">
        <f t="shared" si="641"/>
        <v>1</v>
      </c>
      <c r="M4574" s="1">
        <f t="shared" si="642"/>
        <v>65.81</v>
      </c>
      <c r="N4574" s="1">
        <f t="shared" si="643"/>
        <v>62.75</v>
      </c>
      <c r="O4574" s="1">
        <f t="shared" si="644"/>
        <v>63.29</v>
      </c>
      <c r="P4574" s="1">
        <f t="shared" si="645"/>
        <v>32.29081632653061</v>
      </c>
    </row>
    <row r="4575" spans="1:16">
      <c r="A4575" s="2">
        <v>36418</v>
      </c>
      <c r="B4575" s="1">
        <v>67.75</v>
      </c>
      <c r="C4575" s="1">
        <v>67.94</v>
      </c>
      <c r="D4575" s="1">
        <v>65</v>
      </c>
      <c r="E4575" s="1">
        <v>65.56</v>
      </c>
      <c r="F4575" s="1">
        <v>7817300</v>
      </c>
      <c r="G4575" s="1">
        <v>65.56</v>
      </c>
      <c r="H4575" s="1">
        <f t="shared" si="639"/>
        <v>2.9399999999999977</v>
      </c>
      <c r="I4575" s="9">
        <f t="shared" si="646"/>
        <v>4.5230769230769192E-2</v>
      </c>
      <c r="J4575" s="1">
        <f t="shared" si="647"/>
        <v>-0.43999999999999773</v>
      </c>
      <c r="K4575" s="9">
        <f t="shared" si="640"/>
        <v>-6.6666666666666324E-3</v>
      </c>
      <c r="L4575" s="1">
        <f t="shared" si="641"/>
        <v>1</v>
      </c>
      <c r="M4575" s="1">
        <f t="shared" si="642"/>
        <v>67.94</v>
      </c>
      <c r="N4575" s="1">
        <f t="shared" si="643"/>
        <v>65</v>
      </c>
      <c r="O4575" s="1">
        <f t="shared" si="644"/>
        <v>63.6</v>
      </c>
      <c r="P4575" s="1">
        <f t="shared" si="645"/>
        <v>32.448979591836739</v>
      </c>
    </row>
    <row r="4576" spans="1:16">
      <c r="A4576" s="2">
        <v>36417</v>
      </c>
      <c r="B4576" s="1">
        <v>62.75</v>
      </c>
      <c r="C4576" s="1">
        <v>66.44</v>
      </c>
      <c r="D4576" s="1">
        <v>62.75</v>
      </c>
      <c r="E4576" s="1">
        <v>66</v>
      </c>
      <c r="F4576" s="1">
        <v>8782800</v>
      </c>
      <c r="G4576" s="1">
        <v>66</v>
      </c>
      <c r="H4576" s="1">
        <f t="shared" si="639"/>
        <v>3.6899999999999977</v>
      </c>
      <c r="I4576" s="9">
        <f t="shared" si="646"/>
        <v>5.8804780876493989E-2</v>
      </c>
      <c r="J4576" s="1">
        <f t="shared" si="647"/>
        <v>2.6899999999999977</v>
      </c>
      <c r="K4576" s="9">
        <f t="shared" si="640"/>
        <v>4.2489338177223147E-2</v>
      </c>
      <c r="L4576" s="1">
        <f t="shared" si="641"/>
        <v>1</v>
      </c>
      <c r="M4576" s="1">
        <f t="shared" si="642"/>
        <v>66.44</v>
      </c>
      <c r="N4576" s="1">
        <f t="shared" si="643"/>
        <v>62.75</v>
      </c>
      <c r="O4576" s="1">
        <f t="shared" si="644"/>
        <v>64.040000000000006</v>
      </c>
      <c r="P4576" s="1">
        <f t="shared" si="645"/>
        <v>32.673469387755105</v>
      </c>
    </row>
    <row r="4577" spans="1:16">
      <c r="A4577" s="2">
        <v>36416</v>
      </c>
      <c r="B4577" s="1">
        <v>65.63</v>
      </c>
      <c r="C4577" s="1">
        <v>66</v>
      </c>
      <c r="D4577" s="1">
        <v>62.5</v>
      </c>
      <c r="E4577" s="1">
        <v>63.31</v>
      </c>
      <c r="F4577" s="1">
        <v>7747600</v>
      </c>
      <c r="G4577" s="1">
        <v>63.31</v>
      </c>
      <c r="H4577" s="1">
        <f t="shared" si="639"/>
        <v>3.5</v>
      </c>
      <c r="I4577" s="9">
        <f t="shared" si="646"/>
        <v>5.6000000000000001E-2</v>
      </c>
      <c r="J4577" s="1">
        <f t="shared" si="647"/>
        <v>-3.1899999999999977</v>
      </c>
      <c r="K4577" s="9">
        <f t="shared" si="640"/>
        <v>-4.7969924812030038E-2</v>
      </c>
      <c r="L4577" s="1">
        <f t="shared" si="641"/>
        <v>1</v>
      </c>
      <c r="M4577" s="1">
        <f t="shared" si="642"/>
        <v>66</v>
      </c>
      <c r="N4577" s="1">
        <f t="shared" si="643"/>
        <v>62.5</v>
      </c>
      <c r="O4577" s="1">
        <f t="shared" si="644"/>
        <v>61.35</v>
      </c>
      <c r="P4577" s="1">
        <f t="shared" si="645"/>
        <v>31.301020408163268</v>
      </c>
    </row>
    <row r="4578" spans="1:16">
      <c r="A4578" s="2">
        <v>36413</v>
      </c>
      <c r="B4578" s="1">
        <v>65.94</v>
      </c>
      <c r="C4578" s="1">
        <v>68</v>
      </c>
      <c r="D4578" s="1">
        <v>64.88</v>
      </c>
      <c r="E4578" s="1">
        <v>66.5</v>
      </c>
      <c r="F4578" s="1">
        <v>12420900</v>
      </c>
      <c r="G4578" s="1">
        <v>66.5</v>
      </c>
      <c r="H4578" s="1">
        <f t="shared" si="639"/>
        <v>3.1200000000000045</v>
      </c>
      <c r="I4578" s="9">
        <f t="shared" si="646"/>
        <v>4.8088779284833613E-2</v>
      </c>
      <c r="J4578" s="1">
        <f t="shared" si="647"/>
        <v>2.8699999999999974</v>
      </c>
      <c r="K4578" s="9">
        <f t="shared" si="640"/>
        <v>4.5104510451045063E-2</v>
      </c>
      <c r="L4578" s="1">
        <f t="shared" si="641"/>
        <v>1</v>
      </c>
      <c r="M4578" s="1">
        <f t="shared" si="642"/>
        <v>68</v>
      </c>
      <c r="N4578" s="1">
        <f t="shared" si="643"/>
        <v>64.88</v>
      </c>
      <c r="O4578" s="1">
        <f t="shared" si="644"/>
        <v>64.540000000000006</v>
      </c>
      <c r="P4578" s="1">
        <f t="shared" si="645"/>
        <v>32.928571428571431</v>
      </c>
    </row>
    <row r="4579" spans="1:16">
      <c r="A4579" s="2">
        <v>36412</v>
      </c>
      <c r="B4579" s="1">
        <v>63.5</v>
      </c>
      <c r="C4579" s="1">
        <v>64.44</v>
      </c>
      <c r="D4579" s="1">
        <v>62.38</v>
      </c>
      <c r="E4579" s="1">
        <v>63.63</v>
      </c>
      <c r="F4579" s="1">
        <v>9183200</v>
      </c>
      <c r="G4579" s="1">
        <v>63.63</v>
      </c>
      <c r="H4579" s="1">
        <f t="shared" si="639"/>
        <v>2.0599999999999952</v>
      </c>
      <c r="I4579" s="9">
        <f t="shared" si="646"/>
        <v>3.3023404937479885E-2</v>
      </c>
      <c r="J4579" s="1">
        <f t="shared" si="647"/>
        <v>2.1900000000000048</v>
      </c>
      <c r="K4579" s="9">
        <f t="shared" si="640"/>
        <v>3.5644531250000083E-2</v>
      </c>
      <c r="L4579" s="1">
        <f t="shared" si="641"/>
        <v>1</v>
      </c>
      <c r="M4579" s="1">
        <f t="shared" si="642"/>
        <v>64.44</v>
      </c>
      <c r="N4579" s="1">
        <f t="shared" si="643"/>
        <v>62.38</v>
      </c>
      <c r="O4579" s="1">
        <f t="shared" si="644"/>
        <v>61.67</v>
      </c>
      <c r="P4579" s="1">
        <f t="shared" si="645"/>
        <v>31.464285714285715</v>
      </c>
    </row>
    <row r="4580" spans="1:16">
      <c r="A4580" s="2">
        <v>36411</v>
      </c>
      <c r="B4580" s="1">
        <v>62</v>
      </c>
      <c r="C4580" s="1">
        <v>63.25</v>
      </c>
      <c r="D4580" s="1">
        <v>60.94</v>
      </c>
      <c r="E4580" s="1">
        <v>61.44</v>
      </c>
      <c r="F4580" s="1">
        <v>6976000</v>
      </c>
      <c r="G4580" s="1">
        <v>61.44</v>
      </c>
      <c r="H4580" s="1">
        <f t="shared" si="639"/>
        <v>2.3100000000000023</v>
      </c>
      <c r="I4580" s="9">
        <f t="shared" si="646"/>
        <v>3.7906137184115563E-2</v>
      </c>
      <c r="J4580" s="1">
        <f t="shared" si="647"/>
        <v>-1.5</v>
      </c>
      <c r="K4580" s="9">
        <f t="shared" si="640"/>
        <v>-2.3832221163012392E-2</v>
      </c>
      <c r="L4580" s="1">
        <f t="shared" si="641"/>
        <v>1</v>
      </c>
      <c r="M4580" s="1">
        <f t="shared" si="642"/>
        <v>63.25</v>
      </c>
      <c r="N4580" s="1">
        <f t="shared" si="643"/>
        <v>60.94</v>
      </c>
      <c r="O4580" s="1">
        <f t="shared" si="644"/>
        <v>59.48</v>
      </c>
      <c r="P4580" s="1">
        <f t="shared" si="645"/>
        <v>30.346938775510203</v>
      </c>
    </row>
    <row r="4581" spans="1:16">
      <c r="A4581" s="2">
        <v>36410</v>
      </c>
      <c r="B4581" s="1">
        <v>63.81</v>
      </c>
      <c r="C4581" s="1">
        <v>64.38</v>
      </c>
      <c r="D4581" s="1">
        <v>62.13</v>
      </c>
      <c r="E4581" s="1">
        <v>62.94</v>
      </c>
      <c r="F4581" s="1">
        <v>9008700</v>
      </c>
      <c r="G4581" s="1">
        <v>62.94</v>
      </c>
      <c r="H4581" s="1">
        <f t="shared" si="639"/>
        <v>2.2499999999999929</v>
      </c>
      <c r="I4581" s="9">
        <f t="shared" si="646"/>
        <v>3.6214389183968979E-2</v>
      </c>
      <c r="J4581" s="1">
        <f t="shared" si="647"/>
        <v>0.5</v>
      </c>
      <c r="K4581" s="9">
        <f t="shared" si="640"/>
        <v>8.0076873798846891E-3</v>
      </c>
      <c r="L4581" s="1">
        <f t="shared" si="641"/>
        <v>1</v>
      </c>
      <c r="M4581" s="1">
        <f t="shared" si="642"/>
        <v>64.38</v>
      </c>
      <c r="N4581" s="1">
        <f t="shared" si="643"/>
        <v>62.13</v>
      </c>
      <c r="O4581" s="1">
        <f t="shared" si="644"/>
        <v>60.98</v>
      </c>
      <c r="P4581" s="1">
        <f t="shared" si="645"/>
        <v>31.112244897959183</v>
      </c>
    </row>
    <row r="4582" spans="1:16">
      <c r="A4582" s="2">
        <v>36406</v>
      </c>
      <c r="B4582" s="1">
        <v>63.63</v>
      </c>
      <c r="C4582" s="1">
        <v>64</v>
      </c>
      <c r="D4582" s="1">
        <v>60.63</v>
      </c>
      <c r="E4582" s="1">
        <v>62.44</v>
      </c>
      <c r="F4582" s="1">
        <v>16435900</v>
      </c>
      <c r="G4582" s="1">
        <v>62.44</v>
      </c>
      <c r="H4582" s="1">
        <f t="shared" si="639"/>
        <v>3.3699999999999974</v>
      </c>
      <c r="I4582" s="9">
        <f t="shared" si="646"/>
        <v>5.5583044697344507E-2</v>
      </c>
      <c r="J4582" s="1">
        <f t="shared" si="647"/>
        <v>2.3799999999999955</v>
      </c>
      <c r="K4582" s="9">
        <f t="shared" si="640"/>
        <v>3.9627039627039548E-2</v>
      </c>
      <c r="L4582" s="1">
        <f t="shared" si="641"/>
        <v>1</v>
      </c>
      <c r="M4582" s="1">
        <f t="shared" si="642"/>
        <v>64</v>
      </c>
      <c r="N4582" s="1">
        <f t="shared" si="643"/>
        <v>60.63</v>
      </c>
      <c r="O4582" s="1">
        <f t="shared" si="644"/>
        <v>60.48</v>
      </c>
      <c r="P4582" s="1">
        <f t="shared" si="645"/>
        <v>30.857142857142858</v>
      </c>
    </row>
    <row r="4583" spans="1:16">
      <c r="A4583" s="2">
        <v>36405</v>
      </c>
      <c r="B4583" s="1">
        <v>115.01</v>
      </c>
      <c r="C4583" s="1">
        <v>123.89</v>
      </c>
      <c r="D4583" s="1">
        <v>114.77</v>
      </c>
      <c r="E4583" s="1">
        <v>120.13</v>
      </c>
      <c r="F4583" s="1">
        <v>16838700</v>
      </c>
      <c r="G4583" s="1">
        <v>60.06</v>
      </c>
      <c r="H4583" s="1">
        <f t="shared" si="639"/>
        <v>9.1200000000000045</v>
      </c>
      <c r="I4583" s="9">
        <f t="shared" si="646"/>
        <v>7.9463274374836676E-2</v>
      </c>
      <c r="J4583" s="1">
        <f t="shared" si="647"/>
        <v>0.53000000000000114</v>
      </c>
      <c r="K4583" s="9">
        <f t="shared" si="640"/>
        <v>8.9030740802956681E-3</v>
      </c>
      <c r="L4583" s="1">
        <f t="shared" si="641"/>
        <v>0.49995837842337471</v>
      </c>
      <c r="M4583" s="1">
        <f t="shared" si="642"/>
        <v>61.939843502871895</v>
      </c>
      <c r="N4583" s="1">
        <f t="shared" si="643"/>
        <v>57.380223091650713</v>
      </c>
      <c r="O4583" s="1">
        <f t="shared" si="644"/>
        <v>58.1</v>
      </c>
      <c r="P4583" s="1">
        <f t="shared" si="645"/>
        <v>29.642857142857142</v>
      </c>
    </row>
    <row r="4584" spans="1:16">
      <c r="A4584" s="2">
        <v>36404</v>
      </c>
      <c r="B4584" s="1">
        <v>127</v>
      </c>
      <c r="C4584" s="1">
        <v>127</v>
      </c>
      <c r="D4584" s="1">
        <v>117.5</v>
      </c>
      <c r="E4584" s="1">
        <v>119.06</v>
      </c>
      <c r="F4584" s="1">
        <v>21961600</v>
      </c>
      <c r="G4584" s="1">
        <v>59.53</v>
      </c>
      <c r="H4584" s="1">
        <f t="shared" si="639"/>
        <v>9.5</v>
      </c>
      <c r="I4584" s="9">
        <f t="shared" si="646"/>
        <v>8.085106382978724E-2</v>
      </c>
      <c r="J4584" s="1">
        <f t="shared" si="647"/>
        <v>-2.6599999999999966</v>
      </c>
      <c r="K4584" s="9">
        <f t="shared" si="640"/>
        <v>-4.2772149863322027E-2</v>
      </c>
      <c r="L4584" s="1">
        <f t="shared" si="641"/>
        <v>0.5</v>
      </c>
      <c r="M4584" s="1">
        <f t="shared" si="642"/>
        <v>63.5</v>
      </c>
      <c r="N4584" s="1">
        <f t="shared" si="643"/>
        <v>58.75</v>
      </c>
      <c r="O4584" s="1">
        <f t="shared" si="644"/>
        <v>57.57</v>
      </c>
      <c r="P4584" s="1">
        <f t="shared" si="645"/>
        <v>29.372448979591837</v>
      </c>
    </row>
    <row r="4585" spans="1:16">
      <c r="A4585" s="2">
        <v>36403</v>
      </c>
      <c r="B4585" s="1">
        <v>118.38</v>
      </c>
      <c r="C4585" s="1">
        <v>124.68</v>
      </c>
      <c r="D4585" s="1">
        <v>112.18</v>
      </c>
      <c r="E4585" s="1">
        <v>124.38</v>
      </c>
      <c r="F4585" s="1">
        <v>32792400</v>
      </c>
      <c r="G4585" s="1">
        <v>62.19</v>
      </c>
      <c r="H4585" s="1">
        <f t="shared" si="639"/>
        <v>12.5</v>
      </c>
      <c r="I4585" s="9">
        <f t="shared" si="646"/>
        <v>0.11142806204314494</v>
      </c>
      <c r="J4585" s="1">
        <f t="shared" si="647"/>
        <v>2.5599999999999952</v>
      </c>
      <c r="K4585" s="9">
        <f t="shared" si="640"/>
        <v>4.2931410363910703E-2</v>
      </c>
      <c r="L4585" s="1">
        <f t="shared" si="641"/>
        <v>0.5</v>
      </c>
      <c r="M4585" s="1">
        <f t="shared" si="642"/>
        <v>62.34</v>
      </c>
      <c r="N4585" s="1">
        <f t="shared" si="643"/>
        <v>56.09</v>
      </c>
      <c r="O4585" s="1">
        <f t="shared" si="644"/>
        <v>60.23</v>
      </c>
      <c r="P4585" s="1">
        <f t="shared" si="645"/>
        <v>30.729591836734691</v>
      </c>
    </row>
    <row r="4586" spans="1:16">
      <c r="A4586" s="2">
        <v>36402</v>
      </c>
      <c r="B4586" s="1">
        <v>127.55</v>
      </c>
      <c r="C4586" s="1">
        <v>129.99</v>
      </c>
      <c r="D4586" s="1">
        <v>117.87</v>
      </c>
      <c r="E4586" s="1">
        <v>119.25</v>
      </c>
      <c r="F4586" s="1">
        <v>18494400</v>
      </c>
      <c r="G4586" s="1">
        <v>59.63</v>
      </c>
      <c r="H4586" s="1">
        <f t="shared" si="639"/>
        <v>12.120000000000005</v>
      </c>
      <c r="I4586" s="9">
        <f t="shared" si="646"/>
        <v>0.1028251463476712</v>
      </c>
      <c r="J4586" s="1">
        <f t="shared" si="647"/>
        <v>-4.6199999999999974</v>
      </c>
      <c r="K4586" s="9">
        <f t="shared" si="640"/>
        <v>-7.1906614785992182E-2</v>
      </c>
      <c r="L4586" s="1">
        <f t="shared" si="641"/>
        <v>0.50004192872117403</v>
      </c>
      <c r="M4586" s="1">
        <f t="shared" si="642"/>
        <v>65.000450314465411</v>
      </c>
      <c r="N4586" s="1">
        <f t="shared" si="643"/>
        <v>58.939942138364785</v>
      </c>
      <c r="O4586" s="1">
        <f t="shared" si="644"/>
        <v>57.67</v>
      </c>
      <c r="P4586" s="1">
        <f t="shared" si="645"/>
        <v>29.423469387755102</v>
      </c>
    </row>
    <row r="4587" spans="1:16">
      <c r="A4587" s="2">
        <v>36399</v>
      </c>
      <c r="B4587" s="1">
        <v>130.5</v>
      </c>
      <c r="C4587" s="1">
        <v>130.54</v>
      </c>
      <c r="D4587" s="1">
        <v>125</v>
      </c>
      <c r="E4587" s="1">
        <v>128.5</v>
      </c>
      <c r="F4587" s="1">
        <v>12922800</v>
      </c>
      <c r="G4587" s="1">
        <v>64.25</v>
      </c>
      <c r="H4587" s="1">
        <f t="shared" si="639"/>
        <v>5.539999999999992</v>
      </c>
      <c r="I4587" s="9">
        <f t="shared" si="646"/>
        <v>4.4319999999999936E-2</v>
      </c>
      <c r="J4587" s="1">
        <f t="shared" si="647"/>
        <v>-3.0000000000001137E-2</v>
      </c>
      <c r="K4587" s="9">
        <f t="shared" si="640"/>
        <v>-4.667081518357364E-4</v>
      </c>
      <c r="L4587" s="1">
        <f t="shared" si="641"/>
        <v>0.5</v>
      </c>
      <c r="M4587" s="1">
        <f t="shared" si="642"/>
        <v>65.27</v>
      </c>
      <c r="N4587" s="1">
        <f t="shared" si="643"/>
        <v>62.5</v>
      </c>
      <c r="O4587" s="1">
        <f t="shared" si="644"/>
        <v>62.29</v>
      </c>
      <c r="P4587" s="1">
        <f t="shared" si="645"/>
        <v>31.780612244897959</v>
      </c>
    </row>
    <row r="4588" spans="1:16">
      <c r="A4588" s="2">
        <v>36398</v>
      </c>
      <c r="B4588" s="1">
        <v>133</v>
      </c>
      <c r="C4588" s="1">
        <v>135.56</v>
      </c>
      <c r="D4588" s="1">
        <v>127.5</v>
      </c>
      <c r="E4588" s="1">
        <v>128.56</v>
      </c>
      <c r="F4588" s="1">
        <v>19244200</v>
      </c>
      <c r="G4588" s="1">
        <v>64.28</v>
      </c>
      <c r="H4588" s="1">
        <f t="shared" si="639"/>
        <v>8.0600000000000023</v>
      </c>
      <c r="I4588" s="9">
        <f t="shared" si="646"/>
        <v>6.3215686274509825E-2</v>
      </c>
      <c r="J4588" s="1">
        <f t="shared" si="647"/>
        <v>-2.1599999999999966</v>
      </c>
      <c r="K4588" s="9">
        <f t="shared" si="640"/>
        <v>-3.251053582179405E-2</v>
      </c>
      <c r="L4588" s="1">
        <f t="shared" si="641"/>
        <v>0.5</v>
      </c>
      <c r="M4588" s="1">
        <f t="shared" si="642"/>
        <v>67.78</v>
      </c>
      <c r="N4588" s="1">
        <f t="shared" si="643"/>
        <v>63.75</v>
      </c>
      <c r="O4588" s="1">
        <f t="shared" si="644"/>
        <v>62.32</v>
      </c>
      <c r="P4588" s="1">
        <f t="shared" si="645"/>
        <v>31.795918367346939</v>
      </c>
    </row>
    <row r="4589" spans="1:16">
      <c r="A4589" s="2">
        <v>36397</v>
      </c>
      <c r="B4589" s="1">
        <v>122.82</v>
      </c>
      <c r="C4589" s="1">
        <v>133</v>
      </c>
      <c r="D4589" s="1">
        <v>121.5</v>
      </c>
      <c r="E4589" s="1">
        <v>132.88</v>
      </c>
      <c r="F4589" s="1">
        <v>20941400</v>
      </c>
      <c r="G4589" s="1">
        <v>66.44</v>
      </c>
      <c r="H4589" s="1">
        <f t="shared" si="639"/>
        <v>11.5</v>
      </c>
      <c r="I4589" s="9">
        <f t="shared" si="646"/>
        <v>9.4650205761316872E-2</v>
      </c>
      <c r="J4589" s="1">
        <f t="shared" si="647"/>
        <v>6.4099999999999966</v>
      </c>
      <c r="K4589" s="9">
        <f t="shared" si="640"/>
        <v>0.10677994336165245</v>
      </c>
      <c r="L4589" s="1">
        <f t="shared" si="641"/>
        <v>0.5</v>
      </c>
      <c r="M4589" s="1">
        <f t="shared" si="642"/>
        <v>66.5</v>
      </c>
      <c r="N4589" s="1">
        <f t="shared" si="643"/>
        <v>60.75</v>
      </c>
      <c r="O4589" s="1">
        <f t="shared" si="644"/>
        <v>64.48</v>
      </c>
      <c r="P4589" s="1">
        <f t="shared" si="645"/>
        <v>32.897959183673471</v>
      </c>
    </row>
    <row r="4590" spans="1:16">
      <c r="A4590" s="2">
        <v>36396</v>
      </c>
      <c r="B4590" s="1">
        <v>116</v>
      </c>
      <c r="C4590" s="1">
        <v>125.5</v>
      </c>
      <c r="D4590" s="1">
        <v>115.94</v>
      </c>
      <c r="E4590" s="1">
        <v>120.06</v>
      </c>
      <c r="F4590" s="1">
        <v>25010000</v>
      </c>
      <c r="G4590" s="1">
        <v>60.03</v>
      </c>
      <c r="H4590" s="1">
        <f t="shared" si="639"/>
        <v>9.5600000000000023</v>
      </c>
      <c r="I4590" s="9">
        <f t="shared" si="646"/>
        <v>8.2456442987752301E-2</v>
      </c>
      <c r="J4590" s="1">
        <f t="shared" si="647"/>
        <v>0.84000000000000341</v>
      </c>
      <c r="K4590" s="9">
        <f t="shared" si="640"/>
        <v>1.4191586416624487E-2</v>
      </c>
      <c r="L4590" s="1">
        <f t="shared" si="641"/>
        <v>0.5</v>
      </c>
      <c r="M4590" s="1">
        <f t="shared" si="642"/>
        <v>62.75</v>
      </c>
      <c r="N4590" s="1">
        <f t="shared" si="643"/>
        <v>57.97</v>
      </c>
      <c r="O4590" s="1">
        <f t="shared" si="644"/>
        <v>58.07</v>
      </c>
      <c r="P4590" s="1">
        <f t="shared" si="645"/>
        <v>29.627551020408163</v>
      </c>
    </row>
    <row r="4591" spans="1:16">
      <c r="A4591" s="2">
        <v>36395</v>
      </c>
      <c r="B4591" s="1">
        <v>115.94</v>
      </c>
      <c r="C4591" s="1">
        <v>120.5</v>
      </c>
      <c r="D4591" s="1">
        <v>115.76</v>
      </c>
      <c r="E4591" s="1">
        <v>118.38</v>
      </c>
      <c r="F4591" s="1">
        <v>19206000</v>
      </c>
      <c r="G4591" s="1">
        <v>59.19</v>
      </c>
      <c r="H4591" s="1">
        <f t="shared" si="639"/>
        <v>4.7399999999999949</v>
      </c>
      <c r="I4591" s="9">
        <f t="shared" si="646"/>
        <v>4.0946786454733888E-2</v>
      </c>
      <c r="J4591" s="1">
        <f t="shared" si="647"/>
        <v>2.4699999999999989</v>
      </c>
      <c r="K4591" s="9">
        <f t="shared" si="640"/>
        <v>4.3547249647390672E-2</v>
      </c>
      <c r="L4591" s="1">
        <f t="shared" si="641"/>
        <v>0.5</v>
      </c>
      <c r="M4591" s="1">
        <f t="shared" si="642"/>
        <v>60.25</v>
      </c>
      <c r="N4591" s="1">
        <f t="shared" si="643"/>
        <v>57.88</v>
      </c>
      <c r="O4591" s="1">
        <f t="shared" si="644"/>
        <v>57.23</v>
      </c>
      <c r="P4591" s="1">
        <f t="shared" si="645"/>
        <v>29.198979591836732</v>
      </c>
    </row>
    <row r="4592" spans="1:16">
      <c r="A4592" s="2">
        <v>36392</v>
      </c>
      <c r="B4592" s="1">
        <v>106.26</v>
      </c>
      <c r="C4592" s="1">
        <v>113.56</v>
      </c>
      <c r="D4592" s="1">
        <v>105.12</v>
      </c>
      <c r="E4592" s="1">
        <v>113.44</v>
      </c>
      <c r="F4592" s="1">
        <v>14281200</v>
      </c>
      <c r="G4592" s="1">
        <v>56.72</v>
      </c>
      <c r="H4592" s="1">
        <f t="shared" si="639"/>
        <v>8.4399999999999977</v>
      </c>
      <c r="I4592" s="9">
        <f t="shared" si="646"/>
        <v>8.0289193302891915E-2</v>
      </c>
      <c r="J4592" s="1">
        <f t="shared" si="647"/>
        <v>3.6599999999999966</v>
      </c>
      <c r="K4592" s="9">
        <f t="shared" si="640"/>
        <v>6.8978514888805062E-2</v>
      </c>
      <c r="L4592" s="1">
        <f t="shared" si="641"/>
        <v>0.5</v>
      </c>
      <c r="M4592" s="1">
        <f t="shared" si="642"/>
        <v>56.78</v>
      </c>
      <c r="N4592" s="1">
        <f t="shared" si="643"/>
        <v>52.56</v>
      </c>
      <c r="O4592" s="1">
        <f t="shared" si="644"/>
        <v>54.76</v>
      </c>
      <c r="P4592" s="1">
        <f t="shared" si="645"/>
        <v>27.938775510204081</v>
      </c>
    </row>
    <row r="4593" spans="1:16">
      <c r="A4593" s="2">
        <v>36391</v>
      </c>
      <c r="B4593" s="1">
        <v>110.77</v>
      </c>
      <c r="C4593" s="1">
        <v>111.19</v>
      </c>
      <c r="D4593" s="1">
        <v>105.13</v>
      </c>
      <c r="E4593" s="1">
        <v>106.13</v>
      </c>
      <c r="F4593" s="1">
        <v>18285000</v>
      </c>
      <c r="G4593" s="1">
        <v>53.06</v>
      </c>
      <c r="H4593" s="1">
        <f t="shared" si="639"/>
        <v>6.0600000000000023</v>
      </c>
      <c r="I4593" s="9">
        <f t="shared" si="646"/>
        <v>5.764291829163895E-2</v>
      </c>
      <c r="J4593" s="1">
        <f t="shared" si="647"/>
        <v>-3.5</v>
      </c>
      <c r="K4593" s="9">
        <f t="shared" si="640"/>
        <v>-6.1881188118811881E-2</v>
      </c>
      <c r="L4593" s="1">
        <f t="shared" si="641"/>
        <v>0.49995288796758697</v>
      </c>
      <c r="M4593" s="1">
        <f t="shared" si="642"/>
        <v>55.589761613115996</v>
      </c>
      <c r="N4593" s="1">
        <f t="shared" si="643"/>
        <v>52.560047112032414</v>
      </c>
      <c r="O4593" s="1">
        <f t="shared" si="644"/>
        <v>51.1</v>
      </c>
      <c r="P4593" s="1">
        <f t="shared" si="645"/>
        <v>26.071428571428573</v>
      </c>
    </row>
    <row r="4594" spans="1:16">
      <c r="A4594" s="2">
        <v>36390</v>
      </c>
      <c r="B4594" s="1">
        <v>115.13</v>
      </c>
      <c r="C4594" s="1">
        <v>117.51</v>
      </c>
      <c r="D4594" s="1">
        <v>112.51</v>
      </c>
      <c r="E4594" s="1">
        <v>113.13</v>
      </c>
      <c r="F4594" s="1">
        <v>28415400</v>
      </c>
      <c r="G4594" s="1">
        <v>56.56</v>
      </c>
      <c r="H4594" s="1">
        <f t="shared" si="639"/>
        <v>5</v>
      </c>
      <c r="I4594" s="9">
        <f t="shared" si="646"/>
        <v>4.4440494178295258E-2</v>
      </c>
      <c r="J4594" s="1">
        <f t="shared" si="647"/>
        <v>1.9299999999999997</v>
      </c>
      <c r="K4594" s="9">
        <f t="shared" si="640"/>
        <v>3.5328574043565798E-2</v>
      </c>
      <c r="L4594" s="1">
        <f t="shared" si="641"/>
        <v>0.49995580305842841</v>
      </c>
      <c r="M4594" s="1">
        <f t="shared" si="642"/>
        <v>58.749806417395924</v>
      </c>
      <c r="N4594" s="1">
        <f t="shared" si="643"/>
        <v>56.250027402103782</v>
      </c>
      <c r="O4594" s="1">
        <f t="shared" si="644"/>
        <v>54.6</v>
      </c>
      <c r="P4594" s="1">
        <f t="shared" si="645"/>
        <v>27.857142857142858</v>
      </c>
    </row>
    <row r="4595" spans="1:16">
      <c r="A4595" s="2">
        <v>36389</v>
      </c>
      <c r="B4595" s="1">
        <v>100.49</v>
      </c>
      <c r="C4595" s="1">
        <v>109.49</v>
      </c>
      <c r="D4595" s="1">
        <v>99.87</v>
      </c>
      <c r="E4595" s="1">
        <v>109.25</v>
      </c>
      <c r="F4595" s="1">
        <v>23668800</v>
      </c>
      <c r="G4595" s="1">
        <v>54.63</v>
      </c>
      <c r="H4595" s="1">
        <f t="shared" si="639"/>
        <v>9.6199999999999903</v>
      </c>
      <c r="I4595" s="9">
        <f t="shared" si="646"/>
        <v>9.6325222789626408E-2</v>
      </c>
      <c r="J4595" s="1">
        <f t="shared" si="647"/>
        <v>5.470000000000006</v>
      </c>
      <c r="K4595" s="9">
        <f t="shared" si="640"/>
        <v>0.11126932465419052</v>
      </c>
      <c r="L4595" s="1">
        <f t="shared" si="641"/>
        <v>0.50004576659038902</v>
      </c>
      <c r="M4595" s="1">
        <f t="shared" si="642"/>
        <v>54.750010983981689</v>
      </c>
      <c r="N4595" s="1">
        <f t="shared" si="643"/>
        <v>49.939570709382153</v>
      </c>
      <c r="O4595" s="1">
        <f t="shared" si="644"/>
        <v>52.67</v>
      </c>
      <c r="P4595" s="1">
        <f t="shared" si="645"/>
        <v>26.872448979591837</v>
      </c>
    </row>
    <row r="4596" spans="1:16">
      <c r="A4596" s="2">
        <v>36388</v>
      </c>
      <c r="B4596" s="1">
        <v>98.25</v>
      </c>
      <c r="C4596" s="1">
        <v>100.87</v>
      </c>
      <c r="D4596" s="1">
        <v>95.49</v>
      </c>
      <c r="E4596" s="1">
        <v>98.31</v>
      </c>
      <c r="F4596" s="1">
        <v>12753200</v>
      </c>
      <c r="G4596" s="1">
        <v>49.16</v>
      </c>
      <c r="H4596" s="1">
        <f t="shared" si="639"/>
        <v>5.3800000000000097</v>
      </c>
      <c r="I4596" s="9">
        <f t="shared" si="646"/>
        <v>5.6340978112891509E-2</v>
      </c>
      <c r="J4596" s="1">
        <f t="shared" si="647"/>
        <v>0.43999999999999773</v>
      </c>
      <c r="K4596" s="9">
        <f t="shared" si="640"/>
        <v>9.0311986863710544E-3</v>
      </c>
      <c r="L4596" s="1">
        <f t="shared" si="641"/>
        <v>0.50005085952598916</v>
      </c>
      <c r="M4596" s="1">
        <f t="shared" si="642"/>
        <v>50.440130200386527</v>
      </c>
      <c r="N4596" s="1">
        <f t="shared" si="643"/>
        <v>47.7498565761367</v>
      </c>
      <c r="O4596" s="1">
        <f t="shared" si="644"/>
        <v>47.199999999999996</v>
      </c>
      <c r="P4596" s="1">
        <f t="shared" si="645"/>
        <v>24.081632653061224</v>
      </c>
    </row>
    <row r="4597" spans="1:16">
      <c r="A4597" s="2">
        <v>36385</v>
      </c>
      <c r="B4597" s="1">
        <v>95</v>
      </c>
      <c r="C4597" s="1">
        <v>97.44</v>
      </c>
      <c r="D4597" s="1">
        <v>94.12</v>
      </c>
      <c r="E4597" s="1">
        <v>97.44</v>
      </c>
      <c r="F4597" s="1">
        <v>10784800</v>
      </c>
      <c r="G4597" s="1">
        <v>48.72</v>
      </c>
      <c r="H4597" s="1">
        <f t="shared" si="639"/>
        <v>3.3199999999999932</v>
      </c>
      <c r="I4597" s="9">
        <f t="shared" si="646"/>
        <v>3.527411814704625E-2</v>
      </c>
      <c r="J4597" s="1">
        <f t="shared" si="647"/>
        <v>2.8399999999999963</v>
      </c>
      <c r="K4597" s="9">
        <f t="shared" si="640"/>
        <v>6.1900610287706978E-2</v>
      </c>
      <c r="L4597" s="1">
        <f t="shared" si="641"/>
        <v>0.5</v>
      </c>
      <c r="M4597" s="1">
        <f t="shared" si="642"/>
        <v>48.72</v>
      </c>
      <c r="N4597" s="1">
        <f t="shared" si="643"/>
        <v>47.06</v>
      </c>
      <c r="O4597" s="1">
        <f t="shared" si="644"/>
        <v>46.76</v>
      </c>
      <c r="P4597" s="1">
        <f t="shared" si="645"/>
        <v>23.857142857142858</v>
      </c>
    </row>
    <row r="4598" spans="1:16">
      <c r="A4598" s="2">
        <v>36384</v>
      </c>
      <c r="B4598" s="1">
        <v>90.99</v>
      </c>
      <c r="C4598" s="1">
        <v>95.75</v>
      </c>
      <c r="D4598" s="1">
        <v>89.37</v>
      </c>
      <c r="E4598" s="1">
        <v>91.75</v>
      </c>
      <c r="F4598" s="1">
        <v>13140800</v>
      </c>
      <c r="G4598" s="1">
        <v>45.88</v>
      </c>
      <c r="H4598" s="1">
        <f t="shared" si="639"/>
        <v>6.3799999999999955</v>
      </c>
      <c r="I4598" s="9">
        <f t="shared" si="646"/>
        <v>7.1388609152959553E-2</v>
      </c>
      <c r="J4598" s="1">
        <f t="shared" si="647"/>
        <v>0.41000000000000369</v>
      </c>
      <c r="K4598" s="9">
        <f t="shared" si="640"/>
        <v>9.0169342423576798E-3</v>
      </c>
      <c r="L4598" s="1">
        <f t="shared" si="641"/>
        <v>0.5000544959128066</v>
      </c>
      <c r="M4598" s="1">
        <f t="shared" si="642"/>
        <v>47.880217983651228</v>
      </c>
      <c r="N4598" s="1">
        <f t="shared" si="643"/>
        <v>44.689870299727531</v>
      </c>
      <c r="O4598" s="1">
        <f t="shared" si="644"/>
        <v>43.92</v>
      </c>
      <c r="P4598" s="1">
        <f t="shared" si="645"/>
        <v>22.408163265306122</v>
      </c>
    </row>
    <row r="4599" spans="1:16">
      <c r="A4599" s="2">
        <v>36383</v>
      </c>
      <c r="B4599" s="1">
        <v>92.38</v>
      </c>
      <c r="C4599" s="1">
        <v>95.26</v>
      </c>
      <c r="D4599" s="1">
        <v>85.18</v>
      </c>
      <c r="E4599" s="1">
        <v>90.94</v>
      </c>
      <c r="F4599" s="1">
        <v>25655000</v>
      </c>
      <c r="G4599" s="1">
        <v>45.47</v>
      </c>
      <c r="H4599" s="1">
        <f t="shared" si="639"/>
        <v>10.079999999999998</v>
      </c>
      <c r="I4599" s="9">
        <f t="shared" si="646"/>
        <v>0.11833763794317911</v>
      </c>
      <c r="J4599" s="1">
        <f t="shared" si="647"/>
        <v>-3.0000000000001137E-2</v>
      </c>
      <c r="K4599" s="9">
        <f t="shared" si="640"/>
        <v>-6.5934065934068428E-4</v>
      </c>
      <c r="L4599" s="1">
        <f t="shared" si="641"/>
        <v>0.5</v>
      </c>
      <c r="M4599" s="1">
        <f t="shared" si="642"/>
        <v>47.63</v>
      </c>
      <c r="N4599" s="1">
        <f t="shared" si="643"/>
        <v>42.59</v>
      </c>
      <c r="O4599" s="1">
        <f t="shared" si="644"/>
        <v>43.51</v>
      </c>
      <c r="P4599" s="1">
        <f t="shared" si="645"/>
        <v>22.198979591836736</v>
      </c>
    </row>
    <row r="4600" spans="1:16">
      <c r="A4600" s="2">
        <v>36382</v>
      </c>
      <c r="B4600" s="1">
        <v>85.38</v>
      </c>
      <c r="C4600" s="1">
        <v>92.18</v>
      </c>
      <c r="D4600" s="1">
        <v>82</v>
      </c>
      <c r="E4600" s="1">
        <v>91</v>
      </c>
      <c r="F4600" s="1">
        <v>23195000</v>
      </c>
      <c r="G4600" s="1">
        <v>45.5</v>
      </c>
      <c r="H4600" s="1">
        <f t="shared" si="639"/>
        <v>10.180000000000007</v>
      </c>
      <c r="I4600" s="9">
        <f t="shared" si="646"/>
        <v>0.12414634146341472</v>
      </c>
      <c r="J4600" s="1">
        <f t="shared" si="647"/>
        <v>2.75</v>
      </c>
      <c r="K4600" s="9">
        <f t="shared" si="640"/>
        <v>6.4327485380116955E-2</v>
      </c>
      <c r="L4600" s="1">
        <f t="shared" si="641"/>
        <v>0.5</v>
      </c>
      <c r="M4600" s="1">
        <f t="shared" si="642"/>
        <v>46.09</v>
      </c>
      <c r="N4600" s="1">
        <f t="shared" si="643"/>
        <v>41</v>
      </c>
      <c r="O4600" s="1">
        <f t="shared" si="644"/>
        <v>43.54</v>
      </c>
      <c r="P4600" s="1">
        <f t="shared" si="645"/>
        <v>22.214285714285715</v>
      </c>
    </row>
    <row r="4601" spans="1:16">
      <c r="A4601" s="2">
        <v>36381</v>
      </c>
      <c r="B4601" s="1">
        <v>91.5</v>
      </c>
      <c r="C4601" s="1">
        <v>91.5</v>
      </c>
      <c r="D4601" s="1">
        <v>84.56</v>
      </c>
      <c r="E4601" s="1">
        <v>85.5</v>
      </c>
      <c r="F4601" s="1">
        <v>13041400</v>
      </c>
      <c r="G4601" s="1">
        <v>42.75</v>
      </c>
      <c r="H4601" s="1">
        <f t="shared" si="639"/>
        <v>6.9399999999999977</v>
      </c>
      <c r="I4601" s="9">
        <f t="shared" si="646"/>
        <v>8.207190160832542E-2</v>
      </c>
      <c r="J4601" s="1">
        <f t="shared" si="647"/>
        <v>-2.0300000000000011</v>
      </c>
      <c r="K4601" s="9">
        <f t="shared" si="640"/>
        <v>-4.5332737829388146E-2</v>
      </c>
      <c r="L4601" s="1">
        <f t="shared" si="641"/>
        <v>0.5</v>
      </c>
      <c r="M4601" s="1">
        <f t="shared" si="642"/>
        <v>45.75</v>
      </c>
      <c r="N4601" s="1">
        <f t="shared" si="643"/>
        <v>42.28</v>
      </c>
      <c r="O4601" s="1">
        <f t="shared" si="644"/>
        <v>40.79</v>
      </c>
      <c r="P4601" s="1">
        <f t="shared" si="645"/>
        <v>20.811224489795919</v>
      </c>
    </row>
    <row r="4602" spans="1:16">
      <c r="A4602" s="2">
        <v>36378</v>
      </c>
      <c r="B4602" s="1">
        <v>96.62</v>
      </c>
      <c r="C4602" s="1">
        <v>99.5</v>
      </c>
      <c r="D4602" s="1">
        <v>89.26</v>
      </c>
      <c r="E4602" s="1">
        <v>89.56</v>
      </c>
      <c r="F4602" s="1">
        <v>21218800</v>
      </c>
      <c r="G4602" s="1">
        <v>44.78</v>
      </c>
      <c r="H4602" s="1">
        <f t="shared" si="639"/>
        <v>10.239999999999995</v>
      </c>
      <c r="I4602" s="9">
        <f t="shared" si="646"/>
        <v>0.11472103965942185</v>
      </c>
      <c r="J4602" s="1">
        <f t="shared" si="647"/>
        <v>-3.8500000000000014</v>
      </c>
      <c r="K4602" s="9">
        <f t="shared" si="640"/>
        <v>-7.9169237096442552E-2</v>
      </c>
      <c r="L4602" s="1">
        <f t="shared" si="641"/>
        <v>0.5</v>
      </c>
      <c r="M4602" s="1">
        <f t="shared" si="642"/>
        <v>49.75</v>
      </c>
      <c r="N4602" s="1">
        <f t="shared" si="643"/>
        <v>44.63</v>
      </c>
      <c r="O4602" s="1">
        <f t="shared" si="644"/>
        <v>42.82</v>
      </c>
      <c r="P4602" s="1">
        <f t="shared" si="645"/>
        <v>21.846938775510203</v>
      </c>
    </row>
    <row r="4603" spans="1:16">
      <c r="A4603" s="2">
        <v>36377</v>
      </c>
      <c r="B4603" s="1">
        <v>87.55</v>
      </c>
      <c r="C4603" s="1">
        <v>97.99</v>
      </c>
      <c r="D4603" s="1">
        <v>81.99</v>
      </c>
      <c r="E4603" s="1">
        <v>97.25</v>
      </c>
      <c r="F4603" s="1">
        <v>37517000</v>
      </c>
      <c r="G4603" s="1">
        <v>48.63</v>
      </c>
      <c r="H4603" s="1">
        <f t="shared" si="639"/>
        <v>16</v>
      </c>
      <c r="I4603" s="9">
        <f t="shared" si="646"/>
        <v>0.19514574948164412</v>
      </c>
      <c r="J4603" s="1">
        <f t="shared" si="647"/>
        <v>4.4100000000000037</v>
      </c>
      <c r="K4603" s="9">
        <f t="shared" si="640"/>
        <v>9.9728629579375935E-2</v>
      </c>
      <c r="L4603" s="1">
        <f t="shared" si="641"/>
        <v>0.50005141388174812</v>
      </c>
      <c r="M4603" s="1">
        <f t="shared" si="642"/>
        <v>49.000038046272493</v>
      </c>
      <c r="N4603" s="1">
        <f t="shared" si="643"/>
        <v>40.999215424164525</v>
      </c>
      <c r="O4603" s="1">
        <f t="shared" si="644"/>
        <v>46.67</v>
      </c>
      <c r="P4603" s="1">
        <f t="shared" si="645"/>
        <v>23.811224489795919</v>
      </c>
    </row>
    <row r="4604" spans="1:16">
      <c r="A4604" s="2">
        <v>36376</v>
      </c>
      <c r="B4604" s="1">
        <v>93.76</v>
      </c>
      <c r="C4604" s="1">
        <v>96.38</v>
      </c>
      <c r="D4604" s="1">
        <v>88</v>
      </c>
      <c r="E4604" s="1">
        <v>88.44</v>
      </c>
      <c r="F4604" s="1">
        <v>22411400</v>
      </c>
      <c r="G4604" s="1">
        <v>44.22</v>
      </c>
      <c r="H4604" s="1">
        <f t="shared" si="639"/>
        <v>8.3799999999999955</v>
      </c>
      <c r="I4604" s="9">
        <f t="shared" si="646"/>
        <v>9.5227272727272674E-2</v>
      </c>
      <c r="J4604" s="1">
        <f t="shared" si="647"/>
        <v>-3.2199999999999989</v>
      </c>
      <c r="K4604" s="9">
        <f t="shared" si="640"/>
        <v>-6.7875210792580076E-2</v>
      </c>
      <c r="L4604" s="1">
        <f t="shared" si="641"/>
        <v>0.5</v>
      </c>
      <c r="M4604" s="1">
        <f t="shared" si="642"/>
        <v>48.19</v>
      </c>
      <c r="N4604" s="1">
        <f t="shared" si="643"/>
        <v>44</v>
      </c>
      <c r="O4604" s="1">
        <f t="shared" si="644"/>
        <v>42.26</v>
      </c>
      <c r="P4604" s="1">
        <f t="shared" si="645"/>
        <v>21.561224489795919</v>
      </c>
    </row>
    <row r="4605" spans="1:16">
      <c r="A4605" s="2">
        <v>36375</v>
      </c>
      <c r="B4605" s="1">
        <v>97</v>
      </c>
      <c r="C4605" s="1">
        <v>97</v>
      </c>
      <c r="D4605" s="1">
        <v>89.62</v>
      </c>
      <c r="E4605" s="1">
        <v>94.88</v>
      </c>
      <c r="F4605" s="1">
        <v>29139000</v>
      </c>
      <c r="G4605" s="1">
        <v>47.44</v>
      </c>
      <c r="H4605" s="1">
        <f t="shared" si="639"/>
        <v>7.3799999999999955</v>
      </c>
      <c r="I4605" s="9">
        <f t="shared" si="646"/>
        <v>8.2347690247712504E-2</v>
      </c>
      <c r="J4605" s="1">
        <f t="shared" si="647"/>
        <v>0.43999999999999773</v>
      </c>
      <c r="K4605" s="9">
        <f t="shared" si="640"/>
        <v>9.3617021276595266E-3</v>
      </c>
      <c r="L4605" s="1">
        <f t="shared" si="641"/>
        <v>0.5</v>
      </c>
      <c r="M4605" s="1">
        <f t="shared" si="642"/>
        <v>48.5</v>
      </c>
      <c r="N4605" s="1">
        <f t="shared" si="643"/>
        <v>44.81</v>
      </c>
      <c r="O4605" s="1">
        <f t="shared" si="644"/>
        <v>45.48</v>
      </c>
      <c r="P4605" s="1">
        <f t="shared" si="645"/>
        <v>23.204081632653061</v>
      </c>
    </row>
    <row r="4606" spans="1:16">
      <c r="A4606" s="2">
        <v>36374</v>
      </c>
      <c r="B4606" s="1">
        <v>98.38</v>
      </c>
      <c r="C4606" s="1">
        <v>102.12</v>
      </c>
      <c r="D4606" s="1">
        <v>93.94</v>
      </c>
      <c r="E4606" s="1">
        <v>94</v>
      </c>
      <c r="F4606" s="1">
        <v>16967800</v>
      </c>
      <c r="G4606" s="1">
        <v>47</v>
      </c>
      <c r="H4606" s="1">
        <f t="shared" si="639"/>
        <v>8.1800000000000068</v>
      </c>
      <c r="I4606" s="9">
        <f t="shared" si="646"/>
        <v>8.7076857568660918E-2</v>
      </c>
      <c r="J4606" s="1">
        <f t="shared" si="647"/>
        <v>-3.0300000000000011</v>
      </c>
      <c r="K4606" s="9">
        <f t="shared" si="640"/>
        <v>-6.0563661802918271E-2</v>
      </c>
      <c r="L4606" s="1">
        <f t="shared" si="641"/>
        <v>0.5</v>
      </c>
      <c r="M4606" s="1">
        <f t="shared" si="642"/>
        <v>51.06</v>
      </c>
      <c r="N4606" s="1">
        <f t="shared" si="643"/>
        <v>46.97</v>
      </c>
      <c r="O4606" s="1">
        <f t="shared" si="644"/>
        <v>45.04</v>
      </c>
      <c r="P4606" s="1">
        <f t="shared" si="645"/>
        <v>22.979591836734695</v>
      </c>
    </row>
    <row r="4607" spans="1:16">
      <c r="A4607" s="2">
        <v>36371</v>
      </c>
      <c r="B4607" s="1">
        <v>102.12</v>
      </c>
      <c r="C4607" s="1">
        <v>102.76</v>
      </c>
      <c r="D4607" s="1">
        <v>97.5</v>
      </c>
      <c r="E4607" s="1">
        <v>100.06</v>
      </c>
      <c r="F4607" s="1">
        <v>12057000</v>
      </c>
      <c r="G4607" s="1">
        <v>50.03</v>
      </c>
      <c r="H4607" s="1">
        <f t="shared" si="639"/>
        <v>5.2600000000000051</v>
      </c>
      <c r="I4607" s="9">
        <f t="shared" si="646"/>
        <v>5.3948717948718E-2</v>
      </c>
      <c r="J4607" s="1">
        <f t="shared" si="647"/>
        <v>-0.75</v>
      </c>
      <c r="K4607" s="9">
        <f t="shared" si="640"/>
        <v>-1.4769594328475778E-2</v>
      </c>
      <c r="L4607" s="1">
        <f t="shared" si="641"/>
        <v>0.5</v>
      </c>
      <c r="M4607" s="1">
        <f t="shared" si="642"/>
        <v>51.38</v>
      </c>
      <c r="N4607" s="1">
        <f t="shared" si="643"/>
        <v>48.75</v>
      </c>
      <c r="O4607" s="1">
        <f t="shared" si="644"/>
        <v>48.07</v>
      </c>
      <c r="P4607" s="1">
        <f t="shared" si="645"/>
        <v>24.525510204081634</v>
      </c>
    </row>
    <row r="4608" spans="1:16">
      <c r="A4608" s="2">
        <v>36370</v>
      </c>
      <c r="B4608" s="1">
        <v>102.38</v>
      </c>
      <c r="C4608" s="1">
        <v>104.38</v>
      </c>
      <c r="D4608" s="1">
        <v>100</v>
      </c>
      <c r="E4608" s="1">
        <v>101.56</v>
      </c>
      <c r="F4608" s="1">
        <v>18748000</v>
      </c>
      <c r="G4608" s="1">
        <v>50.78</v>
      </c>
      <c r="H4608" s="1">
        <f t="shared" si="639"/>
        <v>4.3799999999999955</v>
      </c>
      <c r="I4608" s="9">
        <f t="shared" si="646"/>
        <v>4.3799999999999957E-2</v>
      </c>
      <c r="J4608" s="1">
        <f t="shared" si="647"/>
        <v>-2.1000000000000014</v>
      </c>
      <c r="K4608" s="9">
        <f t="shared" si="640"/>
        <v>-3.971255673222393E-2</v>
      </c>
      <c r="L4608" s="1">
        <f t="shared" si="641"/>
        <v>0.5</v>
      </c>
      <c r="M4608" s="1">
        <f t="shared" si="642"/>
        <v>52.19</v>
      </c>
      <c r="N4608" s="1">
        <f t="shared" si="643"/>
        <v>50</v>
      </c>
      <c r="O4608" s="1">
        <f t="shared" si="644"/>
        <v>48.82</v>
      </c>
      <c r="P4608" s="1">
        <f t="shared" si="645"/>
        <v>24.908163265306122</v>
      </c>
    </row>
    <row r="4609" spans="1:16">
      <c r="A4609" s="2">
        <v>36369</v>
      </c>
      <c r="B4609" s="1">
        <v>101.97</v>
      </c>
      <c r="C4609" s="1">
        <v>106.11</v>
      </c>
      <c r="D4609" s="1">
        <v>99.61</v>
      </c>
      <c r="E4609" s="1">
        <v>105.75</v>
      </c>
      <c r="F4609" s="1">
        <v>25783600</v>
      </c>
      <c r="G4609" s="1">
        <v>52.88</v>
      </c>
      <c r="H4609" s="1">
        <f t="shared" si="639"/>
        <v>6.5</v>
      </c>
      <c r="I4609" s="9">
        <f t="shared" si="646"/>
        <v>6.5254492520831237E-2</v>
      </c>
      <c r="J4609" s="1">
        <f t="shared" si="647"/>
        <v>2.3800000000000026</v>
      </c>
      <c r="K4609" s="9">
        <f t="shared" si="640"/>
        <v>4.7128712871287178E-2</v>
      </c>
      <c r="L4609" s="1">
        <f t="shared" si="641"/>
        <v>0.5000472813238771</v>
      </c>
      <c r="M4609" s="1">
        <f t="shared" si="642"/>
        <v>53.0600170212766</v>
      </c>
      <c r="N4609" s="1">
        <f t="shared" si="643"/>
        <v>49.809709692671397</v>
      </c>
      <c r="O4609" s="1">
        <f t="shared" si="644"/>
        <v>50.92</v>
      </c>
      <c r="P4609" s="1">
        <f t="shared" si="645"/>
        <v>25.979591836734695</v>
      </c>
    </row>
    <row r="4610" spans="1:16">
      <c r="A4610" s="2">
        <v>36368</v>
      </c>
      <c r="B4610" s="1">
        <v>109</v>
      </c>
      <c r="C4610" s="1">
        <v>110.38</v>
      </c>
      <c r="D4610" s="1">
        <v>100.12</v>
      </c>
      <c r="E4610" s="1">
        <v>101</v>
      </c>
      <c r="F4610" s="1">
        <v>23769800</v>
      </c>
      <c r="G4610" s="1">
        <v>50.5</v>
      </c>
      <c r="H4610" s="1">
        <f t="shared" si="639"/>
        <v>10.259999999999991</v>
      </c>
      <c r="I4610" s="9">
        <f t="shared" si="646"/>
        <v>0.10247702756691961</v>
      </c>
      <c r="J4610" s="1">
        <f t="shared" si="647"/>
        <v>-2.4699999999999989</v>
      </c>
      <c r="K4610" s="9">
        <f t="shared" si="640"/>
        <v>-4.6630168019633732E-2</v>
      </c>
      <c r="L4610" s="1">
        <f t="shared" si="641"/>
        <v>0.5</v>
      </c>
      <c r="M4610" s="1">
        <f t="shared" si="642"/>
        <v>55.19</v>
      </c>
      <c r="N4610" s="1">
        <f t="shared" si="643"/>
        <v>50.06</v>
      </c>
      <c r="O4610" s="1">
        <f t="shared" si="644"/>
        <v>48.54</v>
      </c>
      <c r="P4610" s="1">
        <f t="shared" si="645"/>
        <v>24.76530612244898</v>
      </c>
    </row>
    <row r="4611" spans="1:16">
      <c r="A4611" s="2">
        <v>36367</v>
      </c>
      <c r="B4611" s="1">
        <v>110.44</v>
      </c>
      <c r="C4611" s="1">
        <v>115.5</v>
      </c>
      <c r="D4611" s="1">
        <v>105</v>
      </c>
      <c r="E4611" s="1">
        <v>105.94</v>
      </c>
      <c r="F4611" s="1">
        <v>30627600</v>
      </c>
      <c r="G4611" s="1">
        <v>52.97</v>
      </c>
      <c r="H4611" s="1">
        <f t="shared" ref="H4611:H4674" si="648">C4611-D4611</f>
        <v>10.5</v>
      </c>
      <c r="I4611" s="9">
        <f t="shared" si="646"/>
        <v>0.1</v>
      </c>
      <c r="J4611" s="1">
        <f t="shared" si="647"/>
        <v>-4.3100000000000023</v>
      </c>
      <c r="K4611" s="9">
        <f t="shared" ref="K4611:K4674" si="649">(G4611-G4612)/G4612</f>
        <v>-7.5244413407821273E-2</v>
      </c>
      <c r="L4611" s="1">
        <f t="shared" ref="L4611:L4674" si="650">G4611/E4611</f>
        <v>0.5</v>
      </c>
      <c r="M4611" s="1">
        <f t="shared" ref="M4611:M4674" si="651">L4611*C4611</f>
        <v>57.75</v>
      </c>
      <c r="N4611" s="1">
        <f t="shared" ref="N4611:N4674" si="652">L4611*D4611</f>
        <v>52.5</v>
      </c>
      <c r="O4611" s="1">
        <f t="shared" ref="O4611:O4674" si="653">G4611-$G$5163</f>
        <v>51.01</v>
      </c>
      <c r="P4611" s="1">
        <f t="shared" ref="P4611:P4674" si="654">(G4611-$G$5163)/$G$5163</f>
        <v>26.02551020408163</v>
      </c>
    </row>
    <row r="4612" spans="1:16">
      <c r="A4612" s="2">
        <v>36364</v>
      </c>
      <c r="B4612" s="1">
        <v>109.82</v>
      </c>
      <c r="C4612" s="1">
        <v>114.76</v>
      </c>
      <c r="D4612" s="1">
        <v>103.18</v>
      </c>
      <c r="E4612" s="1">
        <v>114.56</v>
      </c>
      <c r="F4612" s="1">
        <v>30080600</v>
      </c>
      <c r="G4612" s="1">
        <v>57.28</v>
      </c>
      <c r="H4612" s="1">
        <f t="shared" si="648"/>
        <v>11.579999999999998</v>
      </c>
      <c r="I4612" s="9">
        <f t="shared" ref="I4612:I4675" si="655">(C4612-D4612)/D4612</f>
        <v>0.11223105252955996</v>
      </c>
      <c r="J4612" s="1">
        <f t="shared" ref="J4612:J4675" si="656">G4612-G4613</f>
        <v>3.8700000000000045</v>
      </c>
      <c r="K4612" s="9">
        <f t="shared" si="649"/>
        <v>7.2458341134619075E-2</v>
      </c>
      <c r="L4612" s="1">
        <f t="shared" si="650"/>
        <v>0.5</v>
      </c>
      <c r="M4612" s="1">
        <f t="shared" si="651"/>
        <v>57.38</v>
      </c>
      <c r="N4612" s="1">
        <f t="shared" si="652"/>
        <v>51.59</v>
      </c>
      <c r="O4612" s="1">
        <f t="shared" si="653"/>
        <v>55.32</v>
      </c>
      <c r="P4612" s="1">
        <f t="shared" si="654"/>
        <v>28.22448979591837</v>
      </c>
    </row>
    <row r="4613" spans="1:16">
      <c r="A4613" s="2">
        <v>36363</v>
      </c>
      <c r="B4613" s="1">
        <v>116.43</v>
      </c>
      <c r="C4613" s="1">
        <v>117.11</v>
      </c>
      <c r="D4613" s="1">
        <v>104.75</v>
      </c>
      <c r="E4613" s="1">
        <v>106.81</v>
      </c>
      <c r="F4613" s="1">
        <v>57547200</v>
      </c>
      <c r="G4613" s="1">
        <v>53.41</v>
      </c>
      <c r="H4613" s="1">
        <f t="shared" si="648"/>
        <v>12.36</v>
      </c>
      <c r="I4613" s="9">
        <f t="shared" si="655"/>
        <v>0.11799522673031025</v>
      </c>
      <c r="J4613" s="1">
        <f t="shared" si="656"/>
        <v>-9.3100000000000023</v>
      </c>
      <c r="K4613" s="9">
        <f t="shared" si="649"/>
        <v>-0.14843750000000003</v>
      </c>
      <c r="L4613" s="1">
        <f t="shared" si="650"/>
        <v>0.50004681209624557</v>
      </c>
      <c r="M4613" s="1">
        <f t="shared" si="651"/>
        <v>58.56048216459132</v>
      </c>
      <c r="N4613" s="1">
        <f t="shared" si="652"/>
        <v>52.379903567081726</v>
      </c>
      <c r="O4613" s="1">
        <f t="shared" si="653"/>
        <v>51.449999999999996</v>
      </c>
      <c r="P4613" s="1">
        <f t="shared" si="654"/>
        <v>26.25</v>
      </c>
    </row>
    <row r="4614" spans="1:16">
      <c r="A4614" s="2">
        <v>36362</v>
      </c>
      <c r="B4614" s="1">
        <v>121</v>
      </c>
      <c r="C4614" s="1">
        <v>128.26</v>
      </c>
      <c r="D4614" s="1">
        <v>120.26</v>
      </c>
      <c r="E4614" s="1">
        <v>125.44</v>
      </c>
      <c r="F4614" s="1">
        <v>17134400</v>
      </c>
      <c r="G4614" s="1">
        <v>62.72</v>
      </c>
      <c r="H4614" s="1">
        <f t="shared" si="648"/>
        <v>7.9999999999999858</v>
      </c>
      <c r="I4614" s="9">
        <f t="shared" si="655"/>
        <v>6.6522534508564657E-2</v>
      </c>
      <c r="J4614" s="1">
        <f t="shared" si="656"/>
        <v>2.6599999999999966</v>
      </c>
      <c r="K4614" s="9">
        <f t="shared" si="649"/>
        <v>4.4289044289044233E-2</v>
      </c>
      <c r="L4614" s="1">
        <f t="shared" si="650"/>
        <v>0.5</v>
      </c>
      <c r="M4614" s="1">
        <f t="shared" si="651"/>
        <v>64.13</v>
      </c>
      <c r="N4614" s="1">
        <f t="shared" si="652"/>
        <v>60.13</v>
      </c>
      <c r="O4614" s="1">
        <f t="shared" si="653"/>
        <v>60.76</v>
      </c>
      <c r="P4614" s="1">
        <f t="shared" si="654"/>
        <v>31</v>
      </c>
    </row>
    <row r="4615" spans="1:16">
      <c r="A4615" s="2">
        <v>36361</v>
      </c>
      <c r="B4615" s="1">
        <v>129.13</v>
      </c>
      <c r="C4615" s="1">
        <v>129.38999999999999</v>
      </c>
      <c r="D4615" s="1">
        <v>120.07</v>
      </c>
      <c r="E4615" s="1">
        <v>120.13</v>
      </c>
      <c r="F4615" s="1">
        <v>17221800</v>
      </c>
      <c r="G4615" s="1">
        <v>60.06</v>
      </c>
      <c r="H4615" s="1">
        <f t="shared" si="648"/>
        <v>9.3199999999999932</v>
      </c>
      <c r="I4615" s="9">
        <f t="shared" si="655"/>
        <v>7.7621387523944319E-2</v>
      </c>
      <c r="J4615" s="1">
        <f t="shared" si="656"/>
        <v>-5.7800000000000011</v>
      </c>
      <c r="K4615" s="9">
        <f t="shared" si="649"/>
        <v>-8.7788578371810463E-2</v>
      </c>
      <c r="L4615" s="1">
        <f t="shared" si="650"/>
        <v>0.49995837842337471</v>
      </c>
      <c r="M4615" s="1">
        <f t="shared" si="651"/>
        <v>64.689614584200442</v>
      </c>
      <c r="N4615" s="1">
        <f t="shared" si="652"/>
        <v>60.030002497294596</v>
      </c>
      <c r="O4615" s="1">
        <f t="shared" si="653"/>
        <v>58.1</v>
      </c>
      <c r="P4615" s="1">
        <f t="shared" si="654"/>
        <v>29.642857142857142</v>
      </c>
    </row>
    <row r="4616" spans="1:16">
      <c r="A4616" s="2">
        <v>36360</v>
      </c>
      <c r="B4616" s="1">
        <v>136.01</v>
      </c>
      <c r="C4616" s="1">
        <v>136.63</v>
      </c>
      <c r="D4616" s="1">
        <v>131.51</v>
      </c>
      <c r="E4616" s="1">
        <v>131.69</v>
      </c>
      <c r="F4616" s="1">
        <v>9438400</v>
      </c>
      <c r="G4616" s="1">
        <v>65.84</v>
      </c>
      <c r="H4616" s="1">
        <f t="shared" si="648"/>
        <v>5.1200000000000045</v>
      </c>
      <c r="I4616" s="9">
        <f t="shared" si="655"/>
        <v>3.8932400577902856E-2</v>
      </c>
      <c r="J4616" s="1">
        <f t="shared" si="656"/>
        <v>-2.9699999999999989</v>
      </c>
      <c r="K4616" s="9">
        <f t="shared" si="649"/>
        <v>-4.3162331056532464E-2</v>
      </c>
      <c r="L4616" s="1">
        <f t="shared" si="650"/>
        <v>0.4999620320449541</v>
      </c>
      <c r="M4616" s="1">
        <f t="shared" si="651"/>
        <v>68.309812438302075</v>
      </c>
      <c r="N4616" s="1">
        <f t="shared" si="652"/>
        <v>65.750006834231911</v>
      </c>
      <c r="O4616" s="1">
        <f t="shared" si="653"/>
        <v>63.88</v>
      </c>
      <c r="P4616" s="1">
        <f t="shared" si="654"/>
        <v>32.591836734693878</v>
      </c>
    </row>
    <row r="4617" spans="1:16">
      <c r="A4617" s="2">
        <v>36357</v>
      </c>
      <c r="B4617" s="1">
        <v>138.77000000000001</v>
      </c>
      <c r="C4617" s="1">
        <v>142.51</v>
      </c>
      <c r="D4617" s="1">
        <v>136.13</v>
      </c>
      <c r="E4617" s="1">
        <v>137.63</v>
      </c>
      <c r="F4617" s="1">
        <v>10297400</v>
      </c>
      <c r="G4617" s="1">
        <v>68.81</v>
      </c>
      <c r="H4617" s="1">
        <f t="shared" si="648"/>
        <v>6.3799999999999955</v>
      </c>
      <c r="I4617" s="9">
        <f t="shared" si="655"/>
        <v>4.686696540071987E-2</v>
      </c>
      <c r="J4617" s="1">
        <f t="shared" si="656"/>
        <v>-0.96999999999999886</v>
      </c>
      <c r="K4617" s="9">
        <f t="shared" si="649"/>
        <v>-1.3900831183720248E-2</v>
      </c>
      <c r="L4617" s="1">
        <f t="shared" si="650"/>
        <v>0.49996367071132752</v>
      </c>
      <c r="M4617" s="1">
        <f t="shared" si="651"/>
        <v>71.249822713071282</v>
      </c>
      <c r="N4617" s="1">
        <f t="shared" si="652"/>
        <v>68.060054493933009</v>
      </c>
      <c r="O4617" s="1">
        <f t="shared" si="653"/>
        <v>66.850000000000009</v>
      </c>
      <c r="P4617" s="1">
        <f t="shared" si="654"/>
        <v>34.107142857142861</v>
      </c>
    </row>
    <row r="4618" spans="1:16">
      <c r="A4618" s="2">
        <v>36356</v>
      </c>
      <c r="B4618" s="1">
        <v>135</v>
      </c>
      <c r="C4618" s="1">
        <v>141.5</v>
      </c>
      <c r="D4618" s="1">
        <v>133.38</v>
      </c>
      <c r="E4618" s="1">
        <v>139.56</v>
      </c>
      <c r="F4618" s="1">
        <v>22763000</v>
      </c>
      <c r="G4618" s="1">
        <v>69.78</v>
      </c>
      <c r="H4618" s="1">
        <f t="shared" si="648"/>
        <v>8.1200000000000045</v>
      </c>
      <c r="I4618" s="9">
        <f t="shared" si="655"/>
        <v>6.0878692457639862E-2</v>
      </c>
      <c r="J4618" s="1">
        <f t="shared" si="656"/>
        <v>2.2800000000000011</v>
      </c>
      <c r="K4618" s="9">
        <f t="shared" si="649"/>
        <v>3.3777777777777795E-2</v>
      </c>
      <c r="L4618" s="1">
        <f t="shared" si="650"/>
        <v>0.5</v>
      </c>
      <c r="M4618" s="1">
        <f t="shared" si="651"/>
        <v>70.75</v>
      </c>
      <c r="N4618" s="1">
        <f t="shared" si="652"/>
        <v>66.69</v>
      </c>
      <c r="O4618" s="1">
        <f t="shared" si="653"/>
        <v>67.820000000000007</v>
      </c>
      <c r="P4618" s="1">
        <f t="shared" si="654"/>
        <v>34.602040816326536</v>
      </c>
    </row>
    <row r="4619" spans="1:16">
      <c r="A4619" s="2">
        <v>36355</v>
      </c>
      <c r="B4619" s="1">
        <v>127.38</v>
      </c>
      <c r="C4619" s="1">
        <v>135</v>
      </c>
      <c r="D4619" s="1">
        <v>125.82</v>
      </c>
      <c r="E4619" s="1">
        <v>135</v>
      </c>
      <c r="F4619" s="1">
        <v>19403600</v>
      </c>
      <c r="G4619" s="1">
        <v>67.5</v>
      </c>
      <c r="H4619" s="1">
        <f t="shared" si="648"/>
        <v>9.1800000000000068</v>
      </c>
      <c r="I4619" s="9">
        <f t="shared" si="655"/>
        <v>7.2961373390557999E-2</v>
      </c>
      <c r="J4619" s="1">
        <f t="shared" si="656"/>
        <v>4.4399999999999977</v>
      </c>
      <c r="K4619" s="9">
        <f t="shared" si="649"/>
        <v>7.040913415794478E-2</v>
      </c>
      <c r="L4619" s="1">
        <f t="shared" si="650"/>
        <v>0.5</v>
      </c>
      <c r="M4619" s="1">
        <f t="shared" si="651"/>
        <v>67.5</v>
      </c>
      <c r="N4619" s="1">
        <f t="shared" si="652"/>
        <v>62.91</v>
      </c>
      <c r="O4619" s="1">
        <f t="shared" si="653"/>
        <v>65.540000000000006</v>
      </c>
      <c r="P4619" s="1">
        <f t="shared" si="654"/>
        <v>33.438775510204088</v>
      </c>
    </row>
    <row r="4620" spans="1:16">
      <c r="A4620" s="2">
        <v>36354</v>
      </c>
      <c r="B4620" s="1">
        <v>116.27</v>
      </c>
      <c r="C4620" s="1">
        <v>127.19</v>
      </c>
      <c r="D4620" s="1">
        <v>115.01</v>
      </c>
      <c r="E4620" s="1">
        <v>126.13</v>
      </c>
      <c r="F4620" s="1">
        <v>20453200</v>
      </c>
      <c r="G4620" s="1">
        <v>63.06</v>
      </c>
      <c r="H4620" s="1">
        <f t="shared" si="648"/>
        <v>12.179999999999993</v>
      </c>
      <c r="I4620" s="9">
        <f t="shared" si="655"/>
        <v>0.10590383444917827</v>
      </c>
      <c r="J4620" s="1">
        <f t="shared" si="656"/>
        <v>4.3700000000000045</v>
      </c>
      <c r="K4620" s="9">
        <f t="shared" si="649"/>
        <v>7.4459021979894444E-2</v>
      </c>
      <c r="L4620" s="1">
        <f t="shared" si="650"/>
        <v>0.4999603583604218</v>
      </c>
      <c r="M4620" s="1">
        <f t="shared" si="651"/>
        <v>63.589957979862049</v>
      </c>
      <c r="N4620" s="1">
        <f t="shared" si="652"/>
        <v>57.500440815032114</v>
      </c>
      <c r="O4620" s="1">
        <f t="shared" si="653"/>
        <v>61.1</v>
      </c>
      <c r="P4620" s="1">
        <f t="shared" si="654"/>
        <v>31.173469387755102</v>
      </c>
    </row>
    <row r="4621" spans="1:16">
      <c r="A4621" s="2">
        <v>36353</v>
      </c>
      <c r="B4621" s="1">
        <v>125</v>
      </c>
      <c r="C4621" s="1">
        <v>125.5</v>
      </c>
      <c r="D4621" s="1">
        <v>116</v>
      </c>
      <c r="E4621" s="1">
        <v>117.38</v>
      </c>
      <c r="F4621" s="1">
        <v>10653200</v>
      </c>
      <c r="G4621" s="1">
        <v>58.69</v>
      </c>
      <c r="H4621" s="1">
        <f t="shared" si="648"/>
        <v>9.5</v>
      </c>
      <c r="I4621" s="9">
        <f t="shared" si="655"/>
        <v>8.1896551724137928E-2</v>
      </c>
      <c r="J4621" s="1">
        <f t="shared" si="656"/>
        <v>-4.0600000000000023</v>
      </c>
      <c r="K4621" s="9">
        <f t="shared" si="649"/>
        <v>-6.4701195219123542E-2</v>
      </c>
      <c r="L4621" s="1">
        <f t="shared" si="650"/>
        <v>0.5</v>
      </c>
      <c r="M4621" s="1">
        <f t="shared" si="651"/>
        <v>62.75</v>
      </c>
      <c r="N4621" s="1">
        <f t="shared" si="652"/>
        <v>58</v>
      </c>
      <c r="O4621" s="1">
        <f t="shared" si="653"/>
        <v>56.73</v>
      </c>
      <c r="P4621" s="1">
        <f t="shared" si="654"/>
        <v>28.943877551020407</v>
      </c>
    </row>
    <row r="4622" spans="1:16">
      <c r="A4622" s="2">
        <v>36350</v>
      </c>
      <c r="B4622" s="1">
        <v>126.12</v>
      </c>
      <c r="C4622" s="1">
        <v>127.76</v>
      </c>
      <c r="D4622" s="1">
        <v>124.06</v>
      </c>
      <c r="E4622" s="1">
        <v>125.5</v>
      </c>
      <c r="F4622" s="1">
        <v>5581800</v>
      </c>
      <c r="G4622" s="1">
        <v>62.75</v>
      </c>
      <c r="H4622" s="1">
        <f t="shared" si="648"/>
        <v>3.7000000000000028</v>
      </c>
      <c r="I4622" s="9">
        <f t="shared" si="655"/>
        <v>2.9824278574883144E-2</v>
      </c>
      <c r="J4622" s="1">
        <f t="shared" si="656"/>
        <v>6.0000000000002274E-2</v>
      </c>
      <c r="K4622" s="9">
        <f t="shared" si="649"/>
        <v>9.5709044504709321E-4</v>
      </c>
      <c r="L4622" s="1">
        <f t="shared" si="650"/>
        <v>0.5</v>
      </c>
      <c r="M4622" s="1">
        <f t="shared" si="651"/>
        <v>63.88</v>
      </c>
      <c r="N4622" s="1">
        <f t="shared" si="652"/>
        <v>62.03</v>
      </c>
      <c r="O4622" s="1">
        <f t="shared" si="653"/>
        <v>60.79</v>
      </c>
      <c r="P4622" s="1">
        <f t="shared" si="654"/>
        <v>31.01530612244898</v>
      </c>
    </row>
    <row r="4623" spans="1:16">
      <c r="A4623" s="2">
        <v>36349</v>
      </c>
      <c r="B4623" s="1">
        <v>125.62</v>
      </c>
      <c r="C4623" s="1">
        <v>127.5</v>
      </c>
      <c r="D4623" s="1">
        <v>121.32</v>
      </c>
      <c r="E4623" s="1">
        <v>125.38</v>
      </c>
      <c r="F4623" s="1">
        <v>10624400</v>
      </c>
      <c r="G4623" s="1">
        <v>62.69</v>
      </c>
      <c r="H4623" s="1">
        <f t="shared" si="648"/>
        <v>6.1800000000000068</v>
      </c>
      <c r="I4623" s="9">
        <f t="shared" si="655"/>
        <v>5.0939663699307677E-2</v>
      </c>
      <c r="J4623" s="1">
        <f t="shared" si="656"/>
        <v>1.75</v>
      </c>
      <c r="K4623" s="9">
        <f t="shared" si="649"/>
        <v>2.8716770594026914E-2</v>
      </c>
      <c r="L4623" s="1">
        <f t="shared" si="650"/>
        <v>0.5</v>
      </c>
      <c r="M4623" s="1">
        <f t="shared" si="651"/>
        <v>63.75</v>
      </c>
      <c r="N4623" s="1">
        <f t="shared" si="652"/>
        <v>60.66</v>
      </c>
      <c r="O4623" s="1">
        <f t="shared" si="653"/>
        <v>60.73</v>
      </c>
      <c r="P4623" s="1">
        <f t="shared" si="654"/>
        <v>30.98469387755102</v>
      </c>
    </row>
    <row r="4624" spans="1:16">
      <c r="A4624" s="2">
        <v>36348</v>
      </c>
      <c r="B4624" s="1">
        <v>126.12</v>
      </c>
      <c r="C4624" s="1">
        <v>127.5</v>
      </c>
      <c r="D4624" s="1">
        <v>120</v>
      </c>
      <c r="E4624" s="1">
        <v>121.88</v>
      </c>
      <c r="F4624" s="1">
        <v>9988000</v>
      </c>
      <c r="G4624" s="1">
        <v>60.94</v>
      </c>
      <c r="H4624" s="1">
        <f t="shared" si="648"/>
        <v>7.5</v>
      </c>
      <c r="I4624" s="9">
        <f t="shared" si="655"/>
        <v>6.25E-2</v>
      </c>
      <c r="J4624" s="1">
        <f t="shared" si="656"/>
        <v>-2.5</v>
      </c>
      <c r="K4624" s="9">
        <f t="shared" si="649"/>
        <v>-3.9407313997477933E-2</v>
      </c>
      <c r="L4624" s="1">
        <f t="shared" si="650"/>
        <v>0.5</v>
      </c>
      <c r="M4624" s="1">
        <f t="shared" si="651"/>
        <v>63.75</v>
      </c>
      <c r="N4624" s="1">
        <f t="shared" si="652"/>
        <v>60</v>
      </c>
      <c r="O4624" s="1">
        <f t="shared" si="653"/>
        <v>58.98</v>
      </c>
      <c r="P4624" s="1">
        <f t="shared" si="654"/>
        <v>30.091836734693878</v>
      </c>
    </row>
    <row r="4625" spans="1:16">
      <c r="A4625" s="2">
        <v>36347</v>
      </c>
      <c r="B4625" s="1">
        <v>128</v>
      </c>
      <c r="C4625" s="1">
        <v>133.32</v>
      </c>
      <c r="D4625" s="1">
        <v>125.5</v>
      </c>
      <c r="E4625" s="1">
        <v>126.88</v>
      </c>
      <c r="F4625" s="1">
        <v>14886200</v>
      </c>
      <c r="G4625" s="1">
        <v>63.44</v>
      </c>
      <c r="H4625" s="1">
        <f t="shared" si="648"/>
        <v>7.8199999999999932</v>
      </c>
      <c r="I4625" s="9">
        <f t="shared" si="655"/>
        <v>6.2310756972111497E-2</v>
      </c>
      <c r="J4625" s="1">
        <f t="shared" si="656"/>
        <v>1.4099999999999966</v>
      </c>
      <c r="K4625" s="9">
        <f t="shared" si="649"/>
        <v>2.2730936643559511E-2</v>
      </c>
      <c r="L4625" s="1">
        <f t="shared" si="650"/>
        <v>0.5</v>
      </c>
      <c r="M4625" s="1">
        <f t="shared" si="651"/>
        <v>66.66</v>
      </c>
      <c r="N4625" s="1">
        <f t="shared" si="652"/>
        <v>62.75</v>
      </c>
      <c r="O4625" s="1">
        <f t="shared" si="653"/>
        <v>61.48</v>
      </c>
      <c r="P4625" s="1">
        <f t="shared" si="654"/>
        <v>31.367346938775508</v>
      </c>
    </row>
    <row r="4626" spans="1:16">
      <c r="A4626" s="2">
        <v>36343</v>
      </c>
      <c r="B4626" s="1">
        <v>123.26</v>
      </c>
      <c r="C4626" s="1">
        <v>126</v>
      </c>
      <c r="D4626" s="1">
        <v>120.76</v>
      </c>
      <c r="E4626" s="1">
        <v>124.06</v>
      </c>
      <c r="F4626" s="1">
        <v>7208400</v>
      </c>
      <c r="G4626" s="1">
        <v>62.03</v>
      </c>
      <c r="H4626" s="1">
        <f t="shared" si="648"/>
        <v>5.2399999999999949</v>
      </c>
      <c r="I4626" s="9">
        <f t="shared" si="655"/>
        <v>4.3391851606492171E-2</v>
      </c>
      <c r="J4626" s="1">
        <f t="shared" si="656"/>
        <v>0.84000000000000341</v>
      </c>
      <c r="K4626" s="9">
        <f t="shared" si="649"/>
        <v>1.3727733289753285E-2</v>
      </c>
      <c r="L4626" s="1">
        <f t="shared" si="650"/>
        <v>0.5</v>
      </c>
      <c r="M4626" s="1">
        <f t="shared" si="651"/>
        <v>63</v>
      </c>
      <c r="N4626" s="1">
        <f t="shared" si="652"/>
        <v>60.38</v>
      </c>
      <c r="O4626" s="1">
        <f t="shared" si="653"/>
        <v>60.07</v>
      </c>
      <c r="P4626" s="1">
        <f t="shared" si="654"/>
        <v>30.647959183673471</v>
      </c>
    </row>
    <row r="4627" spans="1:16">
      <c r="A4627" s="2">
        <v>36342</v>
      </c>
      <c r="B4627" s="1">
        <v>125.26</v>
      </c>
      <c r="C4627" s="1">
        <v>126.5</v>
      </c>
      <c r="D4627" s="1">
        <v>118</v>
      </c>
      <c r="E4627" s="1">
        <v>122.38</v>
      </c>
      <c r="F4627" s="1">
        <v>14382800</v>
      </c>
      <c r="G4627" s="1">
        <v>61.19</v>
      </c>
      <c r="H4627" s="1">
        <f t="shared" si="648"/>
        <v>8.5</v>
      </c>
      <c r="I4627" s="9">
        <f t="shared" si="655"/>
        <v>7.2033898305084748E-2</v>
      </c>
      <c r="J4627" s="1">
        <f t="shared" si="656"/>
        <v>-1.3700000000000045</v>
      </c>
      <c r="K4627" s="9">
        <f t="shared" si="649"/>
        <v>-2.1898976982097258E-2</v>
      </c>
      <c r="L4627" s="1">
        <f t="shared" si="650"/>
        <v>0.5</v>
      </c>
      <c r="M4627" s="1">
        <f t="shared" si="651"/>
        <v>63.25</v>
      </c>
      <c r="N4627" s="1">
        <f t="shared" si="652"/>
        <v>59</v>
      </c>
      <c r="O4627" s="1">
        <f t="shared" si="653"/>
        <v>59.23</v>
      </c>
      <c r="P4627" s="1">
        <f t="shared" si="654"/>
        <v>30.219387755102041</v>
      </c>
    </row>
    <row r="4628" spans="1:16">
      <c r="A4628" s="2">
        <v>36341</v>
      </c>
      <c r="B4628" s="1">
        <v>116.51</v>
      </c>
      <c r="C4628" s="1">
        <v>129.27000000000001</v>
      </c>
      <c r="D4628" s="1">
        <v>115.01</v>
      </c>
      <c r="E4628" s="1">
        <v>125.13</v>
      </c>
      <c r="F4628" s="1">
        <v>16906200</v>
      </c>
      <c r="G4628" s="1">
        <v>62.56</v>
      </c>
      <c r="H4628" s="1">
        <f t="shared" si="648"/>
        <v>14.260000000000005</v>
      </c>
      <c r="I4628" s="9">
        <f t="shared" si="655"/>
        <v>0.12398921832884101</v>
      </c>
      <c r="J4628" s="1">
        <f t="shared" si="656"/>
        <v>4.5300000000000011</v>
      </c>
      <c r="K4628" s="9">
        <f t="shared" si="649"/>
        <v>7.8063070825435135E-2</v>
      </c>
      <c r="L4628" s="1">
        <f t="shared" si="650"/>
        <v>0.49996004155678098</v>
      </c>
      <c r="M4628" s="1">
        <f t="shared" si="651"/>
        <v>64.629834572045084</v>
      </c>
      <c r="N4628" s="1">
        <f t="shared" si="652"/>
        <v>57.500404379445385</v>
      </c>
      <c r="O4628" s="1">
        <f t="shared" si="653"/>
        <v>60.6</v>
      </c>
      <c r="P4628" s="1">
        <f t="shared" si="654"/>
        <v>30.918367346938776</v>
      </c>
    </row>
    <row r="4629" spans="1:16">
      <c r="A4629" s="2">
        <v>36340</v>
      </c>
      <c r="B4629" s="1">
        <v>110.26</v>
      </c>
      <c r="C4629" s="1">
        <v>118.26</v>
      </c>
      <c r="D4629" s="1">
        <v>108.76</v>
      </c>
      <c r="E4629" s="1">
        <v>116.06</v>
      </c>
      <c r="F4629" s="1">
        <v>15648000</v>
      </c>
      <c r="G4629" s="1">
        <v>58.03</v>
      </c>
      <c r="H4629" s="1">
        <f t="shared" si="648"/>
        <v>9.5</v>
      </c>
      <c r="I4629" s="9">
        <f t="shared" si="655"/>
        <v>8.7348289812431035E-2</v>
      </c>
      <c r="J4629" s="1">
        <f t="shared" si="656"/>
        <v>2.6899999999999977</v>
      </c>
      <c r="K4629" s="9">
        <f t="shared" si="649"/>
        <v>4.8608601373328474E-2</v>
      </c>
      <c r="L4629" s="1">
        <f t="shared" si="650"/>
        <v>0.5</v>
      </c>
      <c r="M4629" s="1">
        <f t="shared" si="651"/>
        <v>59.13</v>
      </c>
      <c r="N4629" s="1">
        <f t="shared" si="652"/>
        <v>54.38</v>
      </c>
      <c r="O4629" s="1">
        <f t="shared" si="653"/>
        <v>56.07</v>
      </c>
      <c r="P4629" s="1">
        <f t="shared" si="654"/>
        <v>28.607142857142858</v>
      </c>
    </row>
    <row r="4630" spans="1:16">
      <c r="A4630" s="2">
        <v>36339</v>
      </c>
      <c r="B4630" s="1">
        <v>111.01</v>
      </c>
      <c r="C4630" s="1">
        <v>111.89</v>
      </c>
      <c r="D4630" s="1">
        <v>102.45</v>
      </c>
      <c r="E4630" s="1">
        <v>110.69</v>
      </c>
      <c r="F4630" s="1">
        <v>16871800</v>
      </c>
      <c r="G4630" s="1">
        <v>55.34</v>
      </c>
      <c r="H4630" s="1">
        <f t="shared" si="648"/>
        <v>9.4399999999999977</v>
      </c>
      <c r="I4630" s="9">
        <f t="shared" si="655"/>
        <v>9.2142508540751566E-2</v>
      </c>
      <c r="J4630" s="1">
        <f t="shared" si="656"/>
        <v>0.25</v>
      </c>
      <c r="K4630" s="9">
        <f t="shared" si="649"/>
        <v>4.5380286803412594E-3</v>
      </c>
      <c r="L4630" s="1">
        <f t="shared" si="650"/>
        <v>0.49995482880115644</v>
      </c>
      <c r="M4630" s="1">
        <f t="shared" si="651"/>
        <v>55.939945794561396</v>
      </c>
      <c r="N4630" s="1">
        <f t="shared" si="652"/>
        <v>51.220372210678477</v>
      </c>
      <c r="O4630" s="1">
        <f t="shared" si="653"/>
        <v>53.38</v>
      </c>
      <c r="P4630" s="1">
        <f t="shared" si="654"/>
        <v>27.234693877551024</v>
      </c>
    </row>
    <row r="4631" spans="1:16">
      <c r="A4631" s="2">
        <v>36336</v>
      </c>
      <c r="B4631" s="1">
        <v>116.45</v>
      </c>
      <c r="C4631" s="1">
        <v>117.51</v>
      </c>
      <c r="D4631" s="1">
        <v>108.13</v>
      </c>
      <c r="E4631" s="1">
        <v>110.19</v>
      </c>
      <c r="F4631" s="1">
        <v>9751800</v>
      </c>
      <c r="G4631" s="1">
        <v>55.09</v>
      </c>
      <c r="H4631" s="1">
        <f t="shared" si="648"/>
        <v>9.3800000000000097</v>
      </c>
      <c r="I4631" s="9">
        <f t="shared" si="655"/>
        <v>8.6747433644687039E-2</v>
      </c>
      <c r="J4631" s="1">
        <f t="shared" si="656"/>
        <v>-1.7199999999999989</v>
      </c>
      <c r="K4631" s="9">
        <f t="shared" si="649"/>
        <v>-3.0276359795810576E-2</v>
      </c>
      <c r="L4631" s="1">
        <f t="shared" si="650"/>
        <v>0.49995462383156369</v>
      </c>
      <c r="M4631" s="1">
        <f t="shared" si="651"/>
        <v>58.749667846447053</v>
      </c>
      <c r="N4631" s="1">
        <f t="shared" si="652"/>
        <v>54.060093474906978</v>
      </c>
      <c r="O4631" s="1">
        <f t="shared" si="653"/>
        <v>53.13</v>
      </c>
      <c r="P4631" s="1">
        <f t="shared" si="654"/>
        <v>27.107142857142858</v>
      </c>
    </row>
    <row r="4632" spans="1:16">
      <c r="A4632" s="2">
        <v>36335</v>
      </c>
      <c r="B4632" s="1">
        <v>118.13</v>
      </c>
      <c r="C4632" s="1">
        <v>118.83</v>
      </c>
      <c r="D4632" s="1">
        <v>113.01</v>
      </c>
      <c r="E4632" s="1">
        <v>113.63</v>
      </c>
      <c r="F4632" s="1">
        <v>8355200</v>
      </c>
      <c r="G4632" s="1">
        <v>56.81</v>
      </c>
      <c r="H4632" s="1">
        <f t="shared" si="648"/>
        <v>5.8199999999999932</v>
      </c>
      <c r="I4632" s="9">
        <f t="shared" si="655"/>
        <v>5.1499867268383265E-2</v>
      </c>
      <c r="J4632" s="1">
        <f t="shared" si="656"/>
        <v>-2.0700000000000003</v>
      </c>
      <c r="K4632" s="9">
        <f t="shared" si="649"/>
        <v>-3.515625E-2</v>
      </c>
      <c r="L4632" s="1">
        <f t="shared" si="650"/>
        <v>0.49995599753586206</v>
      </c>
      <c r="M4632" s="1">
        <f t="shared" si="651"/>
        <v>59.409771187186486</v>
      </c>
      <c r="N4632" s="1">
        <f t="shared" si="652"/>
        <v>56.500027281527771</v>
      </c>
      <c r="O4632" s="1">
        <f t="shared" si="653"/>
        <v>54.85</v>
      </c>
      <c r="P4632" s="1">
        <f t="shared" si="654"/>
        <v>27.98469387755102</v>
      </c>
    </row>
    <row r="4633" spans="1:16">
      <c r="A4633" s="2">
        <v>36334</v>
      </c>
      <c r="B4633" s="1">
        <v>115.55</v>
      </c>
      <c r="C4633" s="1">
        <v>121.31</v>
      </c>
      <c r="D4633" s="1">
        <v>112.11</v>
      </c>
      <c r="E4633" s="1">
        <v>117.75</v>
      </c>
      <c r="F4633" s="1">
        <v>16429800</v>
      </c>
      <c r="G4633" s="1">
        <v>58.88</v>
      </c>
      <c r="H4633" s="1">
        <f t="shared" si="648"/>
        <v>9.2000000000000028</v>
      </c>
      <c r="I4633" s="9">
        <f t="shared" si="655"/>
        <v>8.2062260280082094E-2</v>
      </c>
      <c r="J4633" s="1">
        <f t="shared" si="656"/>
        <v>0.13000000000000256</v>
      </c>
      <c r="K4633" s="9">
        <f t="shared" si="649"/>
        <v>2.2127659574468521E-3</v>
      </c>
      <c r="L4633" s="1">
        <f t="shared" si="650"/>
        <v>0.50004246284501064</v>
      </c>
      <c r="M4633" s="1">
        <f t="shared" si="651"/>
        <v>60.660151167728245</v>
      </c>
      <c r="N4633" s="1">
        <f t="shared" si="652"/>
        <v>56.059760509554145</v>
      </c>
      <c r="O4633" s="1">
        <f t="shared" si="653"/>
        <v>56.92</v>
      </c>
      <c r="P4633" s="1">
        <f t="shared" si="654"/>
        <v>29.040816326530614</v>
      </c>
    </row>
    <row r="4634" spans="1:16">
      <c r="A4634" s="2">
        <v>36333</v>
      </c>
      <c r="B4634" s="1">
        <v>123.18</v>
      </c>
      <c r="C4634" s="1">
        <v>129.5</v>
      </c>
      <c r="D4634" s="1">
        <v>116.5</v>
      </c>
      <c r="E4634" s="1">
        <v>117.5</v>
      </c>
      <c r="F4634" s="1">
        <v>16729400</v>
      </c>
      <c r="G4634" s="1">
        <v>58.75</v>
      </c>
      <c r="H4634" s="1">
        <f t="shared" si="648"/>
        <v>13</v>
      </c>
      <c r="I4634" s="9">
        <f t="shared" si="655"/>
        <v>0.11158798283261803</v>
      </c>
      <c r="J4634" s="1">
        <f t="shared" si="656"/>
        <v>-3</v>
      </c>
      <c r="K4634" s="9">
        <f t="shared" si="649"/>
        <v>-4.8582995951417005E-2</v>
      </c>
      <c r="L4634" s="1">
        <f t="shared" si="650"/>
        <v>0.5</v>
      </c>
      <c r="M4634" s="1">
        <f t="shared" si="651"/>
        <v>64.75</v>
      </c>
      <c r="N4634" s="1">
        <f t="shared" si="652"/>
        <v>58.25</v>
      </c>
      <c r="O4634" s="1">
        <f t="shared" si="653"/>
        <v>56.79</v>
      </c>
      <c r="P4634" s="1">
        <f t="shared" si="654"/>
        <v>28.974489795918366</v>
      </c>
    </row>
    <row r="4635" spans="1:16">
      <c r="A4635" s="2">
        <v>36332</v>
      </c>
      <c r="B4635" s="1">
        <v>113.56</v>
      </c>
      <c r="C4635" s="1">
        <v>123.56</v>
      </c>
      <c r="D4635" s="1">
        <v>111.76</v>
      </c>
      <c r="E4635" s="1">
        <v>123.5</v>
      </c>
      <c r="F4635" s="1">
        <v>16227200</v>
      </c>
      <c r="G4635" s="1">
        <v>61.75</v>
      </c>
      <c r="H4635" s="1">
        <f t="shared" si="648"/>
        <v>11.799999999999997</v>
      </c>
      <c r="I4635" s="9">
        <f t="shared" si="655"/>
        <v>0.10558339298496776</v>
      </c>
      <c r="J4635" s="1">
        <f t="shared" si="656"/>
        <v>6.0900000000000034</v>
      </c>
      <c r="K4635" s="9">
        <f t="shared" si="649"/>
        <v>0.10941430111390593</v>
      </c>
      <c r="L4635" s="1">
        <f t="shared" si="650"/>
        <v>0.5</v>
      </c>
      <c r="M4635" s="1">
        <f t="shared" si="651"/>
        <v>61.78</v>
      </c>
      <c r="N4635" s="1">
        <f t="shared" si="652"/>
        <v>55.88</v>
      </c>
      <c r="O4635" s="1">
        <f t="shared" si="653"/>
        <v>59.79</v>
      </c>
      <c r="P4635" s="1">
        <f t="shared" si="654"/>
        <v>30.505102040816325</v>
      </c>
    </row>
    <row r="4636" spans="1:16">
      <c r="A4636" s="2">
        <v>36329</v>
      </c>
      <c r="B4636" s="1">
        <v>111.93</v>
      </c>
      <c r="C4636" s="1">
        <v>114.49</v>
      </c>
      <c r="D4636" s="1">
        <v>109.49</v>
      </c>
      <c r="E4636" s="1">
        <v>111.31</v>
      </c>
      <c r="F4636" s="1">
        <v>7972000</v>
      </c>
      <c r="G4636" s="1">
        <v>55.66</v>
      </c>
      <c r="H4636" s="1">
        <f t="shared" si="648"/>
        <v>5</v>
      </c>
      <c r="I4636" s="9">
        <f t="shared" si="655"/>
        <v>4.5666270892318936E-2</v>
      </c>
      <c r="J4636" s="1">
        <f t="shared" si="656"/>
        <v>-0.81000000000000227</v>
      </c>
      <c r="K4636" s="9">
        <f t="shared" si="649"/>
        <v>-1.4343899415618953E-2</v>
      </c>
      <c r="L4636" s="1">
        <f t="shared" si="650"/>
        <v>0.50004491959392683</v>
      </c>
      <c r="M4636" s="1">
        <f t="shared" si="651"/>
        <v>57.250142844308677</v>
      </c>
      <c r="N4636" s="1">
        <f t="shared" si="652"/>
        <v>54.749918246339043</v>
      </c>
      <c r="O4636" s="1">
        <f t="shared" si="653"/>
        <v>53.699999999999996</v>
      </c>
      <c r="P4636" s="1">
        <f t="shared" si="654"/>
        <v>27.397959183673468</v>
      </c>
    </row>
    <row r="4637" spans="1:16">
      <c r="A4637" s="2">
        <v>36328</v>
      </c>
      <c r="B4637" s="1">
        <v>111.62</v>
      </c>
      <c r="C4637" s="1">
        <v>119.12</v>
      </c>
      <c r="D4637" s="1">
        <v>109.62</v>
      </c>
      <c r="E4637" s="1">
        <v>112.94</v>
      </c>
      <c r="F4637" s="1">
        <v>19041400</v>
      </c>
      <c r="G4637" s="1">
        <v>56.47</v>
      </c>
      <c r="H4637" s="1">
        <f t="shared" si="648"/>
        <v>9.5</v>
      </c>
      <c r="I4637" s="9">
        <f t="shared" si="655"/>
        <v>8.6663017697500455E-2</v>
      </c>
      <c r="J4637" s="1">
        <f t="shared" si="656"/>
        <v>0.62999999999999545</v>
      </c>
      <c r="K4637" s="9">
        <f t="shared" si="649"/>
        <v>1.1282234957019976E-2</v>
      </c>
      <c r="L4637" s="1">
        <f t="shared" si="650"/>
        <v>0.5</v>
      </c>
      <c r="M4637" s="1">
        <f t="shared" si="651"/>
        <v>59.56</v>
      </c>
      <c r="N4637" s="1">
        <f t="shared" si="652"/>
        <v>54.81</v>
      </c>
      <c r="O4637" s="1">
        <f t="shared" si="653"/>
        <v>54.51</v>
      </c>
      <c r="P4637" s="1">
        <f t="shared" si="654"/>
        <v>27.811224489795919</v>
      </c>
    </row>
    <row r="4638" spans="1:16">
      <c r="A4638" s="2">
        <v>36327</v>
      </c>
      <c r="B4638" s="1">
        <v>101.33</v>
      </c>
      <c r="C4638" s="1">
        <v>113.01</v>
      </c>
      <c r="D4638" s="1">
        <v>101.01</v>
      </c>
      <c r="E4638" s="1">
        <v>111.69</v>
      </c>
      <c r="F4638" s="1">
        <v>21707200</v>
      </c>
      <c r="G4638" s="1">
        <v>55.84</v>
      </c>
      <c r="H4638" s="1">
        <f t="shared" si="648"/>
        <v>12</v>
      </c>
      <c r="I4638" s="9">
        <f t="shared" si="655"/>
        <v>0.1188001188001188</v>
      </c>
      <c r="J4638" s="1">
        <f t="shared" si="656"/>
        <v>7.5900000000000034</v>
      </c>
      <c r="K4638" s="9">
        <f t="shared" si="649"/>
        <v>0.15730569948186535</v>
      </c>
      <c r="L4638" s="1">
        <f t="shared" si="650"/>
        <v>0.49995523323484647</v>
      </c>
      <c r="M4638" s="1">
        <f t="shared" si="651"/>
        <v>56.499940907870005</v>
      </c>
      <c r="N4638" s="1">
        <f t="shared" si="652"/>
        <v>50.500478109051848</v>
      </c>
      <c r="O4638" s="1">
        <f t="shared" si="653"/>
        <v>53.88</v>
      </c>
      <c r="P4638" s="1">
        <f t="shared" si="654"/>
        <v>27.489795918367349</v>
      </c>
    </row>
    <row r="4639" spans="1:16">
      <c r="A4639" s="2">
        <v>36326</v>
      </c>
      <c r="B4639" s="1">
        <v>92.26</v>
      </c>
      <c r="C4639" s="1">
        <v>99.76</v>
      </c>
      <c r="D4639" s="1">
        <v>90.62</v>
      </c>
      <c r="E4639" s="1">
        <v>96.5</v>
      </c>
      <c r="F4639" s="1">
        <v>18309400</v>
      </c>
      <c r="G4639" s="1">
        <v>48.25</v>
      </c>
      <c r="H4639" s="1">
        <f t="shared" si="648"/>
        <v>9.14</v>
      </c>
      <c r="I4639" s="9">
        <f t="shared" si="655"/>
        <v>0.10086073714411829</v>
      </c>
      <c r="J4639" s="1">
        <f t="shared" si="656"/>
        <v>2.25</v>
      </c>
      <c r="K4639" s="9">
        <f t="shared" si="649"/>
        <v>4.8913043478260872E-2</v>
      </c>
      <c r="L4639" s="1">
        <f t="shared" si="650"/>
        <v>0.5</v>
      </c>
      <c r="M4639" s="1">
        <f t="shared" si="651"/>
        <v>49.88</v>
      </c>
      <c r="N4639" s="1">
        <f t="shared" si="652"/>
        <v>45.31</v>
      </c>
      <c r="O4639" s="1">
        <f t="shared" si="653"/>
        <v>46.29</v>
      </c>
      <c r="P4639" s="1">
        <f t="shared" si="654"/>
        <v>23.617346938775512</v>
      </c>
    </row>
    <row r="4640" spans="1:16">
      <c r="A4640" s="2">
        <v>36325</v>
      </c>
      <c r="B4640" s="1">
        <v>103.94</v>
      </c>
      <c r="C4640" s="1">
        <v>104.5</v>
      </c>
      <c r="D4640" s="1">
        <v>89.76</v>
      </c>
      <c r="E4640" s="1">
        <v>92</v>
      </c>
      <c r="F4640" s="1">
        <v>20764600</v>
      </c>
      <c r="G4640" s="1">
        <v>46</v>
      </c>
      <c r="H4640" s="1">
        <f t="shared" si="648"/>
        <v>14.739999999999995</v>
      </c>
      <c r="I4640" s="9">
        <f t="shared" si="655"/>
        <v>0.16421568627450975</v>
      </c>
      <c r="J4640" s="1">
        <f t="shared" si="656"/>
        <v>-6.9099999999999966</v>
      </c>
      <c r="K4640" s="9">
        <f t="shared" si="649"/>
        <v>-0.13059913059913053</v>
      </c>
      <c r="L4640" s="1">
        <f t="shared" si="650"/>
        <v>0.5</v>
      </c>
      <c r="M4640" s="1">
        <f t="shared" si="651"/>
        <v>52.25</v>
      </c>
      <c r="N4640" s="1">
        <f t="shared" si="652"/>
        <v>44.88</v>
      </c>
      <c r="O4640" s="1">
        <f t="shared" si="653"/>
        <v>44.04</v>
      </c>
      <c r="P4640" s="1">
        <f t="shared" si="654"/>
        <v>22.469387755102041</v>
      </c>
    </row>
    <row r="4641" spans="1:16">
      <c r="A4641" s="2">
        <v>36322</v>
      </c>
      <c r="B4641" s="1">
        <v>115.11</v>
      </c>
      <c r="C4641" s="1">
        <v>116.99</v>
      </c>
      <c r="D4641" s="1">
        <v>104.75</v>
      </c>
      <c r="E4641" s="1">
        <v>105.81</v>
      </c>
      <c r="F4641" s="1">
        <v>13886600</v>
      </c>
      <c r="G4641" s="1">
        <v>52.91</v>
      </c>
      <c r="H4641" s="1">
        <f t="shared" si="648"/>
        <v>12.239999999999995</v>
      </c>
      <c r="I4641" s="9">
        <f t="shared" si="655"/>
        <v>0.11684964200477323</v>
      </c>
      <c r="J4641" s="1">
        <f t="shared" si="656"/>
        <v>-5.0600000000000023</v>
      </c>
      <c r="K4641" s="9">
        <f t="shared" si="649"/>
        <v>-8.7286527514231535E-2</v>
      </c>
      <c r="L4641" s="1">
        <f t="shared" si="650"/>
        <v>0.50004725451280596</v>
      </c>
      <c r="M4641" s="1">
        <f t="shared" si="651"/>
        <v>58.500528305453166</v>
      </c>
      <c r="N4641" s="1">
        <f t="shared" si="652"/>
        <v>52.379949910216425</v>
      </c>
      <c r="O4641" s="1">
        <f t="shared" si="653"/>
        <v>50.949999999999996</v>
      </c>
      <c r="P4641" s="1">
        <f t="shared" si="654"/>
        <v>25.994897959183671</v>
      </c>
    </row>
    <row r="4642" spans="1:16">
      <c r="A4642" s="2">
        <v>36321</v>
      </c>
      <c r="B4642" s="1">
        <v>111.88</v>
      </c>
      <c r="C4642" s="1">
        <v>118.12</v>
      </c>
      <c r="D4642" s="1">
        <v>110.12</v>
      </c>
      <c r="E4642" s="1">
        <v>115.94</v>
      </c>
      <c r="F4642" s="1">
        <v>12710600</v>
      </c>
      <c r="G4642" s="1">
        <v>57.97</v>
      </c>
      <c r="H4642" s="1">
        <f t="shared" si="648"/>
        <v>8</v>
      </c>
      <c r="I4642" s="9">
        <f t="shared" si="655"/>
        <v>7.2648020341445699E-2</v>
      </c>
      <c r="J4642" s="1">
        <f t="shared" si="656"/>
        <v>0.96999999999999886</v>
      </c>
      <c r="K4642" s="9">
        <f t="shared" si="649"/>
        <v>1.7017543859649101E-2</v>
      </c>
      <c r="L4642" s="1">
        <f t="shared" si="650"/>
        <v>0.5</v>
      </c>
      <c r="M4642" s="1">
        <f t="shared" si="651"/>
        <v>59.06</v>
      </c>
      <c r="N4642" s="1">
        <f t="shared" si="652"/>
        <v>55.06</v>
      </c>
      <c r="O4642" s="1">
        <f t="shared" si="653"/>
        <v>56.01</v>
      </c>
      <c r="P4642" s="1">
        <f t="shared" si="654"/>
        <v>28.576530612244898</v>
      </c>
    </row>
    <row r="4643" spans="1:16">
      <c r="A4643" s="2">
        <v>36320</v>
      </c>
      <c r="B4643" s="1">
        <v>113.94</v>
      </c>
      <c r="C4643" s="1">
        <v>114.5</v>
      </c>
      <c r="D4643" s="1">
        <v>109.76</v>
      </c>
      <c r="E4643" s="1">
        <v>114</v>
      </c>
      <c r="F4643" s="1">
        <v>8904200</v>
      </c>
      <c r="G4643" s="1">
        <v>57</v>
      </c>
      <c r="H4643" s="1">
        <f t="shared" si="648"/>
        <v>4.7399999999999949</v>
      </c>
      <c r="I4643" s="9">
        <f t="shared" si="655"/>
        <v>4.3185131195335229E-2</v>
      </c>
      <c r="J4643" s="1">
        <f t="shared" si="656"/>
        <v>1.2199999999999989</v>
      </c>
      <c r="K4643" s="9">
        <f t="shared" si="649"/>
        <v>2.187163858013623E-2</v>
      </c>
      <c r="L4643" s="1">
        <f t="shared" si="650"/>
        <v>0.5</v>
      </c>
      <c r="M4643" s="1">
        <f t="shared" si="651"/>
        <v>57.25</v>
      </c>
      <c r="N4643" s="1">
        <f t="shared" si="652"/>
        <v>54.88</v>
      </c>
      <c r="O4643" s="1">
        <f t="shared" si="653"/>
        <v>55.04</v>
      </c>
      <c r="P4643" s="1">
        <f t="shared" si="654"/>
        <v>28.081632653061224</v>
      </c>
    </row>
    <row r="4644" spans="1:16">
      <c r="A4644" s="2">
        <v>36319</v>
      </c>
      <c r="B4644" s="1">
        <v>120</v>
      </c>
      <c r="C4644" s="1">
        <v>121.38</v>
      </c>
      <c r="D4644" s="1">
        <v>110.38</v>
      </c>
      <c r="E4644" s="1">
        <v>111.56</v>
      </c>
      <c r="F4644" s="1">
        <v>13844400</v>
      </c>
      <c r="G4644" s="1">
        <v>55.78</v>
      </c>
      <c r="H4644" s="1">
        <f t="shared" si="648"/>
        <v>11</v>
      </c>
      <c r="I4644" s="9">
        <f t="shared" si="655"/>
        <v>9.9655734734553358E-2</v>
      </c>
      <c r="J4644" s="1">
        <f t="shared" si="656"/>
        <v>-2.9099999999999966</v>
      </c>
      <c r="K4644" s="9">
        <f t="shared" si="649"/>
        <v>-4.9582552393934172E-2</v>
      </c>
      <c r="L4644" s="1">
        <f t="shared" si="650"/>
        <v>0.5</v>
      </c>
      <c r="M4644" s="1">
        <f t="shared" si="651"/>
        <v>60.69</v>
      </c>
      <c r="N4644" s="1">
        <f t="shared" si="652"/>
        <v>55.19</v>
      </c>
      <c r="O4644" s="1">
        <f t="shared" si="653"/>
        <v>53.82</v>
      </c>
      <c r="P4644" s="1">
        <f t="shared" si="654"/>
        <v>27.45918367346939</v>
      </c>
    </row>
    <row r="4645" spans="1:16">
      <c r="A4645" s="2">
        <v>36318</v>
      </c>
      <c r="B4645" s="1">
        <v>108.56</v>
      </c>
      <c r="C4645" s="1">
        <v>119.88</v>
      </c>
      <c r="D4645" s="1">
        <v>108</v>
      </c>
      <c r="E4645" s="1">
        <v>117.38</v>
      </c>
      <c r="F4645" s="1">
        <v>16901400</v>
      </c>
      <c r="G4645" s="1">
        <v>58.69</v>
      </c>
      <c r="H4645" s="1">
        <f t="shared" si="648"/>
        <v>11.879999999999995</v>
      </c>
      <c r="I4645" s="9">
        <f t="shared" si="655"/>
        <v>0.10999999999999996</v>
      </c>
      <c r="J4645" s="1">
        <f t="shared" si="656"/>
        <v>4.4699999999999989</v>
      </c>
      <c r="K4645" s="9">
        <f t="shared" si="649"/>
        <v>8.2441903356694921E-2</v>
      </c>
      <c r="L4645" s="1">
        <f t="shared" si="650"/>
        <v>0.5</v>
      </c>
      <c r="M4645" s="1">
        <f t="shared" si="651"/>
        <v>59.94</v>
      </c>
      <c r="N4645" s="1">
        <f t="shared" si="652"/>
        <v>54</v>
      </c>
      <c r="O4645" s="1">
        <f t="shared" si="653"/>
        <v>56.73</v>
      </c>
      <c r="P4645" s="1">
        <f t="shared" si="654"/>
        <v>28.943877551020407</v>
      </c>
    </row>
    <row r="4646" spans="1:16">
      <c r="A4646" s="2">
        <v>36315</v>
      </c>
      <c r="B4646" s="1">
        <v>105.62</v>
      </c>
      <c r="C4646" s="1">
        <v>110</v>
      </c>
      <c r="D4646" s="1">
        <v>101.62</v>
      </c>
      <c r="E4646" s="1">
        <v>108.44</v>
      </c>
      <c r="F4646" s="1">
        <v>19491800</v>
      </c>
      <c r="G4646" s="1">
        <v>54.22</v>
      </c>
      <c r="H4646" s="1">
        <f t="shared" si="648"/>
        <v>8.3799999999999955</v>
      </c>
      <c r="I4646" s="9">
        <f t="shared" si="655"/>
        <v>8.2464081873646872E-2</v>
      </c>
      <c r="J4646" s="1">
        <f t="shared" si="656"/>
        <v>1.6899999999999977</v>
      </c>
      <c r="K4646" s="9">
        <f t="shared" si="649"/>
        <v>3.2172092137825958E-2</v>
      </c>
      <c r="L4646" s="1">
        <f t="shared" si="650"/>
        <v>0.5</v>
      </c>
      <c r="M4646" s="1">
        <f t="shared" si="651"/>
        <v>55</v>
      </c>
      <c r="N4646" s="1">
        <f t="shared" si="652"/>
        <v>50.81</v>
      </c>
      <c r="O4646" s="1">
        <f t="shared" si="653"/>
        <v>52.26</v>
      </c>
      <c r="P4646" s="1">
        <f t="shared" si="654"/>
        <v>26.663265306122447</v>
      </c>
    </row>
    <row r="4647" spans="1:16">
      <c r="A4647" s="2">
        <v>36314</v>
      </c>
      <c r="B4647" s="1">
        <v>113.94</v>
      </c>
      <c r="C4647" s="1">
        <v>114.5</v>
      </c>
      <c r="D4647" s="1">
        <v>104.5</v>
      </c>
      <c r="E4647" s="1">
        <v>105.06</v>
      </c>
      <c r="F4647" s="1">
        <v>17311600</v>
      </c>
      <c r="G4647" s="1">
        <v>52.53</v>
      </c>
      <c r="H4647" s="1">
        <f t="shared" si="648"/>
        <v>10</v>
      </c>
      <c r="I4647" s="9">
        <f t="shared" si="655"/>
        <v>9.569377990430622E-2</v>
      </c>
      <c r="J4647" s="1">
        <f t="shared" si="656"/>
        <v>-3.5300000000000011</v>
      </c>
      <c r="K4647" s="9">
        <f t="shared" si="649"/>
        <v>-6.2968248305387109E-2</v>
      </c>
      <c r="L4647" s="1">
        <f t="shared" si="650"/>
        <v>0.5</v>
      </c>
      <c r="M4647" s="1">
        <f t="shared" si="651"/>
        <v>57.25</v>
      </c>
      <c r="N4647" s="1">
        <f t="shared" si="652"/>
        <v>52.25</v>
      </c>
      <c r="O4647" s="1">
        <f t="shared" si="653"/>
        <v>50.57</v>
      </c>
      <c r="P4647" s="1">
        <f t="shared" si="654"/>
        <v>25.801020408163264</v>
      </c>
    </row>
    <row r="4648" spans="1:16">
      <c r="A4648" s="2">
        <v>36313</v>
      </c>
      <c r="B4648" s="1">
        <v>104.77</v>
      </c>
      <c r="C4648" s="1">
        <v>115.01</v>
      </c>
      <c r="D4648" s="1">
        <v>97.13</v>
      </c>
      <c r="E4648" s="1">
        <v>112.13</v>
      </c>
      <c r="F4648" s="1">
        <v>36906400</v>
      </c>
      <c r="G4648" s="1">
        <v>56.06</v>
      </c>
      <c r="H4648" s="1">
        <f t="shared" si="648"/>
        <v>17.88000000000001</v>
      </c>
      <c r="I4648" s="9">
        <f t="shared" si="655"/>
        <v>0.18408318748069608</v>
      </c>
      <c r="J4648" s="1">
        <f t="shared" si="656"/>
        <v>3.1500000000000057</v>
      </c>
      <c r="K4648" s="9">
        <f t="shared" si="649"/>
        <v>5.9535059535059644E-2</v>
      </c>
      <c r="L4648" s="1">
        <f t="shared" si="650"/>
        <v>0.49995540890038354</v>
      </c>
      <c r="M4648" s="1">
        <f t="shared" si="651"/>
        <v>57.499871577633115</v>
      </c>
      <c r="N4648" s="1">
        <f t="shared" si="652"/>
        <v>48.560668866494254</v>
      </c>
      <c r="O4648" s="1">
        <f t="shared" si="653"/>
        <v>54.1</v>
      </c>
      <c r="P4648" s="1">
        <f t="shared" si="654"/>
        <v>27.602040816326532</v>
      </c>
    </row>
    <row r="4649" spans="1:16">
      <c r="A4649" s="2">
        <v>36312</v>
      </c>
      <c r="B4649" s="1">
        <v>111.49</v>
      </c>
      <c r="C4649" s="1">
        <v>113.49</v>
      </c>
      <c r="D4649" s="1">
        <v>104.97</v>
      </c>
      <c r="E4649" s="1">
        <v>105.81</v>
      </c>
      <c r="F4649" s="1">
        <v>20076400</v>
      </c>
      <c r="G4649" s="1">
        <v>52.91</v>
      </c>
      <c r="H4649" s="1">
        <f t="shared" si="648"/>
        <v>8.519999999999996</v>
      </c>
      <c r="I4649" s="9">
        <f t="shared" si="655"/>
        <v>8.1166047442126285E-2</v>
      </c>
      <c r="J4649" s="1">
        <f t="shared" si="656"/>
        <v>-6.470000000000006</v>
      </c>
      <c r="K4649" s="9">
        <f t="shared" si="649"/>
        <v>-0.10895924553721802</v>
      </c>
      <c r="L4649" s="1">
        <f t="shared" si="650"/>
        <v>0.50004725451280596</v>
      </c>
      <c r="M4649" s="1">
        <f t="shared" si="651"/>
        <v>56.750362914658346</v>
      </c>
      <c r="N4649" s="1">
        <f t="shared" si="652"/>
        <v>52.489960306209241</v>
      </c>
      <c r="O4649" s="1">
        <f t="shared" si="653"/>
        <v>50.949999999999996</v>
      </c>
      <c r="P4649" s="1">
        <f t="shared" si="654"/>
        <v>25.994897959183671</v>
      </c>
    </row>
    <row r="4650" spans="1:16">
      <c r="A4650" s="2">
        <v>36308</v>
      </c>
      <c r="B4650" s="1">
        <v>115.61</v>
      </c>
      <c r="C4650" s="1">
        <v>120.37</v>
      </c>
      <c r="D4650" s="1">
        <v>111.99</v>
      </c>
      <c r="E4650" s="1">
        <v>118.75</v>
      </c>
      <c r="F4650" s="1">
        <v>9680200</v>
      </c>
      <c r="G4650" s="1">
        <v>59.38</v>
      </c>
      <c r="H4650" s="1">
        <f t="shared" si="648"/>
        <v>8.3800000000000097</v>
      </c>
      <c r="I4650" s="9">
        <f t="shared" si="655"/>
        <v>7.4828109652647648E-2</v>
      </c>
      <c r="J4650" s="1">
        <f t="shared" si="656"/>
        <v>2.1000000000000014</v>
      </c>
      <c r="K4650" s="9">
        <f t="shared" si="649"/>
        <v>3.6662011173184385E-2</v>
      </c>
      <c r="L4650" s="1">
        <f t="shared" si="650"/>
        <v>0.50004210526315795</v>
      </c>
      <c r="M4650" s="1">
        <f t="shared" si="651"/>
        <v>60.190068210526327</v>
      </c>
      <c r="N4650" s="1">
        <f t="shared" si="652"/>
        <v>55.999715368421057</v>
      </c>
      <c r="O4650" s="1">
        <f t="shared" si="653"/>
        <v>57.42</v>
      </c>
      <c r="P4650" s="1">
        <f t="shared" si="654"/>
        <v>29.295918367346939</v>
      </c>
    </row>
    <row r="4651" spans="1:16">
      <c r="A4651" s="2">
        <v>36307</v>
      </c>
      <c r="B4651" s="1">
        <v>119.62</v>
      </c>
      <c r="C4651" s="1">
        <v>120.56</v>
      </c>
      <c r="D4651" s="1">
        <v>114</v>
      </c>
      <c r="E4651" s="1">
        <v>114.56</v>
      </c>
      <c r="F4651" s="1">
        <v>13573400</v>
      </c>
      <c r="G4651" s="1">
        <v>57.28</v>
      </c>
      <c r="H4651" s="1">
        <f t="shared" si="648"/>
        <v>6.5600000000000023</v>
      </c>
      <c r="I4651" s="9">
        <f t="shared" si="655"/>
        <v>5.7543859649122828E-2</v>
      </c>
      <c r="J4651" s="1">
        <f t="shared" si="656"/>
        <v>-3.1899999999999977</v>
      </c>
      <c r="K4651" s="9">
        <f t="shared" si="649"/>
        <v>-5.2753431453613324E-2</v>
      </c>
      <c r="L4651" s="1">
        <f t="shared" si="650"/>
        <v>0.5</v>
      </c>
      <c r="M4651" s="1">
        <f t="shared" si="651"/>
        <v>60.28</v>
      </c>
      <c r="N4651" s="1">
        <f t="shared" si="652"/>
        <v>57</v>
      </c>
      <c r="O4651" s="1">
        <f t="shared" si="653"/>
        <v>55.32</v>
      </c>
      <c r="P4651" s="1">
        <f t="shared" si="654"/>
        <v>28.22448979591837</v>
      </c>
    </row>
    <row r="4652" spans="1:16">
      <c r="A4652" s="2">
        <v>36306</v>
      </c>
      <c r="B4652" s="1">
        <v>113.18</v>
      </c>
      <c r="C4652" s="1">
        <v>121.88</v>
      </c>
      <c r="D4652" s="1">
        <v>104.5</v>
      </c>
      <c r="E4652" s="1">
        <v>120.94</v>
      </c>
      <c r="F4652" s="1">
        <v>21158600</v>
      </c>
      <c r="G4652" s="1">
        <v>60.47</v>
      </c>
      <c r="H4652" s="1">
        <f t="shared" si="648"/>
        <v>17.379999999999995</v>
      </c>
      <c r="I4652" s="9">
        <f t="shared" si="655"/>
        <v>0.16631578947368417</v>
      </c>
      <c r="J4652" s="1">
        <f t="shared" si="656"/>
        <v>4.6899999999999977</v>
      </c>
      <c r="K4652" s="9">
        <f t="shared" si="649"/>
        <v>8.4080315525277838E-2</v>
      </c>
      <c r="L4652" s="1">
        <f t="shared" si="650"/>
        <v>0.5</v>
      </c>
      <c r="M4652" s="1">
        <f t="shared" si="651"/>
        <v>60.94</v>
      </c>
      <c r="N4652" s="1">
        <f t="shared" si="652"/>
        <v>52.25</v>
      </c>
      <c r="O4652" s="1">
        <f t="shared" si="653"/>
        <v>58.51</v>
      </c>
      <c r="P4652" s="1">
        <f t="shared" si="654"/>
        <v>29.852040816326529</v>
      </c>
    </row>
    <row r="4653" spans="1:16">
      <c r="A4653" s="2">
        <v>36305</v>
      </c>
      <c r="B4653" s="1">
        <v>117.26</v>
      </c>
      <c r="C4653" s="1">
        <v>121.12</v>
      </c>
      <c r="D4653" s="1">
        <v>111.38</v>
      </c>
      <c r="E4653" s="1">
        <v>111.56</v>
      </c>
      <c r="F4653" s="1">
        <v>15510200</v>
      </c>
      <c r="G4653" s="1">
        <v>55.78</v>
      </c>
      <c r="H4653" s="1">
        <f t="shared" si="648"/>
        <v>9.7400000000000091</v>
      </c>
      <c r="I4653" s="9">
        <f t="shared" si="655"/>
        <v>8.7448374932663039E-2</v>
      </c>
      <c r="J4653" s="1">
        <f t="shared" si="656"/>
        <v>-2.9699999999999989</v>
      </c>
      <c r="K4653" s="9">
        <f t="shared" si="649"/>
        <v>-5.055319148936168E-2</v>
      </c>
      <c r="L4653" s="1">
        <f t="shared" si="650"/>
        <v>0.5</v>
      </c>
      <c r="M4653" s="1">
        <f t="shared" si="651"/>
        <v>60.56</v>
      </c>
      <c r="N4653" s="1">
        <f t="shared" si="652"/>
        <v>55.69</v>
      </c>
      <c r="O4653" s="1">
        <f t="shared" si="653"/>
        <v>53.82</v>
      </c>
      <c r="P4653" s="1">
        <f t="shared" si="654"/>
        <v>27.45918367346939</v>
      </c>
    </row>
    <row r="4654" spans="1:16">
      <c r="A4654" s="2">
        <v>36304</v>
      </c>
      <c r="B4654" s="1">
        <v>128.62</v>
      </c>
      <c r="C4654" s="1">
        <v>129.38</v>
      </c>
      <c r="D4654" s="1">
        <v>116</v>
      </c>
      <c r="E4654" s="1">
        <v>117.5</v>
      </c>
      <c r="F4654" s="1">
        <v>14253800</v>
      </c>
      <c r="G4654" s="1">
        <v>58.75</v>
      </c>
      <c r="H4654" s="1">
        <f t="shared" si="648"/>
        <v>13.379999999999995</v>
      </c>
      <c r="I4654" s="9">
        <f t="shared" si="655"/>
        <v>0.11534482758620686</v>
      </c>
      <c r="J4654" s="1">
        <f t="shared" si="656"/>
        <v>-5.5300000000000011</v>
      </c>
      <c r="K4654" s="9">
        <f t="shared" si="649"/>
        <v>-8.6029869321717509E-2</v>
      </c>
      <c r="L4654" s="1">
        <f t="shared" si="650"/>
        <v>0.5</v>
      </c>
      <c r="M4654" s="1">
        <f t="shared" si="651"/>
        <v>64.69</v>
      </c>
      <c r="N4654" s="1">
        <f t="shared" si="652"/>
        <v>58</v>
      </c>
      <c r="O4654" s="1">
        <f t="shared" si="653"/>
        <v>56.79</v>
      </c>
      <c r="P4654" s="1">
        <f t="shared" si="654"/>
        <v>28.974489795918366</v>
      </c>
    </row>
    <row r="4655" spans="1:16">
      <c r="A4655" s="2">
        <v>36301</v>
      </c>
      <c r="B4655" s="1">
        <v>130.76</v>
      </c>
      <c r="C4655" s="1">
        <v>132</v>
      </c>
      <c r="D4655" s="1">
        <v>125.76</v>
      </c>
      <c r="E4655" s="1">
        <v>128.56</v>
      </c>
      <c r="F4655" s="1">
        <v>8005600</v>
      </c>
      <c r="G4655" s="1">
        <v>64.28</v>
      </c>
      <c r="H4655" s="1">
        <f t="shared" si="648"/>
        <v>6.2399999999999949</v>
      </c>
      <c r="I4655" s="9">
        <f t="shared" si="655"/>
        <v>4.9618320610686981E-2</v>
      </c>
      <c r="J4655" s="1">
        <f t="shared" si="656"/>
        <v>-1.1299999999999955</v>
      </c>
      <c r="K4655" s="9">
        <f t="shared" si="649"/>
        <v>-1.7275645925699367E-2</v>
      </c>
      <c r="L4655" s="1">
        <f t="shared" si="650"/>
        <v>0.5</v>
      </c>
      <c r="M4655" s="1">
        <f t="shared" si="651"/>
        <v>66</v>
      </c>
      <c r="N4655" s="1">
        <f t="shared" si="652"/>
        <v>62.88</v>
      </c>
      <c r="O4655" s="1">
        <f t="shared" si="653"/>
        <v>62.32</v>
      </c>
      <c r="P4655" s="1">
        <f t="shared" si="654"/>
        <v>31.795918367346939</v>
      </c>
    </row>
    <row r="4656" spans="1:16">
      <c r="A4656" s="2">
        <v>36300</v>
      </c>
      <c r="B4656" s="1">
        <v>136.75</v>
      </c>
      <c r="C4656" s="1">
        <v>137.99</v>
      </c>
      <c r="D4656" s="1">
        <v>130.49</v>
      </c>
      <c r="E4656" s="1">
        <v>130.81</v>
      </c>
      <c r="F4656" s="1">
        <v>6894000</v>
      </c>
      <c r="G4656" s="1">
        <v>65.41</v>
      </c>
      <c r="H4656" s="1">
        <f t="shared" si="648"/>
        <v>7.5</v>
      </c>
      <c r="I4656" s="9">
        <f t="shared" si="655"/>
        <v>5.7475668633611768E-2</v>
      </c>
      <c r="J4656" s="1">
        <f t="shared" si="656"/>
        <v>-4.3700000000000045</v>
      </c>
      <c r="K4656" s="9">
        <f t="shared" si="649"/>
        <v>-6.2625394095729495E-2</v>
      </c>
      <c r="L4656" s="1">
        <f t="shared" si="650"/>
        <v>0.50003822337741755</v>
      </c>
      <c r="M4656" s="1">
        <f t="shared" si="651"/>
        <v>69.000274443849847</v>
      </c>
      <c r="N4656" s="1">
        <f t="shared" si="652"/>
        <v>65.249987768519219</v>
      </c>
      <c r="O4656" s="1">
        <f t="shared" si="653"/>
        <v>63.449999999999996</v>
      </c>
      <c r="P4656" s="1">
        <f t="shared" si="654"/>
        <v>32.372448979591837</v>
      </c>
    </row>
    <row r="4657" spans="1:16">
      <c r="A4657" s="2">
        <v>36299</v>
      </c>
      <c r="B4657" s="1">
        <v>133.94</v>
      </c>
      <c r="C4657" s="1">
        <v>139.62</v>
      </c>
      <c r="D4657" s="1">
        <v>133.5</v>
      </c>
      <c r="E4657" s="1">
        <v>139.56</v>
      </c>
      <c r="F4657" s="1">
        <v>12619200</v>
      </c>
      <c r="G4657" s="1">
        <v>69.78</v>
      </c>
      <c r="H4657" s="1">
        <f t="shared" si="648"/>
        <v>6.1200000000000045</v>
      </c>
      <c r="I4657" s="9">
        <f t="shared" si="655"/>
        <v>4.5842696629213517E-2</v>
      </c>
      <c r="J4657" s="1">
        <f t="shared" si="656"/>
        <v>3.4699999999999989</v>
      </c>
      <c r="K4657" s="9">
        <f t="shared" si="649"/>
        <v>5.2329965314432195E-2</v>
      </c>
      <c r="L4657" s="1">
        <f t="shared" si="650"/>
        <v>0.5</v>
      </c>
      <c r="M4657" s="1">
        <f t="shared" si="651"/>
        <v>69.81</v>
      </c>
      <c r="N4657" s="1">
        <f t="shared" si="652"/>
        <v>66.75</v>
      </c>
      <c r="O4657" s="1">
        <f t="shared" si="653"/>
        <v>67.820000000000007</v>
      </c>
      <c r="P4657" s="1">
        <f t="shared" si="654"/>
        <v>34.602040816326536</v>
      </c>
    </row>
    <row r="4658" spans="1:16">
      <c r="A4658" s="2">
        <v>36298</v>
      </c>
      <c r="B4658" s="1">
        <v>136.44999999999999</v>
      </c>
      <c r="C4658" s="1">
        <v>137.51</v>
      </c>
      <c r="D4658" s="1">
        <v>130.94999999999999</v>
      </c>
      <c r="E4658" s="1">
        <v>132.63</v>
      </c>
      <c r="F4658" s="1">
        <v>12407800</v>
      </c>
      <c r="G4658" s="1">
        <v>66.31</v>
      </c>
      <c r="H4658" s="1">
        <f t="shared" si="648"/>
        <v>6.5600000000000023</v>
      </c>
      <c r="I4658" s="9">
        <f t="shared" si="655"/>
        <v>5.0095456281023312E-2</v>
      </c>
      <c r="J4658" s="1">
        <f t="shared" si="656"/>
        <v>-2.5</v>
      </c>
      <c r="K4658" s="9">
        <f t="shared" si="649"/>
        <v>-3.6331928498764716E-2</v>
      </c>
      <c r="L4658" s="1">
        <f t="shared" si="650"/>
        <v>0.49996230113850565</v>
      </c>
      <c r="M4658" s="1">
        <f t="shared" si="651"/>
        <v>68.749816029555902</v>
      </c>
      <c r="N4658" s="1">
        <f t="shared" si="652"/>
        <v>65.470063334087314</v>
      </c>
      <c r="O4658" s="1">
        <f t="shared" si="653"/>
        <v>64.350000000000009</v>
      </c>
      <c r="P4658" s="1">
        <f t="shared" si="654"/>
        <v>32.831632653061227</v>
      </c>
    </row>
    <row r="4659" spans="1:16">
      <c r="A4659" s="2">
        <v>36297</v>
      </c>
      <c r="B4659" s="1">
        <v>130.01</v>
      </c>
      <c r="C4659" s="1">
        <v>138.01</v>
      </c>
      <c r="D4659" s="1">
        <v>121.51</v>
      </c>
      <c r="E4659" s="1">
        <v>137.63</v>
      </c>
      <c r="F4659" s="1">
        <v>20858200</v>
      </c>
      <c r="G4659" s="1">
        <v>68.81</v>
      </c>
      <c r="H4659" s="1">
        <f t="shared" si="648"/>
        <v>16.499999999999986</v>
      </c>
      <c r="I4659" s="9">
        <f t="shared" si="655"/>
        <v>0.13579129289770378</v>
      </c>
      <c r="J4659" s="1">
        <f t="shared" si="656"/>
        <v>2.6200000000000045</v>
      </c>
      <c r="K4659" s="9">
        <f t="shared" si="649"/>
        <v>3.9583018582867571E-2</v>
      </c>
      <c r="L4659" s="1">
        <f t="shared" si="650"/>
        <v>0.49996367071132752</v>
      </c>
      <c r="M4659" s="1">
        <f t="shared" si="651"/>
        <v>68.999986194870303</v>
      </c>
      <c r="N4659" s="1">
        <f t="shared" si="652"/>
        <v>60.750585628133408</v>
      </c>
      <c r="O4659" s="1">
        <f t="shared" si="653"/>
        <v>66.850000000000009</v>
      </c>
      <c r="P4659" s="1">
        <f t="shared" si="654"/>
        <v>34.107142857142861</v>
      </c>
    </row>
    <row r="4660" spans="1:16">
      <c r="A4660" s="2">
        <v>36294</v>
      </c>
      <c r="B4660" s="1">
        <v>133.12</v>
      </c>
      <c r="C4660" s="1">
        <v>134.76</v>
      </c>
      <c r="D4660" s="1">
        <v>129.82</v>
      </c>
      <c r="E4660" s="1">
        <v>132.38</v>
      </c>
      <c r="F4660" s="1">
        <v>11266800</v>
      </c>
      <c r="G4660" s="1">
        <v>66.19</v>
      </c>
      <c r="H4660" s="1">
        <f t="shared" si="648"/>
        <v>4.9399999999999977</v>
      </c>
      <c r="I4660" s="9">
        <f t="shared" si="655"/>
        <v>3.8052688337698336E-2</v>
      </c>
      <c r="J4660" s="1">
        <f t="shared" si="656"/>
        <v>-1.8100000000000023</v>
      </c>
      <c r="K4660" s="9">
        <f t="shared" si="649"/>
        <v>-2.6617647058823562E-2</v>
      </c>
      <c r="L4660" s="1">
        <f t="shared" si="650"/>
        <v>0.5</v>
      </c>
      <c r="M4660" s="1">
        <f t="shared" si="651"/>
        <v>67.38</v>
      </c>
      <c r="N4660" s="1">
        <f t="shared" si="652"/>
        <v>64.91</v>
      </c>
      <c r="O4660" s="1">
        <f t="shared" si="653"/>
        <v>64.23</v>
      </c>
      <c r="P4660" s="1">
        <f t="shared" si="654"/>
        <v>32.770408163265309</v>
      </c>
    </row>
    <row r="4661" spans="1:16">
      <c r="A4661" s="2">
        <v>36293</v>
      </c>
      <c r="B4661" s="1">
        <v>144.38</v>
      </c>
      <c r="C4661" s="1">
        <v>147.88</v>
      </c>
      <c r="D4661" s="1">
        <v>136</v>
      </c>
      <c r="E4661" s="1">
        <v>136</v>
      </c>
      <c r="F4661" s="1">
        <v>11499000</v>
      </c>
      <c r="G4661" s="1">
        <v>68</v>
      </c>
      <c r="H4661" s="1">
        <f t="shared" si="648"/>
        <v>11.879999999999995</v>
      </c>
      <c r="I4661" s="9">
        <f t="shared" si="655"/>
        <v>8.735294117647055E-2</v>
      </c>
      <c r="J4661" s="1">
        <f t="shared" si="656"/>
        <v>-3.4699999999999989</v>
      </c>
      <c r="K4661" s="9">
        <f t="shared" si="649"/>
        <v>-4.8551839932838937E-2</v>
      </c>
      <c r="L4661" s="1">
        <f t="shared" si="650"/>
        <v>0.5</v>
      </c>
      <c r="M4661" s="1">
        <f t="shared" si="651"/>
        <v>73.94</v>
      </c>
      <c r="N4661" s="1">
        <f t="shared" si="652"/>
        <v>68</v>
      </c>
      <c r="O4661" s="1">
        <f t="shared" si="653"/>
        <v>66.040000000000006</v>
      </c>
      <c r="P4661" s="1">
        <f t="shared" si="654"/>
        <v>33.693877551020414</v>
      </c>
    </row>
    <row r="4662" spans="1:16">
      <c r="A4662" s="2">
        <v>36292</v>
      </c>
      <c r="B4662" s="1">
        <v>148.06</v>
      </c>
      <c r="C4662" s="1">
        <v>148.62</v>
      </c>
      <c r="D4662" s="1">
        <v>141.5</v>
      </c>
      <c r="E4662" s="1">
        <v>142.94</v>
      </c>
      <c r="F4662" s="1">
        <v>7327400</v>
      </c>
      <c r="G4662" s="1">
        <v>71.47</v>
      </c>
      <c r="H4662" s="1">
        <f t="shared" si="648"/>
        <v>7.1200000000000045</v>
      </c>
      <c r="I4662" s="9">
        <f t="shared" si="655"/>
        <v>5.031802120141346E-2</v>
      </c>
      <c r="J4662" s="1">
        <f t="shared" si="656"/>
        <v>-2.7199999999999989</v>
      </c>
      <c r="K4662" s="9">
        <f t="shared" si="649"/>
        <v>-3.6662622995012793E-2</v>
      </c>
      <c r="L4662" s="1">
        <f t="shared" si="650"/>
        <v>0.5</v>
      </c>
      <c r="M4662" s="1">
        <f t="shared" si="651"/>
        <v>74.31</v>
      </c>
      <c r="N4662" s="1">
        <f t="shared" si="652"/>
        <v>70.75</v>
      </c>
      <c r="O4662" s="1">
        <f t="shared" si="653"/>
        <v>69.510000000000005</v>
      </c>
      <c r="P4662" s="1">
        <f t="shared" si="654"/>
        <v>35.464285714285715</v>
      </c>
    </row>
    <row r="4663" spans="1:16">
      <c r="A4663" s="2">
        <v>36291</v>
      </c>
      <c r="B4663" s="1">
        <v>150.68</v>
      </c>
      <c r="C4663" s="1">
        <v>153.88</v>
      </c>
      <c r="D4663" s="1">
        <v>144</v>
      </c>
      <c r="E4663" s="1">
        <v>148.38</v>
      </c>
      <c r="F4663" s="1">
        <v>13941400</v>
      </c>
      <c r="G4663" s="1">
        <v>74.19</v>
      </c>
      <c r="H4663" s="1">
        <f t="shared" si="648"/>
        <v>9.8799999999999955</v>
      </c>
      <c r="I4663" s="9">
        <f t="shared" si="655"/>
        <v>6.8611111111111081E-2</v>
      </c>
      <c r="J4663" s="1">
        <f t="shared" si="656"/>
        <v>0.75</v>
      </c>
      <c r="K4663" s="9">
        <f t="shared" si="649"/>
        <v>1.0212418300653595E-2</v>
      </c>
      <c r="L4663" s="1">
        <f t="shared" si="650"/>
        <v>0.5</v>
      </c>
      <c r="M4663" s="1">
        <f t="shared" si="651"/>
        <v>76.94</v>
      </c>
      <c r="N4663" s="1">
        <f t="shared" si="652"/>
        <v>72</v>
      </c>
      <c r="O4663" s="1">
        <f t="shared" si="653"/>
        <v>72.23</v>
      </c>
      <c r="P4663" s="1">
        <f t="shared" si="654"/>
        <v>36.852040816326536</v>
      </c>
    </row>
    <row r="4664" spans="1:16">
      <c r="A4664" s="2">
        <v>36290</v>
      </c>
      <c r="B4664" s="1">
        <v>136.62</v>
      </c>
      <c r="C4664" s="1">
        <v>147</v>
      </c>
      <c r="D4664" s="1">
        <v>134</v>
      </c>
      <c r="E4664" s="1">
        <v>146.88</v>
      </c>
      <c r="F4664" s="1">
        <v>14241200</v>
      </c>
      <c r="G4664" s="1">
        <v>73.44</v>
      </c>
      <c r="H4664" s="1">
        <f t="shared" si="648"/>
        <v>13</v>
      </c>
      <c r="I4664" s="9">
        <f t="shared" si="655"/>
        <v>9.7014925373134331E-2</v>
      </c>
      <c r="J4664" s="1">
        <f t="shared" si="656"/>
        <v>5.25</v>
      </c>
      <c r="K4664" s="9">
        <f t="shared" si="649"/>
        <v>7.6990761108666969E-2</v>
      </c>
      <c r="L4664" s="1">
        <f t="shared" si="650"/>
        <v>0.5</v>
      </c>
      <c r="M4664" s="1">
        <f t="shared" si="651"/>
        <v>73.5</v>
      </c>
      <c r="N4664" s="1">
        <f t="shared" si="652"/>
        <v>67</v>
      </c>
      <c r="O4664" s="1">
        <f t="shared" si="653"/>
        <v>71.48</v>
      </c>
      <c r="P4664" s="1">
        <f t="shared" si="654"/>
        <v>36.469387755102041</v>
      </c>
    </row>
    <row r="4665" spans="1:16">
      <c r="A4665" s="2">
        <v>36287</v>
      </c>
      <c r="B4665" s="1">
        <v>140.76</v>
      </c>
      <c r="C4665" s="1">
        <v>144</v>
      </c>
      <c r="D4665" s="1">
        <v>131</v>
      </c>
      <c r="E4665" s="1">
        <v>136.38</v>
      </c>
      <c r="F4665" s="1">
        <v>16654000</v>
      </c>
      <c r="G4665" s="1">
        <v>68.19</v>
      </c>
      <c r="H4665" s="1">
        <f t="shared" si="648"/>
        <v>13</v>
      </c>
      <c r="I4665" s="9">
        <f t="shared" si="655"/>
        <v>9.9236641221374045E-2</v>
      </c>
      <c r="J4665" s="1">
        <f t="shared" si="656"/>
        <v>-0.5</v>
      </c>
      <c r="K4665" s="9">
        <f t="shared" si="649"/>
        <v>-7.279079924297569E-3</v>
      </c>
      <c r="L4665" s="1">
        <f t="shared" si="650"/>
        <v>0.5</v>
      </c>
      <c r="M4665" s="1">
        <f t="shared" si="651"/>
        <v>72</v>
      </c>
      <c r="N4665" s="1">
        <f t="shared" si="652"/>
        <v>65.5</v>
      </c>
      <c r="O4665" s="1">
        <f t="shared" si="653"/>
        <v>66.23</v>
      </c>
      <c r="P4665" s="1">
        <f t="shared" si="654"/>
        <v>33.790816326530617</v>
      </c>
    </row>
    <row r="4666" spans="1:16">
      <c r="A4666" s="2">
        <v>36286</v>
      </c>
      <c r="B4666" s="1">
        <v>148</v>
      </c>
      <c r="C4666" s="1">
        <v>151</v>
      </c>
      <c r="D4666" s="1">
        <v>135.76</v>
      </c>
      <c r="E4666" s="1">
        <v>137.38</v>
      </c>
      <c r="F4666" s="1">
        <v>18284400</v>
      </c>
      <c r="G4666" s="1">
        <v>68.69</v>
      </c>
      <c r="H4666" s="1">
        <f t="shared" si="648"/>
        <v>15.240000000000009</v>
      </c>
      <c r="I4666" s="9">
        <f t="shared" si="655"/>
        <v>0.11225692398350037</v>
      </c>
      <c r="J4666" s="1">
        <f t="shared" si="656"/>
        <v>-4.5600000000000023</v>
      </c>
      <c r="K4666" s="9">
        <f t="shared" si="649"/>
        <v>-6.2252559726962489E-2</v>
      </c>
      <c r="L4666" s="1">
        <f t="shared" si="650"/>
        <v>0.5</v>
      </c>
      <c r="M4666" s="1">
        <f t="shared" si="651"/>
        <v>75.5</v>
      </c>
      <c r="N4666" s="1">
        <f t="shared" si="652"/>
        <v>67.88</v>
      </c>
      <c r="O4666" s="1">
        <f t="shared" si="653"/>
        <v>66.73</v>
      </c>
      <c r="P4666" s="1">
        <f t="shared" si="654"/>
        <v>34.045918367346943</v>
      </c>
    </row>
    <row r="4667" spans="1:16">
      <c r="A4667" s="2">
        <v>36285</v>
      </c>
      <c r="B4667" s="1">
        <v>143.88</v>
      </c>
      <c r="C4667" s="1">
        <v>148.26</v>
      </c>
      <c r="D4667" s="1">
        <v>133.88</v>
      </c>
      <c r="E4667" s="1">
        <v>146.5</v>
      </c>
      <c r="F4667" s="1">
        <v>27709800</v>
      </c>
      <c r="G4667" s="1">
        <v>73.25</v>
      </c>
      <c r="H4667" s="1">
        <f t="shared" si="648"/>
        <v>14.379999999999995</v>
      </c>
      <c r="I4667" s="9">
        <f t="shared" si="655"/>
        <v>0.10740962055572151</v>
      </c>
      <c r="J4667" s="1">
        <f t="shared" si="656"/>
        <v>1.75</v>
      </c>
      <c r="K4667" s="9">
        <f t="shared" si="649"/>
        <v>2.4475524475524476E-2</v>
      </c>
      <c r="L4667" s="1">
        <f t="shared" si="650"/>
        <v>0.5</v>
      </c>
      <c r="M4667" s="1">
        <f t="shared" si="651"/>
        <v>74.13</v>
      </c>
      <c r="N4667" s="1">
        <f t="shared" si="652"/>
        <v>66.94</v>
      </c>
      <c r="O4667" s="1">
        <f t="shared" si="653"/>
        <v>71.290000000000006</v>
      </c>
      <c r="P4667" s="1">
        <f t="shared" si="654"/>
        <v>36.372448979591837</v>
      </c>
    </row>
    <row r="4668" spans="1:16">
      <c r="A4668" s="2">
        <v>36284</v>
      </c>
      <c r="B4668" s="1">
        <v>152.62</v>
      </c>
      <c r="C4668" s="1">
        <v>160.5</v>
      </c>
      <c r="D4668" s="1">
        <v>140.5</v>
      </c>
      <c r="E4668" s="1">
        <v>143</v>
      </c>
      <c r="F4668" s="1">
        <v>21696400</v>
      </c>
      <c r="G4668" s="1">
        <v>71.5</v>
      </c>
      <c r="H4668" s="1">
        <f t="shared" si="648"/>
        <v>20</v>
      </c>
      <c r="I4668" s="9">
        <f t="shared" si="655"/>
        <v>0.14234875444839859</v>
      </c>
      <c r="J4668" s="1">
        <f t="shared" si="656"/>
        <v>-3.9699999999999989</v>
      </c>
      <c r="K4668" s="9">
        <f t="shared" si="649"/>
        <v>-5.2603683582880603E-2</v>
      </c>
      <c r="L4668" s="1">
        <f t="shared" si="650"/>
        <v>0.5</v>
      </c>
      <c r="M4668" s="1">
        <f t="shared" si="651"/>
        <v>80.25</v>
      </c>
      <c r="N4668" s="1">
        <f t="shared" si="652"/>
        <v>70.25</v>
      </c>
      <c r="O4668" s="1">
        <f t="shared" si="653"/>
        <v>69.540000000000006</v>
      </c>
      <c r="P4668" s="1">
        <f t="shared" si="654"/>
        <v>35.479591836734699</v>
      </c>
    </row>
    <row r="4669" spans="1:16">
      <c r="A4669" s="2">
        <v>36283</v>
      </c>
      <c r="B4669" s="1">
        <v>166.88</v>
      </c>
      <c r="C4669" s="1">
        <v>167.06</v>
      </c>
      <c r="D4669" s="1">
        <v>150.12</v>
      </c>
      <c r="E4669" s="1">
        <v>150.94</v>
      </c>
      <c r="F4669" s="1">
        <v>26186400</v>
      </c>
      <c r="G4669" s="1">
        <v>75.47</v>
      </c>
      <c r="H4669" s="1">
        <f t="shared" si="648"/>
        <v>16.939999999999998</v>
      </c>
      <c r="I4669" s="9">
        <f t="shared" si="655"/>
        <v>0.11284305888622434</v>
      </c>
      <c r="J4669" s="1">
        <f t="shared" si="656"/>
        <v>-10.560000000000002</v>
      </c>
      <c r="K4669" s="9">
        <f t="shared" si="649"/>
        <v>-0.12274787864698364</v>
      </c>
      <c r="L4669" s="1">
        <f t="shared" si="650"/>
        <v>0.5</v>
      </c>
      <c r="M4669" s="1">
        <f t="shared" si="651"/>
        <v>83.53</v>
      </c>
      <c r="N4669" s="1">
        <f t="shared" si="652"/>
        <v>75.06</v>
      </c>
      <c r="O4669" s="1">
        <f t="shared" si="653"/>
        <v>73.510000000000005</v>
      </c>
      <c r="P4669" s="1">
        <f t="shared" si="654"/>
        <v>37.505102040816332</v>
      </c>
    </row>
    <row r="4670" spans="1:16">
      <c r="A4670" s="2">
        <v>36280</v>
      </c>
      <c r="B4670" s="1">
        <v>177</v>
      </c>
      <c r="C4670" s="1">
        <v>180</v>
      </c>
      <c r="D4670" s="1">
        <v>165</v>
      </c>
      <c r="E4670" s="1">
        <v>172.06</v>
      </c>
      <c r="F4670" s="1">
        <v>17776400</v>
      </c>
      <c r="G4670" s="1">
        <v>86.03</v>
      </c>
      <c r="H4670" s="1">
        <f t="shared" si="648"/>
        <v>15</v>
      </c>
      <c r="I4670" s="9">
        <f t="shared" si="655"/>
        <v>9.0909090909090912E-2</v>
      </c>
      <c r="J4670" s="1">
        <f t="shared" si="656"/>
        <v>1.9000000000000057</v>
      </c>
      <c r="K4670" s="9">
        <f t="shared" si="649"/>
        <v>2.2584096041840078E-2</v>
      </c>
      <c r="L4670" s="1">
        <f t="shared" si="650"/>
        <v>0.5</v>
      </c>
      <c r="M4670" s="1">
        <f t="shared" si="651"/>
        <v>90</v>
      </c>
      <c r="N4670" s="1">
        <f t="shared" si="652"/>
        <v>82.5</v>
      </c>
      <c r="O4670" s="1">
        <f t="shared" si="653"/>
        <v>84.070000000000007</v>
      </c>
      <c r="P4670" s="1">
        <f t="shared" si="654"/>
        <v>42.892857142857146</v>
      </c>
    </row>
    <row r="4671" spans="1:16">
      <c r="A4671" s="2">
        <v>36279</v>
      </c>
      <c r="B4671" s="1">
        <v>172.43</v>
      </c>
      <c r="C4671" s="1">
        <v>181.75</v>
      </c>
      <c r="D4671" s="1">
        <v>164.99</v>
      </c>
      <c r="E4671" s="1">
        <v>168.25</v>
      </c>
      <c r="F4671" s="1">
        <v>42208400</v>
      </c>
      <c r="G4671" s="1">
        <v>84.13</v>
      </c>
      <c r="H4671" s="1">
        <f t="shared" si="648"/>
        <v>16.759999999999991</v>
      </c>
      <c r="I4671" s="9">
        <f t="shared" si="655"/>
        <v>0.10158191405539724</v>
      </c>
      <c r="J4671" s="1">
        <f t="shared" si="656"/>
        <v>-12.620000000000005</v>
      </c>
      <c r="K4671" s="9">
        <f t="shared" si="649"/>
        <v>-0.13043927648578815</v>
      </c>
      <c r="L4671" s="1">
        <f t="shared" si="650"/>
        <v>0.50002971768202076</v>
      </c>
      <c r="M4671" s="1">
        <f t="shared" si="651"/>
        <v>90.880401188707268</v>
      </c>
      <c r="N4671" s="1">
        <f t="shared" si="652"/>
        <v>82.499903120356606</v>
      </c>
      <c r="O4671" s="1">
        <f t="shared" si="653"/>
        <v>82.17</v>
      </c>
      <c r="P4671" s="1">
        <f t="shared" si="654"/>
        <v>41.923469387755105</v>
      </c>
    </row>
    <row r="4672" spans="1:16">
      <c r="A4672" s="2">
        <v>36278</v>
      </c>
      <c r="B4672" s="1">
        <v>200</v>
      </c>
      <c r="C4672" s="1">
        <v>202</v>
      </c>
      <c r="D4672" s="1">
        <v>182.38</v>
      </c>
      <c r="E4672" s="1">
        <v>193.5</v>
      </c>
      <c r="F4672" s="1">
        <v>19473800</v>
      </c>
      <c r="G4672" s="1">
        <v>96.75</v>
      </c>
      <c r="H4672" s="1">
        <f t="shared" si="648"/>
        <v>19.620000000000005</v>
      </c>
      <c r="I4672" s="9">
        <f t="shared" si="655"/>
        <v>0.10757758526154186</v>
      </c>
      <c r="J4672" s="1">
        <f t="shared" si="656"/>
        <v>-6.1899999999999977</v>
      </c>
      <c r="K4672" s="9">
        <f t="shared" si="649"/>
        <v>-6.0132115795609072E-2</v>
      </c>
      <c r="L4672" s="1">
        <f t="shared" si="650"/>
        <v>0.5</v>
      </c>
      <c r="M4672" s="1">
        <f t="shared" si="651"/>
        <v>101</v>
      </c>
      <c r="N4672" s="1">
        <f t="shared" si="652"/>
        <v>91.19</v>
      </c>
      <c r="O4672" s="1">
        <f t="shared" si="653"/>
        <v>94.79</v>
      </c>
      <c r="P4672" s="1">
        <f t="shared" si="654"/>
        <v>48.362244897959187</v>
      </c>
    </row>
    <row r="4673" spans="1:16">
      <c r="A4673" s="2">
        <v>36277</v>
      </c>
      <c r="B4673" s="1">
        <v>217</v>
      </c>
      <c r="C4673" s="1">
        <v>221.26</v>
      </c>
      <c r="D4673" s="1">
        <v>202</v>
      </c>
      <c r="E4673" s="1">
        <v>205.88</v>
      </c>
      <c r="F4673" s="1">
        <v>17895400</v>
      </c>
      <c r="G4673" s="1">
        <v>102.94</v>
      </c>
      <c r="H4673" s="1">
        <f t="shared" si="648"/>
        <v>19.259999999999991</v>
      </c>
      <c r="I4673" s="9">
        <f t="shared" si="655"/>
        <v>9.5346534653465306E-2</v>
      </c>
      <c r="J4673" s="1">
        <f t="shared" si="656"/>
        <v>-0.65000000000000568</v>
      </c>
      <c r="K4673" s="9">
        <f t="shared" si="649"/>
        <v>-6.274736943720491E-3</v>
      </c>
      <c r="L4673" s="1">
        <f t="shared" si="650"/>
        <v>0.5</v>
      </c>
      <c r="M4673" s="1">
        <f t="shared" si="651"/>
        <v>110.63</v>
      </c>
      <c r="N4673" s="1">
        <f t="shared" si="652"/>
        <v>101</v>
      </c>
      <c r="O4673" s="1">
        <f t="shared" si="653"/>
        <v>100.98</v>
      </c>
      <c r="P4673" s="1">
        <f t="shared" si="654"/>
        <v>51.520408163265309</v>
      </c>
    </row>
    <row r="4674" spans="1:16">
      <c r="A4674" s="2">
        <v>36276</v>
      </c>
      <c r="B4674" s="1">
        <v>209.01</v>
      </c>
      <c r="C4674" s="1">
        <v>215.89</v>
      </c>
      <c r="D4674" s="1">
        <v>204.01</v>
      </c>
      <c r="E4674" s="1">
        <v>207.19</v>
      </c>
      <c r="F4674" s="1">
        <v>13985000</v>
      </c>
      <c r="G4674" s="1">
        <v>103.59</v>
      </c>
      <c r="H4674" s="1">
        <f t="shared" si="648"/>
        <v>11.879999999999995</v>
      </c>
      <c r="I4674" s="9">
        <f t="shared" si="655"/>
        <v>5.8232439586294767E-2</v>
      </c>
      <c r="J4674" s="1">
        <f t="shared" si="656"/>
        <v>-1.4699999999999989</v>
      </c>
      <c r="K4674" s="9">
        <f t="shared" si="649"/>
        <v>-1.3992004568817808E-2</v>
      </c>
      <c r="L4674" s="1">
        <f t="shared" si="650"/>
        <v>0.49997586756117574</v>
      </c>
      <c r="M4674" s="1">
        <f t="shared" si="651"/>
        <v>107.93979004778222</v>
      </c>
      <c r="N4674" s="1">
        <f t="shared" si="652"/>
        <v>102.00007674115545</v>
      </c>
      <c r="O4674" s="1">
        <f t="shared" si="653"/>
        <v>101.63000000000001</v>
      </c>
      <c r="P4674" s="1">
        <f t="shared" si="654"/>
        <v>51.852040816326536</v>
      </c>
    </row>
    <row r="4675" spans="1:16">
      <c r="A4675" s="2">
        <v>36273</v>
      </c>
      <c r="B4675" s="1">
        <v>192.89</v>
      </c>
      <c r="C4675" s="1">
        <v>216.51</v>
      </c>
      <c r="D4675" s="1">
        <v>191.77</v>
      </c>
      <c r="E4675" s="1">
        <v>210.13</v>
      </c>
      <c r="F4675" s="1">
        <v>31716800</v>
      </c>
      <c r="G4675" s="1">
        <v>105.06</v>
      </c>
      <c r="H4675" s="1">
        <f t="shared" ref="H4675:H4738" si="657">C4675-D4675</f>
        <v>24.739999999999981</v>
      </c>
      <c r="I4675" s="9">
        <f t="shared" si="655"/>
        <v>0.12900870834854242</v>
      </c>
      <c r="J4675" s="1">
        <f t="shared" si="656"/>
        <v>10.030000000000001</v>
      </c>
      <c r="K4675" s="9">
        <f t="shared" ref="K4675:K4738" si="658">(G4675-G4676)/G4676</f>
        <v>0.10554561717352416</v>
      </c>
      <c r="L4675" s="1">
        <f t="shared" ref="L4675:L4738" si="659">G4675/E4675</f>
        <v>0.49997620520630087</v>
      </c>
      <c r="M4675" s="1">
        <f t="shared" ref="M4675:M4738" si="660">L4675*C4675</f>
        <v>108.24984818921619</v>
      </c>
      <c r="N4675" s="1">
        <f t="shared" ref="N4675:N4738" si="661">L4675*D4675</f>
        <v>95.880436872412318</v>
      </c>
      <c r="O4675" s="1">
        <f t="shared" ref="O4675:O4738" si="662">G4675-$G$5163</f>
        <v>103.10000000000001</v>
      </c>
      <c r="P4675" s="1">
        <f t="shared" ref="P4675:P4738" si="663">(G4675-$G$5163)/$G$5163</f>
        <v>52.602040816326536</v>
      </c>
    </row>
    <row r="4676" spans="1:16">
      <c r="A4676" s="2">
        <v>36272</v>
      </c>
      <c r="B4676" s="1">
        <v>184.32</v>
      </c>
      <c r="C4676" s="1">
        <v>191</v>
      </c>
      <c r="D4676" s="1">
        <v>177.94</v>
      </c>
      <c r="E4676" s="1">
        <v>190.06</v>
      </c>
      <c r="F4676" s="1">
        <v>12538200</v>
      </c>
      <c r="G4676" s="1">
        <v>95.03</v>
      </c>
      <c r="H4676" s="1">
        <f t="shared" si="657"/>
        <v>13.060000000000002</v>
      </c>
      <c r="I4676" s="9">
        <f t="shared" ref="I4676:I4739" si="664">(C4676-D4676)/D4676</f>
        <v>7.3395526581993942E-2</v>
      </c>
      <c r="J4676" s="1">
        <f t="shared" ref="J4676:J4739" si="665">G4676-G4677</f>
        <v>5.4000000000000057</v>
      </c>
      <c r="K4676" s="9">
        <f t="shared" si="658"/>
        <v>6.0247684926921855E-2</v>
      </c>
      <c r="L4676" s="1">
        <f t="shared" si="659"/>
        <v>0.5</v>
      </c>
      <c r="M4676" s="1">
        <f t="shared" si="660"/>
        <v>95.5</v>
      </c>
      <c r="N4676" s="1">
        <f t="shared" si="661"/>
        <v>88.97</v>
      </c>
      <c r="O4676" s="1">
        <f t="shared" si="662"/>
        <v>93.070000000000007</v>
      </c>
      <c r="P4676" s="1">
        <f t="shared" si="663"/>
        <v>47.484693877551024</v>
      </c>
    </row>
    <row r="4677" spans="1:16">
      <c r="A4677" s="2">
        <v>36271</v>
      </c>
      <c r="B4677" s="1">
        <v>172.37</v>
      </c>
      <c r="C4677" s="1">
        <v>181.99</v>
      </c>
      <c r="D4677" s="1">
        <v>168.99</v>
      </c>
      <c r="E4677" s="1">
        <v>179.25</v>
      </c>
      <c r="F4677" s="1">
        <v>11082000</v>
      </c>
      <c r="G4677" s="1">
        <v>89.63</v>
      </c>
      <c r="H4677" s="1">
        <f t="shared" si="657"/>
        <v>13</v>
      </c>
      <c r="I4677" s="9">
        <f t="shared" si="664"/>
        <v>7.6927628853778324E-2</v>
      </c>
      <c r="J4677" s="1">
        <f t="shared" si="665"/>
        <v>3.6299999999999955</v>
      </c>
      <c r="K4677" s="9">
        <f t="shared" si="658"/>
        <v>4.2209302325581344E-2</v>
      </c>
      <c r="L4677" s="1">
        <f t="shared" si="659"/>
        <v>0.50002789400278935</v>
      </c>
      <c r="M4677" s="1">
        <f t="shared" si="660"/>
        <v>91.000076429567642</v>
      </c>
      <c r="N4677" s="1">
        <f t="shared" si="661"/>
        <v>84.499713807531379</v>
      </c>
      <c r="O4677" s="1">
        <f t="shared" si="662"/>
        <v>87.67</v>
      </c>
      <c r="P4677" s="1">
        <f t="shared" si="663"/>
        <v>44.729591836734699</v>
      </c>
    </row>
    <row r="4678" spans="1:16">
      <c r="A4678" s="2">
        <v>36270</v>
      </c>
      <c r="B4678" s="1">
        <v>157.32</v>
      </c>
      <c r="C4678" s="1">
        <v>174.32</v>
      </c>
      <c r="D4678" s="1">
        <v>153.5</v>
      </c>
      <c r="E4678" s="1">
        <v>172</v>
      </c>
      <c r="F4678" s="1">
        <v>20005000</v>
      </c>
      <c r="G4678" s="1">
        <v>86</v>
      </c>
      <c r="H4678" s="1">
        <f t="shared" si="657"/>
        <v>20.819999999999993</v>
      </c>
      <c r="I4678" s="9">
        <f t="shared" si="664"/>
        <v>0.13563517915309442</v>
      </c>
      <c r="J4678" s="1">
        <f t="shared" si="665"/>
        <v>6.5300000000000011</v>
      </c>
      <c r="K4678" s="9">
        <f t="shared" si="658"/>
        <v>8.2169372090096907E-2</v>
      </c>
      <c r="L4678" s="1">
        <f t="shared" si="659"/>
        <v>0.5</v>
      </c>
      <c r="M4678" s="1">
        <f t="shared" si="660"/>
        <v>87.16</v>
      </c>
      <c r="N4678" s="1">
        <f t="shared" si="661"/>
        <v>76.75</v>
      </c>
      <c r="O4678" s="1">
        <f t="shared" si="662"/>
        <v>84.04</v>
      </c>
      <c r="P4678" s="1">
        <f t="shared" si="663"/>
        <v>42.87755102040817</v>
      </c>
    </row>
    <row r="4679" spans="1:16">
      <c r="A4679" s="2">
        <v>36269</v>
      </c>
      <c r="B4679" s="1">
        <v>189</v>
      </c>
      <c r="C4679" s="1">
        <v>189</v>
      </c>
      <c r="D4679" s="1">
        <v>155</v>
      </c>
      <c r="E4679" s="1">
        <v>158.94</v>
      </c>
      <c r="F4679" s="1">
        <v>28369800</v>
      </c>
      <c r="G4679" s="1">
        <v>79.47</v>
      </c>
      <c r="H4679" s="1">
        <f t="shared" si="657"/>
        <v>34</v>
      </c>
      <c r="I4679" s="9">
        <f t="shared" si="664"/>
        <v>0.21935483870967742</v>
      </c>
      <c r="J4679" s="1">
        <f t="shared" si="665"/>
        <v>-15.530000000000001</v>
      </c>
      <c r="K4679" s="9">
        <f t="shared" si="658"/>
        <v>-0.16347368421052633</v>
      </c>
      <c r="L4679" s="1">
        <f t="shared" si="659"/>
        <v>0.5</v>
      </c>
      <c r="M4679" s="1">
        <f t="shared" si="660"/>
        <v>94.5</v>
      </c>
      <c r="N4679" s="1">
        <f t="shared" si="661"/>
        <v>77.5</v>
      </c>
      <c r="O4679" s="1">
        <f t="shared" si="662"/>
        <v>77.510000000000005</v>
      </c>
      <c r="P4679" s="1">
        <f t="shared" si="663"/>
        <v>39.545918367346943</v>
      </c>
    </row>
    <row r="4680" spans="1:16">
      <c r="A4680" s="2">
        <v>36266</v>
      </c>
      <c r="B4680" s="1">
        <v>183.88</v>
      </c>
      <c r="C4680" s="1">
        <v>191.5</v>
      </c>
      <c r="D4680" s="1">
        <v>180.68</v>
      </c>
      <c r="E4680" s="1">
        <v>190</v>
      </c>
      <c r="F4680" s="1">
        <v>31660200</v>
      </c>
      <c r="G4680" s="1">
        <v>95</v>
      </c>
      <c r="H4680" s="1">
        <f t="shared" si="657"/>
        <v>10.819999999999993</v>
      </c>
      <c r="I4680" s="9">
        <f t="shared" si="664"/>
        <v>5.9884879344697765E-2</v>
      </c>
      <c r="J4680" s="1">
        <f t="shared" si="665"/>
        <v>11.370000000000005</v>
      </c>
      <c r="K4680" s="9">
        <f t="shared" si="658"/>
        <v>0.13595599665191924</v>
      </c>
      <c r="L4680" s="1">
        <f t="shared" si="659"/>
        <v>0.5</v>
      </c>
      <c r="M4680" s="1">
        <f t="shared" si="660"/>
        <v>95.75</v>
      </c>
      <c r="N4680" s="1">
        <f t="shared" si="661"/>
        <v>90.34</v>
      </c>
      <c r="O4680" s="1">
        <f t="shared" si="662"/>
        <v>93.04</v>
      </c>
      <c r="P4680" s="1">
        <f t="shared" si="663"/>
        <v>47.469387755102048</v>
      </c>
    </row>
    <row r="4681" spans="1:16">
      <c r="A4681" s="2">
        <v>36265</v>
      </c>
      <c r="B4681" s="1">
        <v>165.87</v>
      </c>
      <c r="C4681" s="1">
        <v>170.49</v>
      </c>
      <c r="D4681" s="1">
        <v>150.99</v>
      </c>
      <c r="E4681" s="1">
        <v>167.25</v>
      </c>
      <c r="F4681" s="1">
        <v>16498400</v>
      </c>
      <c r="G4681" s="1">
        <v>83.63</v>
      </c>
      <c r="H4681" s="1">
        <f t="shared" si="657"/>
        <v>19.5</v>
      </c>
      <c r="I4681" s="9">
        <f t="shared" si="664"/>
        <v>0.1291476256705742</v>
      </c>
      <c r="J4681" s="1">
        <f t="shared" si="665"/>
        <v>-0.37000000000000455</v>
      </c>
      <c r="K4681" s="9">
        <f t="shared" si="658"/>
        <v>-4.404761904761959E-3</v>
      </c>
      <c r="L4681" s="1">
        <f t="shared" si="659"/>
        <v>0.50002989536621822</v>
      </c>
      <c r="M4681" s="1">
        <f t="shared" si="660"/>
        <v>85.250096860986545</v>
      </c>
      <c r="N4681" s="1">
        <f t="shared" si="661"/>
        <v>75.499513901345296</v>
      </c>
      <c r="O4681" s="1">
        <f t="shared" si="662"/>
        <v>81.67</v>
      </c>
      <c r="P4681" s="1">
        <f t="shared" si="663"/>
        <v>41.66836734693878</v>
      </c>
    </row>
    <row r="4682" spans="1:16">
      <c r="A4682" s="2">
        <v>36264</v>
      </c>
      <c r="B4682" s="1">
        <v>182</v>
      </c>
      <c r="C4682" s="1">
        <v>184.5</v>
      </c>
      <c r="D4682" s="1">
        <v>166.62</v>
      </c>
      <c r="E4682" s="1">
        <v>168</v>
      </c>
      <c r="F4682" s="1">
        <v>9952800</v>
      </c>
      <c r="G4682" s="1">
        <v>84</v>
      </c>
      <c r="H4682" s="1">
        <f t="shared" si="657"/>
        <v>17.879999999999995</v>
      </c>
      <c r="I4682" s="9">
        <f t="shared" si="664"/>
        <v>0.10731004681310764</v>
      </c>
      <c r="J4682" s="1">
        <f t="shared" si="665"/>
        <v>-5.1899999999999977</v>
      </c>
      <c r="K4682" s="9">
        <f t="shared" si="658"/>
        <v>-5.8190380087453725E-2</v>
      </c>
      <c r="L4682" s="1">
        <f t="shared" si="659"/>
        <v>0.5</v>
      </c>
      <c r="M4682" s="1">
        <f t="shared" si="660"/>
        <v>92.25</v>
      </c>
      <c r="N4682" s="1">
        <f t="shared" si="661"/>
        <v>83.31</v>
      </c>
      <c r="O4682" s="1">
        <f t="shared" si="662"/>
        <v>82.04</v>
      </c>
      <c r="P4682" s="1">
        <f t="shared" si="663"/>
        <v>41.857142857142861</v>
      </c>
    </row>
    <row r="4683" spans="1:16">
      <c r="A4683" s="2">
        <v>36263</v>
      </c>
      <c r="B4683" s="1">
        <v>186.76</v>
      </c>
      <c r="C4683" s="1">
        <v>192</v>
      </c>
      <c r="D4683" s="1">
        <v>178.26</v>
      </c>
      <c r="E4683" s="1">
        <v>178.38</v>
      </c>
      <c r="F4683" s="1">
        <v>8038800</v>
      </c>
      <c r="G4683" s="1">
        <v>89.19</v>
      </c>
      <c r="H4683" s="1">
        <f t="shared" si="657"/>
        <v>13.740000000000009</v>
      </c>
      <c r="I4683" s="9">
        <f t="shared" si="664"/>
        <v>7.7078424772803827E-2</v>
      </c>
      <c r="J4683" s="1">
        <f t="shared" si="665"/>
        <v>-3.0300000000000011</v>
      </c>
      <c r="K4683" s="9">
        <f t="shared" si="658"/>
        <v>-3.2856213402732606E-2</v>
      </c>
      <c r="L4683" s="1">
        <f t="shared" si="659"/>
        <v>0.5</v>
      </c>
      <c r="M4683" s="1">
        <f t="shared" si="660"/>
        <v>96</v>
      </c>
      <c r="N4683" s="1">
        <f t="shared" si="661"/>
        <v>89.13</v>
      </c>
      <c r="O4683" s="1">
        <f t="shared" si="662"/>
        <v>87.23</v>
      </c>
      <c r="P4683" s="1">
        <f t="shared" si="663"/>
        <v>44.505102040816332</v>
      </c>
    </row>
    <row r="4684" spans="1:16">
      <c r="A4684" s="2">
        <v>36262</v>
      </c>
      <c r="B4684" s="1">
        <v>176.12</v>
      </c>
      <c r="C4684" s="1">
        <v>188.26</v>
      </c>
      <c r="D4684" s="1">
        <v>176</v>
      </c>
      <c r="E4684" s="1">
        <v>184.44</v>
      </c>
      <c r="F4684" s="1">
        <v>8569200</v>
      </c>
      <c r="G4684" s="1">
        <v>92.22</v>
      </c>
      <c r="H4684" s="1">
        <f t="shared" si="657"/>
        <v>12.259999999999991</v>
      </c>
      <c r="I4684" s="9">
        <f t="shared" si="664"/>
        <v>6.9659090909090851E-2</v>
      </c>
      <c r="J4684" s="1">
        <f t="shared" si="665"/>
        <v>0.78000000000000114</v>
      </c>
      <c r="K4684" s="9">
        <f t="shared" si="658"/>
        <v>8.5301837270341328E-3</v>
      </c>
      <c r="L4684" s="1">
        <f t="shared" si="659"/>
        <v>0.5</v>
      </c>
      <c r="M4684" s="1">
        <f t="shared" si="660"/>
        <v>94.13</v>
      </c>
      <c r="N4684" s="1">
        <f t="shared" si="661"/>
        <v>88</v>
      </c>
      <c r="O4684" s="1">
        <f t="shared" si="662"/>
        <v>90.26</v>
      </c>
      <c r="P4684" s="1">
        <f t="shared" si="663"/>
        <v>46.051020408163268</v>
      </c>
    </row>
    <row r="4685" spans="1:16">
      <c r="A4685" s="2">
        <v>36259</v>
      </c>
      <c r="B4685" s="1">
        <v>178.12</v>
      </c>
      <c r="C4685" s="1">
        <v>186</v>
      </c>
      <c r="D4685" s="1">
        <v>175.76</v>
      </c>
      <c r="E4685" s="1">
        <v>182.88</v>
      </c>
      <c r="F4685" s="1">
        <v>6839000</v>
      </c>
      <c r="G4685" s="1">
        <v>91.44</v>
      </c>
      <c r="H4685" s="1">
        <f t="shared" si="657"/>
        <v>10.240000000000009</v>
      </c>
      <c r="I4685" s="9">
        <f t="shared" si="664"/>
        <v>5.8261265361857134E-2</v>
      </c>
      <c r="J4685" s="1">
        <f t="shared" si="665"/>
        <v>1.9399999999999977</v>
      </c>
      <c r="K4685" s="9">
        <f t="shared" si="658"/>
        <v>2.1675977653631259E-2</v>
      </c>
      <c r="L4685" s="1">
        <f t="shared" si="659"/>
        <v>0.5</v>
      </c>
      <c r="M4685" s="1">
        <f t="shared" si="660"/>
        <v>93</v>
      </c>
      <c r="N4685" s="1">
        <f t="shared" si="661"/>
        <v>87.88</v>
      </c>
      <c r="O4685" s="1">
        <f t="shared" si="662"/>
        <v>89.48</v>
      </c>
      <c r="P4685" s="1">
        <f t="shared" si="663"/>
        <v>45.653061224489797</v>
      </c>
    </row>
    <row r="4686" spans="1:16">
      <c r="A4686" s="2">
        <v>36258</v>
      </c>
      <c r="B4686" s="1">
        <v>174.82</v>
      </c>
      <c r="C4686" s="1">
        <v>184.12</v>
      </c>
      <c r="D4686" s="1">
        <v>166</v>
      </c>
      <c r="E4686" s="1">
        <v>179</v>
      </c>
      <c r="F4686" s="1">
        <v>11487800</v>
      </c>
      <c r="G4686" s="1">
        <v>89.5</v>
      </c>
      <c r="H4686" s="1">
        <f t="shared" si="657"/>
        <v>18.120000000000005</v>
      </c>
      <c r="I4686" s="9">
        <f t="shared" si="664"/>
        <v>0.10915662650602412</v>
      </c>
      <c r="J4686" s="1">
        <f t="shared" si="665"/>
        <v>1.5900000000000034</v>
      </c>
      <c r="K4686" s="9">
        <f t="shared" si="658"/>
        <v>1.8086679558639556E-2</v>
      </c>
      <c r="L4686" s="1">
        <f t="shared" si="659"/>
        <v>0.5</v>
      </c>
      <c r="M4686" s="1">
        <f t="shared" si="660"/>
        <v>92.06</v>
      </c>
      <c r="N4686" s="1">
        <f t="shared" si="661"/>
        <v>83</v>
      </c>
      <c r="O4686" s="1">
        <f t="shared" si="662"/>
        <v>87.54</v>
      </c>
      <c r="P4686" s="1">
        <f t="shared" si="663"/>
        <v>44.663265306122454</v>
      </c>
    </row>
    <row r="4687" spans="1:16">
      <c r="A4687" s="2">
        <v>36257</v>
      </c>
      <c r="B4687" s="1">
        <v>186.61</v>
      </c>
      <c r="C4687" s="1">
        <v>187.31</v>
      </c>
      <c r="D4687" s="1">
        <v>171.25</v>
      </c>
      <c r="E4687" s="1">
        <v>175.81</v>
      </c>
      <c r="F4687" s="1">
        <v>13166600</v>
      </c>
      <c r="G4687" s="1">
        <v>87.91</v>
      </c>
      <c r="H4687" s="1">
        <f t="shared" si="657"/>
        <v>16.060000000000002</v>
      </c>
      <c r="I4687" s="9">
        <f t="shared" si="664"/>
        <v>9.3781021897810235E-2</v>
      </c>
      <c r="J4687" s="1">
        <f t="shared" si="665"/>
        <v>-3.5300000000000011</v>
      </c>
      <c r="K4687" s="9">
        <f t="shared" si="658"/>
        <v>-3.8604549431321099E-2</v>
      </c>
      <c r="L4687" s="1">
        <f t="shared" si="659"/>
        <v>0.5000284397929583</v>
      </c>
      <c r="M4687" s="1">
        <f t="shared" si="660"/>
        <v>93.660327057619014</v>
      </c>
      <c r="N4687" s="1">
        <f t="shared" si="661"/>
        <v>85.629870314544107</v>
      </c>
      <c r="O4687" s="1">
        <f t="shared" si="662"/>
        <v>85.95</v>
      </c>
      <c r="P4687" s="1">
        <f t="shared" si="663"/>
        <v>43.852040816326536</v>
      </c>
    </row>
    <row r="4688" spans="1:16">
      <c r="A4688" s="2">
        <v>36256</v>
      </c>
      <c r="B4688" s="1">
        <v>184.5</v>
      </c>
      <c r="C4688" s="1">
        <v>195.76</v>
      </c>
      <c r="D4688" s="1">
        <v>179.5</v>
      </c>
      <c r="E4688" s="1">
        <v>182.88</v>
      </c>
      <c r="F4688" s="1">
        <v>14531800</v>
      </c>
      <c r="G4688" s="1">
        <v>91.44</v>
      </c>
      <c r="H4688" s="1">
        <f t="shared" si="657"/>
        <v>16.259999999999991</v>
      </c>
      <c r="I4688" s="9">
        <f t="shared" si="664"/>
        <v>9.058495821727014E-2</v>
      </c>
      <c r="J4688" s="1">
        <f t="shared" si="665"/>
        <v>-1.8100000000000023</v>
      </c>
      <c r="K4688" s="9">
        <f t="shared" si="658"/>
        <v>-1.9410187667560346E-2</v>
      </c>
      <c r="L4688" s="1">
        <f t="shared" si="659"/>
        <v>0.5</v>
      </c>
      <c r="M4688" s="1">
        <f t="shared" si="660"/>
        <v>97.88</v>
      </c>
      <c r="N4688" s="1">
        <f t="shared" si="661"/>
        <v>89.75</v>
      </c>
      <c r="O4688" s="1">
        <f t="shared" si="662"/>
        <v>89.48</v>
      </c>
      <c r="P4688" s="1">
        <f t="shared" si="663"/>
        <v>45.653061224489797</v>
      </c>
    </row>
    <row r="4689" spans="1:16">
      <c r="A4689" s="2">
        <v>36255</v>
      </c>
      <c r="B4689" s="1">
        <v>172.62</v>
      </c>
      <c r="C4689" s="1">
        <v>187.5</v>
      </c>
      <c r="D4689" s="1">
        <v>171.76</v>
      </c>
      <c r="E4689" s="1">
        <v>186.5</v>
      </c>
      <c r="F4689" s="1">
        <v>15916800</v>
      </c>
      <c r="G4689" s="1">
        <v>93.25</v>
      </c>
      <c r="H4689" s="1">
        <f t="shared" si="657"/>
        <v>15.740000000000009</v>
      </c>
      <c r="I4689" s="9">
        <f t="shared" si="664"/>
        <v>9.1639496972519857E-2</v>
      </c>
      <c r="J4689" s="1">
        <f t="shared" si="665"/>
        <v>7.75</v>
      </c>
      <c r="K4689" s="9">
        <f t="shared" si="658"/>
        <v>9.0643274853801165E-2</v>
      </c>
      <c r="L4689" s="1">
        <f t="shared" si="659"/>
        <v>0.5</v>
      </c>
      <c r="M4689" s="1">
        <f t="shared" si="660"/>
        <v>93.75</v>
      </c>
      <c r="N4689" s="1">
        <f t="shared" si="661"/>
        <v>85.88</v>
      </c>
      <c r="O4689" s="1">
        <f t="shared" si="662"/>
        <v>91.29</v>
      </c>
      <c r="P4689" s="1">
        <f t="shared" si="663"/>
        <v>46.576530612244902</v>
      </c>
    </row>
    <row r="4690" spans="1:16">
      <c r="A4690" s="2">
        <v>36251</v>
      </c>
      <c r="B4690" s="1">
        <v>179.38</v>
      </c>
      <c r="C4690" s="1">
        <v>180.12</v>
      </c>
      <c r="D4690" s="1">
        <v>167.5</v>
      </c>
      <c r="E4690" s="1">
        <v>171</v>
      </c>
      <c r="F4690" s="1">
        <v>11573200</v>
      </c>
      <c r="G4690" s="1">
        <v>85.5</v>
      </c>
      <c r="H4690" s="1">
        <f t="shared" si="657"/>
        <v>12.620000000000005</v>
      </c>
      <c r="I4690" s="9">
        <f t="shared" si="664"/>
        <v>7.5343283582089582E-2</v>
      </c>
      <c r="J4690" s="1">
        <f t="shared" si="665"/>
        <v>-0.59000000000000341</v>
      </c>
      <c r="K4690" s="9">
        <f t="shared" si="658"/>
        <v>-6.8532930653967174E-3</v>
      </c>
      <c r="L4690" s="1">
        <f t="shared" si="659"/>
        <v>0.5</v>
      </c>
      <c r="M4690" s="1">
        <f t="shared" si="660"/>
        <v>90.06</v>
      </c>
      <c r="N4690" s="1">
        <f t="shared" si="661"/>
        <v>83.75</v>
      </c>
      <c r="O4690" s="1">
        <f t="shared" si="662"/>
        <v>83.54</v>
      </c>
      <c r="P4690" s="1">
        <f t="shared" si="663"/>
        <v>42.622448979591837</v>
      </c>
    </row>
    <row r="4691" spans="1:16">
      <c r="A4691" s="2">
        <v>36250</v>
      </c>
      <c r="B4691" s="1">
        <v>171.27</v>
      </c>
      <c r="C4691" s="1">
        <v>178.01</v>
      </c>
      <c r="D4691" s="1">
        <v>165.13</v>
      </c>
      <c r="E4691" s="1">
        <v>172.19</v>
      </c>
      <c r="F4691" s="1">
        <v>22094200</v>
      </c>
      <c r="G4691" s="1">
        <v>86.09</v>
      </c>
      <c r="H4691" s="1">
        <f t="shared" si="657"/>
        <v>12.879999999999995</v>
      </c>
      <c r="I4691" s="9">
        <f t="shared" si="664"/>
        <v>7.7999152183128417E-2</v>
      </c>
      <c r="J4691" s="1">
        <f t="shared" si="665"/>
        <v>3.75</v>
      </c>
      <c r="K4691" s="9">
        <f t="shared" si="658"/>
        <v>4.5542871022589262E-2</v>
      </c>
      <c r="L4691" s="1">
        <f t="shared" si="659"/>
        <v>0.49997096230907723</v>
      </c>
      <c r="M4691" s="1">
        <f t="shared" si="660"/>
        <v>88.999831000638835</v>
      </c>
      <c r="N4691" s="1">
        <f t="shared" si="661"/>
        <v>82.560205006097917</v>
      </c>
      <c r="O4691" s="1">
        <f t="shared" si="662"/>
        <v>84.13000000000001</v>
      </c>
      <c r="P4691" s="1">
        <f t="shared" si="663"/>
        <v>42.923469387755105</v>
      </c>
    </row>
    <row r="4692" spans="1:16">
      <c r="A4692" s="2">
        <v>36249</v>
      </c>
      <c r="B4692" s="1">
        <v>152.01</v>
      </c>
      <c r="C4692" s="1">
        <v>169.51</v>
      </c>
      <c r="D4692" s="1">
        <v>151.55000000000001</v>
      </c>
      <c r="E4692" s="1">
        <v>164.69</v>
      </c>
      <c r="F4692" s="1">
        <v>26177400</v>
      </c>
      <c r="G4692" s="1">
        <v>82.34</v>
      </c>
      <c r="H4692" s="1">
        <f t="shared" si="657"/>
        <v>17.95999999999998</v>
      </c>
      <c r="I4692" s="9">
        <f t="shared" si="664"/>
        <v>0.11850874298911236</v>
      </c>
      <c r="J4692" s="1">
        <f t="shared" si="665"/>
        <v>7.5300000000000011</v>
      </c>
      <c r="K4692" s="9">
        <f t="shared" si="658"/>
        <v>0.10065499264804172</v>
      </c>
      <c r="L4692" s="1">
        <f t="shared" si="659"/>
        <v>0.49996963992956467</v>
      </c>
      <c r="M4692" s="1">
        <f t="shared" si="660"/>
        <v>84.749853664460503</v>
      </c>
      <c r="N4692" s="1">
        <f t="shared" si="661"/>
        <v>75.770398931325531</v>
      </c>
      <c r="O4692" s="1">
        <f t="shared" si="662"/>
        <v>80.38000000000001</v>
      </c>
      <c r="P4692" s="1">
        <f t="shared" si="663"/>
        <v>41.010204081632658</v>
      </c>
    </row>
    <row r="4693" spans="1:16">
      <c r="A4693" s="2">
        <v>36248</v>
      </c>
      <c r="B4693" s="1">
        <v>150.01</v>
      </c>
      <c r="C4693" s="1">
        <v>151.51</v>
      </c>
      <c r="D4693" s="1">
        <v>148.01</v>
      </c>
      <c r="E4693" s="1">
        <v>149.63</v>
      </c>
      <c r="F4693" s="1">
        <v>18888000</v>
      </c>
      <c r="G4693" s="1">
        <v>74.81</v>
      </c>
      <c r="H4693" s="1">
        <f t="shared" si="657"/>
        <v>3.5</v>
      </c>
      <c r="I4693" s="9">
        <f t="shared" si="664"/>
        <v>2.3647050874940883E-2</v>
      </c>
      <c r="J4693" s="1">
        <f t="shared" si="665"/>
        <v>5.2800000000000011</v>
      </c>
      <c r="K4693" s="9">
        <f t="shared" si="658"/>
        <v>7.5938443837192587E-2</v>
      </c>
      <c r="L4693" s="1">
        <f t="shared" si="659"/>
        <v>0.49996658424112816</v>
      </c>
      <c r="M4693" s="1">
        <f t="shared" si="660"/>
        <v>75.74993717837333</v>
      </c>
      <c r="N4693" s="1">
        <f t="shared" si="661"/>
        <v>74.000054133529375</v>
      </c>
      <c r="O4693" s="1">
        <f t="shared" si="662"/>
        <v>72.850000000000009</v>
      </c>
      <c r="P4693" s="1">
        <f t="shared" si="663"/>
        <v>37.16836734693878</v>
      </c>
    </row>
    <row r="4694" spans="1:16">
      <c r="A4694" s="2">
        <v>36245</v>
      </c>
      <c r="B4694" s="1">
        <v>140</v>
      </c>
      <c r="C4694" s="1">
        <v>147.76</v>
      </c>
      <c r="D4694" s="1">
        <v>137.38</v>
      </c>
      <c r="E4694" s="1">
        <v>139.06</v>
      </c>
      <c r="F4694" s="1">
        <v>24922000</v>
      </c>
      <c r="G4694" s="1">
        <v>69.53</v>
      </c>
      <c r="H4694" s="1">
        <f t="shared" si="657"/>
        <v>10.379999999999995</v>
      </c>
      <c r="I4694" s="9">
        <f t="shared" si="664"/>
        <v>7.5556849614208735E-2</v>
      </c>
      <c r="J4694" s="1">
        <f t="shared" si="665"/>
        <v>-0.40999999999999659</v>
      </c>
      <c r="K4694" s="9">
        <f t="shared" si="658"/>
        <v>-5.8621675722046983E-3</v>
      </c>
      <c r="L4694" s="1">
        <f t="shared" si="659"/>
        <v>0.5</v>
      </c>
      <c r="M4694" s="1">
        <f t="shared" si="660"/>
        <v>73.88</v>
      </c>
      <c r="N4694" s="1">
        <f t="shared" si="661"/>
        <v>68.69</v>
      </c>
      <c r="O4694" s="1">
        <f t="shared" si="662"/>
        <v>67.570000000000007</v>
      </c>
      <c r="P4694" s="1">
        <f t="shared" si="663"/>
        <v>34.474489795918373</v>
      </c>
    </row>
    <row r="4695" spans="1:16">
      <c r="A4695" s="2">
        <v>36244</v>
      </c>
      <c r="B4695" s="1">
        <v>128.94</v>
      </c>
      <c r="C4695" s="1">
        <v>140</v>
      </c>
      <c r="D4695" s="1">
        <v>128.18</v>
      </c>
      <c r="E4695" s="1">
        <v>139.88</v>
      </c>
      <c r="F4695" s="1">
        <v>16099800</v>
      </c>
      <c r="G4695" s="1">
        <v>69.94</v>
      </c>
      <c r="H4695" s="1">
        <f t="shared" si="657"/>
        <v>11.819999999999993</v>
      </c>
      <c r="I4695" s="9">
        <f t="shared" si="664"/>
        <v>9.2214073958495804E-2</v>
      </c>
      <c r="J4695" s="1">
        <f t="shared" si="665"/>
        <v>8.0999999999999943</v>
      </c>
      <c r="K4695" s="9">
        <f t="shared" si="658"/>
        <v>0.13098318240620949</v>
      </c>
      <c r="L4695" s="1">
        <f t="shared" si="659"/>
        <v>0.5</v>
      </c>
      <c r="M4695" s="1">
        <f t="shared" si="660"/>
        <v>70</v>
      </c>
      <c r="N4695" s="1">
        <f t="shared" si="661"/>
        <v>64.09</v>
      </c>
      <c r="O4695" s="1">
        <f t="shared" si="662"/>
        <v>67.98</v>
      </c>
      <c r="P4695" s="1">
        <f t="shared" si="663"/>
        <v>34.683673469387756</v>
      </c>
    </row>
    <row r="4696" spans="1:16">
      <c r="A4696" s="2">
        <v>36243</v>
      </c>
      <c r="B4696" s="1">
        <v>117.19</v>
      </c>
      <c r="C4696" s="1">
        <v>124.01</v>
      </c>
      <c r="D4696" s="1">
        <v>114.01</v>
      </c>
      <c r="E4696" s="1">
        <v>123.69</v>
      </c>
      <c r="F4696" s="1">
        <v>11543800</v>
      </c>
      <c r="G4696" s="1">
        <v>61.84</v>
      </c>
      <c r="H4696" s="1">
        <f t="shared" si="657"/>
        <v>10</v>
      </c>
      <c r="I4696" s="9">
        <f t="shared" si="664"/>
        <v>8.7711604245241645E-2</v>
      </c>
      <c r="J4696" s="1">
        <f t="shared" si="665"/>
        <v>2.1500000000000057</v>
      </c>
      <c r="K4696" s="9">
        <f t="shared" si="658"/>
        <v>3.6019433740995241E-2</v>
      </c>
      <c r="L4696" s="1">
        <f t="shared" si="659"/>
        <v>0.49995957636025551</v>
      </c>
      <c r="M4696" s="1">
        <f t="shared" si="660"/>
        <v>61.999987064435288</v>
      </c>
      <c r="N4696" s="1">
        <f t="shared" si="661"/>
        <v>57.000391300832732</v>
      </c>
      <c r="O4696" s="1">
        <f t="shared" si="662"/>
        <v>59.88</v>
      </c>
      <c r="P4696" s="1">
        <f t="shared" si="663"/>
        <v>30.551020408163268</v>
      </c>
    </row>
    <row r="4697" spans="1:16">
      <c r="A4697" s="2">
        <v>36242</v>
      </c>
      <c r="B4697" s="1">
        <v>128.62</v>
      </c>
      <c r="C4697" s="1">
        <v>129.88</v>
      </c>
      <c r="D4697" s="1">
        <v>118</v>
      </c>
      <c r="E4697" s="1">
        <v>119.38</v>
      </c>
      <c r="F4697" s="1">
        <v>11216800</v>
      </c>
      <c r="G4697" s="1">
        <v>59.69</v>
      </c>
      <c r="H4697" s="1">
        <f t="shared" si="657"/>
        <v>11.879999999999995</v>
      </c>
      <c r="I4697" s="9">
        <f t="shared" si="664"/>
        <v>0.10067796610169488</v>
      </c>
      <c r="J4697" s="1">
        <f t="shared" si="665"/>
        <v>-6.3100000000000023</v>
      </c>
      <c r="K4697" s="9">
        <f t="shared" si="658"/>
        <v>-9.5606060606060639E-2</v>
      </c>
      <c r="L4697" s="1">
        <f t="shared" si="659"/>
        <v>0.5</v>
      </c>
      <c r="M4697" s="1">
        <f t="shared" si="660"/>
        <v>64.94</v>
      </c>
      <c r="N4697" s="1">
        <f t="shared" si="661"/>
        <v>59</v>
      </c>
      <c r="O4697" s="1">
        <f t="shared" si="662"/>
        <v>57.73</v>
      </c>
      <c r="P4697" s="1">
        <f t="shared" si="663"/>
        <v>29.454081632653061</v>
      </c>
    </row>
    <row r="4698" spans="1:16">
      <c r="A4698" s="2">
        <v>36241</v>
      </c>
      <c r="B4698" s="1">
        <v>133.18</v>
      </c>
      <c r="C4698" s="1">
        <v>136.5</v>
      </c>
      <c r="D4698" s="1">
        <v>130.5</v>
      </c>
      <c r="E4698" s="1">
        <v>132</v>
      </c>
      <c r="F4698" s="1">
        <v>6598400</v>
      </c>
      <c r="G4698" s="1">
        <v>66</v>
      </c>
      <c r="H4698" s="1">
        <f t="shared" si="657"/>
        <v>6</v>
      </c>
      <c r="I4698" s="9">
        <f t="shared" si="664"/>
        <v>4.5977011494252873E-2</v>
      </c>
      <c r="J4698" s="1">
        <f t="shared" si="665"/>
        <v>-1.5300000000000011</v>
      </c>
      <c r="K4698" s="9">
        <f t="shared" si="658"/>
        <v>-2.2656597067969807E-2</v>
      </c>
      <c r="L4698" s="1">
        <f t="shared" si="659"/>
        <v>0.5</v>
      </c>
      <c r="M4698" s="1">
        <f t="shared" si="660"/>
        <v>68.25</v>
      </c>
      <c r="N4698" s="1">
        <f t="shared" si="661"/>
        <v>65.25</v>
      </c>
      <c r="O4698" s="1">
        <f t="shared" si="662"/>
        <v>64.040000000000006</v>
      </c>
      <c r="P4698" s="1">
        <f t="shared" si="663"/>
        <v>32.673469387755105</v>
      </c>
    </row>
    <row r="4699" spans="1:16">
      <c r="A4699" s="2">
        <v>36238</v>
      </c>
      <c r="B4699" s="1">
        <v>141.88</v>
      </c>
      <c r="C4699" s="1">
        <v>143.06</v>
      </c>
      <c r="D4699" s="1">
        <v>135</v>
      </c>
      <c r="E4699" s="1">
        <v>135.06</v>
      </c>
      <c r="F4699" s="1">
        <v>10725200</v>
      </c>
      <c r="G4699" s="1">
        <v>67.53</v>
      </c>
      <c r="H4699" s="1">
        <f t="shared" si="657"/>
        <v>8.0600000000000023</v>
      </c>
      <c r="I4699" s="9">
        <f t="shared" si="664"/>
        <v>5.9703703703703717E-2</v>
      </c>
      <c r="J4699" s="1">
        <f t="shared" si="665"/>
        <v>-1.6899999999999977</v>
      </c>
      <c r="K4699" s="9">
        <f t="shared" si="658"/>
        <v>-2.4414908985842209E-2</v>
      </c>
      <c r="L4699" s="1">
        <f t="shared" si="659"/>
        <v>0.5</v>
      </c>
      <c r="M4699" s="1">
        <f t="shared" si="660"/>
        <v>71.53</v>
      </c>
      <c r="N4699" s="1">
        <f t="shared" si="661"/>
        <v>67.5</v>
      </c>
      <c r="O4699" s="1">
        <f t="shared" si="662"/>
        <v>65.570000000000007</v>
      </c>
      <c r="P4699" s="1">
        <f t="shared" si="663"/>
        <v>33.454081632653065</v>
      </c>
    </row>
    <row r="4700" spans="1:16">
      <c r="A4700" s="2">
        <v>36237</v>
      </c>
      <c r="B4700" s="1">
        <v>132.88</v>
      </c>
      <c r="C4700" s="1">
        <v>140</v>
      </c>
      <c r="D4700" s="1">
        <v>132.38</v>
      </c>
      <c r="E4700" s="1">
        <v>138.44</v>
      </c>
      <c r="F4700" s="1">
        <v>12300200</v>
      </c>
      <c r="G4700" s="1">
        <v>69.22</v>
      </c>
      <c r="H4700" s="1">
        <f t="shared" si="657"/>
        <v>7.6200000000000045</v>
      </c>
      <c r="I4700" s="9">
        <f t="shared" si="664"/>
        <v>5.756156519111652E-2</v>
      </c>
      <c r="J4700" s="1">
        <f t="shared" si="665"/>
        <v>3.7199999999999989</v>
      </c>
      <c r="K4700" s="9">
        <f t="shared" si="658"/>
        <v>5.6793893129770977E-2</v>
      </c>
      <c r="L4700" s="1">
        <f t="shared" si="659"/>
        <v>0.5</v>
      </c>
      <c r="M4700" s="1">
        <f t="shared" si="660"/>
        <v>70</v>
      </c>
      <c r="N4700" s="1">
        <f t="shared" si="661"/>
        <v>66.19</v>
      </c>
      <c r="O4700" s="1">
        <f t="shared" si="662"/>
        <v>67.260000000000005</v>
      </c>
      <c r="P4700" s="1">
        <f t="shared" si="663"/>
        <v>34.316326530612251</v>
      </c>
    </row>
    <row r="4701" spans="1:16">
      <c r="A4701" s="2">
        <v>36236</v>
      </c>
      <c r="B4701" s="1">
        <v>131.32</v>
      </c>
      <c r="C4701" s="1">
        <v>133.5</v>
      </c>
      <c r="D4701" s="1">
        <v>128.26</v>
      </c>
      <c r="E4701" s="1">
        <v>131</v>
      </c>
      <c r="F4701" s="1">
        <v>7867400</v>
      </c>
      <c r="G4701" s="1">
        <v>65.5</v>
      </c>
      <c r="H4701" s="1">
        <f t="shared" si="657"/>
        <v>5.2400000000000091</v>
      </c>
      <c r="I4701" s="9">
        <f t="shared" si="664"/>
        <v>4.0854514267893417E-2</v>
      </c>
      <c r="J4701" s="1">
        <f t="shared" si="665"/>
        <v>-1.4099999999999966</v>
      </c>
      <c r="K4701" s="9">
        <f t="shared" si="658"/>
        <v>-2.1073083246151498E-2</v>
      </c>
      <c r="L4701" s="1">
        <f t="shared" si="659"/>
        <v>0.5</v>
      </c>
      <c r="M4701" s="1">
        <f t="shared" si="660"/>
        <v>66.75</v>
      </c>
      <c r="N4701" s="1">
        <f t="shared" si="661"/>
        <v>64.13</v>
      </c>
      <c r="O4701" s="1">
        <f t="shared" si="662"/>
        <v>63.54</v>
      </c>
      <c r="P4701" s="1">
        <f t="shared" si="663"/>
        <v>32.418367346938773</v>
      </c>
    </row>
    <row r="4702" spans="1:16">
      <c r="A4702" s="2">
        <v>36235</v>
      </c>
      <c r="B4702" s="1">
        <v>138.99</v>
      </c>
      <c r="C4702" s="1">
        <v>140.37</v>
      </c>
      <c r="D4702" s="1">
        <v>132.75</v>
      </c>
      <c r="E4702" s="1">
        <v>133.81</v>
      </c>
      <c r="F4702" s="1">
        <v>7534400</v>
      </c>
      <c r="G4702" s="1">
        <v>66.91</v>
      </c>
      <c r="H4702" s="1">
        <f t="shared" si="657"/>
        <v>7.6200000000000045</v>
      </c>
      <c r="I4702" s="9">
        <f t="shared" si="664"/>
        <v>5.7401129943502861E-2</v>
      </c>
      <c r="J4702" s="1">
        <f t="shared" si="665"/>
        <v>-2.5600000000000023</v>
      </c>
      <c r="K4702" s="9">
        <f t="shared" si="658"/>
        <v>-3.6850439038433887E-2</v>
      </c>
      <c r="L4702" s="1">
        <f t="shared" si="659"/>
        <v>0.50003736641506613</v>
      </c>
      <c r="M4702" s="1">
        <f t="shared" si="660"/>
        <v>70.190245123682828</v>
      </c>
      <c r="N4702" s="1">
        <f t="shared" si="661"/>
        <v>66.379960391600022</v>
      </c>
      <c r="O4702" s="1">
        <f t="shared" si="662"/>
        <v>64.95</v>
      </c>
      <c r="P4702" s="1">
        <f t="shared" si="663"/>
        <v>33.137755102040821</v>
      </c>
    </row>
    <row r="4703" spans="1:16">
      <c r="A4703" s="2">
        <v>36234</v>
      </c>
      <c r="B4703" s="1">
        <v>133</v>
      </c>
      <c r="C4703" s="1">
        <v>139</v>
      </c>
      <c r="D4703" s="1">
        <v>131</v>
      </c>
      <c r="E4703" s="1">
        <v>138.94</v>
      </c>
      <c r="F4703" s="1">
        <v>7020800</v>
      </c>
      <c r="G4703" s="1">
        <v>69.47</v>
      </c>
      <c r="H4703" s="1">
        <f t="shared" si="657"/>
        <v>8</v>
      </c>
      <c r="I4703" s="9">
        <f t="shared" si="664"/>
        <v>6.1068702290076333E-2</v>
      </c>
      <c r="J4703" s="1">
        <f t="shared" si="665"/>
        <v>2.8100000000000023</v>
      </c>
      <c r="K4703" s="9">
        <f t="shared" si="658"/>
        <v>4.2154215421542192E-2</v>
      </c>
      <c r="L4703" s="1">
        <f t="shared" si="659"/>
        <v>0.5</v>
      </c>
      <c r="M4703" s="1">
        <f t="shared" si="660"/>
        <v>69.5</v>
      </c>
      <c r="N4703" s="1">
        <f t="shared" si="661"/>
        <v>65.5</v>
      </c>
      <c r="O4703" s="1">
        <f t="shared" si="662"/>
        <v>67.510000000000005</v>
      </c>
      <c r="P4703" s="1">
        <f t="shared" si="663"/>
        <v>34.443877551020414</v>
      </c>
    </row>
    <row r="4704" spans="1:16">
      <c r="A4704" s="2">
        <v>36231</v>
      </c>
      <c r="B4704" s="1">
        <v>133.99</v>
      </c>
      <c r="C4704" s="1">
        <v>135.37</v>
      </c>
      <c r="D4704" s="1">
        <v>128.61000000000001</v>
      </c>
      <c r="E4704" s="1">
        <v>133.31</v>
      </c>
      <c r="F4704" s="1">
        <v>9332600</v>
      </c>
      <c r="G4704" s="1">
        <v>66.66</v>
      </c>
      <c r="H4704" s="1">
        <f t="shared" si="657"/>
        <v>6.7599999999999909</v>
      </c>
      <c r="I4704" s="9">
        <f t="shared" si="664"/>
        <v>5.2562009175025196E-2</v>
      </c>
      <c r="J4704" s="1">
        <f t="shared" si="665"/>
        <v>-0.78000000000000114</v>
      </c>
      <c r="K4704" s="9">
        <f t="shared" si="658"/>
        <v>-1.1565836298932401E-2</v>
      </c>
      <c r="L4704" s="1">
        <f t="shared" si="659"/>
        <v>0.50003750656364865</v>
      </c>
      <c r="M4704" s="1">
        <f t="shared" si="660"/>
        <v>67.690077263521118</v>
      </c>
      <c r="N4704" s="1">
        <f t="shared" si="661"/>
        <v>64.309823719150856</v>
      </c>
      <c r="O4704" s="1">
        <f t="shared" si="662"/>
        <v>64.7</v>
      </c>
      <c r="P4704" s="1">
        <f t="shared" si="663"/>
        <v>33.010204081632658</v>
      </c>
    </row>
    <row r="4705" spans="1:16">
      <c r="A4705" s="2">
        <v>36230</v>
      </c>
      <c r="B4705" s="1">
        <v>139.76</v>
      </c>
      <c r="C4705" s="1">
        <v>142.76</v>
      </c>
      <c r="D4705" s="1">
        <v>131</v>
      </c>
      <c r="E4705" s="1">
        <v>134.88</v>
      </c>
      <c r="F4705" s="1">
        <v>16252200</v>
      </c>
      <c r="G4705" s="1">
        <v>67.44</v>
      </c>
      <c r="H4705" s="1">
        <f t="shared" si="657"/>
        <v>11.759999999999991</v>
      </c>
      <c r="I4705" s="9">
        <f t="shared" si="664"/>
        <v>8.9770992366412145E-2</v>
      </c>
      <c r="J4705" s="1">
        <f t="shared" si="665"/>
        <v>-1.1200000000000045</v>
      </c>
      <c r="K4705" s="9">
        <f t="shared" si="658"/>
        <v>-1.6336056009334955E-2</v>
      </c>
      <c r="L4705" s="1">
        <f t="shared" si="659"/>
        <v>0.5</v>
      </c>
      <c r="M4705" s="1">
        <f t="shared" si="660"/>
        <v>71.38</v>
      </c>
      <c r="N4705" s="1">
        <f t="shared" si="661"/>
        <v>65.5</v>
      </c>
      <c r="O4705" s="1">
        <f t="shared" si="662"/>
        <v>65.48</v>
      </c>
      <c r="P4705" s="1">
        <f t="shared" si="663"/>
        <v>33.408163265306122</v>
      </c>
    </row>
    <row r="4706" spans="1:16">
      <c r="A4706" s="2">
        <v>36229</v>
      </c>
      <c r="B4706" s="1">
        <v>136.77000000000001</v>
      </c>
      <c r="C4706" s="1">
        <v>138.94999999999999</v>
      </c>
      <c r="D4706" s="1">
        <v>134.01</v>
      </c>
      <c r="E4706" s="1">
        <v>137.13</v>
      </c>
      <c r="F4706" s="1">
        <v>14117600</v>
      </c>
      <c r="G4706" s="1">
        <v>68.56</v>
      </c>
      <c r="H4706" s="1">
        <f t="shared" si="657"/>
        <v>4.9399999999999977</v>
      </c>
      <c r="I4706" s="9">
        <f t="shared" si="664"/>
        <v>3.6862920677561362E-2</v>
      </c>
      <c r="J4706" s="1">
        <f t="shared" si="665"/>
        <v>3.5900000000000034</v>
      </c>
      <c r="K4706" s="9">
        <f t="shared" si="658"/>
        <v>5.525627212559648E-2</v>
      </c>
      <c r="L4706" s="1">
        <f t="shared" si="659"/>
        <v>0.49996353824837747</v>
      </c>
      <c r="M4706" s="1">
        <f t="shared" si="660"/>
        <v>69.469933639612037</v>
      </c>
      <c r="N4706" s="1">
        <f t="shared" si="661"/>
        <v>67.000113760665059</v>
      </c>
      <c r="O4706" s="1">
        <f t="shared" si="662"/>
        <v>66.600000000000009</v>
      </c>
      <c r="P4706" s="1">
        <f t="shared" si="663"/>
        <v>33.979591836734699</v>
      </c>
    </row>
    <row r="4707" spans="1:16">
      <c r="A4707" s="2">
        <v>36228</v>
      </c>
      <c r="B4707" s="1">
        <v>125.12</v>
      </c>
      <c r="C4707" s="1">
        <v>133.26</v>
      </c>
      <c r="D4707" s="1">
        <v>123.44</v>
      </c>
      <c r="E4707" s="1">
        <v>129.94</v>
      </c>
      <c r="F4707" s="1">
        <v>16292000</v>
      </c>
      <c r="G4707" s="1">
        <v>64.97</v>
      </c>
      <c r="H4707" s="1">
        <f t="shared" si="657"/>
        <v>9.8199999999999932</v>
      </c>
      <c r="I4707" s="9">
        <f t="shared" si="664"/>
        <v>7.9552819183408896E-2</v>
      </c>
      <c r="J4707" s="1">
        <f t="shared" si="665"/>
        <v>3.8799999999999955</v>
      </c>
      <c r="K4707" s="9">
        <f t="shared" si="658"/>
        <v>6.3512849893599524E-2</v>
      </c>
      <c r="L4707" s="1">
        <f t="shared" si="659"/>
        <v>0.5</v>
      </c>
      <c r="M4707" s="1">
        <f t="shared" si="660"/>
        <v>66.63</v>
      </c>
      <c r="N4707" s="1">
        <f t="shared" si="661"/>
        <v>61.72</v>
      </c>
      <c r="O4707" s="1">
        <f t="shared" si="662"/>
        <v>63.01</v>
      </c>
      <c r="P4707" s="1">
        <f t="shared" si="663"/>
        <v>32.147959183673471</v>
      </c>
    </row>
    <row r="4708" spans="1:16">
      <c r="A4708" s="2">
        <v>36227</v>
      </c>
      <c r="B4708" s="1">
        <v>121.45</v>
      </c>
      <c r="C4708" s="1">
        <v>126.45</v>
      </c>
      <c r="D4708" s="1">
        <v>119.27</v>
      </c>
      <c r="E4708" s="1">
        <v>122.19</v>
      </c>
      <c r="F4708" s="1">
        <v>10462600</v>
      </c>
      <c r="G4708" s="1">
        <v>61.09</v>
      </c>
      <c r="H4708" s="1">
        <f t="shared" si="657"/>
        <v>7.1800000000000068</v>
      </c>
      <c r="I4708" s="9">
        <f t="shared" si="664"/>
        <v>6.0199547245745007E-2</v>
      </c>
      <c r="J4708" s="1">
        <f t="shared" si="665"/>
        <v>0.34000000000000341</v>
      </c>
      <c r="K4708" s="9">
        <f t="shared" si="658"/>
        <v>5.5967078189300976E-3</v>
      </c>
      <c r="L4708" s="1">
        <f t="shared" si="659"/>
        <v>0.49995908012112289</v>
      </c>
      <c r="M4708" s="1">
        <f t="shared" si="660"/>
        <v>63.219825681315989</v>
      </c>
      <c r="N4708" s="1">
        <f t="shared" si="661"/>
        <v>59.630119486046326</v>
      </c>
      <c r="O4708" s="1">
        <f t="shared" si="662"/>
        <v>59.13</v>
      </c>
      <c r="P4708" s="1">
        <f t="shared" si="663"/>
        <v>30.168367346938776</v>
      </c>
    </row>
    <row r="4709" spans="1:16">
      <c r="A4709" s="2">
        <v>36224</v>
      </c>
      <c r="B4709" s="1">
        <v>123.94</v>
      </c>
      <c r="C4709" s="1">
        <v>124.5</v>
      </c>
      <c r="D4709" s="1">
        <v>118.38</v>
      </c>
      <c r="E4709" s="1">
        <v>121.5</v>
      </c>
      <c r="F4709" s="1">
        <v>12176200</v>
      </c>
      <c r="G4709" s="1">
        <v>60.75</v>
      </c>
      <c r="H4709" s="1">
        <f t="shared" si="657"/>
        <v>6.1200000000000045</v>
      </c>
      <c r="I4709" s="9">
        <f t="shared" si="664"/>
        <v>5.1697921946274747E-2</v>
      </c>
      <c r="J4709" s="1">
        <f t="shared" si="665"/>
        <v>0.68999999999999773</v>
      </c>
      <c r="K4709" s="9">
        <f t="shared" si="658"/>
        <v>1.148851148851145E-2</v>
      </c>
      <c r="L4709" s="1">
        <f t="shared" si="659"/>
        <v>0.5</v>
      </c>
      <c r="M4709" s="1">
        <f t="shared" si="660"/>
        <v>62.25</v>
      </c>
      <c r="N4709" s="1">
        <f t="shared" si="661"/>
        <v>59.19</v>
      </c>
      <c r="O4709" s="1">
        <f t="shared" si="662"/>
        <v>58.79</v>
      </c>
      <c r="P4709" s="1">
        <f t="shared" si="663"/>
        <v>29.994897959183675</v>
      </c>
    </row>
    <row r="4710" spans="1:16">
      <c r="A4710" s="2">
        <v>36223</v>
      </c>
      <c r="B4710" s="1">
        <v>125.51</v>
      </c>
      <c r="C4710" s="1">
        <v>127.01</v>
      </c>
      <c r="D4710" s="1">
        <v>115.89</v>
      </c>
      <c r="E4710" s="1">
        <v>120.13</v>
      </c>
      <c r="F4710" s="1">
        <v>17887400</v>
      </c>
      <c r="G4710" s="1">
        <v>60.06</v>
      </c>
      <c r="H4710" s="1">
        <f t="shared" si="657"/>
        <v>11.120000000000005</v>
      </c>
      <c r="I4710" s="9">
        <f t="shared" si="664"/>
        <v>9.5953058935197205E-2</v>
      </c>
      <c r="J4710" s="1">
        <f t="shared" si="665"/>
        <v>-1.6899999999999977</v>
      </c>
      <c r="K4710" s="9">
        <f t="shared" si="658"/>
        <v>-2.7368421052631542E-2</v>
      </c>
      <c r="L4710" s="1">
        <f t="shared" si="659"/>
        <v>0.49995837842337471</v>
      </c>
      <c r="M4710" s="1">
        <f t="shared" si="660"/>
        <v>63.499713643552823</v>
      </c>
      <c r="N4710" s="1">
        <f t="shared" si="661"/>
        <v>57.940176475484897</v>
      </c>
      <c r="O4710" s="1">
        <f t="shared" si="662"/>
        <v>58.1</v>
      </c>
      <c r="P4710" s="1">
        <f t="shared" si="663"/>
        <v>29.642857142857142</v>
      </c>
    </row>
    <row r="4711" spans="1:16">
      <c r="A4711" s="2">
        <v>36222</v>
      </c>
      <c r="B4711" s="1">
        <v>123.76</v>
      </c>
      <c r="C4711" s="1">
        <v>127.5</v>
      </c>
      <c r="D4711" s="1">
        <v>120.26</v>
      </c>
      <c r="E4711" s="1">
        <v>123.5</v>
      </c>
      <c r="F4711" s="1">
        <v>15528800</v>
      </c>
      <c r="G4711" s="1">
        <v>61.75</v>
      </c>
      <c r="H4711" s="1">
        <f t="shared" si="657"/>
        <v>7.2399999999999949</v>
      </c>
      <c r="I4711" s="9">
        <f t="shared" si="664"/>
        <v>6.0202893730251075E-2</v>
      </c>
      <c r="J4711" s="1">
        <f t="shared" si="665"/>
        <v>1.0900000000000034</v>
      </c>
      <c r="K4711" s="9">
        <f t="shared" si="658"/>
        <v>1.7969007583250964E-2</v>
      </c>
      <c r="L4711" s="1">
        <f t="shared" si="659"/>
        <v>0.5</v>
      </c>
      <c r="M4711" s="1">
        <f t="shared" si="660"/>
        <v>63.75</v>
      </c>
      <c r="N4711" s="1">
        <f t="shared" si="661"/>
        <v>60.13</v>
      </c>
      <c r="O4711" s="1">
        <f t="shared" si="662"/>
        <v>59.79</v>
      </c>
      <c r="P4711" s="1">
        <f t="shared" si="663"/>
        <v>30.505102040816325</v>
      </c>
    </row>
    <row r="4712" spans="1:16">
      <c r="A4712" s="2">
        <v>36221</v>
      </c>
      <c r="B4712" s="1">
        <v>134.43</v>
      </c>
      <c r="C4712" s="1">
        <v>135.75</v>
      </c>
      <c r="D4712" s="1">
        <v>121.05</v>
      </c>
      <c r="E4712" s="1">
        <v>121.31</v>
      </c>
      <c r="F4712" s="1">
        <v>16603200</v>
      </c>
      <c r="G4712" s="1">
        <v>60.66</v>
      </c>
      <c r="H4712" s="1">
        <f t="shared" si="657"/>
        <v>14.700000000000003</v>
      </c>
      <c r="I4712" s="9">
        <f t="shared" si="664"/>
        <v>0.12143742255266421</v>
      </c>
      <c r="J4712" s="1">
        <f t="shared" si="665"/>
        <v>-5.8400000000000034</v>
      </c>
      <c r="K4712" s="9">
        <f t="shared" si="658"/>
        <v>-8.7819548872180506E-2</v>
      </c>
      <c r="L4712" s="1">
        <f t="shared" si="659"/>
        <v>0.50004121671750057</v>
      </c>
      <c r="M4712" s="1">
        <f t="shared" si="660"/>
        <v>67.880595169400706</v>
      </c>
      <c r="N4712" s="1">
        <f t="shared" si="661"/>
        <v>60.529989283653443</v>
      </c>
      <c r="O4712" s="1">
        <f t="shared" si="662"/>
        <v>58.699999999999996</v>
      </c>
      <c r="P4712" s="1">
        <f t="shared" si="663"/>
        <v>29.948979591836732</v>
      </c>
    </row>
    <row r="4713" spans="1:16">
      <c r="A4713" s="2">
        <v>36220</v>
      </c>
      <c r="B4713" s="1">
        <v>127</v>
      </c>
      <c r="C4713" s="1">
        <v>136.06</v>
      </c>
      <c r="D4713" s="1">
        <v>124</v>
      </c>
      <c r="E4713" s="1">
        <v>133</v>
      </c>
      <c r="F4713" s="1">
        <v>19369000</v>
      </c>
      <c r="G4713" s="1">
        <v>66.5</v>
      </c>
      <c r="H4713" s="1">
        <f t="shared" si="657"/>
        <v>12.060000000000002</v>
      </c>
      <c r="I4713" s="9">
        <f t="shared" si="664"/>
        <v>9.7258064516129047E-2</v>
      </c>
      <c r="J4713" s="1">
        <f t="shared" si="665"/>
        <v>2.4399999999999977</v>
      </c>
      <c r="K4713" s="9">
        <f t="shared" si="658"/>
        <v>3.8089291289416134E-2</v>
      </c>
      <c r="L4713" s="1">
        <f t="shared" si="659"/>
        <v>0.5</v>
      </c>
      <c r="M4713" s="1">
        <f t="shared" si="660"/>
        <v>68.03</v>
      </c>
      <c r="N4713" s="1">
        <f t="shared" si="661"/>
        <v>62</v>
      </c>
      <c r="O4713" s="1">
        <f t="shared" si="662"/>
        <v>64.540000000000006</v>
      </c>
      <c r="P4713" s="1">
        <f t="shared" si="663"/>
        <v>32.928571428571431</v>
      </c>
    </row>
    <row r="4714" spans="1:16">
      <c r="A4714" s="2">
        <v>36217</v>
      </c>
      <c r="B4714" s="1">
        <v>126.77</v>
      </c>
      <c r="C4714" s="1">
        <v>130.01</v>
      </c>
      <c r="D4714" s="1">
        <v>121.01</v>
      </c>
      <c r="E4714" s="1">
        <v>128.13</v>
      </c>
      <c r="F4714" s="1">
        <v>25365400</v>
      </c>
      <c r="G4714" s="1">
        <v>64.06</v>
      </c>
      <c r="H4714" s="1">
        <f t="shared" si="657"/>
        <v>8.9999999999999858</v>
      </c>
      <c r="I4714" s="9">
        <f t="shared" si="664"/>
        <v>7.4374018676142351E-2</v>
      </c>
      <c r="J4714" s="1">
        <f t="shared" si="665"/>
        <v>1.5600000000000023</v>
      </c>
      <c r="K4714" s="9">
        <f t="shared" si="658"/>
        <v>2.4960000000000038E-2</v>
      </c>
      <c r="L4714" s="1">
        <f t="shared" si="659"/>
        <v>0.49996097713259974</v>
      </c>
      <c r="M4714" s="1">
        <f t="shared" si="660"/>
        <v>64.999926637009281</v>
      </c>
      <c r="N4714" s="1">
        <f t="shared" si="661"/>
        <v>60.500277842815898</v>
      </c>
      <c r="O4714" s="1">
        <f t="shared" si="662"/>
        <v>62.1</v>
      </c>
      <c r="P4714" s="1">
        <f t="shared" si="663"/>
        <v>31.683673469387756</v>
      </c>
    </row>
    <row r="4715" spans="1:16">
      <c r="A4715" s="2">
        <v>36216</v>
      </c>
      <c r="B4715" s="1">
        <v>116.62</v>
      </c>
      <c r="C4715" s="1">
        <v>125.62</v>
      </c>
      <c r="D4715" s="1">
        <v>114.62</v>
      </c>
      <c r="E4715" s="1">
        <v>125</v>
      </c>
      <c r="F4715" s="1">
        <v>36689800</v>
      </c>
      <c r="G4715" s="1">
        <v>62.5</v>
      </c>
      <c r="H4715" s="1">
        <f t="shared" si="657"/>
        <v>11</v>
      </c>
      <c r="I4715" s="9">
        <f t="shared" si="664"/>
        <v>9.5969289827255277E-2</v>
      </c>
      <c r="J4715" s="1">
        <f t="shared" si="665"/>
        <v>7.0300000000000011</v>
      </c>
      <c r="K4715" s="9">
        <f t="shared" si="658"/>
        <v>0.12673517216513433</v>
      </c>
      <c r="L4715" s="1">
        <f t="shared" si="659"/>
        <v>0.5</v>
      </c>
      <c r="M4715" s="1">
        <f t="shared" si="660"/>
        <v>62.81</v>
      </c>
      <c r="N4715" s="1">
        <f t="shared" si="661"/>
        <v>57.31</v>
      </c>
      <c r="O4715" s="1">
        <f t="shared" si="662"/>
        <v>60.54</v>
      </c>
      <c r="P4715" s="1">
        <f t="shared" si="663"/>
        <v>30.887755102040817</v>
      </c>
    </row>
    <row r="4716" spans="1:16">
      <c r="A4716" s="2">
        <v>36215</v>
      </c>
      <c r="B4716" s="1">
        <v>117.62</v>
      </c>
      <c r="C4716" s="1">
        <v>122.18</v>
      </c>
      <c r="D4716" s="1">
        <v>110.26</v>
      </c>
      <c r="E4716" s="1">
        <v>110.94</v>
      </c>
      <c r="F4716" s="1">
        <v>24786400</v>
      </c>
      <c r="G4716" s="1">
        <v>55.47</v>
      </c>
      <c r="H4716" s="1">
        <f t="shared" si="657"/>
        <v>11.920000000000002</v>
      </c>
      <c r="I4716" s="9">
        <f t="shared" si="664"/>
        <v>0.10810810810810811</v>
      </c>
      <c r="J4716" s="1">
        <f t="shared" si="665"/>
        <v>-2.1200000000000045</v>
      </c>
      <c r="K4716" s="9">
        <f t="shared" si="658"/>
        <v>-3.6811946518492872E-2</v>
      </c>
      <c r="L4716" s="1">
        <f t="shared" si="659"/>
        <v>0.5</v>
      </c>
      <c r="M4716" s="1">
        <f t="shared" si="660"/>
        <v>61.09</v>
      </c>
      <c r="N4716" s="1">
        <f t="shared" si="661"/>
        <v>55.13</v>
      </c>
      <c r="O4716" s="1">
        <f t="shared" si="662"/>
        <v>53.51</v>
      </c>
      <c r="P4716" s="1">
        <f t="shared" si="663"/>
        <v>27.301020408163264</v>
      </c>
    </row>
    <row r="4717" spans="1:16">
      <c r="A4717" s="2">
        <v>36214</v>
      </c>
      <c r="B4717" s="1">
        <v>110.13</v>
      </c>
      <c r="C4717" s="1">
        <v>117.01</v>
      </c>
      <c r="D4717" s="1">
        <v>109.51</v>
      </c>
      <c r="E4717" s="1">
        <v>115.19</v>
      </c>
      <c r="F4717" s="1">
        <v>21139200</v>
      </c>
      <c r="G4717" s="1">
        <v>57.59</v>
      </c>
      <c r="H4717" s="1">
        <f t="shared" si="657"/>
        <v>7.5</v>
      </c>
      <c r="I4717" s="9">
        <f t="shared" si="664"/>
        <v>6.84868961738654E-2</v>
      </c>
      <c r="J4717" s="1">
        <f t="shared" si="665"/>
        <v>4.3400000000000034</v>
      </c>
      <c r="K4717" s="9">
        <f t="shared" si="658"/>
        <v>8.1502347417840446E-2</v>
      </c>
      <c r="L4717" s="1">
        <f t="shared" si="659"/>
        <v>0.49995659345429294</v>
      </c>
      <c r="M4717" s="1">
        <f t="shared" si="660"/>
        <v>58.499921000086822</v>
      </c>
      <c r="N4717" s="1">
        <f t="shared" si="661"/>
        <v>54.750246549179622</v>
      </c>
      <c r="O4717" s="1">
        <f t="shared" si="662"/>
        <v>55.63</v>
      </c>
      <c r="P4717" s="1">
        <f t="shared" si="663"/>
        <v>28.382653061224492</v>
      </c>
    </row>
    <row r="4718" spans="1:16">
      <c r="A4718" s="2">
        <v>36213</v>
      </c>
      <c r="B4718" s="1">
        <v>101.76</v>
      </c>
      <c r="C4718" s="1">
        <v>109.62</v>
      </c>
      <c r="D4718" s="1">
        <v>98</v>
      </c>
      <c r="E4718" s="1">
        <v>106.5</v>
      </c>
      <c r="F4718" s="1">
        <v>19212200</v>
      </c>
      <c r="G4718" s="1">
        <v>53.25</v>
      </c>
      <c r="H4718" s="1">
        <f t="shared" si="657"/>
        <v>11.620000000000005</v>
      </c>
      <c r="I4718" s="9">
        <f t="shared" si="664"/>
        <v>0.11857142857142862</v>
      </c>
      <c r="J4718" s="1">
        <f t="shared" si="665"/>
        <v>2.3100000000000023</v>
      </c>
      <c r="K4718" s="9">
        <f t="shared" si="658"/>
        <v>4.5347467608951753E-2</v>
      </c>
      <c r="L4718" s="1">
        <f t="shared" si="659"/>
        <v>0.5</v>
      </c>
      <c r="M4718" s="1">
        <f t="shared" si="660"/>
        <v>54.81</v>
      </c>
      <c r="N4718" s="1">
        <f t="shared" si="661"/>
        <v>49</v>
      </c>
      <c r="O4718" s="1">
        <f t="shared" si="662"/>
        <v>51.29</v>
      </c>
      <c r="P4718" s="1">
        <f t="shared" si="663"/>
        <v>26.168367346938776</v>
      </c>
    </row>
    <row r="4719" spans="1:16">
      <c r="A4719" s="2">
        <v>36210</v>
      </c>
      <c r="B4719" s="1">
        <v>94.38</v>
      </c>
      <c r="C4719" s="1">
        <v>102.5</v>
      </c>
      <c r="D4719" s="1">
        <v>91</v>
      </c>
      <c r="E4719" s="1">
        <v>101.88</v>
      </c>
      <c r="F4719" s="1">
        <v>26918200</v>
      </c>
      <c r="G4719" s="1">
        <v>50.94</v>
      </c>
      <c r="H4719" s="1">
        <f t="shared" si="657"/>
        <v>11.5</v>
      </c>
      <c r="I4719" s="9">
        <f t="shared" si="664"/>
        <v>0.12637362637362637</v>
      </c>
      <c r="J4719" s="1">
        <f t="shared" si="665"/>
        <v>6.1899999999999977</v>
      </c>
      <c r="K4719" s="9">
        <f t="shared" si="658"/>
        <v>0.13832402234636867</v>
      </c>
      <c r="L4719" s="1">
        <f t="shared" si="659"/>
        <v>0.5</v>
      </c>
      <c r="M4719" s="1">
        <f t="shared" si="660"/>
        <v>51.25</v>
      </c>
      <c r="N4719" s="1">
        <f t="shared" si="661"/>
        <v>45.5</v>
      </c>
      <c r="O4719" s="1">
        <f t="shared" si="662"/>
        <v>48.98</v>
      </c>
      <c r="P4719" s="1">
        <f t="shared" si="663"/>
        <v>24.989795918367346</v>
      </c>
    </row>
    <row r="4720" spans="1:16">
      <c r="A4720" s="2">
        <v>36209</v>
      </c>
      <c r="B4720" s="1">
        <v>96.5</v>
      </c>
      <c r="C4720" s="1">
        <v>96.5</v>
      </c>
      <c r="D4720" s="1">
        <v>84.26</v>
      </c>
      <c r="E4720" s="1">
        <v>89.5</v>
      </c>
      <c r="F4720" s="1">
        <v>21562600</v>
      </c>
      <c r="G4720" s="1">
        <v>44.75</v>
      </c>
      <c r="H4720" s="1">
        <f t="shared" si="657"/>
        <v>12.239999999999995</v>
      </c>
      <c r="I4720" s="9">
        <f t="shared" si="664"/>
        <v>0.14526465701400421</v>
      </c>
      <c r="J4720" s="1">
        <f t="shared" si="665"/>
        <v>-2</v>
      </c>
      <c r="K4720" s="9">
        <f t="shared" si="658"/>
        <v>-4.2780748663101602E-2</v>
      </c>
      <c r="L4720" s="1">
        <f t="shared" si="659"/>
        <v>0.5</v>
      </c>
      <c r="M4720" s="1">
        <f t="shared" si="660"/>
        <v>48.25</v>
      </c>
      <c r="N4720" s="1">
        <f t="shared" si="661"/>
        <v>42.13</v>
      </c>
      <c r="O4720" s="1">
        <f t="shared" si="662"/>
        <v>42.79</v>
      </c>
      <c r="P4720" s="1">
        <f t="shared" si="663"/>
        <v>21.831632653061224</v>
      </c>
    </row>
    <row r="4721" spans="1:16">
      <c r="A4721" s="2">
        <v>36208</v>
      </c>
      <c r="B4721" s="1">
        <v>98.44</v>
      </c>
      <c r="C4721" s="1">
        <v>102.06</v>
      </c>
      <c r="D4721" s="1">
        <v>92.5</v>
      </c>
      <c r="E4721" s="1">
        <v>93.5</v>
      </c>
      <c r="F4721" s="1">
        <v>9668600</v>
      </c>
      <c r="G4721" s="1">
        <v>46.75</v>
      </c>
      <c r="H4721" s="1">
        <f t="shared" si="657"/>
        <v>9.5600000000000023</v>
      </c>
      <c r="I4721" s="9">
        <f t="shared" si="664"/>
        <v>0.10335135135135137</v>
      </c>
      <c r="J4721" s="1">
        <f t="shared" si="665"/>
        <v>-2.5600000000000023</v>
      </c>
      <c r="K4721" s="9">
        <f t="shared" si="658"/>
        <v>-5.1916446968160661E-2</v>
      </c>
      <c r="L4721" s="1">
        <f t="shared" si="659"/>
        <v>0.5</v>
      </c>
      <c r="M4721" s="1">
        <f t="shared" si="660"/>
        <v>51.03</v>
      </c>
      <c r="N4721" s="1">
        <f t="shared" si="661"/>
        <v>46.25</v>
      </c>
      <c r="O4721" s="1">
        <f t="shared" si="662"/>
        <v>44.79</v>
      </c>
      <c r="P4721" s="1">
        <f t="shared" si="663"/>
        <v>22.852040816326532</v>
      </c>
    </row>
    <row r="4722" spans="1:16">
      <c r="A4722" s="2">
        <v>36207</v>
      </c>
      <c r="B4722" s="1">
        <v>106.89</v>
      </c>
      <c r="C4722" s="1">
        <v>108.51</v>
      </c>
      <c r="D4722" s="1">
        <v>97.01</v>
      </c>
      <c r="E4722" s="1">
        <v>98.63</v>
      </c>
      <c r="F4722" s="1">
        <v>7779800</v>
      </c>
      <c r="G4722" s="1">
        <v>49.31</v>
      </c>
      <c r="H4722" s="1">
        <f t="shared" si="657"/>
        <v>11.5</v>
      </c>
      <c r="I4722" s="9">
        <f t="shared" si="664"/>
        <v>0.11854447995052056</v>
      </c>
      <c r="J4722" s="1">
        <f t="shared" si="665"/>
        <v>-2.9399999999999977</v>
      </c>
      <c r="K4722" s="9">
        <f t="shared" si="658"/>
        <v>-5.6267942583732015E-2</v>
      </c>
      <c r="L4722" s="1">
        <f t="shared" si="659"/>
        <v>0.49994930548514654</v>
      </c>
      <c r="M4722" s="1">
        <f t="shared" si="660"/>
        <v>54.249499138193251</v>
      </c>
      <c r="N4722" s="1">
        <f t="shared" si="661"/>
        <v>48.500082125114069</v>
      </c>
      <c r="O4722" s="1">
        <f t="shared" si="662"/>
        <v>47.35</v>
      </c>
      <c r="P4722" s="1">
        <f t="shared" si="663"/>
        <v>24.158163265306122</v>
      </c>
    </row>
    <row r="4723" spans="1:16">
      <c r="A4723" s="2">
        <v>36203</v>
      </c>
      <c r="B4723" s="1">
        <v>108</v>
      </c>
      <c r="C4723" s="1">
        <v>109.88</v>
      </c>
      <c r="D4723" s="1">
        <v>103.62</v>
      </c>
      <c r="E4723" s="1">
        <v>104.5</v>
      </c>
      <c r="F4723" s="1">
        <v>7765400</v>
      </c>
      <c r="G4723" s="1">
        <v>52.25</v>
      </c>
      <c r="H4723" s="1">
        <f t="shared" si="657"/>
        <v>6.2599999999999909</v>
      </c>
      <c r="I4723" s="9">
        <f t="shared" si="664"/>
        <v>6.041304767419408E-2</v>
      </c>
      <c r="J4723" s="1">
        <f t="shared" si="665"/>
        <v>-2.6899999999999977</v>
      </c>
      <c r="K4723" s="9">
        <f t="shared" si="658"/>
        <v>-4.8962504550418597E-2</v>
      </c>
      <c r="L4723" s="1">
        <f t="shared" si="659"/>
        <v>0.5</v>
      </c>
      <c r="M4723" s="1">
        <f t="shared" si="660"/>
        <v>54.94</v>
      </c>
      <c r="N4723" s="1">
        <f t="shared" si="661"/>
        <v>51.81</v>
      </c>
      <c r="O4723" s="1">
        <f t="shared" si="662"/>
        <v>50.29</v>
      </c>
      <c r="P4723" s="1">
        <f t="shared" si="663"/>
        <v>25.658163265306122</v>
      </c>
    </row>
    <row r="4724" spans="1:16">
      <c r="A4724" s="2">
        <v>36202</v>
      </c>
      <c r="B4724" s="1">
        <v>100.5</v>
      </c>
      <c r="C4724" s="1">
        <v>110.18</v>
      </c>
      <c r="D4724" s="1">
        <v>99.5</v>
      </c>
      <c r="E4724" s="1">
        <v>109.88</v>
      </c>
      <c r="F4724" s="1">
        <v>13793000</v>
      </c>
      <c r="G4724" s="1">
        <v>54.94</v>
      </c>
      <c r="H4724" s="1">
        <f t="shared" si="657"/>
        <v>10.680000000000007</v>
      </c>
      <c r="I4724" s="9">
        <f t="shared" si="664"/>
        <v>0.10733668341708549</v>
      </c>
      <c r="J4724" s="1">
        <f t="shared" si="665"/>
        <v>6.2199999999999989</v>
      </c>
      <c r="K4724" s="9">
        <f t="shared" si="658"/>
        <v>0.12766830870279144</v>
      </c>
      <c r="L4724" s="1">
        <f t="shared" si="659"/>
        <v>0.5</v>
      </c>
      <c r="M4724" s="1">
        <f t="shared" si="660"/>
        <v>55.09</v>
      </c>
      <c r="N4724" s="1">
        <f t="shared" si="661"/>
        <v>49.75</v>
      </c>
      <c r="O4724" s="1">
        <f t="shared" si="662"/>
        <v>52.98</v>
      </c>
      <c r="P4724" s="1">
        <f t="shared" si="663"/>
        <v>27.030612244897959</v>
      </c>
    </row>
    <row r="4725" spans="1:16">
      <c r="A4725" s="2">
        <v>36201</v>
      </c>
      <c r="B4725" s="1">
        <v>98.26</v>
      </c>
      <c r="C4725" s="1">
        <v>103.38</v>
      </c>
      <c r="D4725" s="1">
        <v>95</v>
      </c>
      <c r="E4725" s="1">
        <v>97.44</v>
      </c>
      <c r="F4725" s="1">
        <v>13205000</v>
      </c>
      <c r="G4725" s="1">
        <v>48.72</v>
      </c>
      <c r="H4725" s="1">
        <f t="shared" si="657"/>
        <v>8.3799999999999955</v>
      </c>
      <c r="I4725" s="9">
        <f t="shared" si="664"/>
        <v>8.821052631578942E-2</v>
      </c>
      <c r="J4725" s="1">
        <f t="shared" si="665"/>
        <v>-1.2800000000000011</v>
      </c>
      <c r="K4725" s="9">
        <f t="shared" si="658"/>
        <v>-2.5600000000000022E-2</v>
      </c>
      <c r="L4725" s="1">
        <f t="shared" si="659"/>
        <v>0.5</v>
      </c>
      <c r="M4725" s="1">
        <f t="shared" si="660"/>
        <v>51.69</v>
      </c>
      <c r="N4725" s="1">
        <f t="shared" si="661"/>
        <v>47.5</v>
      </c>
      <c r="O4725" s="1">
        <f t="shared" si="662"/>
        <v>46.76</v>
      </c>
      <c r="P4725" s="1">
        <f t="shared" si="663"/>
        <v>23.857142857142858</v>
      </c>
    </row>
    <row r="4726" spans="1:16">
      <c r="A4726" s="2">
        <v>36200</v>
      </c>
      <c r="B4726" s="1">
        <v>107.94</v>
      </c>
      <c r="C4726" s="1">
        <v>108</v>
      </c>
      <c r="D4726" s="1">
        <v>99.94</v>
      </c>
      <c r="E4726" s="1">
        <v>100</v>
      </c>
      <c r="F4726" s="1">
        <v>12826000</v>
      </c>
      <c r="G4726" s="1">
        <v>50</v>
      </c>
      <c r="H4726" s="1">
        <f t="shared" si="657"/>
        <v>8.0600000000000023</v>
      </c>
      <c r="I4726" s="9">
        <f t="shared" si="664"/>
        <v>8.0648389033420073E-2</v>
      </c>
      <c r="J4726" s="1">
        <f t="shared" si="665"/>
        <v>-4.5600000000000023</v>
      </c>
      <c r="K4726" s="9">
        <f t="shared" si="658"/>
        <v>-8.3577712609970711E-2</v>
      </c>
      <c r="L4726" s="1">
        <f t="shared" si="659"/>
        <v>0.5</v>
      </c>
      <c r="M4726" s="1">
        <f t="shared" si="660"/>
        <v>54</v>
      </c>
      <c r="N4726" s="1">
        <f t="shared" si="661"/>
        <v>49.97</v>
      </c>
      <c r="O4726" s="1">
        <f t="shared" si="662"/>
        <v>48.04</v>
      </c>
      <c r="P4726" s="1">
        <f t="shared" si="663"/>
        <v>24.510204081632654</v>
      </c>
    </row>
    <row r="4727" spans="1:16">
      <c r="A4727" s="2">
        <v>36199</v>
      </c>
      <c r="B4727" s="1">
        <v>114.39</v>
      </c>
      <c r="C4727" s="1">
        <v>115.13</v>
      </c>
      <c r="D4727" s="1">
        <v>105.77</v>
      </c>
      <c r="E4727" s="1">
        <v>109.13</v>
      </c>
      <c r="F4727" s="1">
        <v>12598200</v>
      </c>
      <c r="G4727" s="1">
        <v>54.56</v>
      </c>
      <c r="H4727" s="1">
        <f t="shared" si="657"/>
        <v>9.36</v>
      </c>
      <c r="I4727" s="9">
        <f t="shared" si="664"/>
        <v>8.8493901862531907E-2</v>
      </c>
      <c r="J4727" s="1">
        <f t="shared" si="665"/>
        <v>-3.3799999999999955</v>
      </c>
      <c r="K4727" s="9">
        <f t="shared" si="658"/>
        <v>-5.8336209872281594E-2</v>
      </c>
      <c r="L4727" s="1">
        <f t="shared" si="659"/>
        <v>0.49995418308439482</v>
      </c>
      <c r="M4727" s="1">
        <f t="shared" si="660"/>
        <v>57.559725098506377</v>
      </c>
      <c r="N4727" s="1">
        <f t="shared" si="661"/>
        <v>52.880153944836437</v>
      </c>
      <c r="O4727" s="1">
        <f t="shared" si="662"/>
        <v>52.6</v>
      </c>
      <c r="P4727" s="1">
        <f t="shared" si="663"/>
        <v>26.836734693877553</v>
      </c>
    </row>
    <row r="4728" spans="1:16">
      <c r="A4728" s="2">
        <v>36196</v>
      </c>
      <c r="B4728" s="1">
        <v>117</v>
      </c>
      <c r="C4728" s="1">
        <v>122.88</v>
      </c>
      <c r="D4728" s="1">
        <v>112.32</v>
      </c>
      <c r="E4728" s="1">
        <v>115.88</v>
      </c>
      <c r="F4728" s="1">
        <v>8566000</v>
      </c>
      <c r="G4728" s="1">
        <v>57.94</v>
      </c>
      <c r="H4728" s="1">
        <f t="shared" si="657"/>
        <v>10.560000000000002</v>
      </c>
      <c r="I4728" s="9">
        <f t="shared" si="664"/>
        <v>9.4017094017094044E-2</v>
      </c>
      <c r="J4728" s="1">
        <f t="shared" si="665"/>
        <v>-1.0600000000000023</v>
      </c>
      <c r="K4728" s="9">
        <f t="shared" si="658"/>
        <v>-1.7966101694915294E-2</v>
      </c>
      <c r="L4728" s="1">
        <f t="shared" si="659"/>
        <v>0.5</v>
      </c>
      <c r="M4728" s="1">
        <f t="shared" si="660"/>
        <v>61.44</v>
      </c>
      <c r="N4728" s="1">
        <f t="shared" si="661"/>
        <v>56.16</v>
      </c>
      <c r="O4728" s="1">
        <f t="shared" si="662"/>
        <v>55.98</v>
      </c>
      <c r="P4728" s="1">
        <f t="shared" si="663"/>
        <v>28.561224489795919</v>
      </c>
    </row>
    <row r="4729" spans="1:16">
      <c r="A4729" s="2">
        <v>36195</v>
      </c>
      <c r="B4729" s="1">
        <v>125.26</v>
      </c>
      <c r="C4729" s="1">
        <v>126.76</v>
      </c>
      <c r="D4729" s="1">
        <v>116.26</v>
      </c>
      <c r="E4729" s="1">
        <v>118</v>
      </c>
      <c r="F4729" s="1">
        <v>11649600</v>
      </c>
      <c r="G4729" s="1">
        <v>59</v>
      </c>
      <c r="H4729" s="1">
        <f t="shared" si="657"/>
        <v>10.5</v>
      </c>
      <c r="I4729" s="9">
        <f t="shared" si="664"/>
        <v>9.0314811629107164E-2</v>
      </c>
      <c r="J4729" s="1">
        <f t="shared" si="665"/>
        <v>-3.8800000000000026</v>
      </c>
      <c r="K4729" s="9">
        <f t="shared" si="658"/>
        <v>-6.1704834605598002E-2</v>
      </c>
      <c r="L4729" s="1">
        <f t="shared" si="659"/>
        <v>0.5</v>
      </c>
      <c r="M4729" s="1">
        <f t="shared" si="660"/>
        <v>63.38</v>
      </c>
      <c r="N4729" s="1">
        <f t="shared" si="661"/>
        <v>58.13</v>
      </c>
      <c r="O4729" s="1">
        <f t="shared" si="662"/>
        <v>57.04</v>
      </c>
      <c r="P4729" s="1">
        <f t="shared" si="663"/>
        <v>29.102040816326532</v>
      </c>
    </row>
    <row r="4730" spans="1:16">
      <c r="A4730" s="2">
        <v>36194</v>
      </c>
      <c r="B4730" s="1">
        <v>108.99</v>
      </c>
      <c r="C4730" s="1">
        <v>125.99</v>
      </c>
      <c r="D4730" s="1">
        <v>108.49</v>
      </c>
      <c r="E4730" s="1">
        <v>125.75</v>
      </c>
      <c r="F4730" s="1">
        <v>18791000</v>
      </c>
      <c r="G4730" s="1">
        <v>62.88</v>
      </c>
      <c r="H4730" s="1">
        <f t="shared" si="657"/>
        <v>17.5</v>
      </c>
      <c r="I4730" s="9">
        <f t="shared" si="664"/>
        <v>0.16130518941837957</v>
      </c>
      <c r="J4730" s="1">
        <f t="shared" si="665"/>
        <v>7.75</v>
      </c>
      <c r="K4730" s="9">
        <f t="shared" si="658"/>
        <v>0.14057681842916742</v>
      </c>
      <c r="L4730" s="1">
        <f t="shared" si="659"/>
        <v>0.5000397614314116</v>
      </c>
      <c r="M4730" s="1">
        <f t="shared" si="660"/>
        <v>63.000009542743548</v>
      </c>
      <c r="N4730" s="1">
        <f t="shared" si="661"/>
        <v>54.249313717693845</v>
      </c>
      <c r="O4730" s="1">
        <f t="shared" si="662"/>
        <v>60.92</v>
      </c>
      <c r="P4730" s="1">
        <f t="shared" si="663"/>
        <v>31.081632653061227</v>
      </c>
    </row>
    <row r="4731" spans="1:16">
      <c r="A4731" s="2">
        <v>36193</v>
      </c>
      <c r="B4731" s="1">
        <v>116.37</v>
      </c>
      <c r="C4731" s="1">
        <v>116.43</v>
      </c>
      <c r="D4731" s="1">
        <v>108.49</v>
      </c>
      <c r="E4731" s="1">
        <v>110.25</v>
      </c>
      <c r="F4731" s="1">
        <v>13048600</v>
      </c>
      <c r="G4731" s="1">
        <v>55.13</v>
      </c>
      <c r="H4731" s="1">
        <f t="shared" si="657"/>
        <v>7.9400000000000119</v>
      </c>
      <c r="I4731" s="9">
        <f t="shared" si="664"/>
        <v>7.3186468798967758E-2</v>
      </c>
      <c r="J4731" s="1">
        <f t="shared" si="665"/>
        <v>-2.8099999999999952</v>
      </c>
      <c r="K4731" s="9">
        <f t="shared" si="658"/>
        <v>-4.8498446668967819E-2</v>
      </c>
      <c r="L4731" s="1">
        <f t="shared" si="659"/>
        <v>0.50004535147392293</v>
      </c>
      <c r="M4731" s="1">
        <f t="shared" si="660"/>
        <v>58.220280272108852</v>
      </c>
      <c r="N4731" s="1">
        <f t="shared" si="661"/>
        <v>54.249920181405898</v>
      </c>
      <c r="O4731" s="1">
        <f t="shared" si="662"/>
        <v>53.17</v>
      </c>
      <c r="P4731" s="1">
        <f t="shared" si="663"/>
        <v>27.127551020408166</v>
      </c>
    </row>
    <row r="4732" spans="1:16">
      <c r="A4732" s="2">
        <v>36192</v>
      </c>
      <c r="B4732" s="1">
        <v>117.76</v>
      </c>
      <c r="C4732" s="1">
        <v>122.32</v>
      </c>
      <c r="D4732" s="1">
        <v>115</v>
      </c>
      <c r="E4732" s="1">
        <v>115.88</v>
      </c>
      <c r="F4732" s="1">
        <v>12781000</v>
      </c>
      <c r="G4732" s="1">
        <v>57.94</v>
      </c>
      <c r="H4732" s="1">
        <f t="shared" si="657"/>
        <v>7.3199999999999932</v>
      </c>
      <c r="I4732" s="9">
        <f t="shared" si="664"/>
        <v>6.3652173913043425E-2</v>
      </c>
      <c r="J4732" s="1">
        <f t="shared" si="665"/>
        <v>-0.53000000000000114</v>
      </c>
      <c r="K4732" s="9">
        <f t="shared" si="658"/>
        <v>-9.0644775098341224E-3</v>
      </c>
      <c r="L4732" s="1">
        <f t="shared" si="659"/>
        <v>0.5</v>
      </c>
      <c r="M4732" s="1">
        <f t="shared" si="660"/>
        <v>61.16</v>
      </c>
      <c r="N4732" s="1">
        <f t="shared" si="661"/>
        <v>57.5</v>
      </c>
      <c r="O4732" s="1">
        <f t="shared" si="662"/>
        <v>55.98</v>
      </c>
      <c r="P4732" s="1">
        <f t="shared" si="663"/>
        <v>28.561224489795919</v>
      </c>
    </row>
    <row r="4733" spans="1:16">
      <c r="A4733" s="2">
        <v>36189</v>
      </c>
      <c r="B4733" s="1">
        <v>121.62</v>
      </c>
      <c r="C4733" s="1">
        <v>121.62</v>
      </c>
      <c r="D4733" s="1">
        <v>115</v>
      </c>
      <c r="E4733" s="1">
        <v>116.94</v>
      </c>
      <c r="F4733" s="1">
        <v>16396000</v>
      </c>
      <c r="G4733" s="1">
        <v>58.47</v>
      </c>
      <c r="H4733" s="1">
        <f t="shared" si="657"/>
        <v>6.6200000000000045</v>
      </c>
      <c r="I4733" s="9">
        <f t="shared" si="664"/>
        <v>5.7565217391304387E-2</v>
      </c>
      <c r="J4733" s="1">
        <f t="shared" si="665"/>
        <v>-2.9699999999999989</v>
      </c>
      <c r="K4733" s="9">
        <f t="shared" si="658"/>
        <v>-4.8339843749999986E-2</v>
      </c>
      <c r="L4733" s="1">
        <f t="shared" si="659"/>
        <v>0.5</v>
      </c>
      <c r="M4733" s="1">
        <f t="shared" si="660"/>
        <v>60.81</v>
      </c>
      <c r="N4733" s="1">
        <f t="shared" si="661"/>
        <v>57.5</v>
      </c>
      <c r="O4733" s="1">
        <f t="shared" si="662"/>
        <v>56.51</v>
      </c>
      <c r="P4733" s="1">
        <f t="shared" si="663"/>
        <v>28.831632653061224</v>
      </c>
    </row>
    <row r="4734" spans="1:16">
      <c r="A4734" s="2">
        <v>36188</v>
      </c>
      <c r="B4734" s="1">
        <v>126.44</v>
      </c>
      <c r="C4734" s="1">
        <v>128.76</v>
      </c>
      <c r="D4734" s="1">
        <v>120.26</v>
      </c>
      <c r="E4734" s="1">
        <v>122.88</v>
      </c>
      <c r="F4734" s="1">
        <v>23750600</v>
      </c>
      <c r="G4734" s="1">
        <v>61.44</v>
      </c>
      <c r="H4734" s="1">
        <f t="shared" si="657"/>
        <v>8.4999999999999858</v>
      </c>
      <c r="I4734" s="9">
        <f t="shared" si="664"/>
        <v>7.0680192915349951E-2</v>
      </c>
      <c r="J4734" s="1">
        <f t="shared" si="665"/>
        <v>-1.3700000000000045</v>
      </c>
      <c r="K4734" s="9">
        <f t="shared" si="658"/>
        <v>-2.1811813405508747E-2</v>
      </c>
      <c r="L4734" s="1">
        <f t="shared" si="659"/>
        <v>0.5</v>
      </c>
      <c r="M4734" s="1">
        <f t="shared" si="660"/>
        <v>64.38</v>
      </c>
      <c r="N4734" s="1">
        <f t="shared" si="661"/>
        <v>60.13</v>
      </c>
      <c r="O4734" s="1">
        <f t="shared" si="662"/>
        <v>59.48</v>
      </c>
      <c r="P4734" s="1">
        <f t="shared" si="663"/>
        <v>30.346938775510203</v>
      </c>
    </row>
    <row r="4735" spans="1:16">
      <c r="A4735" s="2">
        <v>36187</v>
      </c>
      <c r="B4735" s="1">
        <v>134.13</v>
      </c>
      <c r="C4735" s="1">
        <v>139.77000000000001</v>
      </c>
      <c r="D4735" s="1">
        <v>120.01</v>
      </c>
      <c r="E4735" s="1">
        <v>125.63</v>
      </c>
      <c r="F4735" s="1">
        <v>35022600</v>
      </c>
      <c r="G4735" s="1">
        <v>62.81</v>
      </c>
      <c r="H4735" s="1">
        <f t="shared" si="657"/>
        <v>19.760000000000005</v>
      </c>
      <c r="I4735" s="9">
        <f t="shared" si="664"/>
        <v>0.16465294558786772</v>
      </c>
      <c r="J4735" s="1">
        <f t="shared" si="665"/>
        <v>5.2600000000000051</v>
      </c>
      <c r="K4735" s="9">
        <f t="shared" si="658"/>
        <v>9.1398783666377159E-2</v>
      </c>
      <c r="L4735" s="1">
        <f t="shared" si="659"/>
        <v>0.49996020058903134</v>
      </c>
      <c r="M4735" s="1">
        <f t="shared" si="660"/>
        <v>69.879437236328911</v>
      </c>
      <c r="N4735" s="1">
        <f t="shared" si="661"/>
        <v>60.000223672689657</v>
      </c>
      <c r="O4735" s="1">
        <f t="shared" si="662"/>
        <v>60.85</v>
      </c>
      <c r="P4735" s="1">
        <f t="shared" si="663"/>
        <v>31.045918367346939</v>
      </c>
    </row>
    <row r="4736" spans="1:16">
      <c r="A4736" s="2">
        <v>36186</v>
      </c>
      <c r="B4736" s="1">
        <v>112.61</v>
      </c>
      <c r="C4736" s="1">
        <v>121.25</v>
      </c>
      <c r="D4736" s="1">
        <v>110.61</v>
      </c>
      <c r="E4736" s="1">
        <v>115.09</v>
      </c>
      <c r="F4736" s="1">
        <v>24534800</v>
      </c>
      <c r="G4736" s="1">
        <v>57.55</v>
      </c>
      <c r="H4736" s="1">
        <f t="shared" si="657"/>
        <v>10.64</v>
      </c>
      <c r="I4736" s="9">
        <f t="shared" si="664"/>
        <v>9.6193834192206853E-2</v>
      </c>
      <c r="J4736" s="1">
        <f t="shared" si="665"/>
        <v>1.3599999999999994</v>
      </c>
      <c r="K4736" s="9">
        <f t="shared" si="658"/>
        <v>2.4203594945719869E-2</v>
      </c>
      <c r="L4736" s="1">
        <f t="shared" si="659"/>
        <v>0.5000434442610131</v>
      </c>
      <c r="M4736" s="1">
        <f t="shared" si="660"/>
        <v>60.630267616647842</v>
      </c>
      <c r="N4736" s="1">
        <f t="shared" si="661"/>
        <v>55.309805369710659</v>
      </c>
      <c r="O4736" s="1">
        <f t="shared" si="662"/>
        <v>55.589999999999996</v>
      </c>
      <c r="P4736" s="1">
        <f t="shared" si="663"/>
        <v>28.362244897959183</v>
      </c>
    </row>
    <row r="4737" spans="1:16">
      <c r="A4737" s="2">
        <v>36185</v>
      </c>
      <c r="B4737" s="1">
        <v>121.5</v>
      </c>
      <c r="C4737" s="1">
        <v>123.38</v>
      </c>
      <c r="D4737" s="1">
        <v>110</v>
      </c>
      <c r="E4737" s="1">
        <v>112.38</v>
      </c>
      <c r="F4737" s="1">
        <v>27323800</v>
      </c>
      <c r="G4737" s="1">
        <v>56.19</v>
      </c>
      <c r="H4737" s="1">
        <f t="shared" si="657"/>
        <v>13.379999999999995</v>
      </c>
      <c r="I4737" s="9">
        <f t="shared" si="664"/>
        <v>0.1216363636363636</v>
      </c>
      <c r="J4737" s="1">
        <f t="shared" si="665"/>
        <v>-5.3100000000000023</v>
      </c>
      <c r="K4737" s="9">
        <f t="shared" si="658"/>
        <v>-8.6341463414634181E-2</v>
      </c>
      <c r="L4737" s="1">
        <f t="shared" si="659"/>
        <v>0.5</v>
      </c>
      <c r="M4737" s="1">
        <f t="shared" si="660"/>
        <v>61.69</v>
      </c>
      <c r="N4737" s="1">
        <f t="shared" si="661"/>
        <v>55</v>
      </c>
      <c r="O4737" s="1">
        <f t="shared" si="662"/>
        <v>54.23</v>
      </c>
      <c r="P4737" s="1">
        <f t="shared" si="663"/>
        <v>27.668367346938773</v>
      </c>
    </row>
    <row r="4738" spans="1:16">
      <c r="A4738" s="2">
        <v>36182</v>
      </c>
      <c r="B4738" s="1">
        <v>99.5</v>
      </c>
      <c r="C4738" s="1">
        <v>125.88</v>
      </c>
      <c r="D4738" s="1">
        <v>98.76</v>
      </c>
      <c r="E4738" s="1">
        <v>123</v>
      </c>
      <c r="F4738" s="1">
        <v>43765800</v>
      </c>
      <c r="G4738" s="1">
        <v>61.5</v>
      </c>
      <c r="H4738" s="1">
        <f t="shared" si="657"/>
        <v>27.11999999999999</v>
      </c>
      <c r="I4738" s="9">
        <f t="shared" si="664"/>
        <v>0.27460510328068033</v>
      </c>
      <c r="J4738" s="1">
        <f t="shared" si="665"/>
        <v>8.5</v>
      </c>
      <c r="K4738" s="9">
        <f t="shared" si="658"/>
        <v>0.16037735849056603</v>
      </c>
      <c r="L4738" s="1">
        <f t="shared" si="659"/>
        <v>0.5</v>
      </c>
      <c r="M4738" s="1">
        <f t="shared" si="660"/>
        <v>62.94</v>
      </c>
      <c r="N4738" s="1">
        <f t="shared" si="661"/>
        <v>49.38</v>
      </c>
      <c r="O4738" s="1">
        <f t="shared" si="662"/>
        <v>59.54</v>
      </c>
      <c r="P4738" s="1">
        <f t="shared" si="663"/>
        <v>30.377551020408163</v>
      </c>
    </row>
    <row r="4739" spans="1:16">
      <c r="A4739" s="2">
        <v>36181</v>
      </c>
      <c r="B4739" s="1">
        <v>104.5</v>
      </c>
      <c r="C4739" s="1">
        <v>110.38</v>
      </c>
      <c r="D4739" s="1">
        <v>92.56</v>
      </c>
      <c r="E4739" s="1">
        <v>106</v>
      </c>
      <c r="F4739" s="1">
        <v>47048200</v>
      </c>
      <c r="G4739" s="1">
        <v>53</v>
      </c>
      <c r="H4739" s="1">
        <f t="shared" ref="H4739:H4802" si="666">C4739-D4739</f>
        <v>17.819999999999993</v>
      </c>
      <c r="I4739" s="9">
        <f t="shared" si="664"/>
        <v>0.19252376836646493</v>
      </c>
      <c r="J4739" s="1">
        <f t="shared" si="665"/>
        <v>-3.5</v>
      </c>
      <c r="K4739" s="9">
        <f t="shared" ref="K4739:K4802" si="667">(G4739-G4740)/G4740</f>
        <v>-6.1946902654867256E-2</v>
      </c>
      <c r="L4739" s="1">
        <f t="shared" ref="L4739:L4802" si="668">G4739/E4739</f>
        <v>0.5</v>
      </c>
      <c r="M4739" s="1">
        <f t="shared" ref="M4739:M4802" si="669">L4739*C4739</f>
        <v>55.19</v>
      </c>
      <c r="N4739" s="1">
        <f t="shared" ref="N4739:N4802" si="670">L4739*D4739</f>
        <v>46.28</v>
      </c>
      <c r="O4739" s="1">
        <f t="shared" ref="O4739:O4802" si="671">G4739-$G$5163</f>
        <v>51.04</v>
      </c>
      <c r="P4739" s="1">
        <f t="shared" ref="P4739:P4802" si="672">(G4739-$G$5163)/$G$5163</f>
        <v>26.040816326530614</v>
      </c>
    </row>
    <row r="4740" spans="1:16">
      <c r="A4740" s="2">
        <v>36180</v>
      </c>
      <c r="B4740" s="1">
        <v>135.06</v>
      </c>
      <c r="C4740" s="1">
        <v>137</v>
      </c>
      <c r="D4740" s="1">
        <v>109.76</v>
      </c>
      <c r="E4740" s="1">
        <v>113</v>
      </c>
      <c r="F4740" s="1">
        <v>30535200</v>
      </c>
      <c r="G4740" s="1">
        <v>56.5</v>
      </c>
      <c r="H4740" s="1">
        <f t="shared" si="666"/>
        <v>27.239999999999995</v>
      </c>
      <c r="I4740" s="9">
        <f t="shared" ref="I4740:I4803" si="673">(C4740-D4740)/D4740</f>
        <v>0.24817784256559761</v>
      </c>
      <c r="J4740" s="1">
        <f t="shared" ref="J4740:J4803" si="674">G4740-G4741</f>
        <v>-13.409999999999997</v>
      </c>
      <c r="K4740" s="9">
        <f t="shared" si="667"/>
        <v>-0.19181805178086106</v>
      </c>
      <c r="L4740" s="1">
        <f t="shared" si="668"/>
        <v>0.5</v>
      </c>
      <c r="M4740" s="1">
        <f t="shared" si="669"/>
        <v>68.5</v>
      </c>
      <c r="N4740" s="1">
        <f t="shared" si="670"/>
        <v>54.88</v>
      </c>
      <c r="O4740" s="1">
        <f t="shared" si="671"/>
        <v>54.54</v>
      </c>
      <c r="P4740" s="1">
        <f t="shared" si="672"/>
        <v>27.826530612244898</v>
      </c>
    </row>
    <row r="4741" spans="1:16">
      <c r="A4741" s="2">
        <v>36179</v>
      </c>
      <c r="B4741" s="1">
        <v>150.49</v>
      </c>
      <c r="C4741" s="1">
        <v>150.49</v>
      </c>
      <c r="D4741" s="1">
        <v>136.25</v>
      </c>
      <c r="E4741" s="1">
        <v>139.81</v>
      </c>
      <c r="F4741" s="1">
        <v>11405400</v>
      </c>
      <c r="G4741" s="1">
        <v>69.91</v>
      </c>
      <c r="H4741" s="1">
        <f t="shared" si="666"/>
        <v>14.240000000000009</v>
      </c>
      <c r="I4741" s="9">
        <f t="shared" si="673"/>
        <v>0.10451376146788997</v>
      </c>
      <c r="J4741" s="1">
        <f t="shared" si="674"/>
        <v>-0.28000000000000114</v>
      </c>
      <c r="K4741" s="9">
        <f t="shared" si="667"/>
        <v>-3.9891722467588139E-3</v>
      </c>
      <c r="L4741" s="1">
        <f t="shared" si="668"/>
        <v>0.50003576282097129</v>
      </c>
      <c r="M4741" s="1">
        <f t="shared" si="669"/>
        <v>75.250381946927973</v>
      </c>
      <c r="N4741" s="1">
        <f t="shared" si="670"/>
        <v>68.129872684357338</v>
      </c>
      <c r="O4741" s="1">
        <f t="shared" si="671"/>
        <v>67.95</v>
      </c>
      <c r="P4741" s="1">
        <f t="shared" si="672"/>
        <v>34.66836734693878</v>
      </c>
    </row>
    <row r="4742" spans="1:16">
      <c r="A4742" s="2">
        <v>36175</v>
      </c>
      <c r="B4742" s="1">
        <v>140</v>
      </c>
      <c r="C4742" s="1">
        <v>150.06</v>
      </c>
      <c r="D4742" s="1">
        <v>137.62</v>
      </c>
      <c r="E4742" s="1">
        <v>140.38</v>
      </c>
      <c r="F4742" s="1">
        <v>20132600</v>
      </c>
      <c r="G4742" s="1">
        <v>70.19</v>
      </c>
      <c r="H4742" s="1">
        <f t="shared" si="666"/>
        <v>12.439999999999998</v>
      </c>
      <c r="I4742" s="9">
        <f t="shared" si="673"/>
        <v>9.0393838104926585E-2</v>
      </c>
      <c r="J4742" s="1">
        <f t="shared" si="674"/>
        <v>1.1899999999999977</v>
      </c>
      <c r="K4742" s="9">
        <f t="shared" si="667"/>
        <v>1.7246376811594171E-2</v>
      </c>
      <c r="L4742" s="1">
        <f t="shared" si="668"/>
        <v>0.5</v>
      </c>
      <c r="M4742" s="1">
        <f t="shared" si="669"/>
        <v>75.03</v>
      </c>
      <c r="N4742" s="1">
        <f t="shared" si="670"/>
        <v>68.81</v>
      </c>
      <c r="O4742" s="1">
        <f t="shared" si="671"/>
        <v>68.23</v>
      </c>
      <c r="P4742" s="1">
        <f t="shared" si="672"/>
        <v>34.811224489795919</v>
      </c>
    </row>
    <row r="4743" spans="1:16">
      <c r="A4743" s="2">
        <v>36174</v>
      </c>
      <c r="B4743" s="1">
        <v>150</v>
      </c>
      <c r="C4743" s="1">
        <v>159.26</v>
      </c>
      <c r="D4743" s="1">
        <v>136</v>
      </c>
      <c r="E4743" s="1">
        <v>138</v>
      </c>
      <c r="F4743" s="1">
        <v>20912400</v>
      </c>
      <c r="G4743" s="1">
        <v>69</v>
      </c>
      <c r="H4743" s="1">
        <f t="shared" si="666"/>
        <v>23.259999999999991</v>
      </c>
      <c r="I4743" s="9">
        <f t="shared" si="673"/>
        <v>0.17102941176470582</v>
      </c>
      <c r="J4743" s="1">
        <f t="shared" si="674"/>
        <v>-5</v>
      </c>
      <c r="K4743" s="9">
        <f t="shared" si="667"/>
        <v>-6.7567567567567571E-2</v>
      </c>
      <c r="L4743" s="1">
        <f t="shared" si="668"/>
        <v>0.5</v>
      </c>
      <c r="M4743" s="1">
        <f t="shared" si="669"/>
        <v>79.63</v>
      </c>
      <c r="N4743" s="1">
        <f t="shared" si="670"/>
        <v>68</v>
      </c>
      <c r="O4743" s="1">
        <f t="shared" si="671"/>
        <v>67.040000000000006</v>
      </c>
      <c r="P4743" s="1">
        <f t="shared" si="672"/>
        <v>34.204081632653065</v>
      </c>
    </row>
    <row r="4744" spans="1:16">
      <c r="A4744" s="2">
        <v>36173</v>
      </c>
      <c r="B4744" s="1">
        <v>125</v>
      </c>
      <c r="C4744" s="1">
        <v>163.5</v>
      </c>
      <c r="D4744" s="1">
        <v>125</v>
      </c>
      <c r="E4744" s="1">
        <v>148</v>
      </c>
      <c r="F4744" s="1">
        <v>29876400</v>
      </c>
      <c r="G4744" s="1">
        <v>74</v>
      </c>
      <c r="H4744" s="1">
        <f t="shared" si="666"/>
        <v>38.5</v>
      </c>
      <c r="I4744" s="9">
        <f t="shared" si="673"/>
        <v>0.308</v>
      </c>
      <c r="J4744" s="1">
        <f t="shared" si="674"/>
        <v>-7.6899999999999977</v>
      </c>
      <c r="K4744" s="9">
        <f t="shared" si="667"/>
        <v>-9.4136369200636533E-2</v>
      </c>
      <c r="L4744" s="1">
        <f t="shared" si="668"/>
        <v>0.5</v>
      </c>
      <c r="M4744" s="1">
        <f t="shared" si="669"/>
        <v>81.75</v>
      </c>
      <c r="N4744" s="1">
        <f t="shared" si="670"/>
        <v>62.5</v>
      </c>
      <c r="O4744" s="1">
        <f t="shared" si="671"/>
        <v>72.040000000000006</v>
      </c>
      <c r="P4744" s="1">
        <f t="shared" si="672"/>
        <v>36.755102040816332</v>
      </c>
    </row>
    <row r="4745" spans="1:16">
      <c r="A4745" s="2">
        <v>36172</v>
      </c>
      <c r="B4745" s="1">
        <v>180.5</v>
      </c>
      <c r="C4745" s="1">
        <v>182</v>
      </c>
      <c r="D4745" s="1">
        <v>159</v>
      </c>
      <c r="E4745" s="1">
        <v>163.38</v>
      </c>
      <c r="F4745" s="1">
        <v>24443200</v>
      </c>
      <c r="G4745" s="1">
        <v>81.69</v>
      </c>
      <c r="H4745" s="1">
        <f t="shared" si="666"/>
        <v>23</v>
      </c>
      <c r="I4745" s="9">
        <f t="shared" si="673"/>
        <v>0.14465408805031446</v>
      </c>
      <c r="J4745" s="1">
        <f t="shared" si="674"/>
        <v>-10.620000000000005</v>
      </c>
      <c r="K4745" s="9">
        <f t="shared" si="667"/>
        <v>-0.1150471238219045</v>
      </c>
      <c r="L4745" s="1">
        <f t="shared" si="668"/>
        <v>0.5</v>
      </c>
      <c r="M4745" s="1">
        <f t="shared" si="669"/>
        <v>91</v>
      </c>
      <c r="N4745" s="1">
        <f t="shared" si="670"/>
        <v>79.5</v>
      </c>
      <c r="O4745" s="1">
        <f t="shared" si="671"/>
        <v>79.73</v>
      </c>
      <c r="P4745" s="1">
        <f t="shared" si="672"/>
        <v>40.678571428571431</v>
      </c>
    </row>
    <row r="4746" spans="1:16">
      <c r="A4746" s="2">
        <v>36171</v>
      </c>
      <c r="B4746" s="1">
        <v>184.01</v>
      </c>
      <c r="C4746" s="1">
        <v>185.01</v>
      </c>
      <c r="D4746" s="1">
        <v>167.63</v>
      </c>
      <c r="E4746" s="1">
        <v>184.63</v>
      </c>
      <c r="F4746" s="1">
        <v>38923000</v>
      </c>
      <c r="G4746" s="1">
        <v>92.31</v>
      </c>
      <c r="H4746" s="1">
        <f t="shared" si="666"/>
        <v>17.379999999999995</v>
      </c>
      <c r="I4746" s="9">
        <f t="shared" si="673"/>
        <v>0.10368072540714666</v>
      </c>
      <c r="J4746" s="1">
        <f t="shared" si="674"/>
        <v>12.180000000000007</v>
      </c>
      <c r="K4746" s="9">
        <f t="shared" si="667"/>
        <v>0.15200299513290913</v>
      </c>
      <c r="L4746" s="1">
        <f t="shared" si="668"/>
        <v>0.49997291881059419</v>
      </c>
      <c r="M4746" s="1">
        <f t="shared" si="669"/>
        <v>92.499989709148025</v>
      </c>
      <c r="N4746" s="1">
        <f t="shared" si="670"/>
        <v>83.810460380219908</v>
      </c>
      <c r="O4746" s="1">
        <f t="shared" si="671"/>
        <v>90.350000000000009</v>
      </c>
      <c r="P4746" s="1">
        <f t="shared" si="672"/>
        <v>46.09693877551021</v>
      </c>
    </row>
    <row r="4747" spans="1:16">
      <c r="A4747" s="2">
        <v>36168</v>
      </c>
      <c r="B4747" s="1">
        <v>184.25</v>
      </c>
      <c r="C4747" s="1">
        <v>199.11</v>
      </c>
      <c r="D4747" s="1">
        <v>151.99</v>
      </c>
      <c r="E4747" s="1">
        <v>160.25</v>
      </c>
      <c r="F4747" s="1">
        <v>66662200</v>
      </c>
      <c r="G4747" s="1">
        <v>80.13</v>
      </c>
      <c r="H4747" s="1">
        <f t="shared" si="666"/>
        <v>47.120000000000005</v>
      </c>
      <c r="I4747" s="9">
        <f t="shared" si="673"/>
        <v>0.31002039607868942</v>
      </c>
      <c r="J4747" s="1">
        <f t="shared" si="674"/>
        <v>0.68999999999999773</v>
      </c>
      <c r="K4747" s="9">
        <f t="shared" si="667"/>
        <v>8.6858006042295783E-3</v>
      </c>
      <c r="L4747" s="1">
        <f t="shared" si="668"/>
        <v>0.50003120124804989</v>
      </c>
      <c r="M4747" s="1">
        <f t="shared" si="669"/>
        <v>99.561212480499222</v>
      </c>
      <c r="N4747" s="1">
        <f t="shared" si="670"/>
        <v>75.999742277691112</v>
      </c>
      <c r="O4747" s="1">
        <f t="shared" si="671"/>
        <v>78.17</v>
      </c>
      <c r="P4747" s="1">
        <f t="shared" si="672"/>
        <v>39.882653061224488</v>
      </c>
    </row>
    <row r="4748" spans="1:16">
      <c r="A4748" s="2">
        <v>36167</v>
      </c>
      <c r="B4748" s="1">
        <v>137.12</v>
      </c>
      <c r="C4748" s="1">
        <v>160.26</v>
      </c>
      <c r="D4748" s="1">
        <v>133</v>
      </c>
      <c r="E4748" s="1">
        <v>158.88</v>
      </c>
      <c r="F4748" s="1">
        <v>47274600</v>
      </c>
      <c r="G4748" s="1">
        <v>79.44</v>
      </c>
      <c r="H4748" s="1">
        <f t="shared" si="666"/>
        <v>27.259999999999991</v>
      </c>
      <c r="I4748" s="9">
        <f t="shared" si="673"/>
        <v>0.20496240601503751</v>
      </c>
      <c r="J4748" s="1">
        <f t="shared" si="674"/>
        <v>10.439999999999998</v>
      </c>
      <c r="K4748" s="9">
        <f t="shared" si="667"/>
        <v>0.15130434782608693</v>
      </c>
      <c r="L4748" s="1">
        <f t="shared" si="668"/>
        <v>0.5</v>
      </c>
      <c r="M4748" s="1">
        <f t="shared" si="669"/>
        <v>80.13</v>
      </c>
      <c r="N4748" s="1">
        <f t="shared" si="670"/>
        <v>66.5</v>
      </c>
      <c r="O4748" s="1">
        <f t="shared" si="671"/>
        <v>77.48</v>
      </c>
      <c r="P4748" s="1">
        <f t="shared" si="672"/>
        <v>39.530612244897959</v>
      </c>
    </row>
    <row r="4749" spans="1:16">
      <c r="A4749" s="2">
        <v>36166</v>
      </c>
      <c r="B4749" s="1">
        <v>136.38</v>
      </c>
      <c r="C4749" s="1">
        <v>140.38</v>
      </c>
      <c r="D4749" s="1">
        <v>134</v>
      </c>
      <c r="E4749" s="1">
        <v>138</v>
      </c>
      <c r="F4749" s="1">
        <v>36176600</v>
      </c>
      <c r="G4749" s="1">
        <v>69</v>
      </c>
      <c r="H4749" s="1">
        <f t="shared" si="666"/>
        <v>6.3799999999999955</v>
      </c>
      <c r="I4749" s="9">
        <f t="shared" si="673"/>
        <v>4.7611940298507426E-2</v>
      </c>
      <c r="J4749" s="1">
        <f t="shared" si="674"/>
        <v>6.75</v>
      </c>
      <c r="K4749" s="9">
        <f t="shared" si="667"/>
        <v>0.10843373493975904</v>
      </c>
      <c r="L4749" s="1">
        <f t="shared" si="668"/>
        <v>0.5</v>
      </c>
      <c r="M4749" s="1">
        <f t="shared" si="669"/>
        <v>70.19</v>
      </c>
      <c r="N4749" s="1">
        <f t="shared" si="670"/>
        <v>67</v>
      </c>
      <c r="O4749" s="1">
        <f t="shared" si="671"/>
        <v>67.040000000000006</v>
      </c>
      <c r="P4749" s="1">
        <f t="shared" si="672"/>
        <v>34.204081632653065</v>
      </c>
    </row>
    <row r="4750" spans="1:16">
      <c r="A4750" s="2">
        <v>36165</v>
      </c>
      <c r="B4750" s="1">
        <v>328.68</v>
      </c>
      <c r="C4750" s="1">
        <v>389.28</v>
      </c>
      <c r="D4750" s="1">
        <v>319.5</v>
      </c>
      <c r="E4750" s="1">
        <v>373.5</v>
      </c>
      <c r="F4750" s="1">
        <v>62873200</v>
      </c>
      <c r="G4750" s="1">
        <v>62.25</v>
      </c>
      <c r="H4750" s="1">
        <f t="shared" si="666"/>
        <v>69.779999999999973</v>
      </c>
      <c r="I4750" s="9">
        <f t="shared" si="673"/>
        <v>0.21840375586854452</v>
      </c>
      <c r="J4750" s="1">
        <f t="shared" si="674"/>
        <v>3.0900000000000034</v>
      </c>
      <c r="K4750" s="9">
        <f t="shared" si="667"/>
        <v>5.2231237322515271E-2</v>
      </c>
      <c r="L4750" s="1">
        <f t="shared" si="668"/>
        <v>0.16666666666666666</v>
      </c>
      <c r="M4750" s="1">
        <f t="shared" si="669"/>
        <v>64.88</v>
      </c>
      <c r="N4750" s="1">
        <f t="shared" si="670"/>
        <v>53.25</v>
      </c>
      <c r="O4750" s="1">
        <f t="shared" si="671"/>
        <v>60.29</v>
      </c>
      <c r="P4750" s="1">
        <f t="shared" si="672"/>
        <v>30.760204081632654</v>
      </c>
    </row>
    <row r="4751" spans="1:16">
      <c r="A4751" s="2">
        <v>36164</v>
      </c>
      <c r="B4751" s="1">
        <v>327.64</v>
      </c>
      <c r="C4751" s="1">
        <v>355.96</v>
      </c>
      <c r="D4751" s="1">
        <v>319.83999999999997</v>
      </c>
      <c r="E4751" s="1">
        <v>354.94</v>
      </c>
      <c r="F4751" s="1">
        <v>39292200</v>
      </c>
      <c r="G4751" s="1">
        <v>59.16</v>
      </c>
      <c r="H4751" s="1">
        <f t="shared" si="666"/>
        <v>36.120000000000005</v>
      </c>
      <c r="I4751" s="9">
        <f t="shared" si="673"/>
        <v>0.11293146573286646</v>
      </c>
      <c r="J4751" s="1">
        <f t="shared" si="674"/>
        <v>5.6199999999999974</v>
      </c>
      <c r="K4751" s="9">
        <f t="shared" si="667"/>
        <v>0.10496824803884941</v>
      </c>
      <c r="L4751" s="1">
        <f t="shared" si="668"/>
        <v>0.16667605792528314</v>
      </c>
      <c r="M4751" s="1">
        <f t="shared" si="669"/>
        <v>59.330009579083786</v>
      </c>
      <c r="N4751" s="1">
        <f t="shared" si="670"/>
        <v>53.309670366822559</v>
      </c>
      <c r="O4751" s="1">
        <f t="shared" si="671"/>
        <v>57.199999999999996</v>
      </c>
      <c r="P4751" s="1">
        <f t="shared" si="672"/>
        <v>29.183673469387752</v>
      </c>
    </row>
    <row r="4752" spans="1:16">
      <c r="A4752" s="2">
        <v>36160</v>
      </c>
      <c r="B4752" s="1">
        <v>317.29000000000002</v>
      </c>
      <c r="C4752" s="1">
        <v>331.03</v>
      </c>
      <c r="D4752" s="1">
        <v>316.14999999999998</v>
      </c>
      <c r="E4752" s="1">
        <v>321.25</v>
      </c>
      <c r="F4752" s="1">
        <v>18298200</v>
      </c>
      <c r="G4752" s="1">
        <v>53.54</v>
      </c>
      <c r="H4752" s="1">
        <f t="shared" si="666"/>
        <v>14.879999999999995</v>
      </c>
      <c r="I4752" s="9">
        <f t="shared" si="673"/>
        <v>4.7066266012968518E-2</v>
      </c>
      <c r="J4752" s="1">
        <f t="shared" si="674"/>
        <v>0</v>
      </c>
      <c r="K4752" s="9">
        <f t="shared" si="667"/>
        <v>0</v>
      </c>
      <c r="L4752" s="1">
        <f t="shared" si="668"/>
        <v>0.16666147859922179</v>
      </c>
      <c r="M4752" s="1">
        <f t="shared" si="669"/>
        <v>55.169949260700385</v>
      </c>
      <c r="N4752" s="1">
        <f t="shared" si="670"/>
        <v>52.690026459143965</v>
      </c>
      <c r="O4752" s="1">
        <f t="shared" si="671"/>
        <v>51.58</v>
      </c>
      <c r="P4752" s="1">
        <f t="shared" si="672"/>
        <v>26.316326530612244</v>
      </c>
    </row>
    <row r="4753" spans="1:16">
      <c r="A4753" s="2">
        <v>36159</v>
      </c>
      <c r="B4753" s="1">
        <v>333.01</v>
      </c>
      <c r="C4753" s="1">
        <v>343.27</v>
      </c>
      <c r="D4753" s="1">
        <v>303.91000000000003</v>
      </c>
      <c r="E4753" s="1">
        <v>321.25</v>
      </c>
      <c r="F4753" s="1">
        <v>32583600</v>
      </c>
      <c r="G4753" s="1">
        <v>53.54</v>
      </c>
      <c r="H4753" s="1">
        <f t="shared" si="666"/>
        <v>39.359999999999957</v>
      </c>
      <c r="I4753" s="9">
        <f t="shared" si="673"/>
        <v>0.12951202658681832</v>
      </c>
      <c r="J4753" s="1">
        <f t="shared" si="674"/>
        <v>-1.8500000000000014</v>
      </c>
      <c r="K4753" s="9">
        <f t="shared" si="667"/>
        <v>-3.3399530601191579E-2</v>
      </c>
      <c r="L4753" s="1">
        <f t="shared" si="668"/>
        <v>0.16666147859922179</v>
      </c>
      <c r="M4753" s="1">
        <f t="shared" si="669"/>
        <v>57.209885758754858</v>
      </c>
      <c r="N4753" s="1">
        <f t="shared" si="670"/>
        <v>50.650089961089499</v>
      </c>
      <c r="O4753" s="1">
        <f t="shared" si="671"/>
        <v>51.58</v>
      </c>
      <c r="P4753" s="1">
        <f t="shared" si="672"/>
        <v>26.316326530612244</v>
      </c>
    </row>
    <row r="4754" spans="1:16">
      <c r="A4754" s="2">
        <v>36158</v>
      </c>
      <c r="B4754" s="1">
        <v>349.95</v>
      </c>
      <c r="C4754" s="1">
        <v>350.07</v>
      </c>
      <c r="D4754" s="1">
        <v>328.47</v>
      </c>
      <c r="E4754" s="1">
        <v>332.31</v>
      </c>
      <c r="F4754" s="1">
        <v>24607800</v>
      </c>
      <c r="G4754" s="1">
        <v>55.39</v>
      </c>
      <c r="H4754" s="1">
        <f t="shared" si="666"/>
        <v>21.599999999999966</v>
      </c>
      <c r="I4754" s="9">
        <f t="shared" si="673"/>
        <v>6.5759430084939161E-2</v>
      </c>
      <c r="J4754" s="1">
        <f t="shared" si="674"/>
        <v>-3.269999999999996</v>
      </c>
      <c r="K4754" s="9">
        <f t="shared" si="667"/>
        <v>-5.5744971019433959E-2</v>
      </c>
      <c r="L4754" s="1">
        <f t="shared" si="668"/>
        <v>0.16668171285847552</v>
      </c>
      <c r="M4754" s="1">
        <f t="shared" si="669"/>
        <v>58.350267220366526</v>
      </c>
      <c r="N4754" s="1">
        <f t="shared" si="670"/>
        <v>54.74994222262346</v>
      </c>
      <c r="O4754" s="1">
        <f t="shared" si="671"/>
        <v>53.43</v>
      </c>
      <c r="P4754" s="1">
        <f t="shared" si="672"/>
        <v>27.260204081632654</v>
      </c>
    </row>
    <row r="4755" spans="1:16">
      <c r="A4755" s="2">
        <v>36157</v>
      </c>
      <c r="B4755" s="1">
        <v>331</v>
      </c>
      <c r="C4755" s="1">
        <v>361.84</v>
      </c>
      <c r="D4755" s="1">
        <v>325</v>
      </c>
      <c r="E4755" s="1">
        <v>351.94</v>
      </c>
      <c r="F4755" s="1">
        <v>29898600</v>
      </c>
      <c r="G4755" s="1">
        <v>58.66</v>
      </c>
      <c r="H4755" s="1">
        <f t="shared" si="666"/>
        <v>36.839999999999975</v>
      </c>
      <c r="I4755" s="9">
        <f t="shared" si="673"/>
        <v>0.11335384615384608</v>
      </c>
      <c r="J4755" s="1">
        <f t="shared" si="674"/>
        <v>4.519999999999996</v>
      </c>
      <c r="K4755" s="9">
        <f t="shared" si="667"/>
        <v>8.3487255264129964E-2</v>
      </c>
      <c r="L4755" s="1">
        <f t="shared" si="668"/>
        <v>0.16667613797806444</v>
      </c>
      <c r="M4755" s="1">
        <f t="shared" si="669"/>
        <v>60.310093765982835</v>
      </c>
      <c r="N4755" s="1">
        <f t="shared" si="670"/>
        <v>54.169744842870941</v>
      </c>
      <c r="O4755" s="1">
        <f t="shared" si="671"/>
        <v>56.699999999999996</v>
      </c>
      <c r="P4755" s="1">
        <f t="shared" si="672"/>
        <v>28.928571428571427</v>
      </c>
    </row>
    <row r="4756" spans="1:16">
      <c r="A4756" s="2">
        <v>36153</v>
      </c>
      <c r="B4756" s="1">
        <v>322.23</v>
      </c>
      <c r="C4756" s="1">
        <v>326.97000000000003</v>
      </c>
      <c r="D4756" s="1">
        <v>318.99</v>
      </c>
      <c r="E4756" s="1">
        <v>324.81</v>
      </c>
      <c r="F4756" s="1">
        <v>5413800</v>
      </c>
      <c r="G4756" s="1">
        <v>54.14</v>
      </c>
      <c r="H4756" s="1">
        <f t="shared" si="666"/>
        <v>7.9800000000000182</v>
      </c>
      <c r="I4756" s="9">
        <f t="shared" si="673"/>
        <v>2.5016458196181753E-2</v>
      </c>
      <c r="J4756" s="1">
        <f t="shared" si="674"/>
        <v>-3.0000000000001137E-2</v>
      </c>
      <c r="K4756" s="9">
        <f t="shared" si="667"/>
        <v>-5.5381207310321466E-4</v>
      </c>
      <c r="L4756" s="1">
        <f t="shared" si="668"/>
        <v>0.16668206028139529</v>
      </c>
      <c r="M4756" s="1">
        <f t="shared" si="669"/>
        <v>54.500033250207821</v>
      </c>
      <c r="N4756" s="1">
        <f t="shared" si="670"/>
        <v>53.169910409162284</v>
      </c>
      <c r="O4756" s="1">
        <f t="shared" si="671"/>
        <v>52.18</v>
      </c>
      <c r="P4756" s="1">
        <f t="shared" si="672"/>
        <v>26.622448979591837</v>
      </c>
    </row>
    <row r="4757" spans="1:16">
      <c r="A4757" s="2">
        <v>36152</v>
      </c>
      <c r="B4757" s="1">
        <v>328</v>
      </c>
      <c r="C4757" s="1">
        <v>329.98</v>
      </c>
      <c r="D4757" s="1">
        <v>319.12</v>
      </c>
      <c r="E4757" s="1">
        <v>325</v>
      </c>
      <c r="F4757" s="1">
        <v>14563800</v>
      </c>
      <c r="G4757" s="1">
        <v>54.17</v>
      </c>
      <c r="H4757" s="1">
        <f t="shared" si="666"/>
        <v>10.860000000000014</v>
      </c>
      <c r="I4757" s="9">
        <f t="shared" si="673"/>
        <v>3.4031085485084024E-2</v>
      </c>
      <c r="J4757" s="1">
        <f t="shared" si="674"/>
        <v>0.44000000000000483</v>
      </c>
      <c r="K4757" s="9">
        <f t="shared" si="667"/>
        <v>8.1890936162293849E-3</v>
      </c>
      <c r="L4757" s="1">
        <f t="shared" si="668"/>
        <v>0.16667692307692308</v>
      </c>
      <c r="M4757" s="1">
        <f t="shared" si="669"/>
        <v>55.000051076923086</v>
      </c>
      <c r="N4757" s="1">
        <f t="shared" si="670"/>
        <v>53.189939692307696</v>
      </c>
      <c r="O4757" s="1">
        <f t="shared" si="671"/>
        <v>52.21</v>
      </c>
      <c r="P4757" s="1">
        <f t="shared" si="672"/>
        <v>26.637755102040817</v>
      </c>
    </row>
    <row r="4758" spans="1:16">
      <c r="A4758" s="2">
        <v>36151</v>
      </c>
      <c r="B4758" s="1">
        <v>326.93</v>
      </c>
      <c r="C4758" s="1">
        <v>328.97</v>
      </c>
      <c r="D4758" s="1">
        <v>308.63</v>
      </c>
      <c r="E4758" s="1">
        <v>322.37</v>
      </c>
      <c r="F4758" s="1">
        <v>31760400</v>
      </c>
      <c r="G4758" s="1">
        <v>53.73</v>
      </c>
      <c r="H4758" s="1">
        <f t="shared" si="666"/>
        <v>20.340000000000032</v>
      </c>
      <c r="I4758" s="9">
        <f t="shared" si="673"/>
        <v>6.5904157081294865E-2</v>
      </c>
      <c r="J4758" s="1">
        <f t="shared" si="674"/>
        <v>0.59999999999999432</v>
      </c>
      <c r="K4758" s="9">
        <f t="shared" si="667"/>
        <v>1.1293054771315533E-2</v>
      </c>
      <c r="L4758" s="1">
        <f t="shared" si="668"/>
        <v>0.16667183670937122</v>
      </c>
      <c r="M4758" s="1">
        <f t="shared" si="669"/>
        <v>54.830034122281852</v>
      </c>
      <c r="N4758" s="1">
        <f t="shared" si="670"/>
        <v>51.439928963613241</v>
      </c>
      <c r="O4758" s="1">
        <f t="shared" si="671"/>
        <v>51.769999999999996</v>
      </c>
      <c r="P4758" s="1">
        <f t="shared" si="672"/>
        <v>26.413265306122447</v>
      </c>
    </row>
    <row r="4759" spans="1:16">
      <c r="A4759" s="2">
        <v>36150</v>
      </c>
      <c r="B4759" s="1">
        <v>303.45</v>
      </c>
      <c r="C4759" s="1">
        <v>321.75</v>
      </c>
      <c r="D4759" s="1">
        <v>299.97000000000003</v>
      </c>
      <c r="E4759" s="1">
        <v>318.75</v>
      </c>
      <c r="F4759" s="1">
        <v>33384000</v>
      </c>
      <c r="G4759" s="1">
        <v>53.13</v>
      </c>
      <c r="H4759" s="1">
        <f t="shared" si="666"/>
        <v>21.779999999999973</v>
      </c>
      <c r="I4759" s="9">
        <f t="shared" si="673"/>
        <v>7.2607260726072514E-2</v>
      </c>
      <c r="J4759" s="1">
        <f t="shared" si="674"/>
        <v>5.3500000000000014</v>
      </c>
      <c r="K4759" s="9">
        <f t="shared" si="667"/>
        <v>0.11197153620761828</v>
      </c>
      <c r="L4759" s="1">
        <f t="shared" si="668"/>
        <v>0.16668235294117648</v>
      </c>
      <c r="M4759" s="1">
        <f t="shared" si="669"/>
        <v>53.630047058823529</v>
      </c>
      <c r="N4759" s="1">
        <f t="shared" si="670"/>
        <v>49.999705411764715</v>
      </c>
      <c r="O4759" s="1">
        <f t="shared" si="671"/>
        <v>51.17</v>
      </c>
      <c r="P4759" s="1">
        <f t="shared" si="672"/>
        <v>26.107142857142858</v>
      </c>
    </row>
    <row r="4760" spans="1:16">
      <c r="A4760" s="2">
        <v>36147</v>
      </c>
      <c r="B4760" s="1">
        <v>283.02999999999997</v>
      </c>
      <c r="C4760" s="1">
        <v>289.02999999999997</v>
      </c>
      <c r="D4760" s="1">
        <v>277.87</v>
      </c>
      <c r="E4760" s="1">
        <v>286.69</v>
      </c>
      <c r="F4760" s="1">
        <v>22951800</v>
      </c>
      <c r="G4760" s="1">
        <v>47.78</v>
      </c>
      <c r="H4760" s="1">
        <f t="shared" si="666"/>
        <v>11.159999999999968</v>
      </c>
      <c r="I4760" s="9">
        <f t="shared" si="673"/>
        <v>4.0162665994889581E-2</v>
      </c>
      <c r="J4760" s="1">
        <f t="shared" si="674"/>
        <v>1.6499999999999986</v>
      </c>
      <c r="K4760" s="9">
        <f t="shared" si="667"/>
        <v>3.5768480381530424E-2</v>
      </c>
      <c r="L4760" s="1">
        <f t="shared" si="668"/>
        <v>0.16666085318636856</v>
      </c>
      <c r="M4760" s="1">
        <f t="shared" si="669"/>
        <v>48.169986396456096</v>
      </c>
      <c r="N4760" s="1">
        <f t="shared" si="670"/>
        <v>46.310051274896232</v>
      </c>
      <c r="O4760" s="1">
        <f t="shared" si="671"/>
        <v>45.82</v>
      </c>
      <c r="P4760" s="1">
        <f t="shared" si="672"/>
        <v>23.377551020408163</v>
      </c>
    </row>
    <row r="4761" spans="1:16">
      <c r="A4761" s="2">
        <v>36146</v>
      </c>
      <c r="B4761" s="1">
        <v>263.97000000000003</v>
      </c>
      <c r="C4761" s="1">
        <v>291.45</v>
      </c>
      <c r="D4761" s="1">
        <v>260.55</v>
      </c>
      <c r="E4761" s="1">
        <v>276.75</v>
      </c>
      <c r="F4761" s="1">
        <v>67635000</v>
      </c>
      <c r="G4761" s="1">
        <v>46.13</v>
      </c>
      <c r="H4761" s="1">
        <f t="shared" si="666"/>
        <v>30.899999999999977</v>
      </c>
      <c r="I4761" s="9">
        <f t="shared" si="673"/>
        <v>0.11859527921704079</v>
      </c>
      <c r="J4761" s="1">
        <f t="shared" si="674"/>
        <v>-2.0399999999999991</v>
      </c>
      <c r="K4761" s="9">
        <f t="shared" si="667"/>
        <v>-4.2350010379904483E-2</v>
      </c>
      <c r="L4761" s="1">
        <f t="shared" si="668"/>
        <v>0.16668473351400181</v>
      </c>
      <c r="M4761" s="1">
        <f t="shared" si="669"/>
        <v>48.580265582655827</v>
      </c>
      <c r="N4761" s="1">
        <f t="shared" si="670"/>
        <v>43.429707317073174</v>
      </c>
      <c r="O4761" s="1">
        <f t="shared" si="671"/>
        <v>44.17</v>
      </c>
      <c r="P4761" s="1">
        <f t="shared" si="672"/>
        <v>22.535714285714288</v>
      </c>
    </row>
    <row r="4762" spans="1:16">
      <c r="A4762" s="2">
        <v>36145</v>
      </c>
      <c r="B4762" s="1">
        <v>259.12</v>
      </c>
      <c r="C4762" s="1">
        <v>301.72000000000003</v>
      </c>
      <c r="D4762" s="1">
        <v>259</v>
      </c>
      <c r="E4762" s="1">
        <v>289</v>
      </c>
      <c r="F4762" s="1">
        <v>101797200</v>
      </c>
      <c r="G4762" s="1">
        <v>48.17</v>
      </c>
      <c r="H4762" s="1">
        <f t="shared" si="666"/>
        <v>42.720000000000027</v>
      </c>
      <c r="I4762" s="9">
        <f t="shared" si="673"/>
        <v>0.16494208494208504</v>
      </c>
      <c r="J4762" s="1">
        <f t="shared" si="674"/>
        <v>7.7100000000000009</v>
      </c>
      <c r="K4762" s="9">
        <f t="shared" si="667"/>
        <v>0.19055857637172519</v>
      </c>
      <c r="L4762" s="1">
        <f t="shared" si="668"/>
        <v>0.16667820069204153</v>
      </c>
      <c r="M4762" s="1">
        <f t="shared" si="669"/>
        <v>50.290146712802773</v>
      </c>
      <c r="N4762" s="1">
        <f t="shared" si="670"/>
        <v>43.16965397923876</v>
      </c>
      <c r="O4762" s="1">
        <f t="shared" si="671"/>
        <v>46.21</v>
      </c>
      <c r="P4762" s="1">
        <f t="shared" si="672"/>
        <v>23.576530612244898</v>
      </c>
    </row>
    <row r="4763" spans="1:16">
      <c r="A4763" s="2">
        <v>36144</v>
      </c>
      <c r="B4763" s="1">
        <v>226.97</v>
      </c>
      <c r="C4763" s="1">
        <v>242.99</v>
      </c>
      <c r="D4763" s="1">
        <v>225.47</v>
      </c>
      <c r="E4763" s="1">
        <v>242.75</v>
      </c>
      <c r="F4763" s="1">
        <v>38015400</v>
      </c>
      <c r="G4763" s="1">
        <v>40.46</v>
      </c>
      <c r="H4763" s="1">
        <f t="shared" si="666"/>
        <v>17.52000000000001</v>
      </c>
      <c r="I4763" s="9">
        <f t="shared" si="673"/>
        <v>7.7704350911429507E-2</v>
      </c>
      <c r="J4763" s="1">
        <f t="shared" si="674"/>
        <v>3.4200000000000017</v>
      </c>
      <c r="K4763" s="9">
        <f t="shared" si="667"/>
        <v>9.2332613390928769E-2</v>
      </c>
      <c r="L4763" s="1">
        <f t="shared" si="668"/>
        <v>0.1666735324407827</v>
      </c>
      <c r="M4763" s="1">
        <f t="shared" si="669"/>
        <v>40.500001647785787</v>
      </c>
      <c r="N4763" s="1">
        <f t="shared" si="670"/>
        <v>37.579881359423275</v>
      </c>
      <c r="O4763" s="1">
        <f t="shared" si="671"/>
        <v>38.5</v>
      </c>
      <c r="P4763" s="1">
        <f t="shared" si="672"/>
        <v>19.642857142857142</v>
      </c>
    </row>
    <row r="4764" spans="1:16">
      <c r="A4764" s="2">
        <v>36143</v>
      </c>
      <c r="B4764" s="1">
        <v>221.11</v>
      </c>
      <c r="C4764" s="1">
        <v>229.99</v>
      </c>
      <c r="D4764" s="1">
        <v>217.99</v>
      </c>
      <c r="E4764" s="1">
        <v>222.25</v>
      </c>
      <c r="F4764" s="1">
        <v>38751000</v>
      </c>
      <c r="G4764" s="1">
        <v>37.04</v>
      </c>
      <c r="H4764" s="1">
        <f t="shared" si="666"/>
        <v>12</v>
      </c>
      <c r="I4764" s="9">
        <f t="shared" si="673"/>
        <v>5.504839671544566E-2</v>
      </c>
      <c r="J4764" s="1">
        <f t="shared" si="674"/>
        <v>-0.13000000000000256</v>
      </c>
      <c r="K4764" s="9">
        <f t="shared" si="667"/>
        <v>-3.4974441754103457E-3</v>
      </c>
      <c r="L4764" s="1">
        <f t="shared" si="668"/>
        <v>0.1666591676040495</v>
      </c>
      <c r="M4764" s="1">
        <f t="shared" si="669"/>
        <v>38.329941957255343</v>
      </c>
      <c r="N4764" s="1">
        <f t="shared" si="670"/>
        <v>36.330031946006756</v>
      </c>
      <c r="O4764" s="1">
        <f t="shared" si="671"/>
        <v>35.08</v>
      </c>
      <c r="P4764" s="1">
        <f t="shared" si="672"/>
        <v>17.897959183673468</v>
      </c>
    </row>
    <row r="4765" spans="1:16">
      <c r="A4765" s="2">
        <v>36140</v>
      </c>
      <c r="B4765" s="1">
        <v>210.04</v>
      </c>
      <c r="C4765" s="1">
        <v>223.96</v>
      </c>
      <c r="D4765" s="1">
        <v>209.98</v>
      </c>
      <c r="E4765" s="1">
        <v>223</v>
      </c>
      <c r="F4765" s="1">
        <v>25467600</v>
      </c>
      <c r="G4765" s="1">
        <v>37.17</v>
      </c>
      <c r="H4765" s="1">
        <f t="shared" si="666"/>
        <v>13.980000000000018</v>
      </c>
      <c r="I4765" s="9">
        <f t="shared" si="673"/>
        <v>6.6577769311363083E-2</v>
      </c>
      <c r="J4765" s="1">
        <f t="shared" si="674"/>
        <v>1.6499999999999986</v>
      </c>
      <c r="K4765" s="9">
        <f t="shared" si="667"/>
        <v>4.6452702702702658E-2</v>
      </c>
      <c r="L4765" s="1">
        <f t="shared" si="668"/>
        <v>0.1666816143497758</v>
      </c>
      <c r="M4765" s="1">
        <f t="shared" si="669"/>
        <v>37.330014349775787</v>
      </c>
      <c r="N4765" s="1">
        <f t="shared" si="670"/>
        <v>34.99980538116592</v>
      </c>
      <c r="O4765" s="1">
        <f t="shared" si="671"/>
        <v>35.21</v>
      </c>
      <c r="P4765" s="1">
        <f t="shared" si="672"/>
        <v>17.964285714285715</v>
      </c>
    </row>
    <row r="4766" spans="1:16">
      <c r="A4766" s="2">
        <v>36139</v>
      </c>
      <c r="B4766" s="1">
        <v>217.62</v>
      </c>
      <c r="C4766" s="1">
        <v>223.98</v>
      </c>
      <c r="D4766" s="1">
        <v>209.64</v>
      </c>
      <c r="E4766" s="1">
        <v>213.12</v>
      </c>
      <c r="F4766" s="1">
        <v>30361800</v>
      </c>
      <c r="G4766" s="1">
        <v>35.520000000000003</v>
      </c>
      <c r="H4766" s="1">
        <f t="shared" si="666"/>
        <v>14.340000000000003</v>
      </c>
      <c r="I4766" s="9">
        <f t="shared" si="673"/>
        <v>6.8402976531196355E-2</v>
      </c>
      <c r="J4766" s="1">
        <f t="shared" si="674"/>
        <v>-0.51999999999999602</v>
      </c>
      <c r="K4766" s="9">
        <f t="shared" si="667"/>
        <v>-1.4428412874583687E-2</v>
      </c>
      <c r="L4766" s="1">
        <f t="shared" si="668"/>
        <v>0.16666666666666669</v>
      </c>
      <c r="M4766" s="1">
        <f t="shared" si="669"/>
        <v>37.330000000000005</v>
      </c>
      <c r="N4766" s="1">
        <f t="shared" si="670"/>
        <v>34.940000000000005</v>
      </c>
      <c r="O4766" s="1">
        <f t="shared" si="671"/>
        <v>33.56</v>
      </c>
      <c r="P4766" s="1">
        <f t="shared" si="672"/>
        <v>17.122448979591837</v>
      </c>
    </row>
    <row r="4767" spans="1:16">
      <c r="A4767" s="2">
        <v>36138</v>
      </c>
      <c r="B4767" s="1">
        <v>205.39</v>
      </c>
      <c r="C4767" s="1">
        <v>224.35</v>
      </c>
      <c r="D4767" s="1">
        <v>202.03</v>
      </c>
      <c r="E4767" s="1">
        <v>216.25</v>
      </c>
      <c r="F4767" s="1">
        <v>46506600</v>
      </c>
      <c r="G4767" s="1">
        <v>36.04</v>
      </c>
      <c r="H4767" s="1">
        <f t="shared" si="666"/>
        <v>22.319999999999993</v>
      </c>
      <c r="I4767" s="9">
        <f t="shared" si="673"/>
        <v>0.11047864178587335</v>
      </c>
      <c r="J4767" s="1">
        <f t="shared" si="674"/>
        <v>2.0300000000000011</v>
      </c>
      <c r="K4767" s="9">
        <f t="shared" si="667"/>
        <v>5.9688326962658078E-2</v>
      </c>
      <c r="L4767" s="1">
        <f t="shared" si="668"/>
        <v>0.16665895953757226</v>
      </c>
      <c r="M4767" s="1">
        <f t="shared" si="669"/>
        <v>37.389937572254333</v>
      </c>
      <c r="N4767" s="1">
        <f t="shared" si="670"/>
        <v>33.67010959537572</v>
      </c>
      <c r="O4767" s="1">
        <f t="shared" si="671"/>
        <v>34.08</v>
      </c>
      <c r="P4767" s="1">
        <f t="shared" si="672"/>
        <v>17.387755102040817</v>
      </c>
    </row>
    <row r="4768" spans="1:16">
      <c r="A4768" s="2">
        <v>36137</v>
      </c>
      <c r="B4768" s="1">
        <v>189.6</v>
      </c>
      <c r="C4768" s="1">
        <v>205.86</v>
      </c>
      <c r="D4768" s="1">
        <v>188.52</v>
      </c>
      <c r="E4768" s="1">
        <v>204.06</v>
      </c>
      <c r="F4768" s="1">
        <v>25549800</v>
      </c>
      <c r="G4768" s="1">
        <v>34.01</v>
      </c>
      <c r="H4768" s="1">
        <f t="shared" si="666"/>
        <v>17.340000000000003</v>
      </c>
      <c r="I4768" s="9">
        <f t="shared" si="673"/>
        <v>9.197963080840231E-2</v>
      </c>
      <c r="J4768" s="1">
        <f t="shared" si="674"/>
        <v>2.1799999999999997</v>
      </c>
      <c r="K4768" s="9">
        <f t="shared" si="667"/>
        <v>6.8488846999685826E-2</v>
      </c>
      <c r="L4768" s="1">
        <f t="shared" si="668"/>
        <v>0.16666666666666666</v>
      </c>
      <c r="M4768" s="1">
        <f t="shared" si="669"/>
        <v>34.31</v>
      </c>
      <c r="N4768" s="1">
        <f t="shared" si="670"/>
        <v>31.42</v>
      </c>
      <c r="O4768" s="1">
        <f t="shared" si="671"/>
        <v>32.049999999999997</v>
      </c>
      <c r="P4768" s="1">
        <f t="shared" si="672"/>
        <v>16.352040816326529</v>
      </c>
    </row>
    <row r="4769" spans="1:16">
      <c r="A4769" s="2">
        <v>36136</v>
      </c>
      <c r="B4769" s="1">
        <v>193.04</v>
      </c>
      <c r="C4769" s="1">
        <v>194</v>
      </c>
      <c r="D4769" s="1">
        <v>185.12</v>
      </c>
      <c r="E4769" s="1">
        <v>191</v>
      </c>
      <c r="F4769" s="1">
        <v>15774000</v>
      </c>
      <c r="G4769" s="1">
        <v>31.83</v>
      </c>
      <c r="H4769" s="1">
        <f t="shared" si="666"/>
        <v>8.8799999999999955</v>
      </c>
      <c r="I4769" s="9">
        <f t="shared" si="673"/>
        <v>4.7968885047536707E-2</v>
      </c>
      <c r="J4769" s="1">
        <f t="shared" si="674"/>
        <v>0.40999999999999659</v>
      </c>
      <c r="K4769" s="9">
        <f t="shared" si="667"/>
        <v>1.3049013367281877E-2</v>
      </c>
      <c r="L4769" s="1">
        <f t="shared" si="668"/>
        <v>0.16664921465968585</v>
      </c>
      <c r="M4769" s="1">
        <f t="shared" si="669"/>
        <v>32.329947643979054</v>
      </c>
      <c r="N4769" s="1">
        <f t="shared" si="670"/>
        <v>30.850102617801046</v>
      </c>
      <c r="O4769" s="1">
        <f t="shared" si="671"/>
        <v>29.869999999999997</v>
      </c>
      <c r="P4769" s="1">
        <f t="shared" si="672"/>
        <v>15.239795918367346</v>
      </c>
    </row>
    <row r="4770" spans="1:16">
      <c r="A4770" s="2">
        <v>36133</v>
      </c>
      <c r="B4770" s="1">
        <v>195.46</v>
      </c>
      <c r="C4770" s="1">
        <v>196.96</v>
      </c>
      <c r="D4770" s="1">
        <v>182.5</v>
      </c>
      <c r="E4770" s="1">
        <v>188.5</v>
      </c>
      <c r="F4770" s="1">
        <v>22257600</v>
      </c>
      <c r="G4770" s="1">
        <v>31.42</v>
      </c>
      <c r="H4770" s="1">
        <f t="shared" si="666"/>
        <v>14.460000000000008</v>
      </c>
      <c r="I4770" s="9">
        <f t="shared" si="673"/>
        <v>7.9232876712328815E-2</v>
      </c>
      <c r="J4770" s="1">
        <f t="shared" si="674"/>
        <v>-0.15999999999999659</v>
      </c>
      <c r="K4770" s="9">
        <f t="shared" si="667"/>
        <v>-5.0664977834071123E-3</v>
      </c>
      <c r="L4770" s="1">
        <f t="shared" si="668"/>
        <v>0.166684350132626</v>
      </c>
      <c r="M4770" s="1">
        <f t="shared" si="669"/>
        <v>32.83014960212202</v>
      </c>
      <c r="N4770" s="1">
        <f t="shared" si="670"/>
        <v>30.419893899204247</v>
      </c>
      <c r="O4770" s="1">
        <f t="shared" si="671"/>
        <v>29.46</v>
      </c>
      <c r="P4770" s="1">
        <f t="shared" si="672"/>
        <v>15.030612244897959</v>
      </c>
    </row>
    <row r="4771" spans="1:16">
      <c r="A4771" s="2">
        <v>36132</v>
      </c>
      <c r="B4771" s="1">
        <v>199.16</v>
      </c>
      <c r="C4771" s="1">
        <v>204.5</v>
      </c>
      <c r="D4771" s="1">
        <v>185</v>
      </c>
      <c r="E4771" s="1">
        <v>189.5</v>
      </c>
      <c r="F4771" s="1">
        <v>21836400</v>
      </c>
      <c r="G4771" s="1">
        <v>31.58</v>
      </c>
      <c r="H4771" s="1">
        <f t="shared" si="666"/>
        <v>19.5</v>
      </c>
      <c r="I4771" s="9">
        <f t="shared" si="673"/>
        <v>0.10540540540540541</v>
      </c>
      <c r="J4771" s="1">
        <f t="shared" si="674"/>
        <v>-1.6700000000000017</v>
      </c>
      <c r="K4771" s="9">
        <f t="shared" si="667"/>
        <v>-5.0225563909774486E-2</v>
      </c>
      <c r="L4771" s="1">
        <f t="shared" si="668"/>
        <v>0.16664907651715039</v>
      </c>
      <c r="M4771" s="1">
        <f t="shared" si="669"/>
        <v>34.079736147757252</v>
      </c>
      <c r="N4771" s="1">
        <f t="shared" si="670"/>
        <v>30.83007915567282</v>
      </c>
      <c r="O4771" s="1">
        <f t="shared" si="671"/>
        <v>29.619999999999997</v>
      </c>
      <c r="P4771" s="1">
        <f t="shared" si="672"/>
        <v>15.112244897959183</v>
      </c>
    </row>
    <row r="4772" spans="1:16">
      <c r="A4772" s="2">
        <v>36131</v>
      </c>
      <c r="B4772" s="1">
        <v>206.94</v>
      </c>
      <c r="C4772" s="1">
        <v>207.48</v>
      </c>
      <c r="D4772" s="1">
        <v>197.58</v>
      </c>
      <c r="E4772" s="1">
        <v>199.5</v>
      </c>
      <c r="F4772" s="1">
        <v>29649000</v>
      </c>
      <c r="G4772" s="1">
        <v>33.25</v>
      </c>
      <c r="H4772" s="1">
        <f t="shared" si="666"/>
        <v>9.8999999999999773</v>
      </c>
      <c r="I4772" s="9">
        <f t="shared" si="673"/>
        <v>5.0106286061342126E-2</v>
      </c>
      <c r="J4772" s="1">
        <f t="shared" si="674"/>
        <v>-1.6700000000000017</v>
      </c>
      <c r="K4772" s="9">
        <f t="shared" si="667"/>
        <v>-4.7823596792669003E-2</v>
      </c>
      <c r="L4772" s="1">
        <f t="shared" si="668"/>
        <v>0.16666666666666666</v>
      </c>
      <c r="M4772" s="1">
        <f t="shared" si="669"/>
        <v>34.58</v>
      </c>
      <c r="N4772" s="1">
        <f t="shared" si="670"/>
        <v>32.93</v>
      </c>
      <c r="O4772" s="1">
        <f t="shared" si="671"/>
        <v>31.29</v>
      </c>
      <c r="P4772" s="1">
        <f t="shared" si="672"/>
        <v>15.964285714285714</v>
      </c>
    </row>
    <row r="4773" spans="1:16">
      <c r="A4773" s="2">
        <v>36130</v>
      </c>
      <c r="B4773" s="1">
        <v>185.5</v>
      </c>
      <c r="C4773" s="1">
        <v>209.74</v>
      </c>
      <c r="D4773" s="1">
        <v>181.96</v>
      </c>
      <c r="E4773" s="1">
        <v>209.5</v>
      </c>
      <c r="F4773" s="1">
        <v>47154600</v>
      </c>
      <c r="G4773" s="1">
        <v>34.92</v>
      </c>
      <c r="H4773" s="1">
        <f t="shared" si="666"/>
        <v>27.78</v>
      </c>
      <c r="I4773" s="9">
        <f t="shared" si="673"/>
        <v>0.1526709166849857</v>
      </c>
      <c r="J4773" s="1">
        <f t="shared" si="674"/>
        <v>2.9200000000000017</v>
      </c>
      <c r="K4773" s="9">
        <f t="shared" si="667"/>
        <v>9.1250000000000053E-2</v>
      </c>
      <c r="L4773" s="1">
        <f t="shared" si="668"/>
        <v>0.16668257756563246</v>
      </c>
      <c r="M4773" s="1">
        <f t="shared" si="669"/>
        <v>34.960003818615753</v>
      </c>
      <c r="N4773" s="1">
        <f t="shared" si="670"/>
        <v>30.329561813842481</v>
      </c>
      <c r="O4773" s="1">
        <f t="shared" si="671"/>
        <v>32.96</v>
      </c>
      <c r="P4773" s="1">
        <f t="shared" si="672"/>
        <v>16.816326530612244</v>
      </c>
    </row>
    <row r="4774" spans="1:16">
      <c r="A4774" s="2">
        <v>36129</v>
      </c>
      <c r="B4774" s="1">
        <v>219.6</v>
      </c>
      <c r="C4774" s="1">
        <v>220.26</v>
      </c>
      <c r="D4774" s="1">
        <v>191.76</v>
      </c>
      <c r="E4774" s="1">
        <v>192</v>
      </c>
      <c r="F4774" s="1">
        <v>29752200</v>
      </c>
      <c r="G4774" s="1">
        <v>32</v>
      </c>
      <c r="H4774" s="1">
        <f t="shared" si="666"/>
        <v>28.5</v>
      </c>
      <c r="I4774" s="9">
        <f t="shared" si="673"/>
        <v>0.1486232790988736</v>
      </c>
      <c r="J4774" s="1">
        <f t="shared" si="674"/>
        <v>-4.1000000000000014</v>
      </c>
      <c r="K4774" s="9">
        <f t="shared" si="667"/>
        <v>-0.11357340720221611</v>
      </c>
      <c r="L4774" s="1">
        <f t="shared" si="668"/>
        <v>0.16666666666666666</v>
      </c>
      <c r="M4774" s="1">
        <f t="shared" si="669"/>
        <v>36.709999999999994</v>
      </c>
      <c r="N4774" s="1">
        <f t="shared" si="670"/>
        <v>31.959999999999997</v>
      </c>
      <c r="O4774" s="1">
        <f t="shared" si="671"/>
        <v>30.04</v>
      </c>
      <c r="P4774" s="1">
        <f t="shared" si="672"/>
        <v>15.326530612244898</v>
      </c>
    </row>
    <row r="4775" spans="1:16">
      <c r="A4775" s="2">
        <v>36126</v>
      </c>
      <c r="B4775" s="1">
        <v>217.28</v>
      </c>
      <c r="C4775" s="1">
        <v>218</v>
      </c>
      <c r="D4775" s="1">
        <v>213.02</v>
      </c>
      <c r="E4775" s="1">
        <v>216.62</v>
      </c>
      <c r="F4775" s="1">
        <v>9586800</v>
      </c>
      <c r="G4775" s="1">
        <v>36.1</v>
      </c>
      <c r="H4775" s="1">
        <f t="shared" si="666"/>
        <v>4.9799999999999898</v>
      </c>
      <c r="I4775" s="9">
        <f t="shared" si="673"/>
        <v>2.337808656464177E-2</v>
      </c>
      <c r="J4775" s="1">
        <f t="shared" si="674"/>
        <v>1.0500000000000043</v>
      </c>
      <c r="K4775" s="9">
        <f t="shared" si="667"/>
        <v>2.9957203994293989E-2</v>
      </c>
      <c r="L4775" s="1">
        <f t="shared" si="668"/>
        <v>0.16665127873695873</v>
      </c>
      <c r="M4775" s="1">
        <f t="shared" si="669"/>
        <v>36.329978764657</v>
      </c>
      <c r="N4775" s="1">
        <f t="shared" si="670"/>
        <v>35.500055396546948</v>
      </c>
      <c r="O4775" s="1">
        <f t="shared" si="671"/>
        <v>34.14</v>
      </c>
      <c r="P4775" s="1">
        <f t="shared" si="672"/>
        <v>17.418367346938776</v>
      </c>
    </row>
    <row r="4776" spans="1:16">
      <c r="A4776" s="2">
        <v>36124</v>
      </c>
      <c r="B4776" s="1">
        <v>216.49</v>
      </c>
      <c r="C4776" s="1">
        <v>223.51</v>
      </c>
      <c r="D4776" s="1">
        <v>205.03</v>
      </c>
      <c r="E4776" s="1">
        <v>210.31</v>
      </c>
      <c r="F4776" s="1">
        <v>27522600</v>
      </c>
      <c r="G4776" s="1">
        <v>35.049999999999997</v>
      </c>
      <c r="H4776" s="1">
        <f t="shared" si="666"/>
        <v>18.47999999999999</v>
      </c>
      <c r="I4776" s="9">
        <f t="shared" si="673"/>
        <v>9.0133151246159046E-2</v>
      </c>
      <c r="J4776" s="1">
        <f t="shared" si="674"/>
        <v>-0.70000000000000284</v>
      </c>
      <c r="K4776" s="9">
        <f t="shared" si="667"/>
        <v>-1.9580419580419658E-2</v>
      </c>
      <c r="L4776" s="1">
        <f t="shared" si="668"/>
        <v>0.16665874185725832</v>
      </c>
      <c r="M4776" s="1">
        <f t="shared" si="669"/>
        <v>37.249895392515803</v>
      </c>
      <c r="N4776" s="1">
        <f t="shared" si="670"/>
        <v>34.170041842993676</v>
      </c>
      <c r="O4776" s="1">
        <f t="shared" si="671"/>
        <v>33.089999999999996</v>
      </c>
      <c r="P4776" s="1">
        <f t="shared" si="672"/>
        <v>16.882653061224488</v>
      </c>
    </row>
    <row r="4777" spans="1:16">
      <c r="A4777" s="2">
        <v>36123</v>
      </c>
      <c r="B4777" s="1">
        <v>223.98</v>
      </c>
      <c r="C4777" s="1">
        <v>233.1</v>
      </c>
      <c r="D4777" s="1">
        <v>205.02</v>
      </c>
      <c r="E4777" s="1">
        <v>214.5</v>
      </c>
      <c r="F4777" s="1">
        <v>81675600</v>
      </c>
      <c r="G4777" s="1">
        <v>35.75</v>
      </c>
      <c r="H4777" s="1">
        <f t="shared" si="666"/>
        <v>28.079999999999984</v>
      </c>
      <c r="I4777" s="9">
        <f t="shared" si="673"/>
        <v>0.13696224758560133</v>
      </c>
      <c r="J4777" s="1">
        <f t="shared" si="674"/>
        <v>-0.57999999999999829</v>
      </c>
      <c r="K4777" s="9">
        <f t="shared" si="667"/>
        <v>-1.5964767409854069E-2</v>
      </c>
      <c r="L4777" s="1">
        <f t="shared" si="668"/>
        <v>0.16666666666666666</v>
      </c>
      <c r="M4777" s="1">
        <f t="shared" si="669"/>
        <v>38.849999999999994</v>
      </c>
      <c r="N4777" s="1">
        <f t="shared" si="670"/>
        <v>34.17</v>
      </c>
      <c r="O4777" s="1">
        <f t="shared" si="671"/>
        <v>33.79</v>
      </c>
      <c r="P4777" s="1">
        <f t="shared" si="672"/>
        <v>17.239795918367346</v>
      </c>
    </row>
    <row r="4778" spans="1:16">
      <c r="A4778" s="2">
        <v>36122</v>
      </c>
      <c r="B4778" s="1">
        <v>190.88</v>
      </c>
      <c r="C4778" s="1">
        <v>218.54</v>
      </c>
      <c r="D4778" s="1">
        <v>186.08</v>
      </c>
      <c r="E4778" s="1">
        <v>218</v>
      </c>
      <c r="F4778" s="1">
        <v>67781400</v>
      </c>
      <c r="G4778" s="1">
        <v>36.33</v>
      </c>
      <c r="H4778" s="1">
        <f t="shared" si="666"/>
        <v>32.45999999999998</v>
      </c>
      <c r="I4778" s="9">
        <f t="shared" si="673"/>
        <v>0.17444110060189152</v>
      </c>
      <c r="J4778" s="1">
        <f t="shared" si="674"/>
        <v>6.2299999999999969</v>
      </c>
      <c r="K4778" s="9">
        <f t="shared" si="667"/>
        <v>0.20697674418604639</v>
      </c>
      <c r="L4778" s="1">
        <f t="shared" si="668"/>
        <v>0.16665137614678899</v>
      </c>
      <c r="M4778" s="1">
        <f t="shared" si="669"/>
        <v>36.419991743119262</v>
      </c>
      <c r="N4778" s="1">
        <f t="shared" si="670"/>
        <v>31.010488073394498</v>
      </c>
      <c r="O4778" s="1">
        <f t="shared" si="671"/>
        <v>34.369999999999997</v>
      </c>
      <c r="P4778" s="1">
        <f t="shared" si="672"/>
        <v>17.535714285714285</v>
      </c>
    </row>
    <row r="4779" spans="1:16">
      <c r="A4779" s="2">
        <v>36119</v>
      </c>
      <c r="B4779" s="1">
        <v>175.04</v>
      </c>
      <c r="C4779" s="1">
        <v>181.76</v>
      </c>
      <c r="D4779" s="1">
        <v>165.02</v>
      </c>
      <c r="E4779" s="1">
        <v>180.62</v>
      </c>
      <c r="F4779" s="1">
        <v>66912600</v>
      </c>
      <c r="G4779" s="1">
        <v>30.1</v>
      </c>
      <c r="H4779" s="1">
        <f t="shared" si="666"/>
        <v>16.739999999999981</v>
      </c>
      <c r="I4779" s="9">
        <f t="shared" si="673"/>
        <v>0.10144224942431208</v>
      </c>
      <c r="J4779" s="1">
        <f t="shared" si="674"/>
        <v>4.5600000000000023</v>
      </c>
      <c r="K4779" s="9">
        <f t="shared" si="667"/>
        <v>0.17854346123727496</v>
      </c>
      <c r="L4779" s="1">
        <f t="shared" si="668"/>
        <v>0.16664821171520319</v>
      </c>
      <c r="M4779" s="1">
        <f t="shared" si="669"/>
        <v>30.289978961355331</v>
      </c>
      <c r="N4779" s="1">
        <f t="shared" si="670"/>
        <v>27.500287897242831</v>
      </c>
      <c r="O4779" s="1">
        <f t="shared" si="671"/>
        <v>28.14</v>
      </c>
      <c r="P4779" s="1">
        <f t="shared" si="672"/>
        <v>14.357142857142858</v>
      </c>
    </row>
    <row r="4780" spans="1:16">
      <c r="A4780" s="2">
        <v>36118</v>
      </c>
      <c r="B4780" s="1">
        <v>171.01</v>
      </c>
      <c r="C4780" s="1">
        <v>175.51</v>
      </c>
      <c r="D4780" s="1">
        <v>153.01</v>
      </c>
      <c r="E4780" s="1">
        <v>153.25</v>
      </c>
      <c r="F4780" s="1">
        <v>38895600</v>
      </c>
      <c r="G4780" s="1">
        <v>25.54</v>
      </c>
      <c r="H4780" s="1">
        <f t="shared" si="666"/>
        <v>22.5</v>
      </c>
      <c r="I4780" s="9">
        <f t="shared" si="673"/>
        <v>0.14704921246977323</v>
      </c>
      <c r="J4780" s="1">
        <f t="shared" si="674"/>
        <v>-1.7899999999999991</v>
      </c>
      <c r="K4780" s="9">
        <f t="shared" si="667"/>
        <v>-6.5495792169776773E-2</v>
      </c>
      <c r="L4780" s="1">
        <f t="shared" si="668"/>
        <v>0.1666557911908646</v>
      </c>
      <c r="M4780" s="1">
        <f t="shared" si="669"/>
        <v>29.249757911908645</v>
      </c>
      <c r="N4780" s="1">
        <f t="shared" si="670"/>
        <v>25.500002610114191</v>
      </c>
      <c r="O4780" s="1">
        <f t="shared" si="671"/>
        <v>23.58</v>
      </c>
      <c r="P4780" s="1">
        <f t="shared" si="672"/>
        <v>12.030612244897959</v>
      </c>
    </row>
    <row r="4781" spans="1:16">
      <c r="A4781" s="2">
        <v>36117</v>
      </c>
      <c r="B4781" s="1">
        <v>151.63999999999999</v>
      </c>
      <c r="C4781" s="1">
        <v>170.66</v>
      </c>
      <c r="D4781" s="1">
        <v>151.52000000000001</v>
      </c>
      <c r="E4781" s="1">
        <v>164</v>
      </c>
      <c r="F4781" s="1">
        <v>59133600</v>
      </c>
      <c r="G4781" s="1">
        <v>27.33</v>
      </c>
      <c r="H4781" s="1">
        <f t="shared" si="666"/>
        <v>19.139999999999986</v>
      </c>
      <c r="I4781" s="9">
        <f t="shared" si="673"/>
        <v>0.12631995776135155</v>
      </c>
      <c r="J4781" s="1">
        <f t="shared" si="674"/>
        <v>2.5799999999999983</v>
      </c>
      <c r="K4781" s="9">
        <f t="shared" si="667"/>
        <v>0.10424242424242418</v>
      </c>
      <c r="L4781" s="1">
        <f t="shared" si="668"/>
        <v>0.16664634146341462</v>
      </c>
      <c r="M4781" s="1">
        <f t="shared" si="669"/>
        <v>28.439864634146339</v>
      </c>
      <c r="N4781" s="1">
        <f t="shared" si="670"/>
        <v>25.250253658536586</v>
      </c>
      <c r="O4781" s="1">
        <f t="shared" si="671"/>
        <v>25.369999999999997</v>
      </c>
      <c r="P4781" s="1">
        <f t="shared" si="672"/>
        <v>12.943877551020407</v>
      </c>
    </row>
    <row r="4782" spans="1:16">
      <c r="A4782" s="2">
        <v>36116</v>
      </c>
      <c r="B4782" s="1">
        <v>129.36000000000001</v>
      </c>
      <c r="C4782" s="1">
        <v>154.26</v>
      </c>
      <c r="D4782" s="1">
        <v>128.52000000000001</v>
      </c>
      <c r="E4782" s="1">
        <v>148.5</v>
      </c>
      <c r="F4782" s="1">
        <v>61141800</v>
      </c>
      <c r="G4782" s="1">
        <v>24.75</v>
      </c>
      <c r="H4782" s="1">
        <f t="shared" si="666"/>
        <v>25.739999999999981</v>
      </c>
      <c r="I4782" s="9">
        <f t="shared" si="673"/>
        <v>0.20028011204481777</v>
      </c>
      <c r="J4782" s="1">
        <f t="shared" si="674"/>
        <v>3.7100000000000009</v>
      </c>
      <c r="K4782" s="9">
        <f t="shared" si="667"/>
        <v>0.1763307984790875</v>
      </c>
      <c r="L4782" s="1">
        <f t="shared" si="668"/>
        <v>0.16666666666666666</v>
      </c>
      <c r="M4782" s="1">
        <f t="shared" si="669"/>
        <v>25.709999999999997</v>
      </c>
      <c r="N4782" s="1">
        <f t="shared" si="670"/>
        <v>21.42</v>
      </c>
      <c r="O4782" s="1">
        <f t="shared" si="671"/>
        <v>22.79</v>
      </c>
      <c r="P4782" s="1">
        <f t="shared" si="672"/>
        <v>11.627551020408163</v>
      </c>
    </row>
    <row r="4783" spans="1:16">
      <c r="A4783" s="2">
        <v>36115</v>
      </c>
      <c r="B4783" s="1">
        <v>128.53</v>
      </c>
      <c r="C4783" s="1">
        <v>129.91</v>
      </c>
      <c r="D4783" s="1">
        <v>123.49</v>
      </c>
      <c r="E4783" s="1">
        <v>126.25</v>
      </c>
      <c r="F4783" s="1">
        <v>11897400</v>
      </c>
      <c r="G4783" s="1">
        <v>21.04</v>
      </c>
      <c r="H4783" s="1">
        <f t="shared" si="666"/>
        <v>6.4200000000000017</v>
      </c>
      <c r="I4783" s="9">
        <f t="shared" si="673"/>
        <v>5.1988015223904782E-2</v>
      </c>
      <c r="J4783" s="1">
        <f t="shared" si="674"/>
        <v>-0.25</v>
      </c>
      <c r="K4783" s="9">
        <f t="shared" si="667"/>
        <v>-1.1742602160638799E-2</v>
      </c>
      <c r="L4783" s="1">
        <f t="shared" si="668"/>
        <v>0.16665346534653463</v>
      </c>
      <c r="M4783" s="1">
        <f t="shared" si="669"/>
        <v>21.649951683168315</v>
      </c>
      <c r="N4783" s="1">
        <f t="shared" si="670"/>
        <v>20.58003643564356</v>
      </c>
      <c r="O4783" s="1">
        <f t="shared" si="671"/>
        <v>19.079999999999998</v>
      </c>
      <c r="P4783" s="1">
        <f t="shared" si="672"/>
        <v>9.7346938775510203</v>
      </c>
    </row>
    <row r="4784" spans="1:16">
      <c r="A4784" s="2">
        <v>36112</v>
      </c>
      <c r="B4784" s="1">
        <v>131.94999999999999</v>
      </c>
      <c r="C4784" s="1">
        <v>133.51</v>
      </c>
      <c r="D4784" s="1">
        <v>125.71</v>
      </c>
      <c r="E4784" s="1">
        <v>127.75</v>
      </c>
      <c r="F4784" s="1">
        <v>8940600</v>
      </c>
      <c r="G4784" s="1">
        <v>21.29</v>
      </c>
      <c r="H4784" s="1">
        <f t="shared" si="666"/>
        <v>7.7999999999999972</v>
      </c>
      <c r="I4784" s="9">
        <f t="shared" si="673"/>
        <v>6.2047569803516008E-2</v>
      </c>
      <c r="J4784" s="1">
        <f t="shared" si="674"/>
        <v>-0.53999999999999915</v>
      </c>
      <c r="K4784" s="9">
        <f t="shared" si="667"/>
        <v>-2.473660100778741E-2</v>
      </c>
      <c r="L4784" s="1">
        <f t="shared" si="668"/>
        <v>0.16665362035225048</v>
      </c>
      <c r="M4784" s="1">
        <f t="shared" si="669"/>
        <v>22.249924853228961</v>
      </c>
      <c r="N4784" s="1">
        <f t="shared" si="670"/>
        <v>20.950026614481406</v>
      </c>
      <c r="O4784" s="1">
        <f t="shared" si="671"/>
        <v>19.329999999999998</v>
      </c>
      <c r="P4784" s="1">
        <f t="shared" si="672"/>
        <v>9.862244897959183</v>
      </c>
    </row>
    <row r="4785" spans="1:16">
      <c r="A4785" s="2">
        <v>36111</v>
      </c>
      <c r="B4785" s="1">
        <v>125.54</v>
      </c>
      <c r="C4785" s="1">
        <v>132.91999999999999</v>
      </c>
      <c r="D4785" s="1">
        <v>125</v>
      </c>
      <c r="E4785" s="1">
        <v>131</v>
      </c>
      <c r="F4785" s="1">
        <v>11974800</v>
      </c>
      <c r="G4785" s="1">
        <v>21.83</v>
      </c>
      <c r="H4785" s="1">
        <f t="shared" si="666"/>
        <v>7.9199999999999875</v>
      </c>
      <c r="I4785" s="9">
        <f t="shared" si="673"/>
        <v>6.3359999999999903E-2</v>
      </c>
      <c r="J4785" s="1">
        <f t="shared" si="674"/>
        <v>0.72999999999999687</v>
      </c>
      <c r="K4785" s="9">
        <f t="shared" si="667"/>
        <v>3.4597156398104116E-2</v>
      </c>
      <c r="L4785" s="1">
        <f t="shared" si="668"/>
        <v>0.1666412213740458</v>
      </c>
      <c r="M4785" s="1">
        <f t="shared" si="669"/>
        <v>22.149951145038166</v>
      </c>
      <c r="N4785" s="1">
        <f t="shared" si="670"/>
        <v>20.830152671755727</v>
      </c>
      <c r="O4785" s="1">
        <f t="shared" si="671"/>
        <v>19.869999999999997</v>
      </c>
      <c r="P4785" s="1">
        <f t="shared" si="672"/>
        <v>10.137755102040815</v>
      </c>
    </row>
    <row r="4786" spans="1:16">
      <c r="A4786" s="2">
        <v>36110</v>
      </c>
      <c r="B4786" s="1">
        <v>133.63999999999999</v>
      </c>
      <c r="C4786" s="1">
        <v>134.30000000000001</v>
      </c>
      <c r="D4786" s="1">
        <v>125.3</v>
      </c>
      <c r="E4786" s="1">
        <v>126.62</v>
      </c>
      <c r="F4786" s="1">
        <v>16463400</v>
      </c>
      <c r="G4786" s="1">
        <v>21.1</v>
      </c>
      <c r="H4786" s="1">
        <f t="shared" si="666"/>
        <v>9.0000000000000142</v>
      </c>
      <c r="I4786" s="9">
        <f t="shared" si="673"/>
        <v>7.1827613727055178E-2</v>
      </c>
      <c r="J4786" s="1">
        <f t="shared" si="674"/>
        <v>-0.85999999999999943</v>
      </c>
      <c r="K4786" s="9">
        <f t="shared" si="667"/>
        <v>-3.9162112932604708E-2</v>
      </c>
      <c r="L4786" s="1">
        <f t="shared" si="668"/>
        <v>0.16664034117832888</v>
      </c>
      <c r="M4786" s="1">
        <f t="shared" si="669"/>
        <v>22.379797820249571</v>
      </c>
      <c r="N4786" s="1">
        <f t="shared" si="670"/>
        <v>20.880034749644608</v>
      </c>
      <c r="O4786" s="1">
        <f t="shared" si="671"/>
        <v>19.14</v>
      </c>
      <c r="P4786" s="1">
        <f t="shared" si="672"/>
        <v>9.7653061224489797</v>
      </c>
    </row>
    <row r="4787" spans="1:16">
      <c r="A4787" s="2">
        <v>36109</v>
      </c>
      <c r="B4787" s="1">
        <v>128.27000000000001</v>
      </c>
      <c r="C4787" s="1">
        <v>139.97</v>
      </c>
      <c r="D4787" s="1">
        <v>128.09</v>
      </c>
      <c r="E4787" s="1">
        <v>131.75</v>
      </c>
      <c r="F4787" s="1">
        <v>34375800</v>
      </c>
      <c r="G4787" s="1">
        <v>21.96</v>
      </c>
      <c r="H4787" s="1">
        <f t="shared" si="666"/>
        <v>11.879999999999995</v>
      </c>
      <c r="I4787" s="9">
        <f t="shared" si="673"/>
        <v>9.274728706378324E-2</v>
      </c>
      <c r="J4787" s="1">
        <f t="shared" si="674"/>
        <v>0.81000000000000227</v>
      </c>
      <c r="K4787" s="9">
        <f t="shared" si="667"/>
        <v>3.8297872340425643E-2</v>
      </c>
      <c r="L4787" s="1">
        <f t="shared" si="668"/>
        <v>0.16667931688804555</v>
      </c>
      <c r="M4787" s="1">
        <f t="shared" si="669"/>
        <v>23.330103984819736</v>
      </c>
      <c r="N4787" s="1">
        <f t="shared" si="670"/>
        <v>21.349953700189754</v>
      </c>
      <c r="O4787" s="1">
        <f t="shared" si="671"/>
        <v>20</v>
      </c>
      <c r="P4787" s="1">
        <f t="shared" si="672"/>
        <v>10.204081632653061</v>
      </c>
    </row>
    <row r="4788" spans="1:16">
      <c r="A4788" s="2">
        <v>36108</v>
      </c>
      <c r="B4788" s="1">
        <v>121.83</v>
      </c>
      <c r="C4788" s="1">
        <v>127.41</v>
      </c>
      <c r="D4788" s="1">
        <v>120.75</v>
      </c>
      <c r="E4788" s="1">
        <v>126.87</v>
      </c>
      <c r="F4788" s="1">
        <v>21843600</v>
      </c>
      <c r="G4788" s="1">
        <v>21.15</v>
      </c>
      <c r="H4788" s="1">
        <f t="shared" si="666"/>
        <v>6.6599999999999966</v>
      </c>
      <c r="I4788" s="9">
        <f t="shared" si="673"/>
        <v>5.5155279503105559E-2</v>
      </c>
      <c r="J4788" s="1">
        <f t="shared" si="674"/>
        <v>0.38999999999999702</v>
      </c>
      <c r="K4788" s="9">
        <f t="shared" si="667"/>
        <v>1.8786127167629913E-2</v>
      </c>
      <c r="L4788" s="1">
        <f t="shared" si="668"/>
        <v>0.16670607708678173</v>
      </c>
      <c r="M4788" s="1">
        <f t="shared" si="669"/>
        <v>21.240021281626859</v>
      </c>
      <c r="N4788" s="1">
        <f t="shared" si="670"/>
        <v>20.129758808228893</v>
      </c>
      <c r="O4788" s="1">
        <f t="shared" si="671"/>
        <v>19.189999999999998</v>
      </c>
      <c r="P4788" s="1">
        <f t="shared" si="672"/>
        <v>9.7908163265306118</v>
      </c>
    </row>
    <row r="4789" spans="1:16">
      <c r="A4789" s="2">
        <v>36105</v>
      </c>
      <c r="B4789" s="1">
        <v>126</v>
      </c>
      <c r="C4789" s="1">
        <v>128.28</v>
      </c>
      <c r="D4789" s="1">
        <v>124.02</v>
      </c>
      <c r="E4789" s="1">
        <v>124.56</v>
      </c>
      <c r="F4789" s="1">
        <v>18894000</v>
      </c>
      <c r="G4789" s="1">
        <v>20.76</v>
      </c>
      <c r="H4789" s="1">
        <f t="shared" si="666"/>
        <v>4.2600000000000051</v>
      </c>
      <c r="I4789" s="9">
        <f t="shared" si="673"/>
        <v>3.4349298500241938E-2</v>
      </c>
      <c r="J4789" s="1">
        <f t="shared" si="674"/>
        <v>-0.66000000000000014</v>
      </c>
      <c r="K4789" s="9">
        <f t="shared" si="667"/>
        <v>-3.0812324929971994E-2</v>
      </c>
      <c r="L4789" s="1">
        <f t="shared" si="668"/>
        <v>0.16666666666666669</v>
      </c>
      <c r="M4789" s="1">
        <f t="shared" si="669"/>
        <v>21.380000000000003</v>
      </c>
      <c r="N4789" s="1">
        <f t="shared" si="670"/>
        <v>20.67</v>
      </c>
      <c r="O4789" s="1">
        <f t="shared" si="671"/>
        <v>18.8</v>
      </c>
      <c r="P4789" s="1">
        <f t="shared" si="672"/>
        <v>9.591836734693878</v>
      </c>
    </row>
    <row r="4790" spans="1:16">
      <c r="A4790" s="2">
        <v>36104</v>
      </c>
      <c r="B4790" s="1">
        <v>127.66</v>
      </c>
      <c r="C4790" s="1">
        <v>130.12</v>
      </c>
      <c r="D4790" s="1">
        <v>126.22</v>
      </c>
      <c r="E4790" s="1">
        <v>128.5</v>
      </c>
      <c r="F4790" s="1">
        <v>14732400</v>
      </c>
      <c r="G4790" s="1">
        <v>21.42</v>
      </c>
      <c r="H4790" s="1">
        <f t="shared" si="666"/>
        <v>3.9000000000000057</v>
      </c>
      <c r="I4790" s="9">
        <f t="shared" si="673"/>
        <v>3.0898431310410441E-2</v>
      </c>
      <c r="J4790" s="1">
        <f t="shared" si="674"/>
        <v>-0.21999999999999886</v>
      </c>
      <c r="K4790" s="9">
        <f t="shared" si="667"/>
        <v>-1.0166358595194032E-2</v>
      </c>
      <c r="L4790" s="1">
        <f t="shared" si="668"/>
        <v>0.16669260700389107</v>
      </c>
      <c r="M4790" s="1">
        <f t="shared" si="669"/>
        <v>21.690042023346308</v>
      </c>
      <c r="N4790" s="1">
        <f t="shared" si="670"/>
        <v>21.03994085603113</v>
      </c>
      <c r="O4790" s="1">
        <f t="shared" si="671"/>
        <v>19.46</v>
      </c>
      <c r="P4790" s="1">
        <f t="shared" si="672"/>
        <v>9.9285714285714288</v>
      </c>
    </row>
    <row r="4791" spans="1:16">
      <c r="A4791" s="2">
        <v>36103</v>
      </c>
      <c r="B4791" s="1">
        <v>131.37</v>
      </c>
      <c r="C4791" s="1">
        <v>131.97</v>
      </c>
      <c r="D4791" s="1">
        <v>126.57</v>
      </c>
      <c r="E4791" s="1">
        <v>129.81</v>
      </c>
      <c r="F4791" s="1">
        <v>20383200</v>
      </c>
      <c r="G4791" s="1">
        <v>21.64</v>
      </c>
      <c r="H4791" s="1">
        <f t="shared" si="666"/>
        <v>5.4000000000000057</v>
      </c>
      <c r="I4791" s="9">
        <f t="shared" si="673"/>
        <v>4.2664138421426925E-2</v>
      </c>
      <c r="J4791" s="1">
        <f t="shared" si="674"/>
        <v>0.62999999999999901</v>
      </c>
      <c r="K4791" s="9">
        <f t="shared" si="667"/>
        <v>2.9985721085197474E-2</v>
      </c>
      <c r="L4791" s="1">
        <f t="shared" si="668"/>
        <v>0.16670518450042371</v>
      </c>
      <c r="M4791" s="1">
        <f t="shared" si="669"/>
        <v>22.000083198520915</v>
      </c>
      <c r="N4791" s="1">
        <f t="shared" si="670"/>
        <v>21.099875202218627</v>
      </c>
      <c r="O4791" s="1">
        <f t="shared" si="671"/>
        <v>19.68</v>
      </c>
      <c r="P4791" s="1">
        <f t="shared" si="672"/>
        <v>10.040816326530612</v>
      </c>
    </row>
    <row r="4792" spans="1:16">
      <c r="A4792" s="2">
        <v>36102</v>
      </c>
      <c r="B4792" s="1">
        <v>131.1</v>
      </c>
      <c r="C4792" s="1">
        <v>133.08000000000001</v>
      </c>
      <c r="D4792" s="1">
        <v>125.76</v>
      </c>
      <c r="E4792" s="1">
        <v>126.06</v>
      </c>
      <c r="F4792" s="1">
        <v>18388200</v>
      </c>
      <c r="G4792" s="1">
        <v>21.01</v>
      </c>
      <c r="H4792" s="1">
        <f t="shared" si="666"/>
        <v>7.3200000000000074</v>
      </c>
      <c r="I4792" s="9">
        <f t="shared" si="673"/>
        <v>5.8206106870229063E-2</v>
      </c>
      <c r="J4792" s="1">
        <f t="shared" si="674"/>
        <v>-0.81999999999999673</v>
      </c>
      <c r="K4792" s="9">
        <f t="shared" si="667"/>
        <v>-3.7562986715528941E-2</v>
      </c>
      <c r="L4792" s="1">
        <f t="shared" si="668"/>
        <v>0.16666666666666669</v>
      </c>
      <c r="M4792" s="1">
        <f t="shared" si="669"/>
        <v>22.180000000000003</v>
      </c>
      <c r="N4792" s="1">
        <f t="shared" si="670"/>
        <v>20.960000000000004</v>
      </c>
      <c r="O4792" s="1">
        <f t="shared" si="671"/>
        <v>19.05</v>
      </c>
      <c r="P4792" s="1">
        <f t="shared" si="672"/>
        <v>9.7193877551020407</v>
      </c>
    </row>
    <row r="4793" spans="1:16">
      <c r="A4793" s="2">
        <v>36101</v>
      </c>
      <c r="B4793" s="1">
        <v>128.12</v>
      </c>
      <c r="C4793" s="1">
        <v>131.47999999999999</v>
      </c>
      <c r="D4793" s="1">
        <v>124.52</v>
      </c>
      <c r="E4793" s="1">
        <v>131</v>
      </c>
      <c r="F4793" s="1">
        <v>31494000</v>
      </c>
      <c r="G4793" s="1">
        <v>21.83</v>
      </c>
      <c r="H4793" s="1">
        <f t="shared" si="666"/>
        <v>6.9599999999999937</v>
      </c>
      <c r="I4793" s="9">
        <f t="shared" si="673"/>
        <v>5.5894635399935708E-2</v>
      </c>
      <c r="J4793" s="1">
        <f t="shared" si="674"/>
        <v>0.75999999999999801</v>
      </c>
      <c r="K4793" s="9">
        <f t="shared" si="667"/>
        <v>3.6070242050308399E-2</v>
      </c>
      <c r="L4793" s="1">
        <f t="shared" si="668"/>
        <v>0.1666412213740458</v>
      </c>
      <c r="M4793" s="1">
        <f t="shared" si="669"/>
        <v>21.909987786259538</v>
      </c>
      <c r="N4793" s="1">
        <f t="shared" si="670"/>
        <v>20.750164885496183</v>
      </c>
      <c r="O4793" s="1">
        <f t="shared" si="671"/>
        <v>19.869999999999997</v>
      </c>
      <c r="P4793" s="1">
        <f t="shared" si="672"/>
        <v>10.137755102040815</v>
      </c>
    </row>
    <row r="4794" spans="1:16">
      <c r="A4794" s="2">
        <v>36098</v>
      </c>
      <c r="B4794" s="1">
        <v>126.62</v>
      </c>
      <c r="C4794" s="1">
        <v>129.86000000000001</v>
      </c>
      <c r="D4794" s="1">
        <v>124.64</v>
      </c>
      <c r="E4794" s="1">
        <v>126.44</v>
      </c>
      <c r="F4794" s="1">
        <v>21182400</v>
      </c>
      <c r="G4794" s="1">
        <v>21.07</v>
      </c>
      <c r="H4794" s="1">
        <f t="shared" si="666"/>
        <v>5.2200000000000131</v>
      </c>
      <c r="I4794" s="9">
        <f t="shared" si="673"/>
        <v>4.1880616174582906E-2</v>
      </c>
      <c r="J4794" s="1">
        <f t="shared" si="674"/>
        <v>-9.9999999999980105E-3</v>
      </c>
      <c r="K4794" s="9">
        <f t="shared" si="667"/>
        <v>-4.7438330170768557E-4</v>
      </c>
      <c r="L4794" s="1">
        <f t="shared" si="668"/>
        <v>0.16664030370136032</v>
      </c>
      <c r="M4794" s="1">
        <f t="shared" si="669"/>
        <v>21.639909838658653</v>
      </c>
      <c r="N4794" s="1">
        <f t="shared" si="670"/>
        <v>20.770047453337551</v>
      </c>
      <c r="O4794" s="1">
        <f t="shared" si="671"/>
        <v>19.11</v>
      </c>
      <c r="P4794" s="1">
        <f t="shared" si="672"/>
        <v>9.75</v>
      </c>
    </row>
    <row r="4795" spans="1:16">
      <c r="A4795" s="2">
        <v>36097</v>
      </c>
      <c r="B4795" s="1">
        <v>121.34</v>
      </c>
      <c r="C4795" s="1">
        <v>127.28</v>
      </c>
      <c r="D4795" s="1">
        <v>119</v>
      </c>
      <c r="E4795" s="1">
        <v>126.5</v>
      </c>
      <c r="F4795" s="1">
        <v>32932200</v>
      </c>
      <c r="G4795" s="1">
        <v>21.08</v>
      </c>
      <c r="H4795" s="1">
        <f t="shared" si="666"/>
        <v>8.2800000000000011</v>
      </c>
      <c r="I4795" s="9">
        <f t="shared" si="673"/>
        <v>6.9579831932773117E-2</v>
      </c>
      <c r="J4795" s="1">
        <f t="shared" si="674"/>
        <v>1.5699999999999967</v>
      </c>
      <c r="K4795" s="9">
        <f t="shared" si="667"/>
        <v>8.0471553049717925E-2</v>
      </c>
      <c r="L4795" s="1">
        <f t="shared" si="668"/>
        <v>0.16664031620553357</v>
      </c>
      <c r="M4795" s="1">
        <f t="shared" si="669"/>
        <v>21.209979446640315</v>
      </c>
      <c r="N4795" s="1">
        <f t="shared" si="670"/>
        <v>19.830197628458496</v>
      </c>
      <c r="O4795" s="1">
        <f t="shared" si="671"/>
        <v>19.119999999999997</v>
      </c>
      <c r="P4795" s="1">
        <f t="shared" si="672"/>
        <v>9.7551020408163254</v>
      </c>
    </row>
    <row r="4796" spans="1:16">
      <c r="A4796" s="2">
        <v>36096</v>
      </c>
      <c r="B4796" s="1">
        <v>116.94</v>
      </c>
      <c r="C4796" s="1">
        <v>119.52</v>
      </c>
      <c r="D4796" s="1">
        <v>114.24</v>
      </c>
      <c r="E4796" s="1">
        <v>117.06</v>
      </c>
      <c r="F4796" s="1">
        <v>19891800</v>
      </c>
      <c r="G4796" s="1">
        <v>19.510000000000002</v>
      </c>
      <c r="H4796" s="1">
        <f t="shared" si="666"/>
        <v>5.2800000000000011</v>
      </c>
      <c r="I4796" s="9">
        <f t="shared" si="673"/>
        <v>4.6218487394957992E-2</v>
      </c>
      <c r="J4796" s="1">
        <f t="shared" si="674"/>
        <v>0.12000000000000099</v>
      </c>
      <c r="K4796" s="9">
        <f t="shared" si="667"/>
        <v>6.1887570912842185E-3</v>
      </c>
      <c r="L4796" s="1">
        <f t="shared" si="668"/>
        <v>0.16666666666666669</v>
      </c>
      <c r="M4796" s="1">
        <f t="shared" si="669"/>
        <v>19.920000000000002</v>
      </c>
      <c r="N4796" s="1">
        <f t="shared" si="670"/>
        <v>19.040000000000003</v>
      </c>
      <c r="O4796" s="1">
        <f t="shared" si="671"/>
        <v>17.55</v>
      </c>
      <c r="P4796" s="1">
        <f t="shared" si="672"/>
        <v>8.954081632653061</v>
      </c>
    </row>
    <row r="4797" spans="1:16">
      <c r="A4797" s="2">
        <v>36095</v>
      </c>
      <c r="B4797" s="1">
        <v>124.11</v>
      </c>
      <c r="C4797" s="1">
        <v>125.97</v>
      </c>
      <c r="D4797" s="1">
        <v>116.01</v>
      </c>
      <c r="E4797" s="1">
        <v>116.31</v>
      </c>
      <c r="F4797" s="1">
        <v>20164200</v>
      </c>
      <c r="G4797" s="1">
        <v>19.39</v>
      </c>
      <c r="H4797" s="1">
        <f t="shared" si="666"/>
        <v>9.9599999999999937</v>
      </c>
      <c r="I4797" s="9">
        <f t="shared" si="673"/>
        <v>8.5854667701060192E-2</v>
      </c>
      <c r="J4797" s="1">
        <f t="shared" si="674"/>
        <v>-0.84999999999999787</v>
      </c>
      <c r="K4797" s="9">
        <f t="shared" si="667"/>
        <v>-4.1996047430829936E-2</v>
      </c>
      <c r="L4797" s="1">
        <f t="shared" si="668"/>
        <v>0.16670965523170836</v>
      </c>
      <c r="M4797" s="1">
        <f t="shared" si="669"/>
        <v>21.000415269538301</v>
      </c>
      <c r="N4797" s="1">
        <f t="shared" si="670"/>
        <v>19.339987103430488</v>
      </c>
      <c r="O4797" s="1">
        <f t="shared" si="671"/>
        <v>17.43</v>
      </c>
      <c r="P4797" s="1">
        <f t="shared" si="672"/>
        <v>8.8928571428571423</v>
      </c>
    </row>
    <row r="4798" spans="1:16">
      <c r="A4798" s="2">
        <v>36094</v>
      </c>
      <c r="B4798" s="1">
        <v>119.1</v>
      </c>
      <c r="C4798" s="1">
        <v>121.86</v>
      </c>
      <c r="D4798" s="1">
        <v>116.76</v>
      </c>
      <c r="E4798" s="1">
        <v>121.44</v>
      </c>
      <c r="F4798" s="1">
        <v>19516800</v>
      </c>
      <c r="G4798" s="1">
        <v>20.239999999999998</v>
      </c>
      <c r="H4798" s="1">
        <f t="shared" si="666"/>
        <v>5.0999999999999943</v>
      </c>
      <c r="I4798" s="9">
        <f t="shared" si="673"/>
        <v>4.3679342240493267E-2</v>
      </c>
      <c r="J4798" s="1">
        <f t="shared" si="674"/>
        <v>0.88999999999999702</v>
      </c>
      <c r="K4798" s="9">
        <f t="shared" si="667"/>
        <v>4.5994832041343511E-2</v>
      </c>
      <c r="L4798" s="1">
        <f t="shared" si="668"/>
        <v>0.16666666666666666</v>
      </c>
      <c r="M4798" s="1">
        <f t="shared" si="669"/>
        <v>20.309999999999999</v>
      </c>
      <c r="N4798" s="1">
        <f t="shared" si="670"/>
        <v>19.46</v>
      </c>
      <c r="O4798" s="1">
        <f t="shared" si="671"/>
        <v>18.279999999999998</v>
      </c>
      <c r="P4798" s="1">
        <f t="shared" si="672"/>
        <v>9.3265306122448965</v>
      </c>
    </row>
    <row r="4799" spans="1:16">
      <c r="A4799" s="2">
        <v>36091</v>
      </c>
      <c r="B4799" s="1">
        <v>114.5</v>
      </c>
      <c r="C4799" s="1">
        <v>118.34</v>
      </c>
      <c r="D4799" s="1">
        <v>114.14</v>
      </c>
      <c r="E4799" s="1">
        <v>116.12</v>
      </c>
      <c r="F4799" s="1">
        <v>13624800</v>
      </c>
      <c r="G4799" s="1">
        <v>19.350000000000001</v>
      </c>
      <c r="H4799" s="1">
        <f t="shared" si="666"/>
        <v>4.2000000000000028</v>
      </c>
      <c r="I4799" s="9">
        <f t="shared" si="673"/>
        <v>3.6796916067986706E-2</v>
      </c>
      <c r="J4799" s="1">
        <f t="shared" si="674"/>
        <v>0.24000000000000199</v>
      </c>
      <c r="K4799" s="9">
        <f t="shared" si="667"/>
        <v>1.2558869701726949E-2</v>
      </c>
      <c r="L4799" s="1">
        <f t="shared" si="668"/>
        <v>0.16663796073027903</v>
      </c>
      <c r="M4799" s="1">
        <f t="shared" si="669"/>
        <v>19.719936272821222</v>
      </c>
      <c r="N4799" s="1">
        <f t="shared" si="670"/>
        <v>19.020056837754048</v>
      </c>
      <c r="O4799" s="1">
        <f t="shared" si="671"/>
        <v>17.39</v>
      </c>
      <c r="P4799" s="1">
        <f t="shared" si="672"/>
        <v>8.8724489795918373</v>
      </c>
    </row>
    <row r="4800" spans="1:16">
      <c r="A4800" s="2">
        <v>36090</v>
      </c>
      <c r="B4800" s="1">
        <v>107.67</v>
      </c>
      <c r="C4800" s="1">
        <v>117.93</v>
      </c>
      <c r="D4800" s="1">
        <v>107.43</v>
      </c>
      <c r="E4800" s="1">
        <v>114.69</v>
      </c>
      <c r="F4800" s="1">
        <v>26695200</v>
      </c>
      <c r="G4800" s="1">
        <v>19.11</v>
      </c>
      <c r="H4800" s="1">
        <f t="shared" si="666"/>
        <v>10.5</v>
      </c>
      <c r="I4800" s="9">
        <f t="shared" si="673"/>
        <v>9.7738061993856457E-2</v>
      </c>
      <c r="J4800" s="1">
        <f t="shared" si="674"/>
        <v>0.78000000000000114</v>
      </c>
      <c r="K4800" s="9">
        <f t="shared" si="667"/>
        <v>4.255319148936177E-2</v>
      </c>
      <c r="L4800" s="1">
        <f t="shared" si="668"/>
        <v>0.16662307088673817</v>
      </c>
      <c r="M4800" s="1">
        <f t="shared" si="669"/>
        <v>19.649858749673033</v>
      </c>
      <c r="N4800" s="1">
        <f t="shared" si="670"/>
        <v>17.900316505362284</v>
      </c>
      <c r="O4800" s="1">
        <f t="shared" si="671"/>
        <v>17.149999999999999</v>
      </c>
      <c r="P4800" s="1">
        <f t="shared" si="672"/>
        <v>8.75</v>
      </c>
    </row>
    <row r="4801" spans="1:16">
      <c r="A4801" s="2">
        <v>36089</v>
      </c>
      <c r="B4801" s="1">
        <v>109.46</v>
      </c>
      <c r="C4801" s="1">
        <v>110.3</v>
      </c>
      <c r="D4801" s="1">
        <v>105.62</v>
      </c>
      <c r="E4801" s="1">
        <v>110</v>
      </c>
      <c r="F4801" s="1">
        <v>12618000</v>
      </c>
      <c r="G4801" s="1">
        <v>18.329999999999998</v>
      </c>
      <c r="H4801" s="1">
        <f t="shared" si="666"/>
        <v>4.6799999999999926</v>
      </c>
      <c r="I4801" s="9">
        <f t="shared" si="673"/>
        <v>4.430978981253543E-2</v>
      </c>
      <c r="J4801" s="1">
        <f t="shared" si="674"/>
        <v>0.53999999999999915</v>
      </c>
      <c r="K4801" s="9">
        <f t="shared" si="667"/>
        <v>3.0354131534569936E-2</v>
      </c>
      <c r="L4801" s="1">
        <f t="shared" si="668"/>
        <v>0.16663636363636361</v>
      </c>
      <c r="M4801" s="1">
        <f t="shared" si="669"/>
        <v>18.379990909090907</v>
      </c>
      <c r="N4801" s="1">
        <f t="shared" si="670"/>
        <v>17.600132727272726</v>
      </c>
      <c r="O4801" s="1">
        <f t="shared" si="671"/>
        <v>16.369999999999997</v>
      </c>
      <c r="P4801" s="1">
        <f t="shared" si="672"/>
        <v>8.3520408163265287</v>
      </c>
    </row>
    <row r="4802" spans="1:16">
      <c r="A4802" s="2">
        <v>36088</v>
      </c>
      <c r="B4802" s="1">
        <v>108.79</v>
      </c>
      <c r="C4802" s="1">
        <v>112.51</v>
      </c>
      <c r="D4802" s="1">
        <v>106.63</v>
      </c>
      <c r="E4802" s="1">
        <v>106.75</v>
      </c>
      <c r="F4802" s="1">
        <v>19167600</v>
      </c>
      <c r="G4802" s="1">
        <v>17.79</v>
      </c>
      <c r="H4802" s="1">
        <f t="shared" si="666"/>
        <v>5.8800000000000097</v>
      </c>
      <c r="I4802" s="9">
        <f t="shared" si="673"/>
        <v>5.5143955734783923E-2</v>
      </c>
      <c r="J4802" s="1">
        <f t="shared" si="674"/>
        <v>0.16000000000000014</v>
      </c>
      <c r="K4802" s="9">
        <f t="shared" si="667"/>
        <v>9.0754395916052277E-3</v>
      </c>
      <c r="L4802" s="1">
        <f t="shared" si="668"/>
        <v>0.16665105386416862</v>
      </c>
      <c r="M4802" s="1">
        <f t="shared" si="669"/>
        <v>18.749910070257613</v>
      </c>
      <c r="N4802" s="1">
        <f t="shared" si="670"/>
        <v>17.770001873536298</v>
      </c>
      <c r="O4802" s="1">
        <f t="shared" si="671"/>
        <v>15.829999999999998</v>
      </c>
      <c r="P4802" s="1">
        <f t="shared" si="672"/>
        <v>8.0765306122448965</v>
      </c>
    </row>
    <row r="4803" spans="1:16">
      <c r="A4803" s="2">
        <v>36087</v>
      </c>
      <c r="B4803" s="1">
        <v>98.97</v>
      </c>
      <c r="C4803" s="1">
        <v>106.83</v>
      </c>
      <c r="D4803" s="1">
        <v>98.97</v>
      </c>
      <c r="E4803" s="1">
        <v>105.75</v>
      </c>
      <c r="F4803" s="1">
        <v>16681200</v>
      </c>
      <c r="G4803" s="1">
        <v>17.63</v>
      </c>
      <c r="H4803" s="1">
        <f t="shared" ref="H4803:H4866" si="675">C4803-D4803</f>
        <v>7.8599999999999994</v>
      </c>
      <c r="I4803" s="9">
        <f t="shared" si="673"/>
        <v>7.9418005456198842E-2</v>
      </c>
      <c r="J4803" s="1">
        <f t="shared" si="674"/>
        <v>1.0599999999999987</v>
      </c>
      <c r="K4803" s="9">
        <f t="shared" ref="K4803:K4866" si="676">(G4803-G4804)/G4804</f>
        <v>6.3971031985515917E-2</v>
      </c>
      <c r="L4803" s="1">
        <f t="shared" ref="L4803:L4866" si="677">G4803/E4803</f>
        <v>0.16671394799054373</v>
      </c>
      <c r="M4803" s="1">
        <f t="shared" ref="M4803:M4866" si="678">L4803*C4803</f>
        <v>17.810051063829786</v>
      </c>
      <c r="N4803" s="1">
        <f t="shared" ref="N4803:N4866" si="679">L4803*D4803</f>
        <v>16.499679432624113</v>
      </c>
      <c r="O4803" s="1">
        <f t="shared" ref="O4803:O4866" si="680">G4803-$G$5163</f>
        <v>15.669999999999998</v>
      </c>
      <c r="P4803" s="1">
        <f t="shared" ref="P4803:P4866" si="681">(G4803-$G$5163)/$G$5163</f>
        <v>7.9948979591836729</v>
      </c>
    </row>
    <row r="4804" spans="1:16">
      <c r="A4804" s="2">
        <v>36084</v>
      </c>
      <c r="B4804" s="1">
        <v>98.66</v>
      </c>
      <c r="C4804" s="1">
        <v>101.96</v>
      </c>
      <c r="D4804" s="1">
        <v>97.04</v>
      </c>
      <c r="E4804" s="1">
        <v>99.44</v>
      </c>
      <c r="F4804" s="1">
        <v>21405000</v>
      </c>
      <c r="G4804" s="1">
        <v>16.57</v>
      </c>
      <c r="H4804" s="1">
        <f t="shared" si="675"/>
        <v>4.9199999999999875</v>
      </c>
      <c r="I4804" s="9">
        <f t="shared" ref="I4804:I4867" si="682">(C4804-D4804)/D4804</f>
        <v>5.0700741962077363E-2</v>
      </c>
      <c r="J4804" s="1">
        <f t="shared" ref="J4804:J4867" si="683">G4804-G4805</f>
        <v>0.39000000000000057</v>
      </c>
      <c r="K4804" s="9">
        <f t="shared" si="676"/>
        <v>2.4103831891223768E-2</v>
      </c>
      <c r="L4804" s="1">
        <f t="shared" si="677"/>
        <v>0.16663314561544651</v>
      </c>
      <c r="M4804" s="1">
        <f t="shared" si="678"/>
        <v>16.989915526950924</v>
      </c>
      <c r="N4804" s="1">
        <f t="shared" si="679"/>
        <v>16.170080450522931</v>
      </c>
      <c r="O4804" s="1">
        <f t="shared" si="680"/>
        <v>14.61</v>
      </c>
      <c r="P4804" s="1">
        <f t="shared" si="681"/>
        <v>7.454081632653061</v>
      </c>
    </row>
    <row r="4805" spans="1:16">
      <c r="A4805" s="2">
        <v>36083</v>
      </c>
      <c r="B4805" s="1">
        <v>94.24</v>
      </c>
      <c r="C4805" s="1">
        <v>97.84</v>
      </c>
      <c r="D4805" s="1">
        <v>92.5</v>
      </c>
      <c r="E4805" s="1">
        <v>97.06</v>
      </c>
      <c r="F4805" s="1">
        <v>16971000</v>
      </c>
      <c r="G4805" s="1">
        <v>16.18</v>
      </c>
      <c r="H4805" s="1">
        <f t="shared" si="675"/>
        <v>5.3400000000000034</v>
      </c>
      <c r="I4805" s="9">
        <f t="shared" si="682"/>
        <v>5.7729729729729763E-2</v>
      </c>
      <c r="J4805" s="1">
        <f t="shared" si="683"/>
        <v>0.59999999999999964</v>
      </c>
      <c r="K4805" s="9">
        <f t="shared" si="676"/>
        <v>3.8510911424903697E-2</v>
      </c>
      <c r="L4805" s="1">
        <f t="shared" si="677"/>
        <v>0.16670100968473109</v>
      </c>
      <c r="M4805" s="1">
        <f t="shared" si="678"/>
        <v>16.31002678755409</v>
      </c>
      <c r="N4805" s="1">
        <f t="shared" si="679"/>
        <v>15.419843395837626</v>
      </c>
      <c r="O4805" s="1">
        <f t="shared" si="680"/>
        <v>14.219999999999999</v>
      </c>
      <c r="P4805" s="1">
        <f t="shared" si="681"/>
        <v>7.2551020408163263</v>
      </c>
    </row>
    <row r="4806" spans="1:16">
      <c r="A4806" s="2">
        <v>36082</v>
      </c>
      <c r="B4806" s="1">
        <v>91.1</v>
      </c>
      <c r="C4806" s="1">
        <v>97.64</v>
      </c>
      <c r="D4806" s="1">
        <v>89.78</v>
      </c>
      <c r="E4806" s="1">
        <v>93.5</v>
      </c>
      <c r="F4806" s="1">
        <v>15590400</v>
      </c>
      <c r="G4806" s="1">
        <v>15.58</v>
      </c>
      <c r="H4806" s="1">
        <f t="shared" si="675"/>
        <v>7.8599999999999994</v>
      </c>
      <c r="I4806" s="9">
        <f t="shared" si="682"/>
        <v>8.7547337937179767E-2</v>
      </c>
      <c r="J4806" s="1">
        <f t="shared" si="683"/>
        <v>0.34999999999999964</v>
      </c>
      <c r="K4806" s="9">
        <f t="shared" si="676"/>
        <v>2.2980958634274434E-2</v>
      </c>
      <c r="L4806" s="1">
        <f t="shared" si="677"/>
        <v>0.16663101604278074</v>
      </c>
      <c r="M4806" s="1">
        <f t="shared" si="678"/>
        <v>16.269852406417112</v>
      </c>
      <c r="N4806" s="1">
        <f t="shared" si="679"/>
        <v>14.960132620320856</v>
      </c>
      <c r="O4806" s="1">
        <f t="shared" si="680"/>
        <v>13.620000000000001</v>
      </c>
      <c r="P4806" s="1">
        <f t="shared" si="681"/>
        <v>6.9489795918367356</v>
      </c>
    </row>
    <row r="4807" spans="1:16">
      <c r="A4807" s="2">
        <v>36081</v>
      </c>
      <c r="B4807" s="1">
        <v>91.79</v>
      </c>
      <c r="C4807" s="1">
        <v>95.39</v>
      </c>
      <c r="D4807" s="1">
        <v>90.59</v>
      </c>
      <c r="E4807" s="1">
        <v>91.37</v>
      </c>
      <c r="F4807" s="1">
        <v>10685400</v>
      </c>
      <c r="G4807" s="1">
        <v>15.23</v>
      </c>
      <c r="H4807" s="1">
        <f t="shared" si="675"/>
        <v>4.7999999999999972</v>
      </c>
      <c r="I4807" s="9">
        <f t="shared" si="682"/>
        <v>5.2985980792581933E-2</v>
      </c>
      <c r="J4807" s="1">
        <f t="shared" si="683"/>
        <v>-0.29999999999999893</v>
      </c>
      <c r="K4807" s="9">
        <f t="shared" si="676"/>
        <v>-1.9317450096587183E-2</v>
      </c>
      <c r="L4807" s="1">
        <f t="shared" si="677"/>
        <v>0.16668490751887927</v>
      </c>
      <c r="M4807" s="1">
        <f t="shared" si="678"/>
        <v>15.900073328225893</v>
      </c>
      <c r="N4807" s="1">
        <f t="shared" si="679"/>
        <v>15.099985772135273</v>
      </c>
      <c r="O4807" s="1">
        <f t="shared" si="680"/>
        <v>13.27</v>
      </c>
      <c r="P4807" s="1">
        <f t="shared" si="681"/>
        <v>6.7704081632653059</v>
      </c>
    </row>
    <row r="4808" spans="1:16">
      <c r="A4808" s="2">
        <v>36080</v>
      </c>
      <c r="B4808" s="1">
        <v>97.15</v>
      </c>
      <c r="C4808" s="1">
        <v>100.99</v>
      </c>
      <c r="D4808" s="1">
        <v>93.01</v>
      </c>
      <c r="E4808" s="1">
        <v>93.19</v>
      </c>
      <c r="F4808" s="1">
        <v>21817200</v>
      </c>
      <c r="G4808" s="1">
        <v>15.53</v>
      </c>
      <c r="H4808" s="1">
        <f t="shared" si="675"/>
        <v>7.9799999999999898</v>
      </c>
      <c r="I4808" s="9">
        <f t="shared" si="682"/>
        <v>8.5797226104719806E-2</v>
      </c>
      <c r="J4808" s="1">
        <f t="shared" si="683"/>
        <v>0.33000000000000007</v>
      </c>
      <c r="K4808" s="9">
        <f t="shared" si="676"/>
        <v>2.1710526315789479E-2</v>
      </c>
      <c r="L4808" s="1">
        <f t="shared" si="677"/>
        <v>0.16664878205816075</v>
      </c>
      <c r="M4808" s="1">
        <f t="shared" si="678"/>
        <v>16.829860500053652</v>
      </c>
      <c r="N4808" s="1">
        <f t="shared" si="679"/>
        <v>15.500003219229532</v>
      </c>
      <c r="O4808" s="1">
        <f t="shared" si="680"/>
        <v>13.57</v>
      </c>
      <c r="P4808" s="1">
        <f t="shared" si="681"/>
        <v>6.9234693877551026</v>
      </c>
    </row>
    <row r="4809" spans="1:16">
      <c r="A4809" s="2">
        <v>36077</v>
      </c>
      <c r="B4809" s="1">
        <v>90.23</v>
      </c>
      <c r="C4809" s="1">
        <v>91.85</v>
      </c>
      <c r="D4809" s="1">
        <v>83.75</v>
      </c>
      <c r="E4809" s="1">
        <v>91.19</v>
      </c>
      <c r="F4809" s="1">
        <v>20727000</v>
      </c>
      <c r="G4809" s="1">
        <v>15.2</v>
      </c>
      <c r="H4809" s="1">
        <f t="shared" si="675"/>
        <v>8.0999999999999943</v>
      </c>
      <c r="I4809" s="9">
        <f t="shared" si="682"/>
        <v>9.6716417910447688E-2</v>
      </c>
      <c r="J4809" s="1">
        <f t="shared" si="683"/>
        <v>0.83999999999999986</v>
      </c>
      <c r="K4809" s="9">
        <f t="shared" si="676"/>
        <v>5.849582172701949E-2</v>
      </c>
      <c r="L4809" s="1">
        <f t="shared" si="677"/>
        <v>0.16668494352450927</v>
      </c>
      <c r="M4809" s="1">
        <f t="shared" si="678"/>
        <v>15.310012062726175</v>
      </c>
      <c r="N4809" s="1">
        <f t="shared" si="679"/>
        <v>13.959864020177651</v>
      </c>
      <c r="O4809" s="1">
        <f t="shared" si="680"/>
        <v>13.239999999999998</v>
      </c>
      <c r="P4809" s="1">
        <f t="shared" si="681"/>
        <v>6.7551020408163263</v>
      </c>
    </row>
    <row r="4810" spans="1:16">
      <c r="A4810" s="2">
        <v>36076</v>
      </c>
      <c r="B4810" s="1">
        <v>82.89</v>
      </c>
      <c r="C4810" s="1">
        <v>88.05</v>
      </c>
      <c r="D4810" s="1">
        <v>80.010000000000005</v>
      </c>
      <c r="E4810" s="1">
        <v>86.19</v>
      </c>
      <c r="F4810" s="1">
        <v>30384600</v>
      </c>
      <c r="G4810" s="1">
        <v>14.36</v>
      </c>
      <c r="H4810" s="1">
        <f t="shared" si="675"/>
        <v>8.039999999999992</v>
      </c>
      <c r="I4810" s="9">
        <f t="shared" si="682"/>
        <v>0.10048743907011613</v>
      </c>
      <c r="J4810" s="1">
        <f t="shared" si="683"/>
        <v>-1.2100000000000009</v>
      </c>
      <c r="K4810" s="9">
        <f t="shared" si="676"/>
        <v>-7.7713551701991068E-2</v>
      </c>
      <c r="L4810" s="1">
        <f t="shared" si="677"/>
        <v>0.16660865529643809</v>
      </c>
      <c r="M4810" s="1">
        <f t="shared" si="678"/>
        <v>14.669892098851374</v>
      </c>
      <c r="N4810" s="1">
        <f t="shared" si="679"/>
        <v>13.330358510268013</v>
      </c>
      <c r="O4810" s="1">
        <f t="shared" si="680"/>
        <v>12.399999999999999</v>
      </c>
      <c r="P4810" s="1">
        <f t="shared" si="681"/>
        <v>6.3265306122448974</v>
      </c>
    </row>
    <row r="4811" spans="1:16">
      <c r="A4811" s="2">
        <v>36075</v>
      </c>
      <c r="B4811" s="1">
        <v>102.62</v>
      </c>
      <c r="C4811" s="1">
        <v>104.78</v>
      </c>
      <c r="D4811" s="1">
        <v>91.28</v>
      </c>
      <c r="E4811" s="1">
        <v>93.44</v>
      </c>
      <c r="F4811" s="1">
        <v>42834000</v>
      </c>
      <c r="G4811" s="1">
        <v>15.57</v>
      </c>
      <c r="H4811" s="1">
        <f t="shared" si="675"/>
        <v>13.5</v>
      </c>
      <c r="I4811" s="9">
        <f t="shared" si="682"/>
        <v>0.14789658194566169</v>
      </c>
      <c r="J4811" s="1">
        <f t="shared" si="683"/>
        <v>-2.4800000000000004</v>
      </c>
      <c r="K4811" s="9">
        <f t="shared" si="676"/>
        <v>-0.13739612188365652</v>
      </c>
      <c r="L4811" s="1">
        <f t="shared" si="677"/>
        <v>0.16663099315068494</v>
      </c>
      <c r="M4811" s="1">
        <f t="shared" si="678"/>
        <v>17.459595462328767</v>
      </c>
      <c r="N4811" s="1">
        <f t="shared" si="679"/>
        <v>15.210077054794521</v>
      </c>
      <c r="O4811" s="1">
        <f t="shared" si="680"/>
        <v>13.61</v>
      </c>
      <c r="P4811" s="1">
        <f t="shared" si="681"/>
        <v>6.9438775510204076</v>
      </c>
    </row>
    <row r="4812" spans="1:16">
      <c r="A4812" s="2">
        <v>36074</v>
      </c>
      <c r="B4812" s="1">
        <v>111.49</v>
      </c>
      <c r="C4812" s="1">
        <v>112.27</v>
      </c>
      <c r="D4812" s="1">
        <v>103.99</v>
      </c>
      <c r="E4812" s="1">
        <v>108.31</v>
      </c>
      <c r="F4812" s="1">
        <v>28171800</v>
      </c>
      <c r="G4812" s="1">
        <v>18.05</v>
      </c>
      <c r="H4812" s="1">
        <f t="shared" si="675"/>
        <v>8.2800000000000011</v>
      </c>
      <c r="I4812" s="9">
        <f t="shared" si="682"/>
        <v>7.962304067698818E-2</v>
      </c>
      <c r="J4812" s="1">
        <f t="shared" si="683"/>
        <v>0.60000000000000142</v>
      </c>
      <c r="K4812" s="9">
        <f t="shared" si="676"/>
        <v>3.4383954154727878E-2</v>
      </c>
      <c r="L4812" s="1">
        <f t="shared" si="677"/>
        <v>0.16665127873695873</v>
      </c>
      <c r="M4812" s="1">
        <f t="shared" si="678"/>
        <v>18.709939063798355</v>
      </c>
      <c r="N4812" s="1">
        <f t="shared" si="679"/>
        <v>17.330066475856338</v>
      </c>
      <c r="O4812" s="1">
        <f t="shared" si="680"/>
        <v>16.09</v>
      </c>
      <c r="P4812" s="1">
        <f t="shared" si="681"/>
        <v>8.2091836734693882</v>
      </c>
    </row>
    <row r="4813" spans="1:16">
      <c r="A4813" s="2">
        <v>36073</v>
      </c>
      <c r="B4813" s="1">
        <v>108.9</v>
      </c>
      <c r="C4813" s="1">
        <v>111</v>
      </c>
      <c r="D4813" s="1">
        <v>100.98</v>
      </c>
      <c r="E4813" s="1">
        <v>104.7</v>
      </c>
      <c r="F4813" s="1">
        <v>24496200</v>
      </c>
      <c r="G4813" s="1">
        <v>17.45</v>
      </c>
      <c r="H4813" s="1">
        <f t="shared" si="675"/>
        <v>10.019999999999996</v>
      </c>
      <c r="I4813" s="9">
        <f t="shared" si="682"/>
        <v>9.9227569815805064E-2</v>
      </c>
      <c r="J4813" s="1">
        <f t="shared" si="683"/>
        <v>-0.92999999999999972</v>
      </c>
      <c r="K4813" s="9">
        <f t="shared" si="676"/>
        <v>-5.0598476605005431E-2</v>
      </c>
      <c r="L4813" s="1">
        <f t="shared" si="677"/>
        <v>0.16666666666666666</v>
      </c>
      <c r="M4813" s="1">
        <f t="shared" si="678"/>
        <v>18.5</v>
      </c>
      <c r="N4813" s="1">
        <f t="shared" si="679"/>
        <v>16.829999999999998</v>
      </c>
      <c r="O4813" s="1">
        <f t="shared" si="680"/>
        <v>15.489999999999998</v>
      </c>
      <c r="P4813" s="1">
        <f t="shared" si="681"/>
        <v>7.9030612244897949</v>
      </c>
    </row>
    <row r="4814" spans="1:16">
      <c r="A4814" s="2">
        <v>36070</v>
      </c>
      <c r="B4814" s="1">
        <v>105.27</v>
      </c>
      <c r="C4814" s="1">
        <v>111.87</v>
      </c>
      <c r="D4814" s="1">
        <v>100.95</v>
      </c>
      <c r="E4814" s="1">
        <v>110.25</v>
      </c>
      <c r="F4814" s="1">
        <v>34495800</v>
      </c>
      <c r="G4814" s="1">
        <v>18.38</v>
      </c>
      <c r="H4814" s="1">
        <f t="shared" si="675"/>
        <v>10.920000000000002</v>
      </c>
      <c r="I4814" s="9">
        <f t="shared" si="682"/>
        <v>0.10817236255572067</v>
      </c>
      <c r="J4814" s="1">
        <f t="shared" si="683"/>
        <v>1.2799999999999976</v>
      </c>
      <c r="K4814" s="9">
        <f t="shared" si="676"/>
        <v>7.4853801169590492E-2</v>
      </c>
      <c r="L4814" s="1">
        <f t="shared" si="677"/>
        <v>0.16671201814058956</v>
      </c>
      <c r="M4814" s="1">
        <f t="shared" si="678"/>
        <v>18.650073469387756</v>
      </c>
      <c r="N4814" s="1">
        <f t="shared" si="679"/>
        <v>16.829578231292516</v>
      </c>
      <c r="O4814" s="1">
        <f t="shared" si="680"/>
        <v>16.419999999999998</v>
      </c>
      <c r="P4814" s="1">
        <f t="shared" si="681"/>
        <v>8.3775510204081627</v>
      </c>
    </row>
    <row r="4815" spans="1:16">
      <c r="A4815" s="2">
        <v>36069</v>
      </c>
      <c r="B4815" s="1">
        <v>108.02</v>
      </c>
      <c r="C4815" s="1">
        <v>111.02</v>
      </c>
      <c r="D4815" s="1">
        <v>100.04</v>
      </c>
      <c r="E4815" s="1">
        <v>102.62</v>
      </c>
      <c r="F4815" s="1">
        <v>34392000</v>
      </c>
      <c r="G4815" s="1">
        <v>17.100000000000001</v>
      </c>
      <c r="H4815" s="1">
        <f t="shared" si="675"/>
        <v>10.97999999999999</v>
      </c>
      <c r="I4815" s="9">
        <f t="shared" si="682"/>
        <v>0.1097560975609755</v>
      </c>
      <c r="J4815" s="1">
        <f t="shared" si="683"/>
        <v>-1.5</v>
      </c>
      <c r="K4815" s="9">
        <f t="shared" si="676"/>
        <v>-8.0645161290322578E-2</v>
      </c>
      <c r="L4815" s="1">
        <f t="shared" si="677"/>
        <v>0.16663418436951863</v>
      </c>
      <c r="M4815" s="1">
        <f t="shared" si="678"/>
        <v>18.499727148703958</v>
      </c>
      <c r="N4815" s="1">
        <f t="shared" si="679"/>
        <v>16.670083804326644</v>
      </c>
      <c r="O4815" s="1">
        <f t="shared" si="680"/>
        <v>15.14</v>
      </c>
      <c r="P4815" s="1">
        <f t="shared" si="681"/>
        <v>7.7244897959183678</v>
      </c>
    </row>
    <row r="4816" spans="1:16">
      <c r="A4816" s="2">
        <v>36068</v>
      </c>
      <c r="B4816" s="1">
        <v>111.5</v>
      </c>
      <c r="C4816" s="1">
        <v>115.52</v>
      </c>
      <c r="D4816" s="1">
        <v>108.86</v>
      </c>
      <c r="E4816" s="1">
        <v>111.62</v>
      </c>
      <c r="F4816" s="1">
        <v>29430600</v>
      </c>
      <c r="G4816" s="1">
        <v>18.600000000000001</v>
      </c>
      <c r="H4816" s="1">
        <f t="shared" si="675"/>
        <v>6.6599999999999966</v>
      </c>
      <c r="I4816" s="9">
        <f t="shared" si="682"/>
        <v>6.1179496601139048E-2</v>
      </c>
      <c r="J4816" s="1">
        <f t="shared" si="683"/>
        <v>-0.25</v>
      </c>
      <c r="K4816" s="9">
        <f t="shared" si="676"/>
        <v>-1.326259946949602E-2</v>
      </c>
      <c r="L4816" s="1">
        <f t="shared" si="677"/>
        <v>0.1666368034402437</v>
      </c>
      <c r="M4816" s="1">
        <f t="shared" si="678"/>
        <v>19.249883533416952</v>
      </c>
      <c r="N4816" s="1">
        <f t="shared" si="679"/>
        <v>18.140082422504928</v>
      </c>
      <c r="O4816" s="1">
        <f t="shared" si="680"/>
        <v>16.64</v>
      </c>
      <c r="P4816" s="1">
        <f t="shared" si="681"/>
        <v>8.4897959183673475</v>
      </c>
    </row>
    <row r="4817" spans="1:16">
      <c r="A4817" s="2">
        <v>36067</v>
      </c>
      <c r="B4817" s="1">
        <v>117.26</v>
      </c>
      <c r="C4817" s="1">
        <v>119.6</v>
      </c>
      <c r="D4817" s="1">
        <v>111.5</v>
      </c>
      <c r="E4817" s="1">
        <v>113.12</v>
      </c>
      <c r="F4817" s="1">
        <v>38335800</v>
      </c>
      <c r="G4817" s="1">
        <v>18.850000000000001</v>
      </c>
      <c r="H4817" s="1">
        <f t="shared" si="675"/>
        <v>8.0999999999999943</v>
      </c>
      <c r="I4817" s="9">
        <f t="shared" si="682"/>
        <v>7.2645739910313853E-2</v>
      </c>
      <c r="J4817" s="1">
        <f t="shared" si="683"/>
        <v>-0.41999999999999815</v>
      </c>
      <c r="K4817" s="9">
        <f t="shared" si="676"/>
        <v>-2.1795537104307119E-2</v>
      </c>
      <c r="L4817" s="1">
        <f t="shared" si="677"/>
        <v>0.16663719943422914</v>
      </c>
      <c r="M4817" s="1">
        <f t="shared" si="678"/>
        <v>19.929809052333805</v>
      </c>
      <c r="N4817" s="1">
        <f t="shared" si="679"/>
        <v>18.580047736916548</v>
      </c>
      <c r="O4817" s="1">
        <f t="shared" si="680"/>
        <v>16.89</v>
      </c>
      <c r="P4817" s="1">
        <f t="shared" si="681"/>
        <v>8.6173469387755102</v>
      </c>
    </row>
    <row r="4818" spans="1:16">
      <c r="A4818" s="2">
        <v>36066</v>
      </c>
      <c r="B4818" s="1">
        <v>116.4</v>
      </c>
      <c r="C4818" s="1">
        <v>120</v>
      </c>
      <c r="D4818" s="1">
        <v>111.9</v>
      </c>
      <c r="E4818" s="1">
        <v>115.62</v>
      </c>
      <c r="F4818" s="1">
        <v>38604600</v>
      </c>
      <c r="G4818" s="1">
        <v>19.27</v>
      </c>
      <c r="H4818" s="1">
        <f t="shared" si="675"/>
        <v>8.0999999999999943</v>
      </c>
      <c r="I4818" s="9">
        <f t="shared" si="682"/>
        <v>7.2386058981233195E-2</v>
      </c>
      <c r="J4818" s="1">
        <f t="shared" si="683"/>
        <v>1.0599999999999987</v>
      </c>
      <c r="K4818" s="9">
        <f t="shared" si="676"/>
        <v>5.8209774848984E-2</v>
      </c>
      <c r="L4818" s="1">
        <f t="shared" si="677"/>
        <v>0.16666666666666666</v>
      </c>
      <c r="M4818" s="1">
        <f t="shared" si="678"/>
        <v>20</v>
      </c>
      <c r="N4818" s="1">
        <f t="shared" si="679"/>
        <v>18.649999999999999</v>
      </c>
      <c r="O4818" s="1">
        <f t="shared" si="680"/>
        <v>17.309999999999999</v>
      </c>
      <c r="P4818" s="1">
        <f t="shared" si="681"/>
        <v>8.8316326530612237</v>
      </c>
    </row>
    <row r="4819" spans="1:16">
      <c r="A4819" s="2">
        <v>36063</v>
      </c>
      <c r="B4819" s="1">
        <v>98.51</v>
      </c>
      <c r="C4819" s="1">
        <v>110.63</v>
      </c>
      <c r="D4819" s="1">
        <v>98.51</v>
      </c>
      <c r="E4819" s="1">
        <v>109.25</v>
      </c>
      <c r="F4819" s="1">
        <v>36598800</v>
      </c>
      <c r="G4819" s="1">
        <v>18.21</v>
      </c>
      <c r="H4819" s="1">
        <f t="shared" si="675"/>
        <v>12.11999999999999</v>
      </c>
      <c r="I4819" s="9">
        <f t="shared" si="682"/>
        <v>0.12303319459953294</v>
      </c>
      <c r="J4819" s="1">
        <f t="shared" si="683"/>
        <v>1.1900000000000013</v>
      </c>
      <c r="K4819" s="9">
        <f t="shared" si="676"/>
        <v>6.9917743830787388E-2</v>
      </c>
      <c r="L4819" s="1">
        <f t="shared" si="677"/>
        <v>0.16668192219679634</v>
      </c>
      <c r="M4819" s="1">
        <f t="shared" si="678"/>
        <v>18.440021052631579</v>
      </c>
      <c r="N4819" s="1">
        <f t="shared" si="679"/>
        <v>16.419836155606408</v>
      </c>
      <c r="O4819" s="1">
        <f t="shared" si="680"/>
        <v>16.25</v>
      </c>
      <c r="P4819" s="1">
        <f t="shared" si="681"/>
        <v>8.2908163265306118</v>
      </c>
    </row>
    <row r="4820" spans="1:16">
      <c r="A4820" s="2">
        <v>36062</v>
      </c>
      <c r="B4820" s="1">
        <v>107.1</v>
      </c>
      <c r="C4820" s="1">
        <v>116.88</v>
      </c>
      <c r="D4820" s="1">
        <v>101.52</v>
      </c>
      <c r="E4820" s="1">
        <v>102.12</v>
      </c>
      <c r="F4820" s="1">
        <v>51124200</v>
      </c>
      <c r="G4820" s="1">
        <v>17.02</v>
      </c>
      <c r="H4820" s="1">
        <f t="shared" si="675"/>
        <v>15.36</v>
      </c>
      <c r="I4820" s="9">
        <f t="shared" si="682"/>
        <v>0.15130023640661938</v>
      </c>
      <c r="J4820" s="1">
        <f t="shared" si="683"/>
        <v>-0.5</v>
      </c>
      <c r="K4820" s="9">
        <f t="shared" si="676"/>
        <v>-2.853881278538813E-2</v>
      </c>
      <c r="L4820" s="1">
        <f t="shared" si="677"/>
        <v>0.16666666666666666</v>
      </c>
      <c r="M4820" s="1">
        <f t="shared" si="678"/>
        <v>19.479999999999997</v>
      </c>
      <c r="N4820" s="1">
        <f t="shared" si="679"/>
        <v>16.919999999999998</v>
      </c>
      <c r="O4820" s="1">
        <f t="shared" si="680"/>
        <v>15.059999999999999</v>
      </c>
      <c r="P4820" s="1">
        <f t="shared" si="681"/>
        <v>7.6836734693877542</v>
      </c>
    </row>
    <row r="4821" spans="1:16">
      <c r="A4821" s="2">
        <v>36061</v>
      </c>
      <c r="B4821" s="1">
        <v>90.84</v>
      </c>
      <c r="C4821" s="1">
        <v>105.48</v>
      </c>
      <c r="D4821" s="1">
        <v>90</v>
      </c>
      <c r="E4821" s="1">
        <v>105.12</v>
      </c>
      <c r="F4821" s="1">
        <v>45583800</v>
      </c>
      <c r="G4821" s="1">
        <v>17.52</v>
      </c>
      <c r="H4821" s="1">
        <f t="shared" si="675"/>
        <v>15.480000000000004</v>
      </c>
      <c r="I4821" s="9">
        <f t="shared" si="682"/>
        <v>0.17200000000000004</v>
      </c>
      <c r="J4821" s="1">
        <f t="shared" si="683"/>
        <v>2.8200000000000003</v>
      </c>
      <c r="K4821" s="9">
        <f t="shared" si="676"/>
        <v>0.19183673469387758</v>
      </c>
      <c r="L4821" s="1">
        <f t="shared" si="677"/>
        <v>0.16666666666666666</v>
      </c>
      <c r="M4821" s="1">
        <f t="shared" si="678"/>
        <v>17.579999999999998</v>
      </c>
      <c r="N4821" s="1">
        <f t="shared" si="679"/>
        <v>15</v>
      </c>
      <c r="O4821" s="1">
        <f t="shared" si="680"/>
        <v>15.559999999999999</v>
      </c>
      <c r="P4821" s="1">
        <f t="shared" si="681"/>
        <v>7.9387755102040813</v>
      </c>
    </row>
    <row r="4822" spans="1:16">
      <c r="A4822" s="2">
        <v>36060</v>
      </c>
      <c r="B4822" s="1">
        <v>88.25</v>
      </c>
      <c r="C4822" s="1">
        <v>91.49</v>
      </c>
      <c r="D4822" s="1">
        <v>87.59</v>
      </c>
      <c r="E4822" s="1">
        <v>88.19</v>
      </c>
      <c r="F4822" s="1">
        <v>30305400</v>
      </c>
      <c r="G4822" s="1">
        <v>14.7</v>
      </c>
      <c r="H4822" s="1">
        <f t="shared" si="675"/>
        <v>3.8999999999999915</v>
      </c>
      <c r="I4822" s="9">
        <f t="shared" si="682"/>
        <v>4.452563077976928E-2</v>
      </c>
      <c r="J4822" s="1">
        <f t="shared" si="683"/>
        <v>0.44999999999999929</v>
      </c>
      <c r="K4822" s="9">
        <f t="shared" si="676"/>
        <v>3.1578947368421005E-2</v>
      </c>
      <c r="L4822" s="1">
        <f t="shared" si="677"/>
        <v>0.16668556525683184</v>
      </c>
      <c r="M4822" s="1">
        <f t="shared" si="678"/>
        <v>15.250062365347544</v>
      </c>
      <c r="N4822" s="1">
        <f t="shared" si="679"/>
        <v>14.599988660845902</v>
      </c>
      <c r="O4822" s="1">
        <f t="shared" si="680"/>
        <v>12.739999999999998</v>
      </c>
      <c r="P4822" s="1">
        <f t="shared" si="681"/>
        <v>6.4999999999999991</v>
      </c>
    </row>
    <row r="4823" spans="1:16">
      <c r="A4823" s="2">
        <v>36059</v>
      </c>
      <c r="B4823" s="1">
        <v>76.02</v>
      </c>
      <c r="C4823" s="1">
        <v>86.88</v>
      </c>
      <c r="D4823" s="1">
        <v>76.02</v>
      </c>
      <c r="E4823" s="1">
        <v>85.5</v>
      </c>
      <c r="F4823" s="1">
        <v>23767200</v>
      </c>
      <c r="G4823" s="1">
        <v>14.25</v>
      </c>
      <c r="H4823" s="1">
        <f t="shared" si="675"/>
        <v>10.86</v>
      </c>
      <c r="I4823" s="9">
        <f t="shared" si="682"/>
        <v>0.14285714285714285</v>
      </c>
      <c r="J4823" s="1">
        <f t="shared" si="683"/>
        <v>0.97000000000000064</v>
      </c>
      <c r="K4823" s="9">
        <f t="shared" si="676"/>
        <v>7.3042168674698843E-2</v>
      </c>
      <c r="L4823" s="1">
        <f t="shared" si="677"/>
        <v>0.16666666666666666</v>
      </c>
      <c r="M4823" s="1">
        <f t="shared" si="678"/>
        <v>14.479999999999999</v>
      </c>
      <c r="N4823" s="1">
        <f t="shared" si="679"/>
        <v>12.669999999999998</v>
      </c>
      <c r="O4823" s="1">
        <f t="shared" si="680"/>
        <v>12.29</v>
      </c>
      <c r="P4823" s="1">
        <f t="shared" si="681"/>
        <v>6.2704081632653059</v>
      </c>
    </row>
    <row r="4824" spans="1:16">
      <c r="A4824" s="2">
        <v>36056</v>
      </c>
      <c r="B4824" s="1">
        <v>77.77</v>
      </c>
      <c r="C4824" s="1">
        <v>81.19</v>
      </c>
      <c r="D4824" s="1">
        <v>77.709999999999994</v>
      </c>
      <c r="E4824" s="1">
        <v>79.69</v>
      </c>
      <c r="F4824" s="1">
        <v>16742400</v>
      </c>
      <c r="G4824" s="1">
        <v>13.28</v>
      </c>
      <c r="H4824" s="1">
        <f t="shared" si="675"/>
        <v>3.480000000000004</v>
      </c>
      <c r="I4824" s="9">
        <f t="shared" si="682"/>
        <v>4.4781881353751184E-2</v>
      </c>
      <c r="J4824" s="1">
        <f t="shared" si="683"/>
        <v>0.44999999999999929</v>
      </c>
      <c r="K4824" s="9">
        <f t="shared" si="676"/>
        <v>3.5074045206547097E-2</v>
      </c>
      <c r="L4824" s="1">
        <f t="shared" si="677"/>
        <v>0.16664575229012424</v>
      </c>
      <c r="M4824" s="1">
        <f t="shared" si="678"/>
        <v>13.529968628435187</v>
      </c>
      <c r="N4824" s="1">
        <f t="shared" si="679"/>
        <v>12.950041410465554</v>
      </c>
      <c r="O4824" s="1">
        <f t="shared" si="680"/>
        <v>11.32</v>
      </c>
      <c r="P4824" s="1">
        <f t="shared" si="681"/>
        <v>5.7755102040816331</v>
      </c>
    </row>
    <row r="4825" spans="1:16">
      <c r="A4825" s="2">
        <v>36055</v>
      </c>
      <c r="B4825" s="1">
        <v>80.48</v>
      </c>
      <c r="C4825" s="1">
        <v>83.54</v>
      </c>
      <c r="D4825" s="1">
        <v>76.52</v>
      </c>
      <c r="E4825" s="1">
        <v>77</v>
      </c>
      <c r="F4825" s="1">
        <v>42457800</v>
      </c>
      <c r="G4825" s="1">
        <v>12.83</v>
      </c>
      <c r="H4825" s="1">
        <f t="shared" si="675"/>
        <v>7.0200000000000102</v>
      </c>
      <c r="I4825" s="9">
        <f t="shared" si="682"/>
        <v>9.1740721380031504E-2</v>
      </c>
      <c r="J4825" s="1">
        <f t="shared" si="683"/>
        <v>-1.25</v>
      </c>
      <c r="K4825" s="9">
        <f t="shared" si="676"/>
        <v>-8.8778409090909088E-2</v>
      </c>
      <c r="L4825" s="1">
        <f t="shared" si="677"/>
        <v>0.16662337662337662</v>
      </c>
      <c r="M4825" s="1">
        <f t="shared" si="678"/>
        <v>13.919716883116884</v>
      </c>
      <c r="N4825" s="1">
        <f t="shared" si="679"/>
        <v>12.750020779220778</v>
      </c>
      <c r="O4825" s="1">
        <f t="shared" si="680"/>
        <v>10.870000000000001</v>
      </c>
      <c r="P4825" s="1">
        <f t="shared" si="681"/>
        <v>5.545918367346939</v>
      </c>
    </row>
    <row r="4826" spans="1:16">
      <c r="A4826" s="2">
        <v>36054</v>
      </c>
      <c r="B4826" s="1">
        <v>74.3</v>
      </c>
      <c r="C4826" s="1">
        <v>85.94</v>
      </c>
      <c r="D4826" s="1">
        <v>71.540000000000006</v>
      </c>
      <c r="E4826" s="1">
        <v>84.5</v>
      </c>
      <c r="F4826" s="1">
        <v>39118800</v>
      </c>
      <c r="G4826" s="1">
        <v>14.08</v>
      </c>
      <c r="H4826" s="1">
        <f t="shared" si="675"/>
        <v>14.399999999999991</v>
      </c>
      <c r="I4826" s="9">
        <f t="shared" si="682"/>
        <v>0.2012859938495945</v>
      </c>
      <c r="J4826" s="1">
        <f t="shared" si="683"/>
        <v>1.9100000000000001</v>
      </c>
      <c r="K4826" s="9">
        <f t="shared" si="676"/>
        <v>0.15694330320460148</v>
      </c>
      <c r="L4826" s="1">
        <f t="shared" si="677"/>
        <v>0.16662721893491125</v>
      </c>
      <c r="M4826" s="1">
        <f t="shared" si="678"/>
        <v>14.319943195266273</v>
      </c>
      <c r="N4826" s="1">
        <f t="shared" si="679"/>
        <v>11.920511242603553</v>
      </c>
      <c r="O4826" s="1">
        <f t="shared" si="680"/>
        <v>12.120000000000001</v>
      </c>
      <c r="P4826" s="1">
        <f t="shared" si="681"/>
        <v>6.183673469387756</v>
      </c>
    </row>
    <row r="4827" spans="1:16">
      <c r="A4827" s="2">
        <v>36053</v>
      </c>
      <c r="B4827" s="1">
        <v>70.78</v>
      </c>
      <c r="C4827" s="1">
        <v>74.739999999999995</v>
      </c>
      <c r="D4827" s="1">
        <v>70.36</v>
      </c>
      <c r="E4827" s="1">
        <v>73</v>
      </c>
      <c r="F4827" s="1">
        <v>17228400</v>
      </c>
      <c r="G4827" s="1">
        <v>12.17</v>
      </c>
      <c r="H4827" s="1">
        <f t="shared" si="675"/>
        <v>4.3799999999999955</v>
      </c>
      <c r="I4827" s="9">
        <f t="shared" si="682"/>
        <v>6.2251279135872591E-2</v>
      </c>
      <c r="J4827" s="1">
        <f t="shared" si="683"/>
        <v>-0.10999999999999943</v>
      </c>
      <c r="K4827" s="9">
        <f t="shared" si="676"/>
        <v>-8.9576547231269895E-3</v>
      </c>
      <c r="L4827" s="1">
        <f t="shared" si="677"/>
        <v>0.16671232876712327</v>
      </c>
      <c r="M4827" s="1">
        <f t="shared" si="678"/>
        <v>12.460079452054792</v>
      </c>
      <c r="N4827" s="1">
        <f t="shared" si="679"/>
        <v>11.729879452054794</v>
      </c>
      <c r="O4827" s="1">
        <f t="shared" si="680"/>
        <v>10.210000000000001</v>
      </c>
      <c r="P4827" s="1">
        <f t="shared" si="681"/>
        <v>5.2091836734693882</v>
      </c>
    </row>
    <row r="4828" spans="1:16">
      <c r="A4828" s="2">
        <v>36052</v>
      </c>
      <c r="B4828" s="1">
        <v>80.41</v>
      </c>
      <c r="C4828" s="1">
        <v>80.53</v>
      </c>
      <c r="D4828" s="1">
        <v>73.510000000000005</v>
      </c>
      <c r="E4828" s="1">
        <v>73.69</v>
      </c>
      <c r="F4828" s="1">
        <v>15060000</v>
      </c>
      <c r="G4828" s="1">
        <v>12.28</v>
      </c>
      <c r="H4828" s="1">
        <f t="shared" si="675"/>
        <v>7.019999999999996</v>
      </c>
      <c r="I4828" s="9">
        <f t="shared" si="682"/>
        <v>9.5497211263773571E-2</v>
      </c>
      <c r="J4828" s="1">
        <f t="shared" si="683"/>
        <v>-0.40000000000000036</v>
      </c>
      <c r="K4828" s="9">
        <f t="shared" si="676"/>
        <v>-3.1545741324921162E-2</v>
      </c>
      <c r="L4828" s="1">
        <f t="shared" si="677"/>
        <v>0.16664404939611888</v>
      </c>
      <c r="M4828" s="1">
        <f t="shared" si="678"/>
        <v>13.419845297869454</v>
      </c>
      <c r="N4828" s="1">
        <f t="shared" si="679"/>
        <v>12.2500040711087</v>
      </c>
      <c r="O4828" s="1">
        <f t="shared" si="680"/>
        <v>10.32</v>
      </c>
      <c r="P4828" s="1">
        <f t="shared" si="681"/>
        <v>5.2653061224489797</v>
      </c>
    </row>
    <row r="4829" spans="1:16">
      <c r="A4829" s="2">
        <v>36049</v>
      </c>
      <c r="B4829" s="1">
        <v>78.34</v>
      </c>
      <c r="C4829" s="1">
        <v>80.86</v>
      </c>
      <c r="D4829" s="1">
        <v>73.48</v>
      </c>
      <c r="E4829" s="1">
        <v>76.06</v>
      </c>
      <c r="F4829" s="1">
        <v>23612400</v>
      </c>
      <c r="G4829" s="1">
        <v>12.68</v>
      </c>
      <c r="H4829" s="1">
        <f t="shared" si="675"/>
        <v>7.3799999999999955</v>
      </c>
      <c r="I4829" s="9">
        <f t="shared" si="682"/>
        <v>0.10043549265106144</v>
      </c>
      <c r="J4829" s="1">
        <f t="shared" si="683"/>
        <v>-0.58999999999999986</v>
      </c>
      <c r="K4829" s="9">
        <f t="shared" si="676"/>
        <v>-4.4461190655614158E-2</v>
      </c>
      <c r="L4829" s="1">
        <f t="shared" si="677"/>
        <v>0.16671049171706548</v>
      </c>
      <c r="M4829" s="1">
        <f t="shared" si="678"/>
        <v>13.480210360241914</v>
      </c>
      <c r="N4829" s="1">
        <f t="shared" si="679"/>
        <v>12.249886931369971</v>
      </c>
      <c r="O4829" s="1">
        <f t="shared" si="680"/>
        <v>10.719999999999999</v>
      </c>
      <c r="P4829" s="1">
        <f t="shared" si="681"/>
        <v>5.4693877551020407</v>
      </c>
    </row>
    <row r="4830" spans="1:16">
      <c r="A4830" s="2">
        <v>36048</v>
      </c>
      <c r="B4830" s="1">
        <v>79.38</v>
      </c>
      <c r="C4830" s="1">
        <v>80.52</v>
      </c>
      <c r="D4830" s="1">
        <v>75.239999999999995</v>
      </c>
      <c r="E4830" s="1">
        <v>79.62</v>
      </c>
      <c r="F4830" s="1">
        <v>31969800</v>
      </c>
      <c r="G4830" s="1">
        <v>13.27</v>
      </c>
      <c r="H4830" s="1">
        <f t="shared" si="675"/>
        <v>5.2800000000000011</v>
      </c>
      <c r="I4830" s="9">
        <f t="shared" si="682"/>
        <v>7.0175438596491252E-2</v>
      </c>
      <c r="J4830" s="1">
        <f t="shared" si="683"/>
        <v>-0.8100000000000005</v>
      </c>
      <c r="K4830" s="9">
        <f t="shared" si="676"/>
        <v>-5.7528409090909123E-2</v>
      </c>
      <c r="L4830" s="1">
        <f t="shared" si="677"/>
        <v>0.16666666666666666</v>
      </c>
      <c r="M4830" s="1">
        <f t="shared" si="678"/>
        <v>13.419999999999998</v>
      </c>
      <c r="N4830" s="1">
        <f t="shared" si="679"/>
        <v>12.54</v>
      </c>
      <c r="O4830" s="1">
        <f t="shared" si="680"/>
        <v>11.309999999999999</v>
      </c>
      <c r="P4830" s="1">
        <f t="shared" si="681"/>
        <v>5.7704081632653059</v>
      </c>
    </row>
    <row r="4831" spans="1:16">
      <c r="A4831" s="2">
        <v>36047</v>
      </c>
      <c r="B4831" s="1">
        <v>89.54</v>
      </c>
      <c r="C4831" s="1">
        <v>92.42</v>
      </c>
      <c r="D4831" s="1">
        <v>83.42</v>
      </c>
      <c r="E4831" s="1">
        <v>84.5</v>
      </c>
      <c r="F4831" s="1">
        <v>17896200</v>
      </c>
      <c r="G4831" s="1">
        <v>14.08</v>
      </c>
      <c r="H4831" s="1">
        <f t="shared" si="675"/>
        <v>9</v>
      </c>
      <c r="I4831" s="9">
        <f t="shared" si="682"/>
        <v>0.1078877966914409</v>
      </c>
      <c r="J4831" s="1">
        <f t="shared" si="683"/>
        <v>-1.3000000000000007</v>
      </c>
      <c r="K4831" s="9">
        <f t="shared" si="676"/>
        <v>-8.452535760728222E-2</v>
      </c>
      <c r="L4831" s="1">
        <f t="shared" si="677"/>
        <v>0.16662721893491125</v>
      </c>
      <c r="M4831" s="1">
        <f t="shared" si="678"/>
        <v>15.399687573964499</v>
      </c>
      <c r="N4831" s="1">
        <f t="shared" si="679"/>
        <v>13.900042603550297</v>
      </c>
      <c r="O4831" s="1">
        <f t="shared" si="680"/>
        <v>12.120000000000001</v>
      </c>
      <c r="P4831" s="1">
        <f t="shared" si="681"/>
        <v>6.183673469387756</v>
      </c>
    </row>
    <row r="4832" spans="1:16">
      <c r="A4832" s="2">
        <v>36046</v>
      </c>
      <c r="B4832" s="1">
        <v>93.99</v>
      </c>
      <c r="C4832" s="1">
        <v>94.71</v>
      </c>
      <c r="D4832" s="1">
        <v>89.97</v>
      </c>
      <c r="E4832" s="1">
        <v>92.25</v>
      </c>
      <c r="F4832" s="1">
        <v>21936600</v>
      </c>
      <c r="G4832" s="1">
        <v>15.38</v>
      </c>
      <c r="H4832" s="1">
        <f t="shared" si="675"/>
        <v>4.7399999999999949</v>
      </c>
      <c r="I4832" s="9">
        <f t="shared" si="682"/>
        <v>5.2684228076025283E-2</v>
      </c>
      <c r="J4832" s="1">
        <f t="shared" si="683"/>
        <v>1</v>
      </c>
      <c r="K4832" s="9">
        <f t="shared" si="676"/>
        <v>6.9541029207232263E-2</v>
      </c>
      <c r="L4832" s="1">
        <f t="shared" si="677"/>
        <v>0.1667208672086721</v>
      </c>
      <c r="M4832" s="1">
        <f t="shared" si="678"/>
        <v>15.790133333333333</v>
      </c>
      <c r="N4832" s="1">
        <f t="shared" si="679"/>
        <v>14.999876422764229</v>
      </c>
      <c r="O4832" s="1">
        <f t="shared" si="680"/>
        <v>13.420000000000002</v>
      </c>
      <c r="P4832" s="1">
        <f t="shared" si="681"/>
        <v>6.8469387755102051</v>
      </c>
    </row>
    <row r="4833" spans="1:16">
      <c r="A4833" s="2">
        <v>36042</v>
      </c>
      <c r="B4833" s="1">
        <v>86.67</v>
      </c>
      <c r="C4833" s="1">
        <v>89.97</v>
      </c>
      <c r="D4833" s="1">
        <v>81.99</v>
      </c>
      <c r="E4833" s="1">
        <v>86.25</v>
      </c>
      <c r="F4833" s="1">
        <v>17812200</v>
      </c>
      <c r="G4833" s="1">
        <v>14.38</v>
      </c>
      <c r="H4833" s="1">
        <f t="shared" si="675"/>
        <v>7.980000000000004</v>
      </c>
      <c r="I4833" s="9">
        <f t="shared" si="682"/>
        <v>9.7328942553970052E-2</v>
      </c>
      <c r="J4833" s="1">
        <f t="shared" si="683"/>
        <v>7.0000000000000284E-2</v>
      </c>
      <c r="K4833" s="9">
        <f t="shared" si="676"/>
        <v>4.8916841369671758E-3</v>
      </c>
      <c r="L4833" s="1">
        <f t="shared" si="677"/>
        <v>0.16672463768115942</v>
      </c>
      <c r="M4833" s="1">
        <f t="shared" si="678"/>
        <v>15.000215652173912</v>
      </c>
      <c r="N4833" s="1">
        <f t="shared" si="679"/>
        <v>13.669753043478259</v>
      </c>
      <c r="O4833" s="1">
        <f t="shared" si="680"/>
        <v>12.420000000000002</v>
      </c>
      <c r="P4833" s="1">
        <f t="shared" si="681"/>
        <v>6.3367346938775517</v>
      </c>
    </row>
    <row r="4834" spans="1:16">
      <c r="A4834" s="2">
        <v>36041</v>
      </c>
      <c r="B4834" s="1">
        <v>83.65</v>
      </c>
      <c r="C4834" s="1">
        <v>90.25</v>
      </c>
      <c r="D4834" s="1">
        <v>80.77</v>
      </c>
      <c r="E4834" s="1">
        <v>85.87</v>
      </c>
      <c r="F4834" s="1">
        <v>25471200</v>
      </c>
      <c r="G4834" s="1">
        <v>14.31</v>
      </c>
      <c r="H4834" s="1">
        <f t="shared" si="675"/>
        <v>9.480000000000004</v>
      </c>
      <c r="I4834" s="9">
        <f t="shared" si="682"/>
        <v>0.1173703107589452</v>
      </c>
      <c r="J4834" s="1">
        <f t="shared" si="683"/>
        <v>-0.33999999999999986</v>
      </c>
      <c r="K4834" s="9">
        <f t="shared" si="676"/>
        <v>-2.3208191126279854E-2</v>
      </c>
      <c r="L4834" s="1">
        <f t="shared" si="677"/>
        <v>0.1666472574822406</v>
      </c>
      <c r="M4834" s="1">
        <f t="shared" si="678"/>
        <v>15.039914987772214</v>
      </c>
      <c r="N4834" s="1">
        <f t="shared" si="679"/>
        <v>13.460098986840572</v>
      </c>
      <c r="O4834" s="1">
        <f t="shared" si="680"/>
        <v>12.350000000000001</v>
      </c>
      <c r="P4834" s="1">
        <f t="shared" si="681"/>
        <v>6.3010204081632661</v>
      </c>
    </row>
    <row r="4835" spans="1:16">
      <c r="A4835" s="2">
        <v>36040</v>
      </c>
      <c r="B4835" s="1">
        <v>83.07</v>
      </c>
      <c r="C4835" s="1">
        <v>95.97</v>
      </c>
      <c r="D4835" s="1">
        <v>81.99</v>
      </c>
      <c r="E4835" s="1">
        <v>87.87</v>
      </c>
      <c r="F4835" s="1">
        <v>47328600</v>
      </c>
      <c r="G4835" s="1">
        <v>14.65</v>
      </c>
      <c r="H4835" s="1">
        <f t="shared" si="675"/>
        <v>13.980000000000004</v>
      </c>
      <c r="I4835" s="9">
        <f t="shared" si="682"/>
        <v>0.17050859860958659</v>
      </c>
      <c r="J4835" s="1">
        <f t="shared" si="683"/>
        <v>1.3200000000000003</v>
      </c>
      <c r="K4835" s="9">
        <f t="shared" si="676"/>
        <v>9.9024756189047283E-2</v>
      </c>
      <c r="L4835" s="1">
        <f t="shared" si="677"/>
        <v>0.16672356890861501</v>
      </c>
      <c r="M4835" s="1">
        <f t="shared" si="678"/>
        <v>16.000460908159781</v>
      </c>
      <c r="N4835" s="1">
        <f t="shared" si="679"/>
        <v>13.669665414817343</v>
      </c>
      <c r="O4835" s="1">
        <f t="shared" si="680"/>
        <v>12.690000000000001</v>
      </c>
      <c r="P4835" s="1">
        <f t="shared" si="681"/>
        <v>6.4744897959183678</v>
      </c>
    </row>
    <row r="4836" spans="1:16">
      <c r="A4836" s="2">
        <v>36039</v>
      </c>
      <c r="B4836" s="1">
        <v>76.11</v>
      </c>
      <c r="C4836" s="1">
        <v>86.61</v>
      </c>
      <c r="D4836" s="1">
        <v>64.959999999999994</v>
      </c>
      <c r="E4836" s="1">
        <v>79.95</v>
      </c>
      <c r="F4836" s="1">
        <v>67450800</v>
      </c>
      <c r="G4836" s="1">
        <v>13.33</v>
      </c>
      <c r="H4836" s="1">
        <f t="shared" si="675"/>
        <v>21.650000000000006</v>
      </c>
      <c r="I4836" s="9">
        <f t="shared" si="682"/>
        <v>0.33328201970443361</v>
      </c>
      <c r="J4836" s="1">
        <f t="shared" si="683"/>
        <v>-0.63000000000000078</v>
      </c>
      <c r="K4836" s="9">
        <f t="shared" si="676"/>
        <v>-4.5128939828080285E-2</v>
      </c>
      <c r="L4836" s="1">
        <f t="shared" si="677"/>
        <v>0.16672920575359598</v>
      </c>
      <c r="M4836" s="1">
        <f t="shared" si="678"/>
        <v>14.440416510318949</v>
      </c>
      <c r="N4836" s="1">
        <f t="shared" si="679"/>
        <v>10.830729205753594</v>
      </c>
      <c r="O4836" s="1">
        <f t="shared" si="680"/>
        <v>11.370000000000001</v>
      </c>
      <c r="P4836" s="1">
        <f t="shared" si="681"/>
        <v>5.8010204081632661</v>
      </c>
    </row>
    <row r="4837" spans="1:16">
      <c r="A4837" s="2">
        <v>36038</v>
      </c>
      <c r="B4837" s="1">
        <v>105.41</v>
      </c>
      <c r="C4837" s="1">
        <v>107.63</v>
      </c>
      <c r="D4837" s="1">
        <v>83.09</v>
      </c>
      <c r="E4837" s="1">
        <v>83.75</v>
      </c>
      <c r="F4837" s="1">
        <v>41000400</v>
      </c>
      <c r="G4837" s="1">
        <v>13.96</v>
      </c>
      <c r="H4837" s="1">
        <f t="shared" si="675"/>
        <v>24.539999999999992</v>
      </c>
      <c r="I4837" s="9">
        <f t="shared" si="682"/>
        <v>0.29534239980743759</v>
      </c>
      <c r="J4837" s="1">
        <f t="shared" si="683"/>
        <v>-3.6899999999999977</v>
      </c>
      <c r="K4837" s="9">
        <f t="shared" si="676"/>
        <v>-0.20906515580736532</v>
      </c>
      <c r="L4837" s="1">
        <f t="shared" si="677"/>
        <v>0.16668656716417912</v>
      </c>
      <c r="M4837" s="1">
        <f t="shared" si="678"/>
        <v>17.940475223880597</v>
      </c>
      <c r="N4837" s="1">
        <f t="shared" si="679"/>
        <v>13.849986865671644</v>
      </c>
      <c r="O4837" s="1">
        <f t="shared" si="680"/>
        <v>12</v>
      </c>
      <c r="P4837" s="1">
        <f t="shared" si="681"/>
        <v>6.1224489795918364</v>
      </c>
    </row>
    <row r="4838" spans="1:16">
      <c r="A4838" s="2">
        <v>36035</v>
      </c>
      <c r="B4838" s="1">
        <v>119.75</v>
      </c>
      <c r="C4838" s="1">
        <v>120.89</v>
      </c>
      <c r="D4838" s="1">
        <v>103.25</v>
      </c>
      <c r="E4838" s="1">
        <v>105.89</v>
      </c>
      <c r="F4838" s="1">
        <v>39036000</v>
      </c>
      <c r="G4838" s="1">
        <v>17.649999999999999</v>
      </c>
      <c r="H4838" s="1">
        <f t="shared" si="675"/>
        <v>17.64</v>
      </c>
      <c r="I4838" s="9">
        <f t="shared" si="682"/>
        <v>0.17084745762711864</v>
      </c>
      <c r="J4838" s="1">
        <f t="shared" si="683"/>
        <v>-2.1799999999999997</v>
      </c>
      <c r="K4838" s="9">
        <f t="shared" si="676"/>
        <v>-0.10993444276348965</v>
      </c>
      <c r="L4838" s="1">
        <f t="shared" si="677"/>
        <v>0.16668240627065822</v>
      </c>
      <c r="M4838" s="1">
        <f t="shared" si="678"/>
        <v>20.150236094059874</v>
      </c>
      <c r="N4838" s="1">
        <f t="shared" si="679"/>
        <v>17.209958447445462</v>
      </c>
      <c r="O4838" s="1">
        <f t="shared" si="680"/>
        <v>15.689999999999998</v>
      </c>
      <c r="P4838" s="1">
        <f t="shared" si="681"/>
        <v>8.0051020408163254</v>
      </c>
    </row>
    <row r="4839" spans="1:16">
      <c r="A4839" s="2">
        <v>36034</v>
      </c>
      <c r="B4839" s="1">
        <v>124.4</v>
      </c>
      <c r="C4839" s="1">
        <v>125</v>
      </c>
      <c r="D4839" s="1">
        <v>119</v>
      </c>
      <c r="E4839" s="1">
        <v>119</v>
      </c>
      <c r="F4839" s="1">
        <v>16027200</v>
      </c>
      <c r="G4839" s="1">
        <v>19.829999999999998</v>
      </c>
      <c r="H4839" s="1">
        <f t="shared" si="675"/>
        <v>6</v>
      </c>
      <c r="I4839" s="9">
        <f t="shared" si="682"/>
        <v>5.0420168067226892E-2</v>
      </c>
      <c r="J4839" s="1">
        <f t="shared" si="683"/>
        <v>-1.3800000000000026</v>
      </c>
      <c r="K4839" s="9">
        <f t="shared" si="676"/>
        <v>-6.5063649222065187E-2</v>
      </c>
      <c r="L4839" s="1">
        <f t="shared" si="677"/>
        <v>0.16663865546218487</v>
      </c>
      <c r="M4839" s="1">
        <f t="shared" si="678"/>
        <v>20.829831932773107</v>
      </c>
      <c r="N4839" s="1">
        <f t="shared" si="679"/>
        <v>19.829999999999998</v>
      </c>
      <c r="O4839" s="1">
        <f t="shared" si="680"/>
        <v>17.869999999999997</v>
      </c>
      <c r="P4839" s="1">
        <f t="shared" si="681"/>
        <v>9.1173469387755084</v>
      </c>
    </row>
    <row r="4840" spans="1:16">
      <c r="A4840" s="2">
        <v>36033</v>
      </c>
      <c r="B4840" s="1">
        <v>129.77000000000001</v>
      </c>
      <c r="C4840" s="1">
        <v>130.25</v>
      </c>
      <c r="D4840" s="1">
        <v>126.83</v>
      </c>
      <c r="E4840" s="1">
        <v>127.25</v>
      </c>
      <c r="F4840" s="1">
        <v>16390800</v>
      </c>
      <c r="G4840" s="1">
        <v>21.21</v>
      </c>
      <c r="H4840" s="1">
        <f t="shared" si="675"/>
        <v>3.4200000000000017</v>
      </c>
      <c r="I4840" s="9">
        <f t="shared" si="682"/>
        <v>2.6965229046755513E-2</v>
      </c>
      <c r="J4840" s="1">
        <f t="shared" si="683"/>
        <v>-0.73000000000000043</v>
      </c>
      <c r="K4840" s="9">
        <f t="shared" si="676"/>
        <v>-3.3272561531449425E-2</v>
      </c>
      <c r="L4840" s="1">
        <f t="shared" si="677"/>
        <v>0.16667976424361494</v>
      </c>
      <c r="M4840" s="1">
        <f t="shared" si="678"/>
        <v>21.710039292730848</v>
      </c>
      <c r="N4840" s="1">
        <f t="shared" si="679"/>
        <v>21.139994499017682</v>
      </c>
      <c r="O4840" s="1">
        <f t="shared" si="680"/>
        <v>19.25</v>
      </c>
      <c r="P4840" s="1">
        <f t="shared" si="681"/>
        <v>9.8214285714285712</v>
      </c>
    </row>
    <row r="4841" spans="1:16">
      <c r="A4841" s="2">
        <v>36032</v>
      </c>
      <c r="B4841" s="1">
        <v>137.44</v>
      </c>
      <c r="C4841" s="1">
        <v>137.5</v>
      </c>
      <c r="D4841" s="1">
        <v>130.72</v>
      </c>
      <c r="E4841" s="1">
        <v>131.62</v>
      </c>
      <c r="F4841" s="1">
        <v>14351400</v>
      </c>
      <c r="G4841" s="1">
        <v>21.94</v>
      </c>
      <c r="H4841" s="1">
        <f t="shared" si="675"/>
        <v>6.7800000000000011</v>
      </c>
      <c r="I4841" s="9">
        <f t="shared" si="682"/>
        <v>5.1866585067319469E-2</v>
      </c>
      <c r="J4841" s="1">
        <f t="shared" si="683"/>
        <v>-0.51999999999999957</v>
      </c>
      <c r="K4841" s="9">
        <f t="shared" si="676"/>
        <v>-2.3152270703472821E-2</v>
      </c>
      <c r="L4841" s="1">
        <f t="shared" si="677"/>
        <v>0.16669199209846527</v>
      </c>
      <c r="M4841" s="1">
        <f t="shared" si="678"/>
        <v>22.920148913538974</v>
      </c>
      <c r="N4841" s="1">
        <f t="shared" si="679"/>
        <v>21.789977207111381</v>
      </c>
      <c r="O4841" s="1">
        <f t="shared" si="680"/>
        <v>19.98</v>
      </c>
      <c r="P4841" s="1">
        <f t="shared" si="681"/>
        <v>10.193877551020408</v>
      </c>
    </row>
    <row r="4842" spans="1:16">
      <c r="A4842" s="2">
        <v>36031</v>
      </c>
      <c r="B4842" s="1">
        <v>130.25</v>
      </c>
      <c r="C4842" s="1">
        <v>134.99</v>
      </c>
      <c r="D4842" s="1">
        <v>130.13</v>
      </c>
      <c r="E4842" s="1">
        <v>134.75</v>
      </c>
      <c r="F4842" s="1">
        <v>13949400</v>
      </c>
      <c r="G4842" s="1">
        <v>22.46</v>
      </c>
      <c r="H4842" s="1">
        <f t="shared" si="675"/>
        <v>4.8600000000000136</v>
      </c>
      <c r="I4842" s="9">
        <f t="shared" si="682"/>
        <v>3.7347268116498994E-2</v>
      </c>
      <c r="J4842" s="1">
        <f t="shared" si="683"/>
        <v>0.85000000000000142</v>
      </c>
      <c r="K4842" s="9">
        <f t="shared" si="676"/>
        <v>3.9333641832485028E-2</v>
      </c>
      <c r="L4842" s="1">
        <f t="shared" si="677"/>
        <v>0.16667903525046382</v>
      </c>
      <c r="M4842" s="1">
        <f t="shared" si="678"/>
        <v>22.500002968460112</v>
      </c>
      <c r="N4842" s="1">
        <f t="shared" si="679"/>
        <v>21.689942857142857</v>
      </c>
      <c r="O4842" s="1">
        <f t="shared" si="680"/>
        <v>20.5</v>
      </c>
      <c r="P4842" s="1">
        <f t="shared" si="681"/>
        <v>10.459183673469388</v>
      </c>
    </row>
    <row r="4843" spans="1:16">
      <c r="A4843" s="2">
        <v>36028</v>
      </c>
      <c r="B4843" s="1">
        <v>127.29</v>
      </c>
      <c r="C4843" s="1">
        <v>130.29</v>
      </c>
      <c r="D4843" s="1">
        <v>123.27</v>
      </c>
      <c r="E4843" s="1">
        <v>129.69</v>
      </c>
      <c r="F4843" s="1">
        <v>15136200</v>
      </c>
      <c r="G4843" s="1">
        <v>21.61</v>
      </c>
      <c r="H4843" s="1">
        <f t="shared" si="675"/>
        <v>7.019999999999996</v>
      </c>
      <c r="I4843" s="9">
        <f t="shared" si="682"/>
        <v>5.6948162569968333E-2</v>
      </c>
      <c r="J4843" s="1">
        <f t="shared" si="683"/>
        <v>8.9999999999999858E-2</v>
      </c>
      <c r="K4843" s="9">
        <f t="shared" si="676"/>
        <v>4.1821561338289898E-3</v>
      </c>
      <c r="L4843" s="1">
        <f t="shared" si="677"/>
        <v>0.16662811319299869</v>
      </c>
      <c r="M4843" s="1">
        <f t="shared" si="678"/>
        <v>21.709976867915799</v>
      </c>
      <c r="N4843" s="1">
        <f t="shared" si="679"/>
        <v>20.540247513300947</v>
      </c>
      <c r="O4843" s="1">
        <f t="shared" si="680"/>
        <v>19.649999999999999</v>
      </c>
      <c r="P4843" s="1">
        <f t="shared" si="681"/>
        <v>10.025510204081632</v>
      </c>
    </row>
    <row r="4844" spans="1:16">
      <c r="A4844" s="2">
        <v>36027</v>
      </c>
      <c r="B4844" s="1">
        <v>126.24</v>
      </c>
      <c r="C4844" s="1">
        <v>129.78</v>
      </c>
      <c r="D4844" s="1">
        <v>125.52</v>
      </c>
      <c r="E4844" s="1">
        <v>129.12</v>
      </c>
      <c r="F4844" s="1">
        <v>15886200</v>
      </c>
      <c r="G4844" s="1">
        <v>21.52</v>
      </c>
      <c r="H4844" s="1">
        <f t="shared" si="675"/>
        <v>4.2600000000000051</v>
      </c>
      <c r="I4844" s="9">
        <f t="shared" si="682"/>
        <v>3.3938814531548796E-2</v>
      </c>
      <c r="J4844" s="1">
        <f t="shared" si="683"/>
        <v>5.9999999999998721E-2</v>
      </c>
      <c r="K4844" s="9">
        <f t="shared" si="676"/>
        <v>2.7958993476234258E-3</v>
      </c>
      <c r="L4844" s="1">
        <f t="shared" si="677"/>
        <v>0.16666666666666666</v>
      </c>
      <c r="M4844" s="1">
        <f t="shared" si="678"/>
        <v>21.63</v>
      </c>
      <c r="N4844" s="1">
        <f t="shared" si="679"/>
        <v>20.919999999999998</v>
      </c>
      <c r="O4844" s="1">
        <f t="shared" si="680"/>
        <v>19.559999999999999</v>
      </c>
      <c r="P4844" s="1">
        <f t="shared" si="681"/>
        <v>9.9795918367346932</v>
      </c>
    </row>
    <row r="4845" spans="1:16">
      <c r="A4845" s="2">
        <v>36026</v>
      </c>
      <c r="B4845" s="1">
        <v>131.27000000000001</v>
      </c>
      <c r="C4845" s="1">
        <v>133.72999999999999</v>
      </c>
      <c r="D4845" s="1">
        <v>127.01</v>
      </c>
      <c r="E4845" s="1">
        <v>128.75</v>
      </c>
      <c r="F4845" s="1">
        <v>19281600</v>
      </c>
      <c r="G4845" s="1">
        <v>21.46</v>
      </c>
      <c r="H4845" s="1">
        <f t="shared" si="675"/>
        <v>6.7199999999999847</v>
      </c>
      <c r="I4845" s="9">
        <f t="shared" si="682"/>
        <v>5.2909219746476534E-2</v>
      </c>
      <c r="J4845" s="1">
        <f t="shared" si="683"/>
        <v>1.0000000000001563E-2</v>
      </c>
      <c r="K4845" s="9">
        <f t="shared" si="676"/>
        <v>4.6620046620053911E-4</v>
      </c>
      <c r="L4845" s="1">
        <f t="shared" si="677"/>
        <v>0.16667961165048545</v>
      </c>
      <c r="M4845" s="1">
        <f t="shared" si="678"/>
        <v>22.290064466019416</v>
      </c>
      <c r="N4845" s="1">
        <f t="shared" si="679"/>
        <v>21.169977475728157</v>
      </c>
      <c r="O4845" s="1">
        <f t="shared" si="680"/>
        <v>19.5</v>
      </c>
      <c r="P4845" s="1">
        <f t="shared" si="681"/>
        <v>9.9489795918367356</v>
      </c>
    </row>
    <row r="4846" spans="1:16">
      <c r="A4846" s="2">
        <v>36025</v>
      </c>
      <c r="B4846" s="1">
        <v>121.19</v>
      </c>
      <c r="C4846" s="1">
        <v>129.11000000000001</v>
      </c>
      <c r="D4846" s="1">
        <v>119.09</v>
      </c>
      <c r="E4846" s="1">
        <v>128.69</v>
      </c>
      <c r="F4846" s="1">
        <v>18000600</v>
      </c>
      <c r="G4846" s="1">
        <v>21.45</v>
      </c>
      <c r="H4846" s="1">
        <f t="shared" si="675"/>
        <v>10.02000000000001</v>
      </c>
      <c r="I4846" s="9">
        <f t="shared" si="682"/>
        <v>8.4138046855319587E-2</v>
      </c>
      <c r="J4846" s="1">
        <f t="shared" si="683"/>
        <v>1.5</v>
      </c>
      <c r="K4846" s="9">
        <f t="shared" si="676"/>
        <v>7.5187969924812026E-2</v>
      </c>
      <c r="L4846" s="1">
        <f t="shared" si="677"/>
        <v>0.16667961768591188</v>
      </c>
      <c r="M4846" s="1">
        <f t="shared" si="678"/>
        <v>21.520005439428086</v>
      </c>
      <c r="N4846" s="1">
        <f t="shared" si="679"/>
        <v>19.849875670215248</v>
      </c>
      <c r="O4846" s="1">
        <f t="shared" si="680"/>
        <v>19.489999999999998</v>
      </c>
      <c r="P4846" s="1">
        <f t="shared" si="681"/>
        <v>9.9438775510204067</v>
      </c>
    </row>
    <row r="4847" spans="1:16">
      <c r="A4847" s="2">
        <v>36024</v>
      </c>
      <c r="B4847" s="1">
        <v>120.77</v>
      </c>
      <c r="C4847" s="1">
        <v>123.17</v>
      </c>
      <c r="D4847" s="1">
        <v>118.49</v>
      </c>
      <c r="E4847" s="1">
        <v>119.69</v>
      </c>
      <c r="F4847" s="1">
        <v>14617800</v>
      </c>
      <c r="G4847" s="1">
        <v>19.95</v>
      </c>
      <c r="H4847" s="1">
        <f t="shared" si="675"/>
        <v>4.6800000000000068</v>
      </c>
      <c r="I4847" s="9">
        <f t="shared" si="682"/>
        <v>3.9497003966579521E-2</v>
      </c>
      <c r="J4847" s="1">
        <f t="shared" si="683"/>
        <v>-0.51000000000000156</v>
      </c>
      <c r="K4847" s="9">
        <f t="shared" si="676"/>
        <v>-2.4926686217008873E-2</v>
      </c>
      <c r="L4847" s="1">
        <f t="shared" si="677"/>
        <v>0.16668059152811429</v>
      </c>
      <c r="M4847" s="1">
        <f t="shared" si="678"/>
        <v>20.530048458517836</v>
      </c>
      <c r="N4847" s="1">
        <f t="shared" si="679"/>
        <v>19.749983290166263</v>
      </c>
      <c r="O4847" s="1">
        <f t="shared" si="680"/>
        <v>17.989999999999998</v>
      </c>
      <c r="P4847" s="1">
        <f t="shared" si="681"/>
        <v>9.1785714285714288</v>
      </c>
    </row>
    <row r="4848" spans="1:16">
      <c r="A4848" s="2">
        <v>36021</v>
      </c>
      <c r="B4848" s="1">
        <v>130.66999999999999</v>
      </c>
      <c r="C4848" s="1">
        <v>130.72999999999999</v>
      </c>
      <c r="D4848" s="1">
        <v>120.23</v>
      </c>
      <c r="E4848" s="1">
        <v>122.75</v>
      </c>
      <c r="F4848" s="1">
        <v>19410000</v>
      </c>
      <c r="G4848" s="1">
        <v>20.46</v>
      </c>
      <c r="H4848" s="1">
        <f t="shared" si="675"/>
        <v>10.499999999999986</v>
      </c>
      <c r="I4848" s="9">
        <f t="shared" si="682"/>
        <v>8.7332612492722159E-2</v>
      </c>
      <c r="J4848" s="1">
        <f t="shared" si="683"/>
        <v>-0.78999999999999915</v>
      </c>
      <c r="K4848" s="9">
        <f t="shared" si="676"/>
        <v>-3.7176470588235255E-2</v>
      </c>
      <c r="L4848" s="1">
        <f t="shared" si="677"/>
        <v>0.16668024439918536</v>
      </c>
      <c r="M4848" s="1">
        <f t="shared" si="678"/>
        <v>21.790108350305498</v>
      </c>
      <c r="N4848" s="1">
        <f t="shared" si="679"/>
        <v>20.039965784114056</v>
      </c>
      <c r="O4848" s="1">
        <f t="shared" si="680"/>
        <v>18.5</v>
      </c>
      <c r="P4848" s="1">
        <f t="shared" si="681"/>
        <v>9.4387755102040813</v>
      </c>
    </row>
    <row r="4849" spans="1:16">
      <c r="A4849" s="2">
        <v>36020</v>
      </c>
      <c r="B4849" s="1">
        <v>130.62</v>
      </c>
      <c r="C4849" s="1">
        <v>135</v>
      </c>
      <c r="D4849" s="1">
        <v>127.02</v>
      </c>
      <c r="E4849" s="1">
        <v>127.5</v>
      </c>
      <c r="F4849" s="1">
        <v>24629400</v>
      </c>
      <c r="G4849" s="1">
        <v>21.25</v>
      </c>
      <c r="H4849" s="1">
        <f t="shared" si="675"/>
        <v>7.980000000000004</v>
      </c>
      <c r="I4849" s="9">
        <f t="shared" si="682"/>
        <v>6.2824752007557896E-2</v>
      </c>
      <c r="J4849" s="1">
        <f t="shared" si="683"/>
        <v>-0.48000000000000043</v>
      </c>
      <c r="K4849" s="9">
        <f t="shared" si="676"/>
        <v>-2.2089277496548571E-2</v>
      </c>
      <c r="L4849" s="1">
        <f t="shared" si="677"/>
        <v>0.16666666666666666</v>
      </c>
      <c r="M4849" s="1">
        <f t="shared" si="678"/>
        <v>22.5</v>
      </c>
      <c r="N4849" s="1">
        <f t="shared" si="679"/>
        <v>21.169999999999998</v>
      </c>
      <c r="O4849" s="1">
        <f t="shared" si="680"/>
        <v>19.29</v>
      </c>
      <c r="P4849" s="1">
        <f t="shared" si="681"/>
        <v>9.841836734693878</v>
      </c>
    </row>
    <row r="4850" spans="1:16">
      <c r="A4850" s="2">
        <v>36019</v>
      </c>
      <c r="B4850" s="1">
        <v>126.77</v>
      </c>
      <c r="C4850" s="1">
        <v>131.51</v>
      </c>
      <c r="D4850" s="1">
        <v>124.07</v>
      </c>
      <c r="E4850" s="1">
        <v>130.37</v>
      </c>
      <c r="F4850" s="1">
        <v>20140800</v>
      </c>
      <c r="G4850" s="1">
        <v>21.73</v>
      </c>
      <c r="H4850" s="1">
        <f t="shared" si="675"/>
        <v>7.4399999999999977</v>
      </c>
      <c r="I4850" s="9">
        <f t="shared" si="682"/>
        <v>5.9966148142177787E-2</v>
      </c>
      <c r="J4850" s="1">
        <f t="shared" si="683"/>
        <v>1.0599999999999987</v>
      </c>
      <c r="K4850" s="9">
        <f t="shared" si="676"/>
        <v>5.1282051282051218E-2</v>
      </c>
      <c r="L4850" s="1">
        <f t="shared" si="677"/>
        <v>0.16667945079389429</v>
      </c>
      <c r="M4850" s="1">
        <f t="shared" si="678"/>
        <v>21.920014573905036</v>
      </c>
      <c r="N4850" s="1">
        <f t="shared" si="679"/>
        <v>20.679919459998462</v>
      </c>
      <c r="O4850" s="1">
        <f t="shared" si="680"/>
        <v>19.77</v>
      </c>
      <c r="P4850" s="1">
        <f t="shared" si="681"/>
        <v>10.086734693877551</v>
      </c>
    </row>
    <row r="4851" spans="1:16">
      <c r="A4851" s="2">
        <v>36018</v>
      </c>
      <c r="B4851" s="1">
        <v>115.48</v>
      </c>
      <c r="C4851" s="1">
        <v>126.88</v>
      </c>
      <c r="D4851" s="1">
        <v>115.24</v>
      </c>
      <c r="E4851" s="1">
        <v>124</v>
      </c>
      <c r="F4851" s="1">
        <v>28158600</v>
      </c>
      <c r="G4851" s="1">
        <v>20.67</v>
      </c>
      <c r="H4851" s="1">
        <f t="shared" si="675"/>
        <v>11.64</v>
      </c>
      <c r="I4851" s="9">
        <f t="shared" si="682"/>
        <v>0.10100659493231517</v>
      </c>
      <c r="J4851" s="1">
        <f t="shared" si="683"/>
        <v>0.40000000000000213</v>
      </c>
      <c r="K4851" s="9">
        <f t="shared" si="676"/>
        <v>1.9733596447952743E-2</v>
      </c>
      <c r="L4851" s="1">
        <f t="shared" si="677"/>
        <v>0.1666935483870968</v>
      </c>
      <c r="M4851" s="1">
        <f t="shared" si="678"/>
        <v>21.15007741935484</v>
      </c>
      <c r="N4851" s="1">
        <f t="shared" si="679"/>
        <v>19.209764516129034</v>
      </c>
      <c r="O4851" s="1">
        <f t="shared" si="680"/>
        <v>18.71</v>
      </c>
      <c r="P4851" s="1">
        <f t="shared" si="681"/>
        <v>9.545918367346939</v>
      </c>
    </row>
    <row r="4852" spans="1:16">
      <c r="A4852" s="2">
        <v>36017</v>
      </c>
      <c r="B4852" s="1">
        <v>117</v>
      </c>
      <c r="C4852" s="1">
        <v>121.86</v>
      </c>
      <c r="D4852" s="1">
        <v>115.02</v>
      </c>
      <c r="E4852" s="1">
        <v>121.62</v>
      </c>
      <c r="F4852" s="1">
        <v>18516000</v>
      </c>
      <c r="G4852" s="1">
        <v>20.27</v>
      </c>
      <c r="H4852" s="1">
        <f t="shared" si="675"/>
        <v>6.8400000000000034</v>
      </c>
      <c r="I4852" s="9">
        <f t="shared" si="682"/>
        <v>5.9467918622848233E-2</v>
      </c>
      <c r="J4852" s="1">
        <f t="shared" si="683"/>
        <v>0.94000000000000128</v>
      </c>
      <c r="K4852" s="9">
        <f t="shared" si="676"/>
        <v>4.8629073978272187E-2</v>
      </c>
      <c r="L4852" s="1">
        <f t="shared" si="677"/>
        <v>0.16666666666666666</v>
      </c>
      <c r="M4852" s="1">
        <f t="shared" si="678"/>
        <v>20.309999999999999</v>
      </c>
      <c r="N4852" s="1">
        <f t="shared" si="679"/>
        <v>19.169999999999998</v>
      </c>
      <c r="O4852" s="1">
        <f t="shared" si="680"/>
        <v>18.309999999999999</v>
      </c>
      <c r="P4852" s="1">
        <f t="shared" si="681"/>
        <v>9.3418367346938762</v>
      </c>
    </row>
    <row r="4853" spans="1:16">
      <c r="A4853" s="2">
        <v>36014</v>
      </c>
      <c r="B4853" s="1">
        <v>111.26</v>
      </c>
      <c r="C4853" s="1">
        <v>118.88</v>
      </c>
      <c r="D4853" s="1">
        <v>109.4</v>
      </c>
      <c r="E4853" s="1">
        <v>116</v>
      </c>
      <c r="F4853" s="1">
        <v>23433000</v>
      </c>
      <c r="G4853" s="1">
        <v>19.329999999999998</v>
      </c>
      <c r="H4853" s="1">
        <f t="shared" si="675"/>
        <v>9.4799999999999898</v>
      </c>
      <c r="I4853" s="9">
        <f t="shared" si="682"/>
        <v>8.6654478976233906E-2</v>
      </c>
      <c r="J4853" s="1">
        <f t="shared" si="683"/>
        <v>1.0799999999999983</v>
      </c>
      <c r="K4853" s="9">
        <f t="shared" si="676"/>
        <v>5.917808219178073E-2</v>
      </c>
      <c r="L4853" s="1">
        <f t="shared" si="677"/>
        <v>0.16663793103448274</v>
      </c>
      <c r="M4853" s="1">
        <f t="shared" si="678"/>
        <v>19.809917241379306</v>
      </c>
      <c r="N4853" s="1">
        <f t="shared" si="679"/>
        <v>18.230189655172413</v>
      </c>
      <c r="O4853" s="1">
        <f t="shared" si="680"/>
        <v>17.369999999999997</v>
      </c>
      <c r="P4853" s="1">
        <f t="shared" si="681"/>
        <v>8.862244897959183</v>
      </c>
    </row>
    <row r="4854" spans="1:16">
      <c r="A4854" s="2">
        <v>36013</v>
      </c>
      <c r="B4854" s="1">
        <v>104.4</v>
      </c>
      <c r="C4854" s="1">
        <v>112.5</v>
      </c>
      <c r="D4854" s="1">
        <v>103.08</v>
      </c>
      <c r="E4854" s="1">
        <v>109.5</v>
      </c>
      <c r="F4854" s="1">
        <v>18603600</v>
      </c>
      <c r="G4854" s="1">
        <v>18.25</v>
      </c>
      <c r="H4854" s="1">
        <f t="shared" si="675"/>
        <v>9.4200000000000017</v>
      </c>
      <c r="I4854" s="9">
        <f t="shared" si="682"/>
        <v>9.1385331781140874E-2</v>
      </c>
      <c r="J4854" s="1">
        <f t="shared" si="683"/>
        <v>0.55000000000000071</v>
      </c>
      <c r="K4854" s="9">
        <f t="shared" si="676"/>
        <v>3.1073446327683656E-2</v>
      </c>
      <c r="L4854" s="1">
        <f t="shared" si="677"/>
        <v>0.16666666666666666</v>
      </c>
      <c r="M4854" s="1">
        <f t="shared" si="678"/>
        <v>18.75</v>
      </c>
      <c r="N4854" s="1">
        <f t="shared" si="679"/>
        <v>17.18</v>
      </c>
      <c r="O4854" s="1">
        <f t="shared" si="680"/>
        <v>16.29</v>
      </c>
      <c r="P4854" s="1">
        <f t="shared" si="681"/>
        <v>8.3112244897959187</v>
      </c>
    </row>
    <row r="4855" spans="1:16">
      <c r="A4855" s="2">
        <v>36012</v>
      </c>
      <c r="B4855" s="1">
        <v>112.79</v>
      </c>
      <c r="C4855" s="1">
        <v>113.09</v>
      </c>
      <c r="D4855" s="1">
        <v>100.01</v>
      </c>
      <c r="E4855" s="1">
        <v>106.19</v>
      </c>
      <c r="F4855" s="1">
        <v>23060400</v>
      </c>
      <c r="G4855" s="1">
        <v>17.7</v>
      </c>
      <c r="H4855" s="1">
        <f t="shared" si="675"/>
        <v>13.079999999999998</v>
      </c>
      <c r="I4855" s="9">
        <f t="shared" si="682"/>
        <v>0.1307869213078692</v>
      </c>
      <c r="J4855" s="1">
        <f t="shared" si="683"/>
        <v>-0.60999999999999943</v>
      </c>
      <c r="K4855" s="9">
        <f t="shared" si="676"/>
        <v>-3.3315128345166548E-2</v>
      </c>
      <c r="L4855" s="1">
        <f t="shared" si="677"/>
        <v>0.16668236180431303</v>
      </c>
      <c r="M4855" s="1">
        <f t="shared" si="678"/>
        <v>18.850108296449761</v>
      </c>
      <c r="N4855" s="1">
        <f t="shared" si="679"/>
        <v>16.669903004049349</v>
      </c>
      <c r="O4855" s="1">
        <f t="shared" si="680"/>
        <v>15.739999999999998</v>
      </c>
      <c r="P4855" s="1">
        <f t="shared" si="681"/>
        <v>8.0306122448979593</v>
      </c>
    </row>
    <row r="4856" spans="1:16">
      <c r="A4856" s="2">
        <v>36011</v>
      </c>
      <c r="B4856" s="1">
        <v>110.11</v>
      </c>
      <c r="C4856" s="1">
        <v>114.13</v>
      </c>
      <c r="D4856" s="1">
        <v>108.13</v>
      </c>
      <c r="E4856" s="1">
        <v>109.87</v>
      </c>
      <c r="F4856" s="1">
        <v>28065000</v>
      </c>
      <c r="G4856" s="1">
        <v>18.309999999999999</v>
      </c>
      <c r="H4856" s="1">
        <f t="shared" si="675"/>
        <v>6</v>
      </c>
      <c r="I4856" s="9">
        <f t="shared" si="682"/>
        <v>5.5488763525386113E-2</v>
      </c>
      <c r="J4856" s="1">
        <f t="shared" si="683"/>
        <v>0.26999999999999957</v>
      </c>
      <c r="K4856" s="9">
        <f t="shared" si="676"/>
        <v>1.4966740576496652E-2</v>
      </c>
      <c r="L4856" s="1">
        <f t="shared" si="677"/>
        <v>0.16665149722399197</v>
      </c>
      <c r="M4856" s="1">
        <f t="shared" si="678"/>
        <v>19.019935378174203</v>
      </c>
      <c r="N4856" s="1">
        <f t="shared" si="679"/>
        <v>18.02002639483025</v>
      </c>
      <c r="O4856" s="1">
        <f t="shared" si="680"/>
        <v>16.349999999999998</v>
      </c>
      <c r="P4856" s="1">
        <f t="shared" si="681"/>
        <v>8.3418367346938762</v>
      </c>
    </row>
    <row r="4857" spans="1:16">
      <c r="A4857" s="2">
        <v>36010</v>
      </c>
      <c r="B4857" s="1">
        <v>109.75</v>
      </c>
      <c r="C4857" s="1">
        <v>111.49</v>
      </c>
      <c r="D4857" s="1">
        <v>107.29</v>
      </c>
      <c r="E4857" s="1">
        <v>108.25</v>
      </c>
      <c r="F4857" s="1">
        <v>12913200</v>
      </c>
      <c r="G4857" s="1">
        <v>18.04</v>
      </c>
      <c r="H4857" s="1">
        <f t="shared" si="675"/>
        <v>4.1999999999999886</v>
      </c>
      <c r="I4857" s="9">
        <f t="shared" si="682"/>
        <v>3.9146239164880123E-2</v>
      </c>
      <c r="J4857" s="1">
        <f t="shared" si="683"/>
        <v>-0.44000000000000128</v>
      </c>
      <c r="K4857" s="9">
        <f t="shared" si="676"/>
        <v>-2.3809523809523878E-2</v>
      </c>
      <c r="L4857" s="1">
        <f t="shared" si="677"/>
        <v>0.1666512702078522</v>
      </c>
      <c r="M4857" s="1">
        <f t="shared" si="678"/>
        <v>18.579950115473441</v>
      </c>
      <c r="N4857" s="1">
        <f t="shared" si="679"/>
        <v>17.880014780600462</v>
      </c>
      <c r="O4857" s="1">
        <f t="shared" si="680"/>
        <v>16.079999999999998</v>
      </c>
      <c r="P4857" s="1">
        <f t="shared" si="681"/>
        <v>8.204081632653061</v>
      </c>
    </row>
    <row r="4858" spans="1:16">
      <c r="A4858" s="2">
        <v>36007</v>
      </c>
      <c r="B4858" s="1">
        <v>114.47</v>
      </c>
      <c r="C4858" s="1">
        <v>115.13</v>
      </c>
      <c r="D4858" s="1">
        <v>109.13</v>
      </c>
      <c r="E4858" s="1">
        <v>110.87</v>
      </c>
      <c r="F4858" s="1">
        <v>13440600</v>
      </c>
      <c r="G4858" s="1">
        <v>18.48</v>
      </c>
      <c r="H4858" s="1">
        <f t="shared" si="675"/>
        <v>6</v>
      </c>
      <c r="I4858" s="9">
        <f t="shared" si="682"/>
        <v>5.4980298726289747E-2</v>
      </c>
      <c r="J4858" s="1">
        <f t="shared" si="683"/>
        <v>-0.48000000000000043</v>
      </c>
      <c r="K4858" s="9">
        <f t="shared" si="676"/>
        <v>-2.5316455696202552E-2</v>
      </c>
      <c r="L4858" s="1">
        <f t="shared" si="677"/>
        <v>0.16668169928745377</v>
      </c>
      <c r="M4858" s="1">
        <f t="shared" si="678"/>
        <v>19.19006403896455</v>
      </c>
      <c r="N4858" s="1">
        <f t="shared" si="679"/>
        <v>18.18997384323983</v>
      </c>
      <c r="O4858" s="1">
        <f t="shared" si="680"/>
        <v>16.52</v>
      </c>
      <c r="P4858" s="1">
        <f t="shared" si="681"/>
        <v>8.4285714285714288</v>
      </c>
    </row>
    <row r="4859" spans="1:16">
      <c r="A4859" s="2">
        <v>36006</v>
      </c>
      <c r="B4859" s="1">
        <v>111.77</v>
      </c>
      <c r="C4859" s="1">
        <v>115.01</v>
      </c>
      <c r="D4859" s="1">
        <v>105.47</v>
      </c>
      <c r="E4859" s="1">
        <v>113.75</v>
      </c>
      <c r="F4859" s="1">
        <v>31774200</v>
      </c>
      <c r="G4859" s="1">
        <v>18.96</v>
      </c>
      <c r="H4859" s="1">
        <f t="shared" si="675"/>
        <v>9.5400000000000063</v>
      </c>
      <c r="I4859" s="9">
        <f t="shared" si="682"/>
        <v>9.0452261306532722E-2</v>
      </c>
      <c r="J4859" s="1">
        <f t="shared" si="683"/>
        <v>0.99000000000000199</v>
      </c>
      <c r="K4859" s="9">
        <f t="shared" si="676"/>
        <v>5.5091819699499278E-2</v>
      </c>
      <c r="L4859" s="1">
        <f t="shared" si="677"/>
        <v>0.16668131868131869</v>
      </c>
      <c r="M4859" s="1">
        <f t="shared" si="678"/>
        <v>19.170018461538465</v>
      </c>
      <c r="N4859" s="1">
        <f t="shared" si="679"/>
        <v>17.579878681318682</v>
      </c>
      <c r="O4859" s="1">
        <f t="shared" si="680"/>
        <v>17</v>
      </c>
      <c r="P4859" s="1">
        <f t="shared" si="681"/>
        <v>8.6734693877551017</v>
      </c>
    </row>
    <row r="4860" spans="1:16">
      <c r="A4860" s="2">
        <v>36005</v>
      </c>
      <c r="B4860" s="1">
        <v>120.47</v>
      </c>
      <c r="C4860" s="1">
        <v>121.49</v>
      </c>
      <c r="D4860" s="1">
        <v>107.51</v>
      </c>
      <c r="E4860" s="1">
        <v>107.81</v>
      </c>
      <c r="F4860" s="1">
        <v>19644600</v>
      </c>
      <c r="G4860" s="1">
        <v>17.97</v>
      </c>
      <c r="H4860" s="1">
        <f t="shared" si="675"/>
        <v>13.97999999999999</v>
      </c>
      <c r="I4860" s="9">
        <f t="shared" si="682"/>
        <v>0.1300344154032182</v>
      </c>
      <c r="J4860" s="1">
        <f t="shared" si="683"/>
        <v>-1.8500000000000014</v>
      </c>
      <c r="K4860" s="9">
        <f t="shared" si="676"/>
        <v>-9.3340060544904208E-2</v>
      </c>
      <c r="L4860" s="1">
        <f t="shared" si="677"/>
        <v>0.16668212596234114</v>
      </c>
      <c r="M4860" s="1">
        <f t="shared" si="678"/>
        <v>20.250211483164826</v>
      </c>
      <c r="N4860" s="1">
        <f t="shared" si="679"/>
        <v>17.919995362211296</v>
      </c>
      <c r="O4860" s="1">
        <f t="shared" si="680"/>
        <v>16.009999999999998</v>
      </c>
      <c r="P4860" s="1">
        <f t="shared" si="681"/>
        <v>8.1683673469387745</v>
      </c>
    </row>
    <row r="4861" spans="1:16">
      <c r="A4861" s="2">
        <v>36004</v>
      </c>
      <c r="B4861" s="1">
        <v>124.46</v>
      </c>
      <c r="C4861" s="1">
        <v>126.02</v>
      </c>
      <c r="D4861" s="1">
        <v>118.04</v>
      </c>
      <c r="E4861" s="1">
        <v>118.94</v>
      </c>
      <c r="F4861" s="1">
        <v>20746800</v>
      </c>
      <c r="G4861" s="1">
        <v>19.82</v>
      </c>
      <c r="H4861" s="1">
        <f t="shared" si="675"/>
        <v>7.9799999999999898</v>
      </c>
      <c r="I4861" s="9">
        <f t="shared" si="682"/>
        <v>6.7604201965435359E-2</v>
      </c>
      <c r="J4861" s="1">
        <f t="shared" si="683"/>
        <v>-1.1099999999999994</v>
      </c>
      <c r="K4861" s="9">
        <f t="shared" si="676"/>
        <v>-5.3033922599139964E-2</v>
      </c>
      <c r="L4861" s="1">
        <f t="shared" si="677"/>
        <v>0.16663864133176393</v>
      </c>
      <c r="M4861" s="1">
        <f t="shared" si="678"/>
        <v>20.99980158062889</v>
      </c>
      <c r="N4861" s="1">
        <f t="shared" si="679"/>
        <v>19.670025222801414</v>
      </c>
      <c r="O4861" s="1">
        <f t="shared" si="680"/>
        <v>17.86</v>
      </c>
      <c r="P4861" s="1">
        <f t="shared" si="681"/>
        <v>9.112244897959183</v>
      </c>
    </row>
    <row r="4862" spans="1:16">
      <c r="A4862" s="2">
        <v>36003</v>
      </c>
      <c r="B4862" s="1">
        <v>119.08</v>
      </c>
      <c r="C4862" s="1">
        <v>127.36</v>
      </c>
      <c r="D4862" s="1">
        <v>115.6</v>
      </c>
      <c r="E4862" s="1">
        <v>125.56</v>
      </c>
      <c r="F4862" s="1">
        <v>28830600</v>
      </c>
      <c r="G4862" s="1">
        <v>20.93</v>
      </c>
      <c r="H4862" s="1">
        <f t="shared" si="675"/>
        <v>11.760000000000005</v>
      </c>
      <c r="I4862" s="9">
        <f t="shared" si="682"/>
        <v>0.10173010380622842</v>
      </c>
      <c r="J4862" s="1">
        <f t="shared" si="683"/>
        <v>0.21999999999999886</v>
      </c>
      <c r="K4862" s="9">
        <f t="shared" si="676"/>
        <v>1.0622887493964213E-2</v>
      </c>
      <c r="L4862" s="1">
        <f t="shared" si="677"/>
        <v>0.16669321439949028</v>
      </c>
      <c r="M4862" s="1">
        <f t="shared" si="678"/>
        <v>21.230047785919083</v>
      </c>
      <c r="N4862" s="1">
        <f t="shared" si="679"/>
        <v>19.269735584581074</v>
      </c>
      <c r="O4862" s="1">
        <f t="shared" si="680"/>
        <v>18.97</v>
      </c>
      <c r="P4862" s="1">
        <f t="shared" si="681"/>
        <v>9.6785714285714288</v>
      </c>
    </row>
    <row r="4863" spans="1:16">
      <c r="A4863" s="2">
        <v>36000</v>
      </c>
      <c r="B4863" s="1">
        <v>129.22999999999999</v>
      </c>
      <c r="C4863" s="1">
        <v>131.51</v>
      </c>
      <c r="D4863" s="1">
        <v>116.99</v>
      </c>
      <c r="E4863" s="1">
        <v>124.25</v>
      </c>
      <c r="F4863" s="1">
        <v>28974000</v>
      </c>
      <c r="G4863" s="1">
        <v>20.71</v>
      </c>
      <c r="H4863" s="1">
        <f t="shared" si="675"/>
        <v>14.519999999999996</v>
      </c>
      <c r="I4863" s="9">
        <f t="shared" si="682"/>
        <v>0.12411317206598851</v>
      </c>
      <c r="J4863" s="1">
        <f t="shared" si="683"/>
        <v>-0.55999999999999872</v>
      </c>
      <c r="K4863" s="9">
        <f t="shared" si="676"/>
        <v>-2.6328161730136284E-2</v>
      </c>
      <c r="L4863" s="1">
        <f t="shared" si="677"/>
        <v>0.1666800804828974</v>
      </c>
      <c r="M4863" s="1">
        <f t="shared" si="678"/>
        <v>21.920097384305834</v>
      </c>
      <c r="N4863" s="1">
        <f t="shared" si="679"/>
        <v>19.499902615694165</v>
      </c>
      <c r="O4863" s="1">
        <f t="shared" si="680"/>
        <v>18.75</v>
      </c>
      <c r="P4863" s="1">
        <f t="shared" si="681"/>
        <v>9.5663265306122458</v>
      </c>
    </row>
    <row r="4864" spans="1:16">
      <c r="A4864" s="2">
        <v>35999</v>
      </c>
      <c r="B4864" s="1">
        <v>130.02000000000001</v>
      </c>
      <c r="C4864" s="1">
        <v>138.47999999999999</v>
      </c>
      <c r="D4864" s="1">
        <v>127.02</v>
      </c>
      <c r="E4864" s="1">
        <v>127.62</v>
      </c>
      <c r="F4864" s="1">
        <v>27810600</v>
      </c>
      <c r="G4864" s="1">
        <v>21.27</v>
      </c>
      <c r="H4864" s="1">
        <f t="shared" si="675"/>
        <v>11.459999999999994</v>
      </c>
      <c r="I4864" s="9">
        <f t="shared" si="682"/>
        <v>9.0222012281530428E-2</v>
      </c>
      <c r="J4864" s="1">
        <f t="shared" si="683"/>
        <v>-1.0599999999999987</v>
      </c>
      <c r="K4864" s="9">
        <f t="shared" si="676"/>
        <v>-4.7469771607702591E-2</v>
      </c>
      <c r="L4864" s="1">
        <f t="shared" si="677"/>
        <v>0.16666666666666666</v>
      </c>
      <c r="M4864" s="1">
        <f t="shared" si="678"/>
        <v>23.08</v>
      </c>
      <c r="N4864" s="1">
        <f t="shared" si="679"/>
        <v>21.169999999999998</v>
      </c>
      <c r="O4864" s="1">
        <f t="shared" si="680"/>
        <v>19.309999999999999</v>
      </c>
      <c r="P4864" s="1">
        <f t="shared" si="681"/>
        <v>9.8520408163265305</v>
      </c>
    </row>
    <row r="4865" spans="1:16">
      <c r="A4865" s="2">
        <v>35998</v>
      </c>
      <c r="B4865" s="1">
        <v>134</v>
      </c>
      <c r="C4865" s="1">
        <v>139.88</v>
      </c>
      <c r="D4865" s="1">
        <v>130.52000000000001</v>
      </c>
      <c r="E4865" s="1">
        <v>134</v>
      </c>
      <c r="F4865" s="1">
        <v>27974400</v>
      </c>
      <c r="G4865" s="1">
        <v>22.33</v>
      </c>
      <c r="H4865" s="1">
        <f t="shared" si="675"/>
        <v>9.3599999999999852</v>
      </c>
      <c r="I4865" s="9">
        <f t="shared" si="682"/>
        <v>7.1713147410358447E-2</v>
      </c>
      <c r="J4865" s="1">
        <f t="shared" si="683"/>
        <v>0.31999999999999673</v>
      </c>
      <c r="K4865" s="9">
        <f t="shared" si="676"/>
        <v>1.4538845979100259E-2</v>
      </c>
      <c r="L4865" s="1">
        <f t="shared" si="677"/>
        <v>0.16664179104477611</v>
      </c>
      <c r="M4865" s="1">
        <f t="shared" si="678"/>
        <v>23.309853731343281</v>
      </c>
      <c r="N4865" s="1">
        <f t="shared" si="679"/>
        <v>21.750086567164178</v>
      </c>
      <c r="O4865" s="1">
        <f t="shared" si="680"/>
        <v>20.369999999999997</v>
      </c>
      <c r="P4865" s="1">
        <f t="shared" si="681"/>
        <v>10.392857142857142</v>
      </c>
    </row>
    <row r="4866" spans="1:16">
      <c r="A4866" s="2">
        <v>35997</v>
      </c>
      <c r="B4866" s="1">
        <v>137.28</v>
      </c>
      <c r="C4866" s="1">
        <v>147</v>
      </c>
      <c r="D4866" s="1">
        <v>127.98</v>
      </c>
      <c r="E4866" s="1">
        <v>132.06</v>
      </c>
      <c r="F4866" s="1">
        <v>47328000</v>
      </c>
      <c r="G4866" s="1">
        <v>22.01</v>
      </c>
      <c r="H4866" s="1">
        <f t="shared" si="675"/>
        <v>19.019999999999996</v>
      </c>
      <c r="I4866" s="9">
        <f t="shared" si="682"/>
        <v>0.14861697140178148</v>
      </c>
      <c r="J4866" s="1">
        <f t="shared" si="683"/>
        <v>-0.91000000000000014</v>
      </c>
      <c r="K4866" s="9">
        <f t="shared" si="676"/>
        <v>-3.9703315881326355E-2</v>
      </c>
      <c r="L4866" s="1">
        <f t="shared" si="677"/>
        <v>0.16666666666666669</v>
      </c>
      <c r="M4866" s="1">
        <f t="shared" si="678"/>
        <v>24.500000000000004</v>
      </c>
      <c r="N4866" s="1">
        <f t="shared" si="679"/>
        <v>21.330000000000002</v>
      </c>
      <c r="O4866" s="1">
        <f t="shared" si="680"/>
        <v>20.05</v>
      </c>
      <c r="P4866" s="1">
        <f t="shared" si="681"/>
        <v>10.229591836734695</v>
      </c>
    </row>
    <row r="4867" spans="1:16">
      <c r="A4867" s="2">
        <v>35996</v>
      </c>
      <c r="B4867" s="1">
        <v>121.12</v>
      </c>
      <c r="C4867" s="1">
        <v>140.08000000000001</v>
      </c>
      <c r="D4867" s="1">
        <v>119.74</v>
      </c>
      <c r="E4867" s="1">
        <v>137.5</v>
      </c>
      <c r="F4867" s="1">
        <v>35925000</v>
      </c>
      <c r="G4867" s="1">
        <v>22.92</v>
      </c>
      <c r="H4867" s="1">
        <f t="shared" ref="H4867:H4930" si="684">C4867-D4867</f>
        <v>20.340000000000018</v>
      </c>
      <c r="I4867" s="9">
        <f t="shared" si="682"/>
        <v>0.16986804743611172</v>
      </c>
      <c r="J4867" s="1">
        <f t="shared" si="683"/>
        <v>2.9500000000000028</v>
      </c>
      <c r="K4867" s="9">
        <f t="shared" ref="K4867:K4930" si="685">(G4867-G4868)/G4868</f>
        <v>0.14772158237356048</v>
      </c>
      <c r="L4867" s="1">
        <f t="shared" ref="L4867:L4930" si="686">G4867/E4867</f>
        <v>0.16669090909090911</v>
      </c>
      <c r="M4867" s="1">
        <f t="shared" ref="M4867:M4930" si="687">L4867*C4867</f>
        <v>23.350062545454552</v>
      </c>
      <c r="N4867" s="1">
        <f t="shared" ref="N4867:N4930" si="688">L4867*D4867</f>
        <v>19.959569454545456</v>
      </c>
      <c r="O4867" s="1">
        <f t="shared" ref="O4867:O4930" si="689">G4867-$G$5163</f>
        <v>20.96</v>
      </c>
      <c r="P4867" s="1">
        <f t="shared" ref="P4867:P4930" si="690">(G4867-$G$5163)/$G$5163</f>
        <v>10.693877551020408</v>
      </c>
    </row>
    <row r="4868" spans="1:16">
      <c r="A4868" s="2">
        <v>35993</v>
      </c>
      <c r="B4868" s="1">
        <v>112.37</v>
      </c>
      <c r="C4868" s="1">
        <v>120.47</v>
      </c>
      <c r="D4868" s="1">
        <v>111.89</v>
      </c>
      <c r="E4868" s="1">
        <v>119.81</v>
      </c>
      <c r="F4868" s="1">
        <v>17826000</v>
      </c>
      <c r="G4868" s="1">
        <v>19.97</v>
      </c>
      <c r="H4868" s="1">
        <f t="shared" si="684"/>
        <v>8.5799999999999983</v>
      </c>
      <c r="I4868" s="9">
        <f t="shared" ref="I4868:I4931" si="691">(C4868-D4868)/D4868</f>
        <v>7.6682455983555262E-2</v>
      </c>
      <c r="J4868" s="1">
        <f t="shared" ref="J4868:J4931" si="692">G4868-G4869</f>
        <v>1.0700000000000003</v>
      </c>
      <c r="K4868" s="9">
        <f t="shared" si="685"/>
        <v>5.661375661375663E-2</v>
      </c>
      <c r="L4868" s="1">
        <f t="shared" si="686"/>
        <v>0.16668057758117016</v>
      </c>
      <c r="M4868" s="1">
        <f t="shared" si="687"/>
        <v>20.080009181203568</v>
      </c>
      <c r="N4868" s="1">
        <f t="shared" si="688"/>
        <v>18.649889825557128</v>
      </c>
      <c r="O4868" s="1">
        <f t="shared" si="689"/>
        <v>18.009999999999998</v>
      </c>
      <c r="P4868" s="1">
        <f t="shared" si="690"/>
        <v>9.1887755102040813</v>
      </c>
    </row>
    <row r="4869" spans="1:16">
      <c r="A4869" s="2">
        <v>35992</v>
      </c>
      <c r="B4869" s="1">
        <v>113.43</v>
      </c>
      <c r="C4869" s="1">
        <v>114.99</v>
      </c>
      <c r="D4869" s="1">
        <v>108.45</v>
      </c>
      <c r="E4869" s="1">
        <v>113.37</v>
      </c>
      <c r="F4869" s="1">
        <v>13999200</v>
      </c>
      <c r="G4869" s="1">
        <v>18.899999999999999</v>
      </c>
      <c r="H4869" s="1">
        <f t="shared" si="684"/>
        <v>6.539999999999992</v>
      </c>
      <c r="I4869" s="9">
        <f t="shared" si="691"/>
        <v>6.0304287690179731E-2</v>
      </c>
      <c r="J4869" s="1">
        <f t="shared" si="692"/>
        <v>0.14999999999999858</v>
      </c>
      <c r="K4869" s="9">
        <f t="shared" si="685"/>
        <v>7.9999999999999238E-3</v>
      </c>
      <c r="L4869" s="1">
        <f t="shared" si="686"/>
        <v>0.16671077004498544</v>
      </c>
      <c r="M4869" s="1">
        <f t="shared" si="687"/>
        <v>19.170071447472875</v>
      </c>
      <c r="N4869" s="1">
        <f t="shared" si="688"/>
        <v>18.079783011378673</v>
      </c>
      <c r="O4869" s="1">
        <f t="shared" si="689"/>
        <v>16.939999999999998</v>
      </c>
      <c r="P4869" s="1">
        <f t="shared" si="690"/>
        <v>8.6428571428571423</v>
      </c>
    </row>
    <row r="4870" spans="1:16">
      <c r="A4870" s="2">
        <v>35991</v>
      </c>
      <c r="B4870" s="1">
        <v>115.98</v>
      </c>
      <c r="C4870" s="1">
        <v>117.36</v>
      </c>
      <c r="D4870" s="1">
        <v>109.74</v>
      </c>
      <c r="E4870" s="1">
        <v>112.5</v>
      </c>
      <c r="F4870" s="1">
        <v>17610000</v>
      </c>
      <c r="G4870" s="1">
        <v>18.75</v>
      </c>
      <c r="H4870" s="1">
        <f t="shared" si="684"/>
        <v>7.6200000000000045</v>
      </c>
      <c r="I4870" s="9">
        <f t="shared" si="691"/>
        <v>6.9436850738108305E-2</v>
      </c>
      <c r="J4870" s="1">
        <f t="shared" si="692"/>
        <v>-0.42000000000000171</v>
      </c>
      <c r="K4870" s="9">
        <f t="shared" si="685"/>
        <v>-2.1909233176838898E-2</v>
      </c>
      <c r="L4870" s="1">
        <f t="shared" si="686"/>
        <v>0.16666666666666666</v>
      </c>
      <c r="M4870" s="1">
        <f t="shared" si="687"/>
        <v>19.559999999999999</v>
      </c>
      <c r="N4870" s="1">
        <f t="shared" si="688"/>
        <v>18.29</v>
      </c>
      <c r="O4870" s="1">
        <f t="shared" si="689"/>
        <v>16.79</v>
      </c>
      <c r="P4870" s="1">
        <f t="shared" si="690"/>
        <v>8.566326530612244</v>
      </c>
    </row>
    <row r="4871" spans="1:16">
      <c r="A4871" s="2">
        <v>35990</v>
      </c>
      <c r="B4871" s="1">
        <v>108.46</v>
      </c>
      <c r="C4871" s="1">
        <v>115.72</v>
      </c>
      <c r="D4871" s="1">
        <v>106.96</v>
      </c>
      <c r="E4871" s="1">
        <v>115</v>
      </c>
      <c r="F4871" s="1">
        <v>25358400</v>
      </c>
      <c r="G4871" s="1">
        <v>19.170000000000002</v>
      </c>
      <c r="H4871" s="1">
        <f t="shared" si="684"/>
        <v>8.7600000000000051</v>
      </c>
      <c r="I4871" s="9">
        <f t="shared" si="691"/>
        <v>8.1899775617053153E-2</v>
      </c>
      <c r="J4871" s="1">
        <f t="shared" si="692"/>
        <v>1.2300000000000004</v>
      </c>
      <c r="K4871" s="9">
        <f t="shared" si="685"/>
        <v>6.856187290969902E-2</v>
      </c>
      <c r="L4871" s="1">
        <f t="shared" si="686"/>
        <v>0.16669565217391305</v>
      </c>
      <c r="M4871" s="1">
        <f t="shared" si="687"/>
        <v>19.290020869565218</v>
      </c>
      <c r="N4871" s="1">
        <f t="shared" si="688"/>
        <v>17.829766956521738</v>
      </c>
      <c r="O4871" s="1">
        <f t="shared" si="689"/>
        <v>17.21</v>
      </c>
      <c r="P4871" s="1">
        <f t="shared" si="690"/>
        <v>8.7806122448979593</v>
      </c>
    </row>
    <row r="4872" spans="1:16">
      <c r="A4872" s="2">
        <v>35989</v>
      </c>
      <c r="B4872" s="1">
        <v>96.46</v>
      </c>
      <c r="C4872" s="1">
        <v>107.98</v>
      </c>
      <c r="D4872" s="1">
        <v>94.24</v>
      </c>
      <c r="E4872" s="1">
        <v>107.62</v>
      </c>
      <c r="F4872" s="1">
        <v>19248000</v>
      </c>
      <c r="G4872" s="1">
        <v>17.940000000000001</v>
      </c>
      <c r="H4872" s="1">
        <f t="shared" si="684"/>
        <v>13.740000000000009</v>
      </c>
      <c r="I4872" s="9">
        <f t="shared" si="691"/>
        <v>0.14579796264855699</v>
      </c>
      <c r="J4872" s="1">
        <f t="shared" si="692"/>
        <v>1.360000000000003</v>
      </c>
      <c r="K4872" s="9">
        <f t="shared" si="685"/>
        <v>8.2026537997587648E-2</v>
      </c>
      <c r="L4872" s="1">
        <f t="shared" si="686"/>
        <v>0.16669763984389518</v>
      </c>
      <c r="M4872" s="1">
        <f t="shared" si="687"/>
        <v>18.000011150343802</v>
      </c>
      <c r="N4872" s="1">
        <f t="shared" si="688"/>
        <v>15.709585578888682</v>
      </c>
      <c r="O4872" s="1">
        <f t="shared" si="689"/>
        <v>15.98</v>
      </c>
      <c r="P4872" s="1">
        <f t="shared" si="690"/>
        <v>8.1530612244897966</v>
      </c>
    </row>
    <row r="4873" spans="1:16">
      <c r="A4873" s="2">
        <v>35986</v>
      </c>
      <c r="B4873" s="1">
        <v>103.04</v>
      </c>
      <c r="C4873" s="1">
        <v>105.92</v>
      </c>
      <c r="D4873" s="1">
        <v>98.12</v>
      </c>
      <c r="E4873" s="1">
        <v>99.5</v>
      </c>
      <c r="F4873" s="1">
        <v>24982200</v>
      </c>
      <c r="G4873" s="1">
        <v>16.579999999999998</v>
      </c>
      <c r="H4873" s="1">
        <f t="shared" si="684"/>
        <v>7.7999999999999972</v>
      </c>
      <c r="I4873" s="9">
        <f t="shared" si="691"/>
        <v>7.9494496534855241E-2</v>
      </c>
      <c r="J4873" s="1">
        <f t="shared" si="692"/>
        <v>-1</v>
      </c>
      <c r="K4873" s="9">
        <f t="shared" si="685"/>
        <v>-5.6882821387940846E-2</v>
      </c>
      <c r="L4873" s="1">
        <f t="shared" si="686"/>
        <v>0.16663316582914572</v>
      </c>
      <c r="M4873" s="1">
        <f t="shared" si="687"/>
        <v>17.649784924623116</v>
      </c>
      <c r="N4873" s="1">
        <f t="shared" si="688"/>
        <v>16.35004623115578</v>
      </c>
      <c r="O4873" s="1">
        <f t="shared" si="689"/>
        <v>14.619999999999997</v>
      </c>
      <c r="P4873" s="1">
        <f t="shared" si="690"/>
        <v>7.4591836734693864</v>
      </c>
    </row>
    <row r="4874" spans="1:16">
      <c r="A4874" s="2">
        <v>35985</v>
      </c>
      <c r="B4874" s="1">
        <v>110.66</v>
      </c>
      <c r="C4874" s="1">
        <v>116.54</v>
      </c>
      <c r="D4874" s="1">
        <v>105.02</v>
      </c>
      <c r="E4874" s="1">
        <v>105.5</v>
      </c>
      <c r="F4874" s="1">
        <v>29493000</v>
      </c>
      <c r="G4874" s="1">
        <v>17.579999999999998</v>
      </c>
      <c r="H4874" s="1">
        <f t="shared" si="684"/>
        <v>11.52000000000001</v>
      </c>
      <c r="I4874" s="9">
        <f t="shared" si="691"/>
        <v>0.10969339173490773</v>
      </c>
      <c r="J4874" s="1">
        <f t="shared" si="692"/>
        <v>-0.27000000000000313</v>
      </c>
      <c r="K4874" s="9">
        <f t="shared" si="685"/>
        <v>-1.5126050420168241E-2</v>
      </c>
      <c r="L4874" s="1">
        <f t="shared" si="686"/>
        <v>0.16663507109004738</v>
      </c>
      <c r="M4874" s="1">
        <f t="shared" si="687"/>
        <v>19.419651184834123</v>
      </c>
      <c r="N4874" s="1">
        <f t="shared" si="688"/>
        <v>17.500015165876775</v>
      </c>
      <c r="O4874" s="1">
        <f t="shared" si="689"/>
        <v>15.619999999999997</v>
      </c>
      <c r="P4874" s="1">
        <f t="shared" si="690"/>
        <v>7.9693877551020398</v>
      </c>
    </row>
    <row r="4875" spans="1:16">
      <c r="A4875" s="2">
        <v>35984</v>
      </c>
      <c r="B4875" s="1">
        <v>111.92</v>
      </c>
      <c r="C4875" s="1">
        <v>119</v>
      </c>
      <c r="D4875" s="1">
        <v>102.38</v>
      </c>
      <c r="E4875" s="1">
        <v>107.12</v>
      </c>
      <c r="F4875" s="1">
        <v>58311600</v>
      </c>
      <c r="G4875" s="1">
        <v>17.850000000000001</v>
      </c>
      <c r="H4875" s="1">
        <f t="shared" si="684"/>
        <v>16.620000000000005</v>
      </c>
      <c r="I4875" s="9">
        <f t="shared" si="691"/>
        <v>0.16233639382691936</v>
      </c>
      <c r="J4875" s="1">
        <f t="shared" si="692"/>
        <v>-2.5</v>
      </c>
      <c r="K4875" s="9">
        <f t="shared" si="685"/>
        <v>-0.12285012285012284</v>
      </c>
      <c r="L4875" s="1">
        <f t="shared" si="686"/>
        <v>0.16663554891710233</v>
      </c>
      <c r="M4875" s="1">
        <f t="shared" si="687"/>
        <v>19.829630321135177</v>
      </c>
      <c r="N4875" s="1">
        <f t="shared" si="688"/>
        <v>17.060147498132935</v>
      </c>
      <c r="O4875" s="1">
        <f t="shared" si="689"/>
        <v>15.89</v>
      </c>
      <c r="P4875" s="1">
        <f t="shared" si="690"/>
        <v>8.1071428571428577</v>
      </c>
    </row>
    <row r="4876" spans="1:16">
      <c r="A4876" s="2">
        <v>35983</v>
      </c>
      <c r="B4876" s="1">
        <v>143</v>
      </c>
      <c r="C4876" s="1">
        <v>143.78</v>
      </c>
      <c r="D4876" s="1">
        <v>121.04</v>
      </c>
      <c r="E4876" s="1">
        <v>122.12</v>
      </c>
      <c r="F4876" s="1">
        <v>47251800</v>
      </c>
      <c r="G4876" s="1">
        <v>20.350000000000001</v>
      </c>
      <c r="H4876" s="1">
        <f t="shared" si="684"/>
        <v>22.739999999999995</v>
      </c>
      <c r="I4876" s="9">
        <f t="shared" si="691"/>
        <v>0.18787177792465296</v>
      </c>
      <c r="J4876" s="1">
        <f t="shared" si="692"/>
        <v>-2.8999999999999986</v>
      </c>
      <c r="K4876" s="9">
        <f t="shared" si="685"/>
        <v>-0.12473118279569886</v>
      </c>
      <c r="L4876" s="1">
        <f t="shared" si="686"/>
        <v>0.16663937111038324</v>
      </c>
      <c r="M4876" s="1">
        <f t="shared" si="687"/>
        <v>23.959408778250904</v>
      </c>
      <c r="N4876" s="1">
        <f t="shared" si="688"/>
        <v>20.170029479200789</v>
      </c>
      <c r="O4876" s="1">
        <f t="shared" si="689"/>
        <v>18.39</v>
      </c>
      <c r="P4876" s="1">
        <f t="shared" si="690"/>
        <v>9.3826530612244898</v>
      </c>
    </row>
    <row r="4877" spans="1:16">
      <c r="A4877" s="2">
        <v>35982</v>
      </c>
      <c r="B4877" s="1">
        <v>127.38</v>
      </c>
      <c r="C4877" s="1">
        <v>140.76</v>
      </c>
      <c r="D4877" s="1">
        <v>125.52</v>
      </c>
      <c r="E4877" s="1">
        <v>139.5</v>
      </c>
      <c r="F4877" s="1">
        <v>46883400</v>
      </c>
      <c r="G4877" s="1">
        <v>23.25</v>
      </c>
      <c r="H4877" s="1">
        <f t="shared" si="684"/>
        <v>15.239999999999995</v>
      </c>
      <c r="I4877" s="9">
        <f t="shared" si="691"/>
        <v>0.12141491395793495</v>
      </c>
      <c r="J4877" s="1">
        <f t="shared" si="692"/>
        <v>2.5799999999999983</v>
      </c>
      <c r="K4877" s="9">
        <f t="shared" si="685"/>
        <v>0.12481857764876624</v>
      </c>
      <c r="L4877" s="1">
        <f t="shared" si="686"/>
        <v>0.16666666666666666</v>
      </c>
      <c r="M4877" s="1">
        <f t="shared" si="687"/>
        <v>23.459999999999997</v>
      </c>
      <c r="N4877" s="1">
        <f t="shared" si="688"/>
        <v>20.919999999999998</v>
      </c>
      <c r="O4877" s="1">
        <f t="shared" si="689"/>
        <v>21.29</v>
      </c>
      <c r="P4877" s="1">
        <f t="shared" si="690"/>
        <v>10.862244897959183</v>
      </c>
    </row>
    <row r="4878" spans="1:16">
      <c r="A4878" s="2">
        <v>35978</v>
      </c>
      <c r="B4878" s="1">
        <v>115.72</v>
      </c>
      <c r="C4878" s="1">
        <v>125.5</v>
      </c>
      <c r="D4878" s="1">
        <v>112.48</v>
      </c>
      <c r="E4878" s="1">
        <v>124</v>
      </c>
      <c r="F4878" s="1">
        <v>52279800</v>
      </c>
      <c r="G4878" s="1">
        <v>20.67</v>
      </c>
      <c r="H4878" s="1">
        <f t="shared" si="684"/>
        <v>13.019999999999996</v>
      </c>
      <c r="I4878" s="9">
        <f t="shared" si="691"/>
        <v>0.11575391180654335</v>
      </c>
      <c r="J4878" s="1">
        <f t="shared" si="692"/>
        <v>1.6500000000000021</v>
      </c>
      <c r="K4878" s="9">
        <f t="shared" si="685"/>
        <v>8.6750788643533236E-2</v>
      </c>
      <c r="L4878" s="1">
        <f t="shared" si="686"/>
        <v>0.1666935483870968</v>
      </c>
      <c r="M4878" s="1">
        <f t="shared" si="687"/>
        <v>20.920040322580647</v>
      </c>
      <c r="N4878" s="1">
        <f t="shared" si="688"/>
        <v>18.749690322580648</v>
      </c>
      <c r="O4878" s="1">
        <f t="shared" si="689"/>
        <v>18.71</v>
      </c>
      <c r="P4878" s="1">
        <f t="shared" si="690"/>
        <v>9.545918367346939</v>
      </c>
    </row>
    <row r="4879" spans="1:16">
      <c r="A4879" s="2">
        <v>35977</v>
      </c>
      <c r="B4879" s="1">
        <v>101.82</v>
      </c>
      <c r="C4879" s="1">
        <v>114.48</v>
      </c>
      <c r="D4879" s="1">
        <v>100.74</v>
      </c>
      <c r="E4879" s="1">
        <v>114.12</v>
      </c>
      <c r="F4879" s="1">
        <v>28254600</v>
      </c>
      <c r="G4879" s="1">
        <v>19.02</v>
      </c>
      <c r="H4879" s="1">
        <f t="shared" si="684"/>
        <v>13.740000000000009</v>
      </c>
      <c r="I4879" s="9">
        <f t="shared" si="691"/>
        <v>0.13639070875521153</v>
      </c>
      <c r="J4879" s="1">
        <f t="shared" si="692"/>
        <v>2.3900000000000006</v>
      </c>
      <c r="K4879" s="9">
        <f t="shared" si="685"/>
        <v>0.14371617558628988</v>
      </c>
      <c r="L4879" s="1">
        <f t="shared" si="686"/>
        <v>0.16666666666666666</v>
      </c>
      <c r="M4879" s="1">
        <f t="shared" si="687"/>
        <v>19.079999999999998</v>
      </c>
      <c r="N4879" s="1">
        <f t="shared" si="688"/>
        <v>16.79</v>
      </c>
      <c r="O4879" s="1">
        <f t="shared" si="689"/>
        <v>17.059999999999999</v>
      </c>
      <c r="P4879" s="1">
        <f t="shared" si="690"/>
        <v>8.704081632653061</v>
      </c>
    </row>
    <row r="4880" spans="1:16">
      <c r="A4880" s="2">
        <v>35976</v>
      </c>
      <c r="B4880" s="1">
        <v>97.77</v>
      </c>
      <c r="C4880" s="1">
        <v>101.49</v>
      </c>
      <c r="D4880" s="1">
        <v>96.75</v>
      </c>
      <c r="E4880" s="1">
        <v>99.75</v>
      </c>
      <c r="F4880" s="1">
        <v>21877200</v>
      </c>
      <c r="G4880" s="1">
        <v>16.63</v>
      </c>
      <c r="H4880" s="1">
        <f t="shared" si="684"/>
        <v>4.7399999999999949</v>
      </c>
      <c r="I4880" s="9">
        <f t="shared" si="691"/>
        <v>4.899224806201545E-2</v>
      </c>
      <c r="J4880" s="1">
        <f t="shared" si="692"/>
        <v>0.16999999999999815</v>
      </c>
      <c r="K4880" s="9">
        <f t="shared" si="685"/>
        <v>1.0328068043742294E-2</v>
      </c>
      <c r="L4880" s="1">
        <f t="shared" si="686"/>
        <v>0.16671679197994987</v>
      </c>
      <c r="M4880" s="1">
        <f t="shared" si="687"/>
        <v>16.920087218045111</v>
      </c>
      <c r="N4880" s="1">
        <f t="shared" si="688"/>
        <v>16.129849624060149</v>
      </c>
      <c r="O4880" s="1">
        <f t="shared" si="689"/>
        <v>14.669999999999998</v>
      </c>
      <c r="P4880" s="1">
        <f t="shared" si="690"/>
        <v>7.4846938775510194</v>
      </c>
    </row>
    <row r="4881" spans="1:16">
      <c r="A4881" s="2">
        <v>35975</v>
      </c>
      <c r="B4881" s="1">
        <v>94.73</v>
      </c>
      <c r="C4881" s="1">
        <v>99.59</v>
      </c>
      <c r="D4881" s="1">
        <v>94.73</v>
      </c>
      <c r="E4881" s="1">
        <v>98.75</v>
      </c>
      <c r="F4881" s="1">
        <v>24507600</v>
      </c>
      <c r="G4881" s="1">
        <v>16.46</v>
      </c>
      <c r="H4881" s="1">
        <f t="shared" si="684"/>
        <v>4.8599999999999994</v>
      </c>
      <c r="I4881" s="9">
        <f t="shared" si="691"/>
        <v>5.1303705267602653E-2</v>
      </c>
      <c r="J4881" s="1">
        <f t="shared" si="692"/>
        <v>0.75</v>
      </c>
      <c r="K4881" s="9">
        <f t="shared" si="685"/>
        <v>4.7740292807129214E-2</v>
      </c>
      <c r="L4881" s="1">
        <f t="shared" si="686"/>
        <v>0.16668354430379748</v>
      </c>
      <c r="M4881" s="1">
        <f t="shared" si="687"/>
        <v>16.60001417721519</v>
      </c>
      <c r="N4881" s="1">
        <f t="shared" si="688"/>
        <v>15.789932151898736</v>
      </c>
      <c r="O4881" s="1">
        <f t="shared" si="689"/>
        <v>14.5</v>
      </c>
      <c r="P4881" s="1">
        <f t="shared" si="690"/>
        <v>7.3979591836734695</v>
      </c>
    </row>
    <row r="4882" spans="1:16">
      <c r="A4882" s="2">
        <v>35972</v>
      </c>
      <c r="B4882" s="1">
        <v>97.49</v>
      </c>
      <c r="C4882" s="1">
        <v>100.25</v>
      </c>
      <c r="D4882" s="1">
        <v>93.77</v>
      </c>
      <c r="E4882" s="1">
        <v>94.25</v>
      </c>
      <c r="F4882" s="1">
        <v>31149600</v>
      </c>
      <c r="G4882" s="1">
        <v>15.71</v>
      </c>
      <c r="H4882" s="1">
        <f t="shared" si="684"/>
        <v>6.480000000000004</v>
      </c>
      <c r="I4882" s="9">
        <f t="shared" si="691"/>
        <v>6.91052575450571E-2</v>
      </c>
      <c r="J4882" s="1">
        <f t="shared" si="692"/>
        <v>-0.80000000000000071</v>
      </c>
      <c r="K4882" s="9">
        <f t="shared" si="685"/>
        <v>-4.8455481526347703E-2</v>
      </c>
      <c r="L4882" s="1">
        <f t="shared" si="686"/>
        <v>0.166684350132626</v>
      </c>
      <c r="M4882" s="1">
        <f t="shared" si="687"/>
        <v>16.710106100795755</v>
      </c>
      <c r="N4882" s="1">
        <f t="shared" si="688"/>
        <v>15.629991511936339</v>
      </c>
      <c r="O4882" s="1">
        <f t="shared" si="689"/>
        <v>13.75</v>
      </c>
      <c r="P4882" s="1">
        <f t="shared" si="690"/>
        <v>7.0153061224489797</v>
      </c>
    </row>
    <row r="4883" spans="1:16">
      <c r="A4883" s="2">
        <v>35971</v>
      </c>
      <c r="B4883" s="1">
        <v>100.02</v>
      </c>
      <c r="C4883" s="1">
        <v>104.76</v>
      </c>
      <c r="D4883" s="1">
        <v>96</v>
      </c>
      <c r="E4883" s="1">
        <v>99.06</v>
      </c>
      <c r="F4883" s="1">
        <v>54465000</v>
      </c>
      <c r="G4883" s="1">
        <v>16.510000000000002</v>
      </c>
      <c r="H4883" s="1">
        <f t="shared" si="684"/>
        <v>8.7600000000000051</v>
      </c>
      <c r="I4883" s="9">
        <f t="shared" si="691"/>
        <v>9.1250000000000053E-2</v>
      </c>
      <c r="J4883" s="1">
        <f t="shared" si="692"/>
        <v>-0.12999999999999901</v>
      </c>
      <c r="K4883" s="9">
        <f t="shared" si="685"/>
        <v>-7.8124999999999402E-3</v>
      </c>
      <c r="L4883" s="1">
        <f t="shared" si="686"/>
        <v>0.16666666666666669</v>
      </c>
      <c r="M4883" s="1">
        <f t="shared" si="687"/>
        <v>17.460000000000004</v>
      </c>
      <c r="N4883" s="1">
        <f t="shared" si="688"/>
        <v>16</v>
      </c>
      <c r="O4883" s="1">
        <f t="shared" si="689"/>
        <v>14.55</v>
      </c>
      <c r="P4883" s="1">
        <f t="shared" si="690"/>
        <v>7.4234693877551026</v>
      </c>
    </row>
    <row r="4884" spans="1:16">
      <c r="A4884" s="2">
        <v>35970</v>
      </c>
      <c r="B4884" s="1">
        <v>94.95</v>
      </c>
      <c r="C4884" s="1">
        <v>100.71</v>
      </c>
      <c r="D4884" s="1">
        <v>89.07</v>
      </c>
      <c r="E4884" s="1">
        <v>99.81</v>
      </c>
      <c r="F4884" s="1">
        <v>58704600</v>
      </c>
      <c r="G4884" s="1">
        <v>16.64</v>
      </c>
      <c r="H4884" s="1">
        <f t="shared" si="684"/>
        <v>11.64</v>
      </c>
      <c r="I4884" s="9">
        <f t="shared" si="691"/>
        <v>0.1306837318962614</v>
      </c>
      <c r="J4884" s="1">
        <f t="shared" si="692"/>
        <v>1.1900000000000013</v>
      </c>
      <c r="K4884" s="9">
        <f t="shared" si="685"/>
        <v>7.7022653721682932E-2</v>
      </c>
      <c r="L4884" s="1">
        <f t="shared" si="686"/>
        <v>0.16671676184751028</v>
      </c>
      <c r="M4884" s="1">
        <f t="shared" si="687"/>
        <v>16.790045085662758</v>
      </c>
      <c r="N4884" s="1">
        <f t="shared" si="688"/>
        <v>14.849461977757739</v>
      </c>
      <c r="O4884" s="1">
        <f t="shared" si="689"/>
        <v>14.68</v>
      </c>
      <c r="P4884" s="1">
        <f t="shared" si="690"/>
        <v>7.4897959183673466</v>
      </c>
    </row>
    <row r="4885" spans="1:16">
      <c r="A4885" s="2">
        <v>35969</v>
      </c>
      <c r="B4885" s="1">
        <v>81.05</v>
      </c>
      <c r="C4885" s="1">
        <v>92.75</v>
      </c>
      <c r="D4885" s="1">
        <v>80.510000000000005</v>
      </c>
      <c r="E4885" s="1">
        <v>92.69</v>
      </c>
      <c r="F4885" s="1">
        <v>37463400</v>
      </c>
      <c r="G4885" s="1">
        <v>15.45</v>
      </c>
      <c r="H4885" s="1">
        <f t="shared" si="684"/>
        <v>12.239999999999995</v>
      </c>
      <c r="I4885" s="9">
        <f t="shared" si="691"/>
        <v>0.15203080362687857</v>
      </c>
      <c r="J4885" s="1">
        <f t="shared" si="692"/>
        <v>1.8899999999999988</v>
      </c>
      <c r="K4885" s="9">
        <f t="shared" si="685"/>
        <v>0.13938053097345124</v>
      </c>
      <c r="L4885" s="1">
        <f t="shared" si="686"/>
        <v>0.16668464775056641</v>
      </c>
      <c r="M4885" s="1">
        <f t="shared" si="687"/>
        <v>15.460001078865034</v>
      </c>
      <c r="N4885" s="1">
        <f t="shared" si="688"/>
        <v>13.419780990398102</v>
      </c>
      <c r="O4885" s="1">
        <f t="shared" si="689"/>
        <v>13.489999999999998</v>
      </c>
      <c r="P4885" s="1">
        <f t="shared" si="690"/>
        <v>6.8826530612244889</v>
      </c>
    </row>
    <row r="4886" spans="1:16">
      <c r="A4886" s="2">
        <v>35968</v>
      </c>
      <c r="B4886" s="1">
        <v>74.77</v>
      </c>
      <c r="C4886" s="1">
        <v>82.39</v>
      </c>
      <c r="D4886" s="1">
        <v>72.25</v>
      </c>
      <c r="E4886" s="1">
        <v>81.37</v>
      </c>
      <c r="F4886" s="1">
        <v>36318000</v>
      </c>
      <c r="G4886" s="1">
        <v>13.56</v>
      </c>
      <c r="H4886" s="1">
        <f t="shared" si="684"/>
        <v>10.14</v>
      </c>
      <c r="I4886" s="9">
        <f t="shared" si="691"/>
        <v>0.14034602076124569</v>
      </c>
      <c r="J4886" s="1">
        <f t="shared" si="692"/>
        <v>0.91999999999999993</v>
      </c>
      <c r="K4886" s="9">
        <f t="shared" si="685"/>
        <v>7.2784810126582264E-2</v>
      </c>
      <c r="L4886" s="1">
        <f t="shared" si="686"/>
        <v>0.16664618409733317</v>
      </c>
      <c r="M4886" s="1">
        <f t="shared" si="687"/>
        <v>13.729979107779281</v>
      </c>
      <c r="N4886" s="1">
        <f t="shared" si="688"/>
        <v>12.040186801032322</v>
      </c>
      <c r="O4886" s="1">
        <f t="shared" si="689"/>
        <v>11.600000000000001</v>
      </c>
      <c r="P4886" s="1">
        <f t="shared" si="690"/>
        <v>5.9183673469387763</v>
      </c>
    </row>
    <row r="4887" spans="1:16">
      <c r="A4887" s="2">
        <v>35965</v>
      </c>
      <c r="B4887" s="1">
        <v>71.010000000000005</v>
      </c>
      <c r="C4887" s="1">
        <v>76.23</v>
      </c>
      <c r="D4887" s="1">
        <v>67.95</v>
      </c>
      <c r="E4887" s="1">
        <v>75.81</v>
      </c>
      <c r="F4887" s="1">
        <v>36678600</v>
      </c>
      <c r="G4887" s="1">
        <v>12.64</v>
      </c>
      <c r="H4887" s="1">
        <f t="shared" si="684"/>
        <v>8.2800000000000011</v>
      </c>
      <c r="I4887" s="9">
        <f t="shared" si="691"/>
        <v>0.12185430463576161</v>
      </c>
      <c r="J4887" s="1">
        <f t="shared" si="692"/>
        <v>0.62000000000000099</v>
      </c>
      <c r="K4887" s="9">
        <f t="shared" si="685"/>
        <v>5.1580698835274628E-2</v>
      </c>
      <c r="L4887" s="1">
        <f t="shared" si="686"/>
        <v>0.16673262102624983</v>
      </c>
      <c r="M4887" s="1">
        <f t="shared" si="687"/>
        <v>12.710027700831025</v>
      </c>
      <c r="N4887" s="1">
        <f t="shared" si="688"/>
        <v>11.329481598733677</v>
      </c>
      <c r="O4887" s="1">
        <f t="shared" si="689"/>
        <v>10.68</v>
      </c>
      <c r="P4887" s="1">
        <f t="shared" si="690"/>
        <v>5.4489795918367347</v>
      </c>
    </row>
    <row r="4888" spans="1:16">
      <c r="A4888" s="2">
        <v>35964</v>
      </c>
      <c r="B4888" s="1">
        <v>81</v>
      </c>
      <c r="C4888" s="1">
        <v>82.5</v>
      </c>
      <c r="D4888" s="1">
        <v>71.760000000000005</v>
      </c>
      <c r="E4888" s="1">
        <v>72.12</v>
      </c>
      <c r="F4888" s="1">
        <v>31639800</v>
      </c>
      <c r="G4888" s="1">
        <v>12.02</v>
      </c>
      <c r="H4888" s="1">
        <f t="shared" si="684"/>
        <v>10.739999999999995</v>
      </c>
      <c r="I4888" s="9">
        <f t="shared" si="691"/>
        <v>0.14966555183946481</v>
      </c>
      <c r="J4888" s="1">
        <f t="shared" si="692"/>
        <v>-1.1500000000000004</v>
      </c>
      <c r="K4888" s="9">
        <f t="shared" si="685"/>
        <v>-8.7319665907365257E-2</v>
      </c>
      <c r="L4888" s="1">
        <f t="shared" si="686"/>
        <v>0.16666666666666666</v>
      </c>
      <c r="M4888" s="1">
        <f t="shared" si="687"/>
        <v>13.75</v>
      </c>
      <c r="N4888" s="1">
        <f t="shared" si="688"/>
        <v>11.96</v>
      </c>
      <c r="O4888" s="1">
        <f t="shared" si="689"/>
        <v>10.059999999999999</v>
      </c>
      <c r="P4888" s="1">
        <f t="shared" si="690"/>
        <v>5.1326530612244889</v>
      </c>
    </row>
    <row r="4889" spans="1:16">
      <c r="A4889" s="2">
        <v>35963</v>
      </c>
      <c r="B4889" s="1">
        <v>75.88</v>
      </c>
      <c r="C4889" s="1">
        <v>81.16</v>
      </c>
      <c r="D4889" s="1">
        <v>75.34</v>
      </c>
      <c r="E4889" s="1">
        <v>79</v>
      </c>
      <c r="F4889" s="1">
        <v>40265400</v>
      </c>
      <c r="G4889" s="1">
        <v>13.17</v>
      </c>
      <c r="H4889" s="1">
        <f t="shared" si="684"/>
        <v>5.8199999999999932</v>
      </c>
      <c r="I4889" s="9">
        <f t="shared" si="691"/>
        <v>7.7249800902574897E-2</v>
      </c>
      <c r="J4889" s="1">
        <f t="shared" si="692"/>
        <v>0.90000000000000036</v>
      </c>
      <c r="K4889" s="9">
        <f t="shared" si="685"/>
        <v>7.3349633251833773E-2</v>
      </c>
      <c r="L4889" s="1">
        <f t="shared" si="686"/>
        <v>0.16670886075949368</v>
      </c>
      <c r="M4889" s="1">
        <f t="shared" si="687"/>
        <v>13.530091139240506</v>
      </c>
      <c r="N4889" s="1">
        <f t="shared" si="688"/>
        <v>12.559845569620254</v>
      </c>
      <c r="O4889" s="1">
        <f t="shared" si="689"/>
        <v>11.21</v>
      </c>
      <c r="P4889" s="1">
        <f t="shared" si="690"/>
        <v>5.7193877551020416</v>
      </c>
    </row>
    <row r="4890" spans="1:16">
      <c r="A4890" s="2">
        <v>35962</v>
      </c>
      <c r="B4890" s="1">
        <v>66.78</v>
      </c>
      <c r="C4890" s="1">
        <v>73.739999999999995</v>
      </c>
      <c r="D4890" s="1">
        <v>66.48</v>
      </c>
      <c r="E4890" s="1">
        <v>73.62</v>
      </c>
      <c r="F4890" s="1">
        <v>39167400</v>
      </c>
      <c r="G4890" s="1">
        <v>12.27</v>
      </c>
      <c r="H4890" s="1">
        <f t="shared" si="684"/>
        <v>7.2599999999999909</v>
      </c>
      <c r="I4890" s="9">
        <f t="shared" si="691"/>
        <v>0.10920577617328506</v>
      </c>
      <c r="J4890" s="1">
        <f t="shared" si="692"/>
        <v>1.3099999999999987</v>
      </c>
      <c r="K4890" s="9">
        <f t="shared" si="685"/>
        <v>0.11952554744525534</v>
      </c>
      <c r="L4890" s="1">
        <f t="shared" si="686"/>
        <v>0.16666666666666666</v>
      </c>
      <c r="M4890" s="1">
        <f t="shared" si="687"/>
        <v>12.29</v>
      </c>
      <c r="N4890" s="1">
        <f t="shared" si="688"/>
        <v>11.08</v>
      </c>
      <c r="O4890" s="1">
        <f t="shared" si="689"/>
        <v>10.309999999999999</v>
      </c>
      <c r="P4890" s="1">
        <f t="shared" si="690"/>
        <v>5.2602040816326525</v>
      </c>
    </row>
    <row r="4891" spans="1:16">
      <c r="A4891" s="2">
        <v>35961</v>
      </c>
      <c r="B4891" s="1">
        <v>59.51</v>
      </c>
      <c r="C4891" s="1">
        <v>68.510000000000005</v>
      </c>
      <c r="D4891" s="1">
        <v>59.09</v>
      </c>
      <c r="E4891" s="1">
        <v>65.75</v>
      </c>
      <c r="F4891" s="1">
        <v>33701400</v>
      </c>
      <c r="G4891" s="1">
        <v>10.96</v>
      </c>
      <c r="H4891" s="1">
        <f t="shared" si="684"/>
        <v>9.4200000000000017</v>
      </c>
      <c r="I4891" s="9">
        <f t="shared" si="691"/>
        <v>0.15941783719749536</v>
      </c>
      <c r="J4891" s="1">
        <f t="shared" si="692"/>
        <v>0.79000000000000092</v>
      </c>
      <c r="K4891" s="9">
        <f t="shared" si="685"/>
        <v>7.7679449360865377E-2</v>
      </c>
      <c r="L4891" s="1">
        <f t="shared" si="686"/>
        <v>0.16669201520912549</v>
      </c>
      <c r="M4891" s="1">
        <f t="shared" si="687"/>
        <v>11.420069961977189</v>
      </c>
      <c r="N4891" s="1">
        <f t="shared" si="688"/>
        <v>9.8498311787072268</v>
      </c>
      <c r="O4891" s="1">
        <f t="shared" si="689"/>
        <v>9</v>
      </c>
      <c r="P4891" s="1">
        <f t="shared" si="690"/>
        <v>4.591836734693878</v>
      </c>
    </row>
    <row r="4892" spans="1:16">
      <c r="A4892" s="2">
        <v>35958</v>
      </c>
      <c r="B4892" s="1">
        <v>63.46</v>
      </c>
      <c r="C4892" s="1">
        <v>63.46</v>
      </c>
      <c r="D4892" s="1">
        <v>58.24</v>
      </c>
      <c r="E4892" s="1">
        <v>61</v>
      </c>
      <c r="F4892" s="1">
        <v>21655800</v>
      </c>
      <c r="G4892" s="1">
        <v>10.17</v>
      </c>
      <c r="H4892" s="1">
        <f t="shared" si="684"/>
        <v>5.2199999999999989</v>
      </c>
      <c r="I4892" s="9">
        <f t="shared" si="691"/>
        <v>8.9629120879120852E-2</v>
      </c>
      <c r="J4892" s="1">
        <f t="shared" si="692"/>
        <v>-0.25</v>
      </c>
      <c r="K4892" s="9">
        <f t="shared" si="685"/>
        <v>-2.3992322456813819E-2</v>
      </c>
      <c r="L4892" s="1">
        <f t="shared" si="686"/>
        <v>0.16672131147540983</v>
      </c>
      <c r="M4892" s="1">
        <f t="shared" si="687"/>
        <v>10.580134426229508</v>
      </c>
      <c r="N4892" s="1">
        <f t="shared" si="688"/>
        <v>9.7098491803278684</v>
      </c>
      <c r="O4892" s="1">
        <f t="shared" si="689"/>
        <v>8.2100000000000009</v>
      </c>
      <c r="P4892" s="1">
        <f t="shared" si="690"/>
        <v>4.1887755102040822</v>
      </c>
    </row>
    <row r="4893" spans="1:16">
      <c r="A4893" s="2">
        <v>35957</v>
      </c>
      <c r="B4893" s="1">
        <v>55.24</v>
      </c>
      <c r="C4893" s="1">
        <v>62.62</v>
      </c>
      <c r="D4893" s="1">
        <v>55</v>
      </c>
      <c r="E4893" s="1">
        <v>62.5</v>
      </c>
      <c r="F4893" s="1">
        <v>35851200</v>
      </c>
      <c r="G4893" s="1">
        <v>10.42</v>
      </c>
      <c r="H4893" s="1">
        <f t="shared" si="684"/>
        <v>7.6199999999999974</v>
      </c>
      <c r="I4893" s="9">
        <f t="shared" si="691"/>
        <v>0.1385454545454545</v>
      </c>
      <c r="J4893" s="1">
        <f t="shared" si="692"/>
        <v>1.4000000000000004</v>
      </c>
      <c r="K4893" s="9">
        <f t="shared" si="685"/>
        <v>0.15521064301552112</v>
      </c>
      <c r="L4893" s="1">
        <f t="shared" si="686"/>
        <v>0.16672000000000001</v>
      </c>
      <c r="M4893" s="1">
        <f t="shared" si="687"/>
        <v>10.4400064</v>
      </c>
      <c r="N4893" s="1">
        <f t="shared" si="688"/>
        <v>9.1696000000000009</v>
      </c>
      <c r="O4893" s="1">
        <f t="shared" si="689"/>
        <v>8.4600000000000009</v>
      </c>
      <c r="P4893" s="1">
        <f t="shared" si="690"/>
        <v>4.3163265306122458</v>
      </c>
    </row>
    <row r="4894" spans="1:16">
      <c r="A4894" s="2">
        <v>35956</v>
      </c>
      <c r="B4894" s="1">
        <v>51.6</v>
      </c>
      <c r="C4894" s="1">
        <v>56.28</v>
      </c>
      <c r="D4894" s="1">
        <v>51</v>
      </c>
      <c r="E4894" s="1">
        <v>54.12</v>
      </c>
      <c r="F4894" s="1">
        <v>24285000</v>
      </c>
      <c r="G4894" s="1">
        <v>9.02</v>
      </c>
      <c r="H4894" s="1">
        <f t="shared" si="684"/>
        <v>5.2800000000000011</v>
      </c>
      <c r="I4894" s="9">
        <f t="shared" si="691"/>
        <v>0.10352941176470591</v>
      </c>
      <c r="J4894" s="1">
        <f t="shared" si="692"/>
        <v>0.48000000000000043</v>
      </c>
      <c r="K4894" s="9">
        <f t="shared" si="685"/>
        <v>5.6206088992974294E-2</v>
      </c>
      <c r="L4894" s="1">
        <f t="shared" si="686"/>
        <v>0.16666666666666666</v>
      </c>
      <c r="M4894" s="1">
        <f t="shared" si="687"/>
        <v>9.379999999999999</v>
      </c>
      <c r="N4894" s="1">
        <f t="shared" si="688"/>
        <v>8.5</v>
      </c>
      <c r="O4894" s="1">
        <f t="shared" si="689"/>
        <v>7.06</v>
      </c>
      <c r="P4894" s="1">
        <f t="shared" si="690"/>
        <v>3.6020408163265305</v>
      </c>
    </row>
    <row r="4895" spans="1:16">
      <c r="A4895" s="2">
        <v>35955</v>
      </c>
      <c r="B4895" s="1">
        <v>46.45</v>
      </c>
      <c r="C4895" s="1">
        <v>51.91</v>
      </c>
      <c r="D4895" s="1">
        <v>46.27</v>
      </c>
      <c r="E4895" s="1">
        <v>51.25</v>
      </c>
      <c r="F4895" s="1">
        <v>19436400</v>
      </c>
      <c r="G4895" s="1">
        <v>8.5399999999999991</v>
      </c>
      <c r="H4895" s="1">
        <f t="shared" si="684"/>
        <v>5.6399999999999935</v>
      </c>
      <c r="I4895" s="9">
        <f t="shared" si="691"/>
        <v>0.12189323535768301</v>
      </c>
      <c r="J4895" s="1">
        <f t="shared" si="692"/>
        <v>0.82999999999999918</v>
      </c>
      <c r="K4895" s="9">
        <f t="shared" si="685"/>
        <v>0.10765239948119315</v>
      </c>
      <c r="L4895" s="1">
        <f t="shared" si="686"/>
        <v>0.1666341463414634</v>
      </c>
      <c r="M4895" s="1">
        <f t="shared" si="687"/>
        <v>8.6499785365853636</v>
      </c>
      <c r="N4895" s="1">
        <f t="shared" si="688"/>
        <v>7.7101619512195114</v>
      </c>
      <c r="O4895" s="1">
        <f t="shared" si="689"/>
        <v>6.5799999999999992</v>
      </c>
      <c r="P4895" s="1">
        <f t="shared" si="690"/>
        <v>3.3571428571428568</v>
      </c>
    </row>
    <row r="4896" spans="1:16">
      <c r="A4896" s="2">
        <v>35954</v>
      </c>
      <c r="B4896" s="1">
        <v>43.79</v>
      </c>
      <c r="C4896" s="1">
        <v>46.31</v>
      </c>
      <c r="D4896" s="1">
        <v>43.49</v>
      </c>
      <c r="E4896" s="1">
        <v>46.25</v>
      </c>
      <c r="F4896" s="1">
        <v>5463000</v>
      </c>
      <c r="G4896" s="1">
        <v>7.71</v>
      </c>
      <c r="H4896" s="1">
        <f t="shared" si="684"/>
        <v>2.8200000000000003</v>
      </c>
      <c r="I4896" s="9">
        <f t="shared" si="691"/>
        <v>6.4842492527017709E-2</v>
      </c>
      <c r="J4896" s="1">
        <f t="shared" si="692"/>
        <v>0.33000000000000007</v>
      </c>
      <c r="K4896" s="9">
        <f t="shared" si="685"/>
        <v>4.4715447154471552E-2</v>
      </c>
      <c r="L4896" s="1">
        <f t="shared" si="686"/>
        <v>0.16670270270270271</v>
      </c>
      <c r="M4896" s="1">
        <f t="shared" si="687"/>
        <v>7.7200021621621628</v>
      </c>
      <c r="N4896" s="1">
        <f t="shared" si="688"/>
        <v>7.2499005405405414</v>
      </c>
      <c r="O4896" s="1">
        <f t="shared" si="689"/>
        <v>5.75</v>
      </c>
      <c r="P4896" s="1">
        <f t="shared" si="690"/>
        <v>2.9336734693877551</v>
      </c>
    </row>
    <row r="4897" spans="1:16">
      <c r="A4897" s="2">
        <v>35951</v>
      </c>
      <c r="B4897" s="1">
        <v>43.71</v>
      </c>
      <c r="C4897" s="1">
        <v>44.37</v>
      </c>
      <c r="D4897" s="1">
        <v>43.11</v>
      </c>
      <c r="E4897" s="1">
        <v>44.25</v>
      </c>
      <c r="F4897" s="1">
        <v>3427200</v>
      </c>
      <c r="G4897" s="1">
        <v>7.38</v>
      </c>
      <c r="H4897" s="1">
        <f t="shared" si="684"/>
        <v>1.259999999999998</v>
      </c>
      <c r="I4897" s="9">
        <f t="shared" si="691"/>
        <v>2.922755741127344E-2</v>
      </c>
      <c r="J4897" s="1">
        <f t="shared" si="692"/>
        <v>7.0000000000000284E-2</v>
      </c>
      <c r="K4897" s="9">
        <f t="shared" si="685"/>
        <v>9.5759233926128989E-3</v>
      </c>
      <c r="L4897" s="1">
        <f t="shared" si="686"/>
        <v>0.16677966101694916</v>
      </c>
      <c r="M4897" s="1">
        <f t="shared" si="687"/>
        <v>7.4000135593220335</v>
      </c>
      <c r="N4897" s="1">
        <f t="shared" si="688"/>
        <v>7.1898711864406781</v>
      </c>
      <c r="O4897" s="1">
        <f t="shared" si="689"/>
        <v>5.42</v>
      </c>
      <c r="P4897" s="1">
        <f t="shared" si="690"/>
        <v>2.7653061224489797</v>
      </c>
    </row>
    <row r="4898" spans="1:16">
      <c r="A4898" s="2">
        <v>35950</v>
      </c>
      <c r="B4898" s="1">
        <v>42.97</v>
      </c>
      <c r="C4898" s="1">
        <v>43.93</v>
      </c>
      <c r="D4898" s="1">
        <v>41.29</v>
      </c>
      <c r="E4898" s="1">
        <v>43.87</v>
      </c>
      <c r="F4898" s="1">
        <v>4995600</v>
      </c>
      <c r="G4898" s="1">
        <v>7.31</v>
      </c>
      <c r="H4898" s="1">
        <f t="shared" si="684"/>
        <v>2.6400000000000006</v>
      </c>
      <c r="I4898" s="9">
        <f t="shared" si="691"/>
        <v>6.3937999515621236E-2</v>
      </c>
      <c r="J4898" s="1">
        <f t="shared" si="692"/>
        <v>0.26999999999999957</v>
      </c>
      <c r="K4898" s="9">
        <f t="shared" si="685"/>
        <v>3.8352272727272665E-2</v>
      </c>
      <c r="L4898" s="1">
        <f t="shared" si="686"/>
        <v>0.16662867563255071</v>
      </c>
      <c r="M4898" s="1">
        <f t="shared" si="687"/>
        <v>7.3199977205379527</v>
      </c>
      <c r="N4898" s="1">
        <f t="shared" si="688"/>
        <v>6.8800980168680184</v>
      </c>
      <c r="O4898" s="1">
        <f t="shared" si="689"/>
        <v>5.35</v>
      </c>
      <c r="P4898" s="1">
        <f t="shared" si="690"/>
        <v>2.7295918367346936</v>
      </c>
    </row>
    <row r="4899" spans="1:16">
      <c r="A4899" s="2">
        <v>35949</v>
      </c>
      <c r="B4899" s="1">
        <v>44.89</v>
      </c>
      <c r="C4899" s="1">
        <v>45.25</v>
      </c>
      <c r="D4899" s="1">
        <v>42.01</v>
      </c>
      <c r="E4899" s="1">
        <v>42.25</v>
      </c>
      <c r="F4899" s="1">
        <v>6581400</v>
      </c>
      <c r="G4899" s="1">
        <v>7.04</v>
      </c>
      <c r="H4899" s="1">
        <f t="shared" si="684"/>
        <v>3.240000000000002</v>
      </c>
      <c r="I4899" s="9">
        <f t="shared" si="691"/>
        <v>7.712449416805528E-2</v>
      </c>
      <c r="J4899" s="1">
        <f t="shared" si="692"/>
        <v>-0.24000000000000021</v>
      </c>
      <c r="K4899" s="9">
        <f t="shared" si="685"/>
        <v>-3.2967032967032996E-2</v>
      </c>
      <c r="L4899" s="1">
        <f t="shared" si="686"/>
        <v>0.16662721893491125</v>
      </c>
      <c r="M4899" s="1">
        <f t="shared" si="687"/>
        <v>7.5398816568047344</v>
      </c>
      <c r="N4899" s="1">
        <f t="shared" si="688"/>
        <v>7.0000094674556212</v>
      </c>
      <c r="O4899" s="1">
        <f t="shared" si="689"/>
        <v>5.08</v>
      </c>
      <c r="P4899" s="1">
        <f t="shared" si="690"/>
        <v>2.5918367346938775</v>
      </c>
    </row>
    <row r="4900" spans="1:16">
      <c r="A4900" s="2">
        <v>35948</v>
      </c>
      <c r="B4900" s="1">
        <v>87.26</v>
      </c>
      <c r="C4900" s="1">
        <v>89.06</v>
      </c>
      <c r="D4900" s="1">
        <v>83.06</v>
      </c>
      <c r="E4900" s="1">
        <v>87.38</v>
      </c>
      <c r="F4900" s="1">
        <v>8201400</v>
      </c>
      <c r="G4900" s="1">
        <v>7.28</v>
      </c>
      <c r="H4900" s="1">
        <f t="shared" si="684"/>
        <v>6</v>
      </c>
      <c r="I4900" s="9">
        <f t="shared" si="691"/>
        <v>7.2236937153864672E-2</v>
      </c>
      <c r="J4900" s="1">
        <f t="shared" si="692"/>
        <v>0.14000000000000057</v>
      </c>
      <c r="K4900" s="9">
        <f t="shared" si="685"/>
        <v>1.9607843137254981E-2</v>
      </c>
      <c r="L4900" s="1">
        <f t="shared" si="686"/>
        <v>8.3314259555962472E-2</v>
      </c>
      <c r="M4900" s="1">
        <f t="shared" si="687"/>
        <v>7.4199679560540179</v>
      </c>
      <c r="N4900" s="1">
        <f t="shared" si="688"/>
        <v>6.9200823987182432</v>
      </c>
      <c r="O4900" s="1">
        <f t="shared" si="689"/>
        <v>5.32</v>
      </c>
      <c r="P4900" s="1">
        <f t="shared" si="690"/>
        <v>2.7142857142857144</v>
      </c>
    </row>
    <row r="4901" spans="1:16">
      <c r="A4901" s="2">
        <v>35947</v>
      </c>
      <c r="B4901" s="1">
        <v>87.91</v>
      </c>
      <c r="C4901" s="1">
        <v>88.51</v>
      </c>
      <c r="D4901" s="1">
        <v>83.23</v>
      </c>
      <c r="E4901" s="1">
        <v>85.63</v>
      </c>
      <c r="F4901" s="1">
        <v>8043600</v>
      </c>
      <c r="G4901" s="1">
        <v>7.14</v>
      </c>
      <c r="H4901" s="1">
        <f t="shared" si="684"/>
        <v>5.2800000000000011</v>
      </c>
      <c r="I4901" s="9">
        <f t="shared" si="691"/>
        <v>6.3438663943289689E-2</v>
      </c>
      <c r="J4901" s="1">
        <f t="shared" si="692"/>
        <v>-0.20000000000000018</v>
      </c>
      <c r="K4901" s="9">
        <f t="shared" si="685"/>
        <v>-2.7247956403269779E-2</v>
      </c>
      <c r="L4901" s="1">
        <f t="shared" si="686"/>
        <v>8.3381992292420881E-2</v>
      </c>
      <c r="M4901" s="1">
        <f t="shared" si="687"/>
        <v>7.3801401378021723</v>
      </c>
      <c r="N4901" s="1">
        <f t="shared" si="688"/>
        <v>6.9398832184981902</v>
      </c>
      <c r="O4901" s="1">
        <f t="shared" si="689"/>
        <v>5.18</v>
      </c>
      <c r="P4901" s="1">
        <f t="shared" si="690"/>
        <v>2.6428571428571428</v>
      </c>
    </row>
    <row r="4902" spans="1:16">
      <c r="A4902" s="2">
        <v>35944</v>
      </c>
      <c r="B4902" s="1">
        <v>85.97</v>
      </c>
      <c r="C4902" s="1">
        <v>89.09</v>
      </c>
      <c r="D4902" s="1">
        <v>85.61</v>
      </c>
      <c r="E4902" s="1">
        <v>88.13</v>
      </c>
      <c r="F4902" s="1">
        <v>8641200</v>
      </c>
      <c r="G4902" s="1">
        <v>7.34</v>
      </c>
      <c r="H4902" s="1">
        <f t="shared" si="684"/>
        <v>3.480000000000004</v>
      </c>
      <c r="I4902" s="9">
        <f t="shared" si="691"/>
        <v>4.0649456839154351E-2</v>
      </c>
      <c r="J4902" s="1">
        <f t="shared" si="692"/>
        <v>0.17999999999999972</v>
      </c>
      <c r="K4902" s="9">
        <f t="shared" si="685"/>
        <v>2.5139664804469233E-2</v>
      </c>
      <c r="L4902" s="1">
        <f t="shared" si="686"/>
        <v>8.3286054691932371E-2</v>
      </c>
      <c r="M4902" s="1">
        <f t="shared" si="687"/>
        <v>7.419954612504255</v>
      </c>
      <c r="N4902" s="1">
        <f t="shared" si="688"/>
        <v>7.1301191421763299</v>
      </c>
      <c r="O4902" s="1">
        <f t="shared" si="689"/>
        <v>5.38</v>
      </c>
      <c r="P4902" s="1">
        <f t="shared" si="690"/>
        <v>2.7448979591836733</v>
      </c>
    </row>
    <row r="4903" spans="1:16">
      <c r="A4903" s="2">
        <v>35943</v>
      </c>
      <c r="B4903" s="1">
        <v>87.26</v>
      </c>
      <c r="C4903" s="1">
        <v>87.74</v>
      </c>
      <c r="D4903" s="1">
        <v>85.22</v>
      </c>
      <c r="E4903" s="1">
        <v>85.94</v>
      </c>
      <c r="F4903" s="1">
        <v>9412800</v>
      </c>
      <c r="G4903" s="1">
        <v>7.16</v>
      </c>
      <c r="H4903" s="1">
        <f t="shared" si="684"/>
        <v>2.519999999999996</v>
      </c>
      <c r="I4903" s="9">
        <f t="shared" si="691"/>
        <v>2.9570523351325935E-2</v>
      </c>
      <c r="J4903" s="1">
        <f t="shared" si="692"/>
        <v>-5.9999999999999609E-2</v>
      </c>
      <c r="K4903" s="9">
        <f t="shared" si="685"/>
        <v>-8.3102493074791711E-3</v>
      </c>
      <c r="L4903" s="1">
        <f t="shared" si="686"/>
        <v>8.3313939958110317E-2</v>
      </c>
      <c r="M4903" s="1">
        <f t="shared" si="687"/>
        <v>7.3099650919245986</v>
      </c>
      <c r="N4903" s="1">
        <f t="shared" si="688"/>
        <v>7.1000139632301611</v>
      </c>
      <c r="O4903" s="1">
        <f t="shared" si="689"/>
        <v>5.2</v>
      </c>
      <c r="P4903" s="1">
        <f t="shared" si="690"/>
        <v>2.6530612244897962</v>
      </c>
    </row>
    <row r="4904" spans="1:16">
      <c r="A4904" s="2">
        <v>35942</v>
      </c>
      <c r="B4904" s="1">
        <v>80.39</v>
      </c>
      <c r="C4904" s="1">
        <v>87.35</v>
      </c>
      <c r="D4904" s="1">
        <v>79.790000000000006</v>
      </c>
      <c r="E4904" s="1">
        <v>86.63</v>
      </c>
      <c r="F4904" s="1">
        <v>23234400</v>
      </c>
      <c r="G4904" s="1">
        <v>7.22</v>
      </c>
      <c r="H4904" s="1">
        <f t="shared" si="684"/>
        <v>7.5599999999999881</v>
      </c>
      <c r="I4904" s="9">
        <f t="shared" si="691"/>
        <v>9.4748715377866749E-2</v>
      </c>
      <c r="J4904" s="1">
        <f t="shared" si="692"/>
        <v>0.39999999999999947</v>
      </c>
      <c r="K4904" s="9">
        <f t="shared" si="685"/>
        <v>5.8651026392961797E-2</v>
      </c>
      <c r="L4904" s="1">
        <f t="shared" si="686"/>
        <v>8.3342952787717889E-2</v>
      </c>
      <c r="M4904" s="1">
        <f t="shared" si="687"/>
        <v>7.2800069260071574</v>
      </c>
      <c r="N4904" s="1">
        <f t="shared" si="688"/>
        <v>6.6499342029320108</v>
      </c>
      <c r="O4904" s="1">
        <f t="shared" si="689"/>
        <v>5.26</v>
      </c>
      <c r="P4904" s="1">
        <f t="shared" si="690"/>
        <v>2.6836734693877551</v>
      </c>
    </row>
    <row r="4905" spans="1:16">
      <c r="A4905" s="2">
        <v>35941</v>
      </c>
      <c r="B4905" s="1">
        <v>86.08</v>
      </c>
      <c r="C4905" s="1">
        <v>86.92</v>
      </c>
      <c r="D4905" s="1">
        <v>80.92</v>
      </c>
      <c r="E4905" s="1">
        <v>81.88</v>
      </c>
      <c r="F4905" s="1">
        <v>10884000</v>
      </c>
      <c r="G4905" s="1">
        <v>6.82</v>
      </c>
      <c r="H4905" s="1">
        <f t="shared" si="684"/>
        <v>6</v>
      </c>
      <c r="I4905" s="9">
        <f t="shared" si="691"/>
        <v>7.4147305981216008E-2</v>
      </c>
      <c r="J4905" s="1">
        <f t="shared" si="692"/>
        <v>-0.34999999999999964</v>
      </c>
      <c r="K4905" s="9">
        <f t="shared" si="685"/>
        <v>-4.8814504881450442E-2</v>
      </c>
      <c r="L4905" s="1">
        <f t="shared" si="686"/>
        <v>8.3292623351245737E-2</v>
      </c>
      <c r="M4905" s="1">
        <f t="shared" si="687"/>
        <v>7.2397948216902792</v>
      </c>
      <c r="N4905" s="1">
        <f t="shared" si="688"/>
        <v>6.7400390815828048</v>
      </c>
      <c r="O4905" s="1">
        <f t="shared" si="689"/>
        <v>4.8600000000000003</v>
      </c>
      <c r="P4905" s="1">
        <f t="shared" si="690"/>
        <v>2.4795918367346941</v>
      </c>
    </row>
    <row r="4906" spans="1:16">
      <c r="A4906" s="2">
        <v>35937</v>
      </c>
      <c r="B4906" s="1">
        <v>88.28</v>
      </c>
      <c r="C4906" s="1">
        <v>88.64</v>
      </c>
      <c r="D4906" s="1">
        <v>85.52</v>
      </c>
      <c r="E4906" s="1">
        <v>86</v>
      </c>
      <c r="F4906" s="1">
        <v>5862000</v>
      </c>
      <c r="G4906" s="1">
        <v>7.17</v>
      </c>
      <c r="H4906" s="1">
        <f t="shared" si="684"/>
        <v>3.1200000000000045</v>
      </c>
      <c r="I4906" s="9">
        <f t="shared" si="691"/>
        <v>3.6482694106641775E-2</v>
      </c>
      <c r="J4906" s="1">
        <f t="shared" si="692"/>
        <v>-0.23000000000000043</v>
      </c>
      <c r="K4906" s="9">
        <f t="shared" si="685"/>
        <v>-3.1081081081081138E-2</v>
      </c>
      <c r="L4906" s="1">
        <f t="shared" si="686"/>
        <v>8.3372093023255808E-2</v>
      </c>
      <c r="M4906" s="1">
        <f t="shared" si="687"/>
        <v>7.3901023255813945</v>
      </c>
      <c r="N4906" s="1">
        <f t="shared" si="688"/>
        <v>7.1299813953488362</v>
      </c>
      <c r="O4906" s="1">
        <f t="shared" si="689"/>
        <v>5.21</v>
      </c>
      <c r="P4906" s="1">
        <f t="shared" si="690"/>
        <v>2.6581632653061225</v>
      </c>
    </row>
    <row r="4907" spans="1:16">
      <c r="A4907" s="2">
        <v>35936</v>
      </c>
      <c r="B4907" s="1">
        <v>89.47</v>
      </c>
      <c r="C4907" s="1">
        <v>89.95</v>
      </c>
      <c r="D4907" s="1">
        <v>87.31</v>
      </c>
      <c r="E4907" s="1">
        <v>88.75</v>
      </c>
      <c r="F4907" s="1">
        <v>3403200</v>
      </c>
      <c r="G4907" s="1">
        <v>7.4</v>
      </c>
      <c r="H4907" s="1">
        <f t="shared" si="684"/>
        <v>2.6400000000000006</v>
      </c>
      <c r="I4907" s="9">
        <f t="shared" si="691"/>
        <v>3.0237086244416452E-2</v>
      </c>
      <c r="J4907" s="1">
        <f t="shared" si="692"/>
        <v>1.0000000000000675E-2</v>
      </c>
      <c r="K4907" s="9">
        <f t="shared" si="685"/>
        <v>1.3531799729364919E-3</v>
      </c>
      <c r="L4907" s="1">
        <f t="shared" si="686"/>
        <v>8.3380281690140848E-2</v>
      </c>
      <c r="M4907" s="1">
        <f t="shared" si="687"/>
        <v>7.5000563380281697</v>
      </c>
      <c r="N4907" s="1">
        <f t="shared" si="688"/>
        <v>7.279932394366198</v>
      </c>
      <c r="O4907" s="1">
        <f t="shared" si="689"/>
        <v>5.44</v>
      </c>
      <c r="P4907" s="1">
        <f t="shared" si="690"/>
        <v>2.7755102040816331</v>
      </c>
    </row>
    <row r="4908" spans="1:16">
      <c r="A4908" s="2">
        <v>35935</v>
      </c>
      <c r="B4908" s="1">
        <v>90.31</v>
      </c>
      <c r="C4908" s="1">
        <v>91.51</v>
      </c>
      <c r="D4908" s="1">
        <v>88.15</v>
      </c>
      <c r="E4908" s="1">
        <v>88.63</v>
      </c>
      <c r="F4908" s="1">
        <v>4048800</v>
      </c>
      <c r="G4908" s="1">
        <v>7.39</v>
      </c>
      <c r="H4908" s="1">
        <f t="shared" si="684"/>
        <v>3.3599999999999994</v>
      </c>
      <c r="I4908" s="9">
        <f t="shared" si="691"/>
        <v>3.8116846284741907E-2</v>
      </c>
      <c r="J4908" s="1">
        <f t="shared" si="692"/>
        <v>-0.14000000000000057</v>
      </c>
      <c r="K4908" s="9">
        <f t="shared" si="685"/>
        <v>-1.8592297476759702E-2</v>
      </c>
      <c r="L4908" s="1">
        <f t="shared" si="686"/>
        <v>8.3380345255556806E-2</v>
      </c>
      <c r="M4908" s="1">
        <f t="shared" si="687"/>
        <v>7.630135394336004</v>
      </c>
      <c r="N4908" s="1">
        <f t="shared" si="688"/>
        <v>7.3499774342773332</v>
      </c>
      <c r="O4908" s="1">
        <f t="shared" si="689"/>
        <v>5.43</v>
      </c>
      <c r="P4908" s="1">
        <f t="shared" si="690"/>
        <v>2.7704081632653059</v>
      </c>
    </row>
    <row r="4909" spans="1:16">
      <c r="A4909" s="2">
        <v>35934</v>
      </c>
      <c r="B4909" s="1">
        <v>89.66</v>
      </c>
      <c r="C4909" s="1">
        <v>90.62</v>
      </c>
      <c r="D4909" s="1">
        <v>89.3</v>
      </c>
      <c r="E4909" s="1">
        <v>90.38</v>
      </c>
      <c r="F4909" s="1">
        <v>3423600</v>
      </c>
      <c r="G4909" s="1">
        <v>7.53</v>
      </c>
      <c r="H4909" s="1">
        <f t="shared" si="684"/>
        <v>1.3200000000000074</v>
      </c>
      <c r="I4909" s="9">
        <f t="shared" si="691"/>
        <v>1.4781634938409938E-2</v>
      </c>
      <c r="J4909" s="1">
        <f t="shared" si="692"/>
        <v>0.19000000000000039</v>
      </c>
      <c r="K4909" s="9">
        <f t="shared" si="685"/>
        <v>2.588555858310632E-2</v>
      </c>
      <c r="L4909" s="1">
        <f t="shared" si="686"/>
        <v>8.3314892675370664E-2</v>
      </c>
      <c r="M4909" s="1">
        <f t="shared" si="687"/>
        <v>7.5499955742420903</v>
      </c>
      <c r="N4909" s="1">
        <f t="shared" si="688"/>
        <v>7.4400199159106002</v>
      </c>
      <c r="O4909" s="1">
        <f t="shared" si="689"/>
        <v>5.57</v>
      </c>
      <c r="P4909" s="1">
        <f t="shared" si="690"/>
        <v>2.8418367346938775</v>
      </c>
    </row>
    <row r="4910" spans="1:16">
      <c r="A4910" s="2">
        <v>35933</v>
      </c>
      <c r="B4910" s="1">
        <v>89.99</v>
      </c>
      <c r="C4910" s="1">
        <v>90.59</v>
      </c>
      <c r="D4910" s="1">
        <v>86.75</v>
      </c>
      <c r="E4910" s="1">
        <v>88.07</v>
      </c>
      <c r="F4910" s="1">
        <v>6618000</v>
      </c>
      <c r="G4910" s="1">
        <v>7.34</v>
      </c>
      <c r="H4910" s="1">
        <f t="shared" si="684"/>
        <v>3.8400000000000034</v>
      </c>
      <c r="I4910" s="9">
        <f t="shared" si="691"/>
        <v>4.4265129682997159E-2</v>
      </c>
      <c r="J4910" s="1">
        <f t="shared" si="692"/>
        <v>-0.12999999999999989</v>
      </c>
      <c r="K4910" s="9">
        <f t="shared" si="685"/>
        <v>-1.7402945113788475E-2</v>
      </c>
      <c r="L4910" s="1">
        <f t="shared" si="686"/>
        <v>8.3342795503576705E-2</v>
      </c>
      <c r="M4910" s="1">
        <f t="shared" si="687"/>
        <v>7.5500238446690142</v>
      </c>
      <c r="N4910" s="1">
        <f t="shared" si="688"/>
        <v>7.2299875099352793</v>
      </c>
      <c r="O4910" s="1">
        <f t="shared" si="689"/>
        <v>5.38</v>
      </c>
      <c r="P4910" s="1">
        <f t="shared" si="690"/>
        <v>2.7448979591836733</v>
      </c>
    </row>
    <row r="4911" spans="1:16">
      <c r="A4911" s="2">
        <v>35930</v>
      </c>
      <c r="B4911" s="1">
        <v>91.91</v>
      </c>
      <c r="C4911" s="1">
        <v>92.51</v>
      </c>
      <c r="D4911" s="1">
        <v>89.51</v>
      </c>
      <c r="E4911" s="1">
        <v>89.63</v>
      </c>
      <c r="F4911" s="1">
        <v>4628400</v>
      </c>
      <c r="G4911" s="1">
        <v>7.47</v>
      </c>
      <c r="H4911" s="1">
        <f t="shared" si="684"/>
        <v>3</v>
      </c>
      <c r="I4911" s="9">
        <f t="shared" si="691"/>
        <v>3.3515808289576579E-2</v>
      </c>
      <c r="J4911" s="1">
        <f t="shared" si="692"/>
        <v>-0.16000000000000014</v>
      </c>
      <c r="K4911" s="9">
        <f t="shared" si="685"/>
        <v>-2.0969855832241171E-2</v>
      </c>
      <c r="L4911" s="1">
        <f t="shared" si="686"/>
        <v>8.334263081557515E-2</v>
      </c>
      <c r="M4911" s="1">
        <f t="shared" si="687"/>
        <v>7.7100267767488573</v>
      </c>
      <c r="N4911" s="1">
        <f t="shared" si="688"/>
        <v>7.4599988843021325</v>
      </c>
      <c r="O4911" s="1">
        <f t="shared" si="689"/>
        <v>5.51</v>
      </c>
      <c r="P4911" s="1">
        <f t="shared" si="690"/>
        <v>2.8112244897959182</v>
      </c>
    </row>
    <row r="4912" spans="1:16">
      <c r="A4912" s="2">
        <v>35929</v>
      </c>
      <c r="B4912" s="1">
        <v>92.05</v>
      </c>
      <c r="C4912" s="1">
        <v>94.69</v>
      </c>
      <c r="D4912" s="1">
        <v>90.97</v>
      </c>
      <c r="E4912" s="1">
        <v>91.57</v>
      </c>
      <c r="F4912" s="1">
        <v>8600400</v>
      </c>
      <c r="G4912" s="1">
        <v>7.63</v>
      </c>
      <c r="H4912" s="1">
        <f t="shared" si="684"/>
        <v>3.7199999999999989</v>
      </c>
      <c r="I4912" s="9">
        <f t="shared" si="691"/>
        <v>4.0892601956689006E-2</v>
      </c>
      <c r="J4912" s="1">
        <f t="shared" si="692"/>
        <v>-0.11000000000000032</v>
      </c>
      <c r="K4912" s="9">
        <f t="shared" si="685"/>
        <v>-1.4211886304909601E-2</v>
      </c>
      <c r="L4912" s="1">
        <f t="shared" si="686"/>
        <v>8.3324232827345204E-2</v>
      </c>
      <c r="M4912" s="1">
        <f t="shared" si="687"/>
        <v>7.8899716064213168</v>
      </c>
      <c r="N4912" s="1">
        <f t="shared" si="688"/>
        <v>7.5800054603035933</v>
      </c>
      <c r="O4912" s="1">
        <f t="shared" si="689"/>
        <v>5.67</v>
      </c>
      <c r="P4912" s="1">
        <f t="shared" si="690"/>
        <v>2.8928571428571428</v>
      </c>
    </row>
    <row r="4913" spans="1:16">
      <c r="A4913" s="2">
        <v>35928</v>
      </c>
      <c r="B4913" s="1">
        <v>90.48</v>
      </c>
      <c r="C4913" s="1">
        <v>93.96</v>
      </c>
      <c r="D4913" s="1">
        <v>89.76</v>
      </c>
      <c r="E4913" s="1">
        <v>92.88</v>
      </c>
      <c r="F4913" s="1">
        <v>13944000</v>
      </c>
      <c r="G4913" s="1">
        <v>7.74</v>
      </c>
      <c r="H4913" s="1">
        <f t="shared" si="684"/>
        <v>4.1999999999999886</v>
      </c>
      <c r="I4913" s="9">
        <f t="shared" si="691"/>
        <v>4.6791443850267248E-2</v>
      </c>
      <c r="J4913" s="1">
        <f t="shared" si="692"/>
        <v>0.12999999999999989</v>
      </c>
      <c r="K4913" s="9">
        <f t="shared" si="685"/>
        <v>1.708278580814716E-2</v>
      </c>
      <c r="L4913" s="1">
        <f t="shared" si="686"/>
        <v>8.3333333333333343E-2</v>
      </c>
      <c r="M4913" s="1">
        <f t="shared" si="687"/>
        <v>7.83</v>
      </c>
      <c r="N4913" s="1">
        <f t="shared" si="688"/>
        <v>7.4800000000000013</v>
      </c>
      <c r="O4913" s="1">
        <f t="shared" si="689"/>
        <v>5.78</v>
      </c>
      <c r="P4913" s="1">
        <f t="shared" si="690"/>
        <v>2.9489795918367347</v>
      </c>
    </row>
    <row r="4914" spans="1:16">
      <c r="A4914" s="2">
        <v>35927</v>
      </c>
      <c r="B4914" s="1">
        <v>87.78</v>
      </c>
      <c r="C4914" s="1">
        <v>91.98</v>
      </c>
      <c r="D4914" s="1">
        <v>86.7</v>
      </c>
      <c r="E4914" s="1">
        <v>91.38</v>
      </c>
      <c r="F4914" s="1">
        <v>11636400</v>
      </c>
      <c r="G4914" s="1">
        <v>7.61</v>
      </c>
      <c r="H4914" s="1">
        <f t="shared" si="684"/>
        <v>5.2800000000000011</v>
      </c>
      <c r="I4914" s="9">
        <f t="shared" si="691"/>
        <v>6.0899653979238765E-2</v>
      </c>
      <c r="J4914" s="1">
        <f t="shared" si="692"/>
        <v>0.37000000000000011</v>
      </c>
      <c r="K4914" s="9">
        <f t="shared" si="685"/>
        <v>5.1104972375690623E-2</v>
      </c>
      <c r="L4914" s="1">
        <f t="shared" si="686"/>
        <v>8.3278616765156493E-2</v>
      </c>
      <c r="M4914" s="1">
        <f t="shared" si="687"/>
        <v>7.6599671700590948</v>
      </c>
      <c r="N4914" s="1">
        <f t="shared" si="688"/>
        <v>7.2202560735390682</v>
      </c>
      <c r="O4914" s="1">
        <f t="shared" si="689"/>
        <v>5.65</v>
      </c>
      <c r="P4914" s="1">
        <f t="shared" si="690"/>
        <v>2.8826530612244898</v>
      </c>
    </row>
    <row r="4915" spans="1:16">
      <c r="A4915" s="2">
        <v>35926</v>
      </c>
      <c r="B4915" s="1">
        <v>92.88</v>
      </c>
      <c r="C4915" s="1">
        <v>93</v>
      </c>
      <c r="D4915" s="1">
        <v>86.52</v>
      </c>
      <c r="E4915" s="1">
        <v>86.88</v>
      </c>
      <c r="F4915" s="1">
        <v>11372400</v>
      </c>
      <c r="G4915" s="1">
        <v>7.24</v>
      </c>
      <c r="H4915" s="1">
        <f t="shared" si="684"/>
        <v>6.480000000000004</v>
      </c>
      <c r="I4915" s="9">
        <f t="shared" si="691"/>
        <v>7.4895977808599218E-2</v>
      </c>
      <c r="J4915" s="1">
        <f t="shared" si="692"/>
        <v>-0.45999999999999996</v>
      </c>
      <c r="K4915" s="9">
        <f t="shared" si="685"/>
        <v>-5.9740259740259732E-2</v>
      </c>
      <c r="L4915" s="1">
        <f t="shared" si="686"/>
        <v>8.3333333333333343E-2</v>
      </c>
      <c r="M4915" s="1">
        <f t="shared" si="687"/>
        <v>7.7500000000000009</v>
      </c>
      <c r="N4915" s="1">
        <f t="shared" si="688"/>
        <v>7.2100000000000009</v>
      </c>
      <c r="O4915" s="1">
        <f t="shared" si="689"/>
        <v>5.28</v>
      </c>
      <c r="P4915" s="1">
        <f t="shared" si="690"/>
        <v>2.6938775510204085</v>
      </c>
    </row>
    <row r="4916" spans="1:16">
      <c r="A4916" s="2">
        <v>35923</v>
      </c>
      <c r="B4916" s="1">
        <v>91.18</v>
      </c>
      <c r="C4916" s="1">
        <v>92.74</v>
      </c>
      <c r="D4916" s="1">
        <v>89.5</v>
      </c>
      <c r="E4916" s="1">
        <v>92.38</v>
      </c>
      <c r="F4916" s="1">
        <v>4792800</v>
      </c>
      <c r="G4916" s="1">
        <v>7.7</v>
      </c>
      <c r="H4916" s="1">
        <f t="shared" si="684"/>
        <v>3.2399999999999949</v>
      </c>
      <c r="I4916" s="9">
        <f t="shared" si="691"/>
        <v>3.6201117318435699E-2</v>
      </c>
      <c r="J4916" s="1">
        <f t="shared" si="692"/>
        <v>0.12000000000000011</v>
      </c>
      <c r="K4916" s="9">
        <f t="shared" si="685"/>
        <v>1.5831134564643815E-2</v>
      </c>
      <c r="L4916" s="1">
        <f t="shared" si="686"/>
        <v>8.3351374756440791E-2</v>
      </c>
      <c r="M4916" s="1">
        <f t="shared" si="687"/>
        <v>7.7300064949123186</v>
      </c>
      <c r="N4916" s="1">
        <f t="shared" si="688"/>
        <v>7.4599480407014509</v>
      </c>
      <c r="O4916" s="1">
        <f t="shared" si="689"/>
        <v>5.74</v>
      </c>
      <c r="P4916" s="1">
        <f t="shared" si="690"/>
        <v>2.9285714285714288</v>
      </c>
    </row>
    <row r="4917" spans="1:16">
      <c r="A4917" s="2">
        <v>35922</v>
      </c>
      <c r="B4917" s="1">
        <v>91</v>
      </c>
      <c r="C4917" s="1">
        <v>93.04</v>
      </c>
      <c r="D4917" s="1">
        <v>88.24</v>
      </c>
      <c r="E4917" s="1">
        <v>91</v>
      </c>
      <c r="F4917" s="1">
        <v>13887600</v>
      </c>
      <c r="G4917" s="1">
        <v>7.58</v>
      </c>
      <c r="H4917" s="1">
        <f t="shared" si="684"/>
        <v>4.8000000000000114</v>
      </c>
      <c r="I4917" s="9">
        <f t="shared" si="691"/>
        <v>5.4397098821396324E-2</v>
      </c>
      <c r="J4917" s="1">
        <f t="shared" si="692"/>
        <v>4.9999999999999822E-2</v>
      </c>
      <c r="K4917" s="9">
        <f t="shared" si="685"/>
        <v>6.6401062416998431E-3</v>
      </c>
      <c r="L4917" s="1">
        <f t="shared" si="686"/>
        <v>8.3296703296703301E-2</v>
      </c>
      <c r="M4917" s="1">
        <f t="shared" si="687"/>
        <v>7.7499252747252756</v>
      </c>
      <c r="N4917" s="1">
        <f t="shared" si="688"/>
        <v>7.3501010989010984</v>
      </c>
      <c r="O4917" s="1">
        <f t="shared" si="689"/>
        <v>5.62</v>
      </c>
      <c r="P4917" s="1">
        <f t="shared" si="690"/>
        <v>2.8673469387755102</v>
      </c>
    </row>
    <row r="4918" spans="1:16">
      <c r="A4918" s="2">
        <v>35921</v>
      </c>
      <c r="B4918" s="1">
        <v>93.98</v>
      </c>
      <c r="C4918" s="1">
        <v>93.98</v>
      </c>
      <c r="D4918" s="1">
        <v>90.14</v>
      </c>
      <c r="E4918" s="1">
        <v>90.38</v>
      </c>
      <c r="F4918" s="1">
        <v>7438800</v>
      </c>
      <c r="G4918" s="1">
        <v>7.53</v>
      </c>
      <c r="H4918" s="1">
        <f t="shared" si="684"/>
        <v>3.8400000000000034</v>
      </c>
      <c r="I4918" s="9">
        <f t="shared" si="691"/>
        <v>4.2600399378744214E-2</v>
      </c>
      <c r="J4918" s="1">
        <f t="shared" si="692"/>
        <v>-0.27999999999999936</v>
      </c>
      <c r="K4918" s="9">
        <f t="shared" si="685"/>
        <v>-3.58514724711907E-2</v>
      </c>
      <c r="L4918" s="1">
        <f t="shared" si="686"/>
        <v>8.3314892675370664E-2</v>
      </c>
      <c r="M4918" s="1">
        <f t="shared" si="687"/>
        <v>7.8299336136313356</v>
      </c>
      <c r="N4918" s="1">
        <f t="shared" si="688"/>
        <v>7.5100044257579119</v>
      </c>
      <c r="O4918" s="1">
        <f t="shared" si="689"/>
        <v>5.57</v>
      </c>
      <c r="P4918" s="1">
        <f t="shared" si="690"/>
        <v>2.8418367346938775</v>
      </c>
    </row>
    <row r="4919" spans="1:16">
      <c r="A4919" s="2">
        <v>35920</v>
      </c>
      <c r="B4919" s="1">
        <v>93.96</v>
      </c>
      <c r="C4919" s="1">
        <v>95.52</v>
      </c>
      <c r="D4919" s="1">
        <v>93.12</v>
      </c>
      <c r="E4919" s="1">
        <v>93.72</v>
      </c>
      <c r="F4919" s="1">
        <v>5998800</v>
      </c>
      <c r="G4919" s="1">
        <v>7.81</v>
      </c>
      <c r="H4919" s="1">
        <f t="shared" si="684"/>
        <v>2.3999999999999915</v>
      </c>
      <c r="I4919" s="9">
        <f t="shared" si="691"/>
        <v>2.5773195876288568E-2</v>
      </c>
      <c r="J4919" s="1">
        <f t="shared" si="692"/>
        <v>-0.13000000000000078</v>
      </c>
      <c r="K4919" s="9">
        <f t="shared" si="685"/>
        <v>-1.6372795969773396E-2</v>
      </c>
      <c r="L4919" s="1">
        <f t="shared" si="686"/>
        <v>8.3333333333333329E-2</v>
      </c>
      <c r="M4919" s="1">
        <f t="shared" si="687"/>
        <v>7.9599999999999991</v>
      </c>
      <c r="N4919" s="1">
        <f t="shared" si="688"/>
        <v>7.76</v>
      </c>
      <c r="O4919" s="1">
        <f t="shared" si="689"/>
        <v>5.85</v>
      </c>
      <c r="P4919" s="1">
        <f t="shared" si="690"/>
        <v>2.9846938775510203</v>
      </c>
    </row>
    <row r="4920" spans="1:16">
      <c r="A4920" s="2">
        <v>35919</v>
      </c>
      <c r="B4920" s="1">
        <v>95.01</v>
      </c>
      <c r="C4920" s="1">
        <v>95.85</v>
      </c>
      <c r="D4920" s="1">
        <v>93.33</v>
      </c>
      <c r="E4920" s="1">
        <v>95.25</v>
      </c>
      <c r="F4920" s="1">
        <v>7735200</v>
      </c>
      <c r="G4920" s="1">
        <v>7.94</v>
      </c>
      <c r="H4920" s="1">
        <f t="shared" si="684"/>
        <v>2.519999999999996</v>
      </c>
      <c r="I4920" s="9">
        <f t="shared" si="691"/>
        <v>2.7000964320154249E-2</v>
      </c>
      <c r="J4920" s="1">
        <f t="shared" si="692"/>
        <v>6.0000000000000497E-2</v>
      </c>
      <c r="K4920" s="9">
        <f t="shared" si="685"/>
        <v>7.6142131979696067E-3</v>
      </c>
      <c r="L4920" s="1">
        <f t="shared" si="686"/>
        <v>8.3359580052493443E-2</v>
      </c>
      <c r="M4920" s="1">
        <f t="shared" si="687"/>
        <v>7.9900157480314959</v>
      </c>
      <c r="N4920" s="1">
        <f t="shared" si="688"/>
        <v>7.7799496062992128</v>
      </c>
      <c r="O4920" s="1">
        <f t="shared" si="689"/>
        <v>5.98</v>
      </c>
      <c r="P4920" s="1">
        <f t="shared" si="690"/>
        <v>3.0510204081632657</v>
      </c>
    </row>
    <row r="4921" spans="1:16">
      <c r="A4921" s="2">
        <v>35916</v>
      </c>
      <c r="B4921" s="1">
        <v>92.7</v>
      </c>
      <c r="C4921" s="1">
        <v>95.1</v>
      </c>
      <c r="D4921" s="1">
        <v>90.42</v>
      </c>
      <c r="E4921" s="1">
        <v>94.5</v>
      </c>
      <c r="F4921" s="1">
        <v>9307200</v>
      </c>
      <c r="G4921" s="1">
        <v>7.88</v>
      </c>
      <c r="H4921" s="1">
        <f t="shared" si="684"/>
        <v>4.6799999999999926</v>
      </c>
      <c r="I4921" s="9">
        <f t="shared" si="691"/>
        <v>5.1758460517584523E-2</v>
      </c>
      <c r="J4921" s="1">
        <f t="shared" si="692"/>
        <v>0.22999999999999954</v>
      </c>
      <c r="K4921" s="9">
        <f t="shared" si="685"/>
        <v>3.0065359477124121E-2</v>
      </c>
      <c r="L4921" s="1">
        <f t="shared" si="686"/>
        <v>8.3386243386243383E-2</v>
      </c>
      <c r="M4921" s="1">
        <f t="shared" si="687"/>
        <v>7.9300317460317453</v>
      </c>
      <c r="N4921" s="1">
        <f t="shared" si="688"/>
        <v>7.5397841269841273</v>
      </c>
      <c r="O4921" s="1">
        <f t="shared" si="689"/>
        <v>5.92</v>
      </c>
      <c r="P4921" s="1">
        <f t="shared" si="690"/>
        <v>3.0204081632653059</v>
      </c>
    </row>
    <row r="4922" spans="1:16">
      <c r="A4922" s="2">
        <v>35915</v>
      </c>
      <c r="B4922" s="1">
        <v>97.51</v>
      </c>
      <c r="C4922" s="1">
        <v>97.99</v>
      </c>
      <c r="D4922" s="1">
        <v>90.43</v>
      </c>
      <c r="E4922" s="1">
        <v>91.75</v>
      </c>
      <c r="F4922" s="1">
        <v>22485600</v>
      </c>
      <c r="G4922" s="1">
        <v>7.65</v>
      </c>
      <c r="H4922" s="1">
        <f t="shared" si="684"/>
        <v>7.5599999999999881</v>
      </c>
      <c r="I4922" s="9">
        <f t="shared" si="691"/>
        <v>8.3600575030410129E-2</v>
      </c>
      <c r="J4922" s="1">
        <f t="shared" si="692"/>
        <v>-0.30999999999999961</v>
      </c>
      <c r="K4922" s="9">
        <f t="shared" si="685"/>
        <v>-3.8944723618090406E-2</v>
      </c>
      <c r="L4922" s="1">
        <f t="shared" si="686"/>
        <v>8.337874659400546E-2</v>
      </c>
      <c r="M4922" s="1">
        <f t="shared" si="687"/>
        <v>8.1702833787465945</v>
      </c>
      <c r="N4922" s="1">
        <f t="shared" si="688"/>
        <v>7.5399400544959141</v>
      </c>
      <c r="O4922" s="1">
        <f t="shared" si="689"/>
        <v>5.69</v>
      </c>
      <c r="P4922" s="1">
        <f t="shared" si="690"/>
        <v>2.9030612244897962</v>
      </c>
    </row>
    <row r="4923" spans="1:16">
      <c r="A4923" s="2">
        <v>35914</v>
      </c>
      <c r="B4923" s="1">
        <v>97.18</v>
      </c>
      <c r="C4923" s="1">
        <v>98.62</v>
      </c>
      <c r="D4923" s="1">
        <v>93.58</v>
      </c>
      <c r="E4923" s="1">
        <v>95.5</v>
      </c>
      <c r="F4923" s="1">
        <v>31657200</v>
      </c>
      <c r="G4923" s="1">
        <v>7.96</v>
      </c>
      <c r="H4923" s="1">
        <f t="shared" si="684"/>
        <v>5.0400000000000063</v>
      </c>
      <c r="I4923" s="9">
        <f t="shared" si="691"/>
        <v>5.3857661893567069E-2</v>
      </c>
      <c r="J4923" s="1">
        <f t="shared" si="692"/>
        <v>-9.9999999999997868E-3</v>
      </c>
      <c r="K4923" s="9">
        <f t="shared" si="685"/>
        <v>-1.2547051442910648E-3</v>
      </c>
      <c r="L4923" s="1">
        <f t="shared" si="686"/>
        <v>8.3350785340314135E-2</v>
      </c>
      <c r="M4923" s="1">
        <f t="shared" si="687"/>
        <v>8.2200544502617809</v>
      </c>
      <c r="N4923" s="1">
        <f t="shared" si="688"/>
        <v>7.7999664921465968</v>
      </c>
      <c r="O4923" s="1">
        <f t="shared" si="689"/>
        <v>6</v>
      </c>
      <c r="P4923" s="1">
        <f t="shared" si="690"/>
        <v>3.0612244897959182</v>
      </c>
    </row>
    <row r="4924" spans="1:16">
      <c r="A4924" s="2">
        <v>35913</v>
      </c>
      <c r="B4924" s="1">
        <v>92.87</v>
      </c>
      <c r="C4924" s="1">
        <v>99.47</v>
      </c>
      <c r="D4924" s="1">
        <v>89.03</v>
      </c>
      <c r="E4924" s="1">
        <v>95.63</v>
      </c>
      <c r="F4924" s="1">
        <v>69594000</v>
      </c>
      <c r="G4924" s="1">
        <v>7.97</v>
      </c>
      <c r="H4924" s="1">
        <f t="shared" si="684"/>
        <v>10.439999999999998</v>
      </c>
      <c r="I4924" s="9">
        <f t="shared" si="691"/>
        <v>0.11726384364820844</v>
      </c>
      <c r="J4924" s="1">
        <f t="shared" si="692"/>
        <v>1.0699999999999994</v>
      </c>
      <c r="K4924" s="9">
        <f t="shared" si="685"/>
        <v>0.15507246376811584</v>
      </c>
      <c r="L4924" s="1">
        <f t="shared" si="686"/>
        <v>8.3342047474641856E-2</v>
      </c>
      <c r="M4924" s="1">
        <f t="shared" si="687"/>
        <v>8.2900334623026257</v>
      </c>
      <c r="N4924" s="1">
        <f t="shared" si="688"/>
        <v>7.4199424866673649</v>
      </c>
      <c r="O4924" s="1">
        <f t="shared" si="689"/>
        <v>6.01</v>
      </c>
      <c r="P4924" s="1">
        <f t="shared" si="690"/>
        <v>3.0663265306122449</v>
      </c>
    </row>
    <row r="4925" spans="1:16">
      <c r="A4925" s="2">
        <v>35912</v>
      </c>
      <c r="B4925" s="1">
        <v>83.35</v>
      </c>
      <c r="C4925" s="1">
        <v>84.55</v>
      </c>
      <c r="D4925" s="1">
        <v>77.11</v>
      </c>
      <c r="E4925" s="1">
        <v>82.75</v>
      </c>
      <c r="F4925" s="1">
        <v>18885600</v>
      </c>
      <c r="G4925" s="1">
        <v>6.9</v>
      </c>
      <c r="H4925" s="1">
        <f t="shared" si="684"/>
        <v>7.4399999999999977</v>
      </c>
      <c r="I4925" s="9">
        <f t="shared" si="691"/>
        <v>9.6485540137465922E-2</v>
      </c>
      <c r="J4925" s="1">
        <f t="shared" si="692"/>
        <v>-0.16999999999999993</v>
      </c>
      <c r="K4925" s="9">
        <f t="shared" si="685"/>
        <v>-2.4045261669024036E-2</v>
      </c>
      <c r="L4925" s="1">
        <f t="shared" si="686"/>
        <v>8.3383685800604235E-2</v>
      </c>
      <c r="M4925" s="1">
        <f t="shared" si="687"/>
        <v>7.0500906344410881</v>
      </c>
      <c r="N4925" s="1">
        <f t="shared" si="688"/>
        <v>6.4297160120845929</v>
      </c>
      <c r="O4925" s="1">
        <f t="shared" si="689"/>
        <v>4.9400000000000004</v>
      </c>
      <c r="P4925" s="1">
        <f t="shared" si="690"/>
        <v>2.5204081632653064</v>
      </c>
    </row>
    <row r="4926" spans="1:16">
      <c r="A4926" s="2">
        <v>35909</v>
      </c>
      <c r="B4926" s="1">
        <v>82</v>
      </c>
      <c r="C4926" s="1">
        <v>87.76</v>
      </c>
      <c r="D4926" s="1">
        <v>81.52</v>
      </c>
      <c r="E4926" s="1">
        <v>84.88</v>
      </c>
      <c r="F4926" s="1">
        <v>16785600</v>
      </c>
      <c r="G4926" s="1">
        <v>7.07</v>
      </c>
      <c r="H4926" s="1">
        <f t="shared" si="684"/>
        <v>6.2400000000000091</v>
      </c>
      <c r="I4926" s="9">
        <f t="shared" si="691"/>
        <v>7.6545632973503544E-2</v>
      </c>
      <c r="J4926" s="1">
        <f t="shared" si="692"/>
        <v>0.32000000000000028</v>
      </c>
      <c r="K4926" s="9">
        <f t="shared" si="685"/>
        <v>4.7407407407407447E-2</v>
      </c>
      <c r="L4926" s="1">
        <f t="shared" si="686"/>
        <v>8.3294062205466549E-2</v>
      </c>
      <c r="M4926" s="1">
        <f t="shared" si="687"/>
        <v>7.3098868991517447</v>
      </c>
      <c r="N4926" s="1">
        <f t="shared" si="688"/>
        <v>6.7901319509896325</v>
      </c>
      <c r="O4926" s="1">
        <f t="shared" si="689"/>
        <v>5.1100000000000003</v>
      </c>
      <c r="P4926" s="1">
        <f t="shared" si="690"/>
        <v>2.6071428571428572</v>
      </c>
    </row>
    <row r="4927" spans="1:16">
      <c r="A4927" s="2">
        <v>35908</v>
      </c>
      <c r="B4927" s="1">
        <v>87</v>
      </c>
      <c r="C4927" s="1">
        <v>87</v>
      </c>
      <c r="D4927" s="1">
        <v>80.52</v>
      </c>
      <c r="E4927" s="1">
        <v>81</v>
      </c>
      <c r="F4927" s="1">
        <v>12253200</v>
      </c>
      <c r="G4927" s="1">
        <v>6.75</v>
      </c>
      <c r="H4927" s="1">
        <f t="shared" si="684"/>
        <v>6.480000000000004</v>
      </c>
      <c r="I4927" s="9">
        <f t="shared" si="691"/>
        <v>8.0476900149031347E-2</v>
      </c>
      <c r="J4927" s="1">
        <f t="shared" si="692"/>
        <v>-0.51999999999999957</v>
      </c>
      <c r="K4927" s="9">
        <f t="shared" si="685"/>
        <v>-7.1526822558459366E-2</v>
      </c>
      <c r="L4927" s="1">
        <f t="shared" si="686"/>
        <v>8.3333333333333329E-2</v>
      </c>
      <c r="M4927" s="1">
        <f t="shared" si="687"/>
        <v>7.25</v>
      </c>
      <c r="N4927" s="1">
        <f t="shared" si="688"/>
        <v>6.7099999999999991</v>
      </c>
      <c r="O4927" s="1">
        <f t="shared" si="689"/>
        <v>4.79</v>
      </c>
      <c r="P4927" s="1">
        <f t="shared" si="690"/>
        <v>2.443877551020408</v>
      </c>
    </row>
    <row r="4928" spans="1:16">
      <c r="A4928" s="2">
        <v>35907</v>
      </c>
      <c r="B4928" s="1">
        <v>93.25</v>
      </c>
      <c r="C4928" s="1">
        <v>93.61</v>
      </c>
      <c r="D4928" s="1">
        <v>87.01</v>
      </c>
      <c r="E4928" s="1">
        <v>87.25</v>
      </c>
      <c r="F4928" s="1">
        <v>11301600</v>
      </c>
      <c r="G4928" s="1">
        <v>7.27</v>
      </c>
      <c r="H4928" s="1">
        <f t="shared" si="684"/>
        <v>6.5999999999999943</v>
      </c>
      <c r="I4928" s="9">
        <f t="shared" si="691"/>
        <v>7.5853350189633309E-2</v>
      </c>
      <c r="J4928" s="1">
        <f t="shared" si="692"/>
        <v>-0.49000000000000021</v>
      </c>
      <c r="K4928" s="9">
        <f t="shared" si="685"/>
        <v>-6.3144329896907242E-2</v>
      </c>
      <c r="L4928" s="1">
        <f t="shared" si="686"/>
        <v>8.3323782234957011E-2</v>
      </c>
      <c r="M4928" s="1">
        <f t="shared" si="687"/>
        <v>7.7999392550143254</v>
      </c>
      <c r="N4928" s="1">
        <f t="shared" si="688"/>
        <v>7.25000229226361</v>
      </c>
      <c r="O4928" s="1">
        <f t="shared" si="689"/>
        <v>5.31</v>
      </c>
      <c r="P4928" s="1">
        <f t="shared" si="690"/>
        <v>2.7091836734693877</v>
      </c>
    </row>
    <row r="4929" spans="1:16">
      <c r="A4929" s="2">
        <v>35906</v>
      </c>
      <c r="B4929" s="1">
        <v>95.23</v>
      </c>
      <c r="C4929" s="1">
        <v>95.35</v>
      </c>
      <c r="D4929" s="1">
        <v>91.03</v>
      </c>
      <c r="E4929" s="1">
        <v>93.07</v>
      </c>
      <c r="F4929" s="1">
        <v>8354400</v>
      </c>
      <c r="G4929" s="1">
        <v>7.76</v>
      </c>
      <c r="H4929" s="1">
        <f t="shared" si="684"/>
        <v>4.3199999999999932</v>
      </c>
      <c r="I4929" s="9">
        <f t="shared" si="691"/>
        <v>4.7456882346479108E-2</v>
      </c>
      <c r="J4929" s="1">
        <f t="shared" si="692"/>
        <v>-8.9999999999999858E-2</v>
      </c>
      <c r="K4929" s="9">
        <f t="shared" si="685"/>
        <v>-1.1464968152866224E-2</v>
      </c>
      <c r="L4929" s="1">
        <f t="shared" si="686"/>
        <v>8.3378102503491994E-2</v>
      </c>
      <c r="M4929" s="1">
        <f t="shared" si="687"/>
        <v>7.9501020737079608</v>
      </c>
      <c r="N4929" s="1">
        <f t="shared" si="688"/>
        <v>7.5899086708928767</v>
      </c>
      <c r="O4929" s="1">
        <f t="shared" si="689"/>
        <v>5.8</v>
      </c>
      <c r="P4929" s="1">
        <f t="shared" si="690"/>
        <v>2.9591836734693877</v>
      </c>
    </row>
    <row r="4930" spans="1:16">
      <c r="A4930" s="2">
        <v>35905</v>
      </c>
      <c r="B4930" s="1">
        <v>95.45</v>
      </c>
      <c r="C4930" s="1">
        <v>99.53</v>
      </c>
      <c r="D4930" s="1">
        <v>93.77</v>
      </c>
      <c r="E4930" s="1">
        <v>94.25</v>
      </c>
      <c r="F4930" s="1">
        <v>8979600</v>
      </c>
      <c r="G4930" s="1">
        <v>7.85</v>
      </c>
      <c r="H4930" s="1">
        <f t="shared" si="684"/>
        <v>5.7600000000000051</v>
      </c>
      <c r="I4930" s="9">
        <f t="shared" si="691"/>
        <v>6.142689559560633E-2</v>
      </c>
      <c r="J4930" s="1">
        <f t="shared" si="692"/>
        <v>-6.0000000000000497E-2</v>
      </c>
      <c r="K4930" s="9">
        <f t="shared" si="685"/>
        <v>-7.5853350189634006E-3</v>
      </c>
      <c r="L4930" s="1">
        <f t="shared" si="686"/>
        <v>8.3289124668435008E-2</v>
      </c>
      <c r="M4930" s="1">
        <f t="shared" si="687"/>
        <v>8.2897665782493366</v>
      </c>
      <c r="N4930" s="1">
        <f t="shared" si="688"/>
        <v>7.8100212201591503</v>
      </c>
      <c r="O4930" s="1">
        <f t="shared" si="689"/>
        <v>5.89</v>
      </c>
      <c r="P4930" s="1">
        <f t="shared" si="690"/>
        <v>3.0051020408163263</v>
      </c>
    </row>
    <row r="4931" spans="1:16">
      <c r="A4931" s="2">
        <v>35902</v>
      </c>
      <c r="B4931" s="1">
        <v>95.72</v>
      </c>
      <c r="C4931" s="1">
        <v>97.16</v>
      </c>
      <c r="D4931" s="1">
        <v>94.52</v>
      </c>
      <c r="E4931" s="1">
        <v>94.88</v>
      </c>
      <c r="F4931" s="1">
        <v>7035600</v>
      </c>
      <c r="G4931" s="1">
        <v>7.91</v>
      </c>
      <c r="H4931" s="1">
        <f t="shared" ref="H4931:H4994" si="693">C4931-D4931</f>
        <v>2.6400000000000006</v>
      </c>
      <c r="I4931" s="9">
        <f t="shared" si="691"/>
        <v>2.7930596699111306E-2</v>
      </c>
      <c r="J4931" s="1">
        <f t="shared" si="692"/>
        <v>-0.30000000000000071</v>
      </c>
      <c r="K4931" s="9">
        <f t="shared" ref="K4931:K4994" si="694">(G4931-G4932)/G4932</f>
        <v>-3.6540803897685832E-2</v>
      </c>
      <c r="L4931" s="1">
        <f t="shared" ref="L4931:L4994" si="695">G4931/E4931</f>
        <v>8.3368465430016872E-2</v>
      </c>
      <c r="M4931" s="1">
        <f t="shared" ref="M4931:M4994" si="696">L4931*C4931</f>
        <v>8.1000801011804384</v>
      </c>
      <c r="N4931" s="1">
        <f t="shared" ref="N4931:N4994" si="697">L4931*D4931</f>
        <v>7.8799873524451947</v>
      </c>
      <c r="O4931" s="1">
        <f t="shared" ref="O4931:O4994" si="698">G4931-$G$5163</f>
        <v>5.95</v>
      </c>
      <c r="P4931" s="1">
        <f t="shared" ref="P4931:P4994" si="699">(G4931-$G$5163)/$G$5163</f>
        <v>3.035714285714286</v>
      </c>
    </row>
    <row r="4932" spans="1:16">
      <c r="A4932" s="2">
        <v>35901</v>
      </c>
      <c r="B4932" s="1">
        <v>96.1</v>
      </c>
      <c r="C4932" s="1">
        <v>99.34</v>
      </c>
      <c r="D4932" s="1">
        <v>93.22</v>
      </c>
      <c r="E4932" s="1">
        <v>98.5</v>
      </c>
      <c r="F4932" s="1">
        <v>16244400</v>
      </c>
      <c r="G4932" s="1">
        <v>8.2100000000000009</v>
      </c>
      <c r="H4932" s="1">
        <f t="shared" si="693"/>
        <v>6.1200000000000045</v>
      </c>
      <c r="I4932" s="9">
        <f t="shared" ref="I4932:I4995" si="700">(C4932-D4932)/D4932</f>
        <v>6.5651147822355774E-2</v>
      </c>
      <c r="J4932" s="1">
        <f t="shared" ref="J4932:J4995" si="701">G4932-G4933</f>
        <v>0.20000000000000107</v>
      </c>
      <c r="K4932" s="9">
        <f t="shared" si="694"/>
        <v>2.4968789013732968E-2</v>
      </c>
      <c r="L4932" s="1">
        <f t="shared" si="695"/>
        <v>8.3350253807106603E-2</v>
      </c>
      <c r="M4932" s="1">
        <f t="shared" si="696"/>
        <v>8.2800142131979708</v>
      </c>
      <c r="N4932" s="1">
        <f t="shared" si="697"/>
        <v>7.7699106598984775</v>
      </c>
      <c r="O4932" s="1">
        <f t="shared" si="698"/>
        <v>6.2500000000000009</v>
      </c>
      <c r="P4932" s="1">
        <f t="shared" si="699"/>
        <v>3.1887755102040822</v>
      </c>
    </row>
    <row r="4933" spans="1:16">
      <c r="A4933" s="2">
        <v>35900</v>
      </c>
      <c r="B4933" s="1">
        <v>98.05</v>
      </c>
      <c r="C4933" s="1">
        <v>99.97</v>
      </c>
      <c r="D4933" s="1">
        <v>94.57</v>
      </c>
      <c r="E4933" s="1">
        <v>96.13</v>
      </c>
      <c r="F4933" s="1">
        <v>11192400</v>
      </c>
      <c r="G4933" s="1">
        <v>8.01</v>
      </c>
      <c r="H4933" s="1">
        <f t="shared" si="693"/>
        <v>5.4000000000000057</v>
      </c>
      <c r="I4933" s="9">
        <f t="shared" si="700"/>
        <v>5.7100560431426521E-2</v>
      </c>
      <c r="J4933" s="1">
        <f t="shared" si="701"/>
        <v>-8.9999999999999858E-2</v>
      </c>
      <c r="K4933" s="9">
        <f t="shared" si="694"/>
        <v>-1.1111111111111094E-2</v>
      </c>
      <c r="L4933" s="1">
        <f t="shared" si="695"/>
        <v>8.3324664516800165E-2</v>
      </c>
      <c r="M4933" s="1">
        <f t="shared" si="696"/>
        <v>8.3299667117445129</v>
      </c>
      <c r="N4933" s="1">
        <f t="shared" si="697"/>
        <v>7.8800135233537913</v>
      </c>
      <c r="O4933" s="1">
        <f t="shared" si="698"/>
        <v>6.05</v>
      </c>
      <c r="P4933" s="1">
        <f t="shared" si="699"/>
        <v>3.0867346938775508</v>
      </c>
    </row>
    <row r="4934" spans="1:16">
      <c r="A4934" s="2">
        <v>35899</v>
      </c>
      <c r="B4934" s="1">
        <v>93.83</v>
      </c>
      <c r="C4934" s="1">
        <v>99.83</v>
      </c>
      <c r="D4934" s="1">
        <v>93.23</v>
      </c>
      <c r="E4934" s="1">
        <v>97.19</v>
      </c>
      <c r="F4934" s="1">
        <v>16323600</v>
      </c>
      <c r="G4934" s="1">
        <v>8.1</v>
      </c>
      <c r="H4934" s="1">
        <f t="shared" si="693"/>
        <v>6.5999999999999943</v>
      </c>
      <c r="I4934" s="9">
        <f t="shared" si="700"/>
        <v>7.0792663305802792E-2</v>
      </c>
      <c r="J4934" s="1">
        <f t="shared" si="701"/>
        <v>0.23999999999999932</v>
      </c>
      <c r="K4934" s="9">
        <f t="shared" si="694"/>
        <v>3.053435114503808E-2</v>
      </c>
      <c r="L4934" s="1">
        <f t="shared" si="695"/>
        <v>8.3341907603662932E-2</v>
      </c>
      <c r="M4934" s="1">
        <f t="shared" si="696"/>
        <v>8.32002263607367</v>
      </c>
      <c r="N4934" s="1">
        <f t="shared" si="697"/>
        <v>7.7699660458894959</v>
      </c>
      <c r="O4934" s="1">
        <f t="shared" si="698"/>
        <v>6.14</v>
      </c>
      <c r="P4934" s="1">
        <f t="shared" si="699"/>
        <v>3.1326530612244898</v>
      </c>
    </row>
    <row r="4935" spans="1:16">
      <c r="A4935" s="2">
        <v>35898</v>
      </c>
      <c r="B4935" s="1">
        <v>94.92</v>
      </c>
      <c r="C4935" s="1">
        <v>96.24</v>
      </c>
      <c r="D4935" s="1">
        <v>92.04</v>
      </c>
      <c r="E4935" s="1">
        <v>94.32</v>
      </c>
      <c r="F4935" s="1">
        <v>10980000</v>
      </c>
      <c r="G4935" s="1">
        <v>7.86</v>
      </c>
      <c r="H4935" s="1">
        <f t="shared" si="693"/>
        <v>4.1999999999999886</v>
      </c>
      <c r="I4935" s="9">
        <f t="shared" si="700"/>
        <v>4.5632333767926865E-2</v>
      </c>
      <c r="J4935" s="1">
        <f t="shared" si="701"/>
        <v>-8.0000000000000071E-2</v>
      </c>
      <c r="K4935" s="9">
        <f t="shared" si="694"/>
        <v>-1.0075566750629731E-2</v>
      </c>
      <c r="L4935" s="1">
        <f t="shared" si="695"/>
        <v>8.3333333333333343E-2</v>
      </c>
      <c r="M4935" s="1">
        <f t="shared" si="696"/>
        <v>8.0200000000000014</v>
      </c>
      <c r="N4935" s="1">
        <f t="shared" si="697"/>
        <v>7.6700000000000017</v>
      </c>
      <c r="O4935" s="1">
        <f t="shared" si="698"/>
        <v>5.9</v>
      </c>
      <c r="P4935" s="1">
        <f t="shared" si="699"/>
        <v>3.0102040816326534</v>
      </c>
    </row>
    <row r="4936" spans="1:16">
      <c r="A4936" s="2">
        <v>35894</v>
      </c>
      <c r="B4936" s="1">
        <v>92.37</v>
      </c>
      <c r="C4936" s="1">
        <v>95.97</v>
      </c>
      <c r="D4936" s="1">
        <v>91.65</v>
      </c>
      <c r="E4936" s="1">
        <v>95.25</v>
      </c>
      <c r="F4936" s="1">
        <v>16034400</v>
      </c>
      <c r="G4936" s="1">
        <v>7.94</v>
      </c>
      <c r="H4936" s="1">
        <f t="shared" si="693"/>
        <v>4.3199999999999932</v>
      </c>
      <c r="I4936" s="9">
        <f t="shared" si="700"/>
        <v>4.7135842880523651E-2</v>
      </c>
      <c r="J4936" s="1">
        <f t="shared" si="701"/>
        <v>0.55000000000000071</v>
      </c>
      <c r="K4936" s="9">
        <f t="shared" si="694"/>
        <v>7.4424898511502136E-2</v>
      </c>
      <c r="L4936" s="1">
        <f t="shared" si="695"/>
        <v>8.3359580052493443E-2</v>
      </c>
      <c r="M4936" s="1">
        <f t="shared" si="696"/>
        <v>8.0000188976377959</v>
      </c>
      <c r="N4936" s="1">
        <f t="shared" si="697"/>
        <v>7.6399055118110244</v>
      </c>
      <c r="O4936" s="1">
        <f t="shared" si="698"/>
        <v>5.98</v>
      </c>
      <c r="P4936" s="1">
        <f t="shared" si="699"/>
        <v>3.0510204081632657</v>
      </c>
    </row>
    <row r="4937" spans="1:16">
      <c r="A4937" s="2">
        <v>35893</v>
      </c>
      <c r="B4937" s="1">
        <v>86.35</v>
      </c>
      <c r="C4937" s="1">
        <v>89.71</v>
      </c>
      <c r="D4937" s="1">
        <v>85.51</v>
      </c>
      <c r="E4937" s="1">
        <v>88.63</v>
      </c>
      <c r="F4937" s="1">
        <v>11314800</v>
      </c>
      <c r="G4937" s="1">
        <v>7.39</v>
      </c>
      <c r="H4937" s="1">
        <f t="shared" si="693"/>
        <v>4.1999999999999886</v>
      </c>
      <c r="I4937" s="9">
        <f t="shared" si="700"/>
        <v>4.9117062331890872E-2</v>
      </c>
      <c r="J4937" s="1">
        <f t="shared" si="701"/>
        <v>0.21999999999999975</v>
      </c>
      <c r="K4937" s="9">
        <f t="shared" si="694"/>
        <v>3.0683403068340272E-2</v>
      </c>
      <c r="L4937" s="1">
        <f t="shared" si="695"/>
        <v>8.3380345255556806E-2</v>
      </c>
      <c r="M4937" s="1">
        <f t="shared" si="696"/>
        <v>7.4800507728760008</v>
      </c>
      <c r="N4937" s="1">
        <f t="shared" si="697"/>
        <v>7.1298533228026626</v>
      </c>
      <c r="O4937" s="1">
        <f t="shared" si="698"/>
        <v>5.43</v>
      </c>
      <c r="P4937" s="1">
        <f t="shared" si="699"/>
        <v>2.7704081632653059</v>
      </c>
    </row>
    <row r="4938" spans="1:16">
      <c r="A4938" s="2">
        <v>35892</v>
      </c>
      <c r="B4938" s="1">
        <v>86.96</v>
      </c>
      <c r="C4938" s="1">
        <v>87.2</v>
      </c>
      <c r="D4938" s="1">
        <v>84.68</v>
      </c>
      <c r="E4938" s="1">
        <v>86</v>
      </c>
      <c r="F4938" s="1">
        <v>11634000</v>
      </c>
      <c r="G4938" s="1">
        <v>7.17</v>
      </c>
      <c r="H4938" s="1">
        <f t="shared" si="693"/>
        <v>2.519999999999996</v>
      </c>
      <c r="I4938" s="9">
        <f t="shared" si="700"/>
        <v>2.975909305621157E-2</v>
      </c>
      <c r="J4938" s="1">
        <f t="shared" si="701"/>
        <v>-0.21999999999999975</v>
      </c>
      <c r="K4938" s="9">
        <f t="shared" si="694"/>
        <v>-2.9769959404600779E-2</v>
      </c>
      <c r="L4938" s="1">
        <f t="shared" si="695"/>
        <v>8.3372093023255808E-2</v>
      </c>
      <c r="M4938" s="1">
        <f t="shared" si="696"/>
        <v>7.2700465116279069</v>
      </c>
      <c r="N4938" s="1">
        <f t="shared" si="697"/>
        <v>7.0599488372093022</v>
      </c>
      <c r="O4938" s="1">
        <f t="shared" si="698"/>
        <v>5.21</v>
      </c>
      <c r="P4938" s="1">
        <f t="shared" si="699"/>
        <v>2.6581632653061225</v>
      </c>
    </row>
    <row r="4939" spans="1:16">
      <c r="A4939" s="2">
        <v>35891</v>
      </c>
      <c r="B4939" s="1">
        <v>94.15</v>
      </c>
      <c r="C4939" s="1">
        <v>94.75</v>
      </c>
      <c r="D4939" s="1">
        <v>88.15</v>
      </c>
      <c r="E4939" s="1">
        <v>88.63</v>
      </c>
      <c r="F4939" s="1">
        <v>11024400</v>
      </c>
      <c r="G4939" s="1">
        <v>7.39</v>
      </c>
      <c r="H4939" s="1">
        <f t="shared" si="693"/>
        <v>6.5999999999999943</v>
      </c>
      <c r="I4939" s="9">
        <f t="shared" si="700"/>
        <v>7.4872376630742976E-2</v>
      </c>
      <c r="J4939" s="1">
        <f t="shared" si="701"/>
        <v>-0.36000000000000032</v>
      </c>
      <c r="K4939" s="9">
        <f t="shared" si="694"/>
        <v>-4.6451612903225845E-2</v>
      </c>
      <c r="L4939" s="1">
        <f t="shared" si="695"/>
        <v>8.3380345255556806E-2</v>
      </c>
      <c r="M4939" s="1">
        <f t="shared" si="696"/>
        <v>7.9002877129640074</v>
      </c>
      <c r="N4939" s="1">
        <f t="shared" si="697"/>
        <v>7.3499774342773332</v>
      </c>
      <c r="O4939" s="1">
        <f t="shared" si="698"/>
        <v>5.43</v>
      </c>
      <c r="P4939" s="1">
        <f t="shared" si="699"/>
        <v>2.7704081632653059</v>
      </c>
    </row>
    <row r="4940" spans="1:16">
      <c r="A4940" s="2">
        <v>35888</v>
      </c>
      <c r="B4940" s="1">
        <v>96.24</v>
      </c>
      <c r="C4940" s="1">
        <v>96.36</v>
      </c>
      <c r="D4940" s="1">
        <v>92.28</v>
      </c>
      <c r="E4940" s="1">
        <v>93</v>
      </c>
      <c r="F4940" s="1">
        <v>11694000</v>
      </c>
      <c r="G4940" s="1">
        <v>7.75</v>
      </c>
      <c r="H4940" s="1">
        <f t="shared" si="693"/>
        <v>4.0799999999999983</v>
      </c>
      <c r="I4940" s="9">
        <f t="shared" si="700"/>
        <v>4.4213263979193736E-2</v>
      </c>
      <c r="J4940" s="1">
        <f t="shared" si="701"/>
        <v>-0.16999999999999993</v>
      </c>
      <c r="K4940" s="9">
        <f t="shared" si="694"/>
        <v>-2.1464646464646457E-2</v>
      </c>
      <c r="L4940" s="1">
        <f t="shared" si="695"/>
        <v>8.3333333333333329E-2</v>
      </c>
      <c r="M4940" s="1">
        <f t="shared" si="696"/>
        <v>8.0299999999999994</v>
      </c>
      <c r="N4940" s="1">
        <f t="shared" si="697"/>
        <v>7.6899999999999995</v>
      </c>
      <c r="O4940" s="1">
        <f t="shared" si="698"/>
        <v>5.79</v>
      </c>
      <c r="P4940" s="1">
        <f t="shared" si="699"/>
        <v>2.9540816326530615</v>
      </c>
    </row>
    <row r="4941" spans="1:16">
      <c r="A4941" s="2">
        <v>35887</v>
      </c>
      <c r="B4941" s="1">
        <v>91.11</v>
      </c>
      <c r="C4941" s="1">
        <v>96.75</v>
      </c>
      <c r="D4941" s="1">
        <v>89.79</v>
      </c>
      <c r="E4941" s="1">
        <v>95.07</v>
      </c>
      <c r="F4941" s="1">
        <v>16642800</v>
      </c>
      <c r="G4941" s="1">
        <v>7.92</v>
      </c>
      <c r="H4941" s="1">
        <f t="shared" si="693"/>
        <v>6.9599999999999937</v>
      </c>
      <c r="I4941" s="9">
        <f t="shared" si="700"/>
        <v>7.7514199799532169E-2</v>
      </c>
      <c r="J4941" s="1">
        <f t="shared" si="701"/>
        <v>0.41000000000000014</v>
      </c>
      <c r="K4941" s="9">
        <f t="shared" si="694"/>
        <v>5.4593874833555281E-2</v>
      </c>
      <c r="L4941" s="1">
        <f t="shared" si="695"/>
        <v>8.3307036920164099E-2</v>
      </c>
      <c r="M4941" s="1">
        <f t="shared" si="696"/>
        <v>8.0599558220258771</v>
      </c>
      <c r="N4941" s="1">
        <f t="shared" si="697"/>
        <v>7.4801388450615347</v>
      </c>
      <c r="O4941" s="1">
        <f t="shared" si="698"/>
        <v>5.96</v>
      </c>
      <c r="P4941" s="1">
        <f t="shared" si="699"/>
        <v>3.0408163265306123</v>
      </c>
    </row>
    <row r="4942" spans="1:16">
      <c r="A4942" s="2">
        <v>35886</v>
      </c>
      <c r="B4942" s="1">
        <v>85.21</v>
      </c>
      <c r="C4942" s="1">
        <v>90.37</v>
      </c>
      <c r="D4942" s="1">
        <v>84.01</v>
      </c>
      <c r="E4942" s="1">
        <v>90.13</v>
      </c>
      <c r="F4942" s="1">
        <v>14451600</v>
      </c>
      <c r="G4942" s="1">
        <v>7.51</v>
      </c>
      <c r="H4942" s="1">
        <f t="shared" si="693"/>
        <v>6.3599999999999994</v>
      </c>
      <c r="I4942" s="9">
        <f t="shared" si="700"/>
        <v>7.5705273181764066E-2</v>
      </c>
      <c r="J4942" s="1">
        <f t="shared" si="701"/>
        <v>0.37999999999999989</v>
      </c>
      <c r="K4942" s="9">
        <f t="shared" si="694"/>
        <v>5.3295932678821864E-2</v>
      </c>
      <c r="L4942" s="1">
        <f t="shared" si="695"/>
        <v>8.3324087429268834E-2</v>
      </c>
      <c r="M4942" s="1">
        <f t="shared" si="696"/>
        <v>7.5299977809830247</v>
      </c>
      <c r="N4942" s="1">
        <f t="shared" si="697"/>
        <v>7.0000565849328753</v>
      </c>
      <c r="O4942" s="1">
        <f t="shared" si="698"/>
        <v>5.55</v>
      </c>
      <c r="P4942" s="1">
        <f t="shared" si="699"/>
        <v>2.8316326530612246</v>
      </c>
    </row>
    <row r="4943" spans="1:16">
      <c r="A4943" s="2">
        <v>35885</v>
      </c>
      <c r="B4943" s="1">
        <v>85.29</v>
      </c>
      <c r="C4943" s="1">
        <v>86.49</v>
      </c>
      <c r="D4943" s="1">
        <v>83.73</v>
      </c>
      <c r="E4943" s="1">
        <v>85.53</v>
      </c>
      <c r="F4943" s="1">
        <v>6565200</v>
      </c>
      <c r="G4943" s="1">
        <v>7.13</v>
      </c>
      <c r="H4943" s="1">
        <f t="shared" si="693"/>
        <v>2.7599999999999909</v>
      </c>
      <c r="I4943" s="9">
        <f t="shared" si="700"/>
        <v>3.2963095664636219E-2</v>
      </c>
      <c r="J4943" s="1">
        <f t="shared" si="701"/>
        <v>-3.0000000000000249E-2</v>
      </c>
      <c r="K4943" s="9">
        <f t="shared" si="694"/>
        <v>-4.1899441340782469E-3</v>
      </c>
      <c r="L4943" s="1">
        <f t="shared" si="695"/>
        <v>8.3362562843446744E-2</v>
      </c>
      <c r="M4943" s="1">
        <f t="shared" si="696"/>
        <v>7.2100280603297087</v>
      </c>
      <c r="N4943" s="1">
        <f t="shared" si="697"/>
        <v>6.9799473868817961</v>
      </c>
      <c r="O4943" s="1">
        <f t="shared" si="698"/>
        <v>5.17</v>
      </c>
      <c r="P4943" s="1">
        <f t="shared" si="699"/>
        <v>2.6377551020408165</v>
      </c>
    </row>
    <row r="4944" spans="1:16">
      <c r="A4944" s="2">
        <v>35884</v>
      </c>
      <c r="B4944" s="1">
        <v>85.88</v>
      </c>
      <c r="C4944" s="1">
        <v>87.44</v>
      </c>
      <c r="D4944" s="1">
        <v>85.04</v>
      </c>
      <c r="E4944" s="1">
        <v>85.88</v>
      </c>
      <c r="F4944" s="1">
        <v>5500800</v>
      </c>
      <c r="G4944" s="1">
        <v>7.16</v>
      </c>
      <c r="H4944" s="1">
        <f t="shared" si="693"/>
        <v>2.3999999999999915</v>
      </c>
      <c r="I4944" s="9">
        <f t="shared" si="700"/>
        <v>2.822201317027271E-2</v>
      </c>
      <c r="J4944" s="1">
        <f t="shared" si="701"/>
        <v>8.0000000000000071E-2</v>
      </c>
      <c r="K4944" s="9">
        <f t="shared" si="694"/>
        <v>1.1299435028248598E-2</v>
      </c>
      <c r="L4944" s="1">
        <f t="shared" si="695"/>
        <v>8.3372147182114581E-2</v>
      </c>
      <c r="M4944" s="1">
        <f t="shared" si="696"/>
        <v>7.2900605496040987</v>
      </c>
      <c r="N4944" s="1">
        <f t="shared" si="697"/>
        <v>7.0899673963670242</v>
      </c>
      <c r="O4944" s="1">
        <f t="shared" si="698"/>
        <v>5.2</v>
      </c>
      <c r="P4944" s="1">
        <f t="shared" si="699"/>
        <v>2.6530612244897962</v>
      </c>
    </row>
    <row r="4945" spans="1:16">
      <c r="A4945" s="2">
        <v>35881</v>
      </c>
      <c r="B4945" s="1">
        <v>84.28</v>
      </c>
      <c r="C4945" s="1">
        <v>87.16</v>
      </c>
      <c r="D4945" s="1">
        <v>82.84</v>
      </c>
      <c r="E4945" s="1">
        <v>85</v>
      </c>
      <c r="F4945" s="1">
        <v>7646400</v>
      </c>
      <c r="G4945" s="1">
        <v>7.08</v>
      </c>
      <c r="H4945" s="1">
        <f t="shared" si="693"/>
        <v>4.3199999999999932</v>
      </c>
      <c r="I4945" s="9">
        <f t="shared" si="700"/>
        <v>5.2148720424915418E-2</v>
      </c>
      <c r="J4945" s="1">
        <f t="shared" si="701"/>
        <v>0.17999999999999972</v>
      </c>
      <c r="K4945" s="9">
        <f t="shared" si="694"/>
        <v>2.6086956521739087E-2</v>
      </c>
      <c r="L4945" s="1">
        <f t="shared" si="695"/>
        <v>8.3294117647058824E-2</v>
      </c>
      <c r="M4945" s="1">
        <f t="shared" si="696"/>
        <v>7.259915294117647</v>
      </c>
      <c r="N4945" s="1">
        <f t="shared" si="697"/>
        <v>6.9000847058823531</v>
      </c>
      <c r="O4945" s="1">
        <f t="shared" si="698"/>
        <v>5.12</v>
      </c>
      <c r="P4945" s="1">
        <f t="shared" si="699"/>
        <v>2.6122448979591839</v>
      </c>
    </row>
    <row r="4946" spans="1:16">
      <c r="A4946" s="2">
        <v>35880</v>
      </c>
      <c r="B4946" s="1">
        <v>81.67</v>
      </c>
      <c r="C4946" s="1">
        <v>83.71</v>
      </c>
      <c r="D4946" s="1">
        <v>79.510000000000005</v>
      </c>
      <c r="E4946" s="1">
        <v>82.75</v>
      </c>
      <c r="F4946" s="1">
        <v>7878000</v>
      </c>
      <c r="G4946" s="1">
        <v>6.9</v>
      </c>
      <c r="H4946" s="1">
        <f t="shared" si="693"/>
        <v>4.1999999999999886</v>
      </c>
      <c r="I4946" s="9">
        <f t="shared" si="700"/>
        <v>5.2823544208275543E-2</v>
      </c>
      <c r="J4946" s="1">
        <f t="shared" si="701"/>
        <v>9.0000000000000746E-2</v>
      </c>
      <c r="K4946" s="9">
        <f t="shared" si="694"/>
        <v>1.3215859030837114E-2</v>
      </c>
      <c r="L4946" s="1">
        <f t="shared" si="695"/>
        <v>8.3383685800604235E-2</v>
      </c>
      <c r="M4946" s="1">
        <f t="shared" si="696"/>
        <v>6.9800483383685803</v>
      </c>
      <c r="N4946" s="1">
        <f t="shared" si="697"/>
        <v>6.6298368580060432</v>
      </c>
      <c r="O4946" s="1">
        <f t="shared" si="698"/>
        <v>4.9400000000000004</v>
      </c>
      <c r="P4946" s="1">
        <f t="shared" si="699"/>
        <v>2.5204081632653064</v>
      </c>
    </row>
    <row r="4947" spans="1:16">
      <c r="A4947" s="2">
        <v>35879</v>
      </c>
      <c r="B4947" s="1">
        <v>84.93</v>
      </c>
      <c r="C4947" s="1">
        <v>85.77</v>
      </c>
      <c r="D4947" s="1">
        <v>80.97</v>
      </c>
      <c r="E4947" s="1">
        <v>81.69</v>
      </c>
      <c r="F4947" s="1">
        <v>11289600</v>
      </c>
      <c r="G4947" s="1">
        <v>6.81</v>
      </c>
      <c r="H4947" s="1">
        <f t="shared" si="693"/>
        <v>4.7999999999999972</v>
      </c>
      <c r="I4947" s="9">
        <f t="shared" si="700"/>
        <v>5.9281215264912895E-2</v>
      </c>
      <c r="J4947" s="1">
        <f t="shared" si="701"/>
        <v>-0.20999999999999996</v>
      </c>
      <c r="K4947" s="9">
        <f t="shared" si="694"/>
        <v>-2.9914529914529912E-2</v>
      </c>
      <c r="L4947" s="1">
        <f t="shared" si="695"/>
        <v>8.3363936834373847E-2</v>
      </c>
      <c r="M4947" s="1">
        <f t="shared" si="696"/>
        <v>7.1501248622842448</v>
      </c>
      <c r="N4947" s="1">
        <f t="shared" si="697"/>
        <v>6.7499779654792507</v>
      </c>
      <c r="O4947" s="1">
        <f t="shared" si="698"/>
        <v>4.8499999999999996</v>
      </c>
      <c r="P4947" s="1">
        <f t="shared" si="699"/>
        <v>2.4744897959183674</v>
      </c>
    </row>
    <row r="4948" spans="1:16">
      <c r="A4948" s="2">
        <v>35878</v>
      </c>
      <c r="B4948" s="1">
        <v>82.57</v>
      </c>
      <c r="C4948" s="1">
        <v>86.77</v>
      </c>
      <c r="D4948" s="1">
        <v>82.57</v>
      </c>
      <c r="E4948" s="1">
        <v>84.25</v>
      </c>
      <c r="F4948" s="1">
        <v>5680800</v>
      </c>
      <c r="G4948" s="1">
        <v>7.02</v>
      </c>
      <c r="H4948" s="1">
        <f t="shared" si="693"/>
        <v>4.2000000000000028</v>
      </c>
      <c r="I4948" s="9">
        <f t="shared" si="700"/>
        <v>5.0865931936538732E-2</v>
      </c>
      <c r="J4948" s="1">
        <f t="shared" si="701"/>
        <v>3.9999999999999147E-2</v>
      </c>
      <c r="K4948" s="9">
        <f t="shared" si="694"/>
        <v>5.7306590257878431E-3</v>
      </c>
      <c r="L4948" s="1">
        <f t="shared" si="695"/>
        <v>8.3323442136498505E-2</v>
      </c>
      <c r="M4948" s="1">
        <f t="shared" si="696"/>
        <v>7.229975074183975</v>
      </c>
      <c r="N4948" s="1">
        <f t="shared" si="697"/>
        <v>6.8800166172106811</v>
      </c>
      <c r="O4948" s="1">
        <f t="shared" si="698"/>
        <v>5.0599999999999996</v>
      </c>
      <c r="P4948" s="1">
        <f t="shared" si="699"/>
        <v>2.5816326530612241</v>
      </c>
    </row>
    <row r="4949" spans="1:16">
      <c r="A4949" s="2">
        <v>35877</v>
      </c>
      <c r="B4949" s="1">
        <v>83.58</v>
      </c>
      <c r="C4949" s="1">
        <v>84.78</v>
      </c>
      <c r="D4949" s="1">
        <v>82.86</v>
      </c>
      <c r="E4949" s="1">
        <v>83.82</v>
      </c>
      <c r="F4949" s="1">
        <v>3004800</v>
      </c>
      <c r="G4949" s="1">
        <v>6.98</v>
      </c>
      <c r="H4949" s="1">
        <f t="shared" si="693"/>
        <v>1.9200000000000017</v>
      </c>
      <c r="I4949" s="9">
        <f t="shared" si="700"/>
        <v>2.3171614771904436E-2</v>
      </c>
      <c r="J4949" s="1">
        <f t="shared" si="701"/>
        <v>-1.9999999999999574E-2</v>
      </c>
      <c r="K4949" s="9">
        <f t="shared" si="694"/>
        <v>-2.8571428571427964E-3</v>
      </c>
      <c r="L4949" s="1">
        <f t="shared" si="695"/>
        <v>8.3273681698878554E-2</v>
      </c>
      <c r="M4949" s="1">
        <f t="shared" si="696"/>
        <v>7.0599427344309236</v>
      </c>
      <c r="N4949" s="1">
        <f t="shared" si="697"/>
        <v>6.9000572655690773</v>
      </c>
      <c r="O4949" s="1">
        <f t="shared" si="698"/>
        <v>5.0200000000000005</v>
      </c>
      <c r="P4949" s="1">
        <f t="shared" si="699"/>
        <v>2.5612244897959187</v>
      </c>
    </row>
    <row r="4950" spans="1:16">
      <c r="A4950" s="2">
        <v>35874</v>
      </c>
      <c r="B4950" s="1">
        <v>84</v>
      </c>
      <c r="C4950" s="1">
        <v>84.84</v>
      </c>
      <c r="D4950" s="1">
        <v>83.16</v>
      </c>
      <c r="E4950" s="1">
        <v>84</v>
      </c>
      <c r="F4950" s="1">
        <v>6412800</v>
      </c>
      <c r="G4950" s="1">
        <v>7</v>
      </c>
      <c r="H4950" s="1">
        <f t="shared" si="693"/>
        <v>1.6800000000000068</v>
      </c>
      <c r="I4950" s="9">
        <f t="shared" si="700"/>
        <v>2.0202020202020284E-2</v>
      </c>
      <c r="J4950" s="1">
        <f t="shared" si="701"/>
        <v>0</v>
      </c>
      <c r="K4950" s="9">
        <f t="shared" si="694"/>
        <v>0</v>
      </c>
      <c r="L4950" s="1">
        <f t="shared" si="695"/>
        <v>8.3333333333333329E-2</v>
      </c>
      <c r="M4950" s="1">
        <f t="shared" si="696"/>
        <v>7.07</v>
      </c>
      <c r="N4950" s="1">
        <f t="shared" si="697"/>
        <v>6.93</v>
      </c>
      <c r="O4950" s="1">
        <f t="shared" si="698"/>
        <v>5.04</v>
      </c>
      <c r="P4950" s="1">
        <f t="shared" si="699"/>
        <v>2.5714285714285716</v>
      </c>
    </row>
    <row r="4951" spans="1:16">
      <c r="A4951" s="2">
        <v>35873</v>
      </c>
      <c r="B4951" s="1">
        <v>85.32</v>
      </c>
      <c r="C4951" s="1">
        <v>87.48</v>
      </c>
      <c r="D4951" s="1">
        <v>83.76</v>
      </c>
      <c r="E4951" s="1">
        <v>84</v>
      </c>
      <c r="F4951" s="1">
        <v>12115200</v>
      </c>
      <c r="G4951" s="1">
        <v>7</v>
      </c>
      <c r="H4951" s="1">
        <f t="shared" si="693"/>
        <v>3.7199999999999989</v>
      </c>
      <c r="I4951" s="9">
        <f t="shared" si="700"/>
        <v>4.4412607449856714E-2</v>
      </c>
      <c r="J4951" s="1">
        <f t="shared" si="701"/>
        <v>-0.11000000000000032</v>
      </c>
      <c r="K4951" s="9">
        <f t="shared" si="694"/>
        <v>-1.5471167369901591E-2</v>
      </c>
      <c r="L4951" s="1">
        <f t="shared" si="695"/>
        <v>8.3333333333333329E-2</v>
      </c>
      <c r="M4951" s="1">
        <f t="shared" si="696"/>
        <v>7.29</v>
      </c>
      <c r="N4951" s="1">
        <f t="shared" si="697"/>
        <v>6.98</v>
      </c>
      <c r="O4951" s="1">
        <f t="shared" si="698"/>
        <v>5.04</v>
      </c>
      <c r="P4951" s="1">
        <f t="shared" si="699"/>
        <v>2.5714285714285716</v>
      </c>
    </row>
    <row r="4952" spans="1:16">
      <c r="A4952" s="2">
        <v>35872</v>
      </c>
      <c r="B4952" s="1">
        <v>79.2</v>
      </c>
      <c r="C4952" s="1">
        <v>85.8</v>
      </c>
      <c r="D4952" s="1">
        <v>79.2</v>
      </c>
      <c r="E4952" s="1">
        <v>85.32</v>
      </c>
      <c r="F4952" s="1">
        <v>13659600</v>
      </c>
      <c r="G4952" s="1">
        <v>7.11</v>
      </c>
      <c r="H4952" s="1">
        <f t="shared" si="693"/>
        <v>6.5999999999999943</v>
      </c>
      <c r="I4952" s="9">
        <f t="shared" si="700"/>
        <v>8.3333333333333259E-2</v>
      </c>
      <c r="J4952" s="1">
        <f t="shared" si="701"/>
        <v>0.45000000000000018</v>
      </c>
      <c r="K4952" s="9">
        <f t="shared" si="694"/>
        <v>6.7567567567567599E-2</v>
      </c>
      <c r="L4952" s="1">
        <f t="shared" si="695"/>
        <v>8.3333333333333343E-2</v>
      </c>
      <c r="M4952" s="1">
        <f t="shared" si="696"/>
        <v>7.15</v>
      </c>
      <c r="N4952" s="1">
        <f t="shared" si="697"/>
        <v>6.6000000000000005</v>
      </c>
      <c r="O4952" s="1">
        <f t="shared" si="698"/>
        <v>5.15</v>
      </c>
      <c r="P4952" s="1">
        <f t="shared" si="699"/>
        <v>2.6275510204081636</v>
      </c>
    </row>
    <row r="4953" spans="1:16">
      <c r="A4953" s="2">
        <v>35871</v>
      </c>
      <c r="B4953" s="1">
        <v>79.760000000000005</v>
      </c>
      <c r="C4953" s="1">
        <v>80.239999999999995</v>
      </c>
      <c r="D4953" s="1">
        <v>77.84</v>
      </c>
      <c r="E4953" s="1">
        <v>79.88</v>
      </c>
      <c r="F4953" s="1">
        <v>3100800</v>
      </c>
      <c r="G4953" s="1">
        <v>6.66</v>
      </c>
      <c r="H4953" s="1">
        <f t="shared" si="693"/>
        <v>2.3999999999999915</v>
      </c>
      <c r="I4953" s="9">
        <f t="shared" si="700"/>
        <v>3.0832476875642233E-2</v>
      </c>
      <c r="J4953" s="1">
        <f t="shared" si="701"/>
        <v>8.0000000000000071E-2</v>
      </c>
      <c r="K4953" s="9">
        <f t="shared" si="694"/>
        <v>1.2158054711246211E-2</v>
      </c>
      <c r="L4953" s="1">
        <f t="shared" si="695"/>
        <v>8.3375062593890839E-2</v>
      </c>
      <c r="M4953" s="1">
        <f t="shared" si="696"/>
        <v>6.6900150225338004</v>
      </c>
      <c r="N4953" s="1">
        <f t="shared" si="697"/>
        <v>6.4899148723084634</v>
      </c>
      <c r="O4953" s="1">
        <f t="shared" si="698"/>
        <v>4.7</v>
      </c>
      <c r="P4953" s="1">
        <f t="shared" si="699"/>
        <v>2.3979591836734695</v>
      </c>
    </row>
    <row r="4954" spans="1:16">
      <c r="A4954" s="2">
        <v>35870</v>
      </c>
      <c r="B4954" s="1">
        <v>79.599999999999994</v>
      </c>
      <c r="C4954" s="1">
        <v>80.8</v>
      </c>
      <c r="D4954" s="1">
        <v>79</v>
      </c>
      <c r="E4954" s="1">
        <v>79</v>
      </c>
      <c r="F4954" s="1">
        <v>3312000</v>
      </c>
      <c r="G4954" s="1">
        <v>6.58</v>
      </c>
      <c r="H4954" s="1">
        <f t="shared" si="693"/>
        <v>1.7999999999999972</v>
      </c>
      <c r="I4954" s="9">
        <f t="shared" si="700"/>
        <v>2.2784810126582244E-2</v>
      </c>
      <c r="J4954" s="1">
        <f t="shared" si="701"/>
        <v>2.0000000000000462E-2</v>
      </c>
      <c r="K4954" s="9">
        <f t="shared" si="694"/>
        <v>3.0487804878049488E-3</v>
      </c>
      <c r="L4954" s="1">
        <f t="shared" si="695"/>
        <v>8.3291139240506323E-2</v>
      </c>
      <c r="M4954" s="1">
        <f t="shared" si="696"/>
        <v>6.7299240506329108</v>
      </c>
      <c r="N4954" s="1">
        <f t="shared" si="697"/>
        <v>6.5799999999999992</v>
      </c>
      <c r="O4954" s="1">
        <f t="shared" si="698"/>
        <v>4.62</v>
      </c>
      <c r="P4954" s="1">
        <f t="shared" si="699"/>
        <v>2.3571428571428572</v>
      </c>
    </row>
    <row r="4955" spans="1:16">
      <c r="A4955" s="2">
        <v>35867</v>
      </c>
      <c r="B4955" s="1">
        <v>79.650000000000006</v>
      </c>
      <c r="C4955" s="1">
        <v>80.849999999999994</v>
      </c>
      <c r="D4955" s="1">
        <v>77.73</v>
      </c>
      <c r="E4955" s="1">
        <v>78.69</v>
      </c>
      <c r="F4955" s="1">
        <v>6523200</v>
      </c>
      <c r="G4955" s="1">
        <v>6.56</v>
      </c>
      <c r="H4955" s="1">
        <f t="shared" si="693"/>
        <v>3.1199999999999903</v>
      </c>
      <c r="I4955" s="9">
        <f t="shared" si="700"/>
        <v>4.0138942493245726E-2</v>
      </c>
      <c r="J4955" s="1">
        <f t="shared" si="701"/>
        <v>1.9999999999999574E-2</v>
      </c>
      <c r="K4955" s="9">
        <f t="shared" si="694"/>
        <v>3.0581039755351032E-3</v>
      </c>
      <c r="L4955" s="1">
        <f t="shared" si="695"/>
        <v>8.3365103570974708E-2</v>
      </c>
      <c r="M4955" s="1">
        <f t="shared" si="696"/>
        <v>6.740068623713305</v>
      </c>
      <c r="N4955" s="1">
        <f t="shared" si="697"/>
        <v>6.4799695005718645</v>
      </c>
      <c r="O4955" s="1">
        <f t="shared" si="698"/>
        <v>4.5999999999999996</v>
      </c>
      <c r="P4955" s="1">
        <f t="shared" si="699"/>
        <v>2.3469387755102038</v>
      </c>
    </row>
    <row r="4956" spans="1:16">
      <c r="A4956" s="2">
        <v>35866</v>
      </c>
      <c r="B4956" s="1">
        <v>78.739999999999995</v>
      </c>
      <c r="C4956" s="1">
        <v>81.14</v>
      </c>
      <c r="D4956" s="1">
        <v>77.180000000000007</v>
      </c>
      <c r="E4956" s="1">
        <v>78.5</v>
      </c>
      <c r="F4956" s="1">
        <v>9799200</v>
      </c>
      <c r="G4956" s="1">
        <v>6.54</v>
      </c>
      <c r="H4956" s="1">
        <f t="shared" si="693"/>
        <v>3.9599999999999937</v>
      </c>
      <c r="I4956" s="9">
        <f t="shared" si="700"/>
        <v>5.1308629178543577E-2</v>
      </c>
      <c r="J4956" s="1">
        <f t="shared" si="701"/>
        <v>-9.9999999999999645E-2</v>
      </c>
      <c r="K4956" s="9">
        <f t="shared" si="694"/>
        <v>-1.506024096385537E-2</v>
      </c>
      <c r="L4956" s="1">
        <f t="shared" si="695"/>
        <v>8.3312101910828024E-2</v>
      </c>
      <c r="M4956" s="1">
        <f t="shared" si="696"/>
        <v>6.7599439490445858</v>
      </c>
      <c r="N4956" s="1">
        <f t="shared" si="697"/>
        <v>6.4300280254777071</v>
      </c>
      <c r="O4956" s="1">
        <f t="shared" si="698"/>
        <v>4.58</v>
      </c>
      <c r="P4956" s="1">
        <f t="shared" si="699"/>
        <v>2.3367346938775513</v>
      </c>
    </row>
    <row r="4957" spans="1:16">
      <c r="A4957" s="2">
        <v>35865</v>
      </c>
      <c r="B4957" s="1">
        <v>81.91</v>
      </c>
      <c r="C4957" s="1">
        <v>82.51</v>
      </c>
      <c r="D4957" s="1">
        <v>78.19</v>
      </c>
      <c r="E4957" s="1">
        <v>79.63</v>
      </c>
      <c r="F4957" s="1">
        <v>12349200</v>
      </c>
      <c r="G4957" s="1">
        <v>6.64</v>
      </c>
      <c r="H4957" s="1">
        <f t="shared" si="693"/>
        <v>4.3200000000000074</v>
      </c>
      <c r="I4957" s="9">
        <f t="shared" si="700"/>
        <v>5.5250031973398228E-2</v>
      </c>
      <c r="J4957" s="1">
        <f t="shared" si="701"/>
        <v>-0.29000000000000004</v>
      </c>
      <c r="K4957" s="9">
        <f t="shared" si="694"/>
        <v>-4.1847041847041855E-2</v>
      </c>
      <c r="L4957" s="1">
        <f t="shared" si="695"/>
        <v>8.3385658671355015E-2</v>
      </c>
      <c r="M4957" s="1">
        <f t="shared" si="696"/>
        <v>6.8801506969735025</v>
      </c>
      <c r="N4957" s="1">
        <f t="shared" si="697"/>
        <v>6.5199246515132483</v>
      </c>
      <c r="O4957" s="1">
        <f t="shared" si="698"/>
        <v>4.68</v>
      </c>
      <c r="P4957" s="1">
        <f t="shared" si="699"/>
        <v>2.3877551020408161</v>
      </c>
    </row>
    <row r="4958" spans="1:16">
      <c r="A4958" s="2">
        <v>35864</v>
      </c>
      <c r="B4958" s="1">
        <v>85.51</v>
      </c>
      <c r="C4958" s="1">
        <v>88.15</v>
      </c>
      <c r="D4958" s="1">
        <v>82.87</v>
      </c>
      <c r="E4958" s="1">
        <v>83.11</v>
      </c>
      <c r="F4958" s="1">
        <v>24750000</v>
      </c>
      <c r="G4958" s="1">
        <v>6.93</v>
      </c>
      <c r="H4958" s="1">
        <f t="shared" si="693"/>
        <v>5.2800000000000011</v>
      </c>
      <c r="I4958" s="9">
        <f t="shared" si="700"/>
        <v>6.3714251236877045E-2</v>
      </c>
      <c r="J4958" s="1">
        <f t="shared" si="701"/>
        <v>-3.0000000000000249E-2</v>
      </c>
      <c r="K4958" s="9">
        <f t="shared" si="694"/>
        <v>-4.3103448275862424E-3</v>
      </c>
      <c r="L4958" s="1">
        <f t="shared" si="695"/>
        <v>8.3383467693418353E-2</v>
      </c>
      <c r="M4958" s="1">
        <f t="shared" si="696"/>
        <v>7.3502526771748284</v>
      </c>
      <c r="N4958" s="1">
        <f t="shared" si="697"/>
        <v>6.9099879677535796</v>
      </c>
      <c r="O4958" s="1">
        <f t="shared" si="698"/>
        <v>4.97</v>
      </c>
      <c r="P4958" s="1">
        <f t="shared" si="699"/>
        <v>2.5357142857142856</v>
      </c>
    </row>
    <row r="4959" spans="1:16">
      <c r="A4959" s="2">
        <v>35863</v>
      </c>
      <c r="B4959" s="1">
        <v>76.900000000000006</v>
      </c>
      <c r="C4959" s="1">
        <v>85.78</v>
      </c>
      <c r="D4959" s="1">
        <v>76.78</v>
      </c>
      <c r="E4959" s="1">
        <v>83.5</v>
      </c>
      <c r="F4959" s="1">
        <v>23055600</v>
      </c>
      <c r="G4959" s="1">
        <v>6.96</v>
      </c>
      <c r="H4959" s="1">
        <f t="shared" si="693"/>
        <v>9</v>
      </c>
      <c r="I4959" s="9">
        <f t="shared" si="700"/>
        <v>0.11721802552748112</v>
      </c>
      <c r="J4959" s="1">
        <f t="shared" si="701"/>
        <v>0.55999999999999961</v>
      </c>
      <c r="K4959" s="9">
        <f t="shared" si="694"/>
        <v>8.7499999999999939E-2</v>
      </c>
      <c r="L4959" s="1">
        <f t="shared" si="695"/>
        <v>8.3353293413173657E-2</v>
      </c>
      <c r="M4959" s="1">
        <f t="shared" si="696"/>
        <v>7.1500455089820365</v>
      </c>
      <c r="N4959" s="1">
        <f t="shared" si="697"/>
        <v>6.3998658682634737</v>
      </c>
      <c r="O4959" s="1">
        <f t="shared" si="698"/>
        <v>5</v>
      </c>
      <c r="P4959" s="1">
        <f t="shared" si="699"/>
        <v>2.5510204081632653</v>
      </c>
    </row>
    <row r="4960" spans="1:16">
      <c r="A4960" s="2">
        <v>35860</v>
      </c>
      <c r="B4960" s="1">
        <v>75.55</v>
      </c>
      <c r="C4960" s="1">
        <v>76.989999999999995</v>
      </c>
      <c r="D4960" s="1">
        <v>73.75</v>
      </c>
      <c r="E4960" s="1">
        <v>76.75</v>
      </c>
      <c r="F4960" s="1">
        <v>5887200</v>
      </c>
      <c r="G4960" s="1">
        <v>6.4</v>
      </c>
      <c r="H4960" s="1">
        <f t="shared" si="693"/>
        <v>3.2399999999999949</v>
      </c>
      <c r="I4960" s="9">
        <f t="shared" si="700"/>
        <v>4.3932203389830442E-2</v>
      </c>
      <c r="J4960" s="1">
        <f t="shared" si="701"/>
        <v>0.15000000000000036</v>
      </c>
      <c r="K4960" s="9">
        <f t="shared" si="694"/>
        <v>2.4000000000000056E-2</v>
      </c>
      <c r="L4960" s="1">
        <f t="shared" si="695"/>
        <v>8.3387622149837137E-2</v>
      </c>
      <c r="M4960" s="1">
        <f t="shared" si="696"/>
        <v>6.4200130293159612</v>
      </c>
      <c r="N4960" s="1">
        <f t="shared" si="697"/>
        <v>6.1498371335504887</v>
      </c>
      <c r="O4960" s="1">
        <f t="shared" si="698"/>
        <v>4.4400000000000004</v>
      </c>
      <c r="P4960" s="1">
        <f t="shared" si="699"/>
        <v>2.2653061224489797</v>
      </c>
    </row>
    <row r="4961" spans="1:16">
      <c r="A4961" s="2">
        <v>35859</v>
      </c>
      <c r="B4961" s="1">
        <v>71.760000000000005</v>
      </c>
      <c r="C4961" s="1">
        <v>78.239999999999995</v>
      </c>
      <c r="D4961" s="1">
        <v>71.28</v>
      </c>
      <c r="E4961" s="1">
        <v>75</v>
      </c>
      <c r="F4961" s="1">
        <v>12001200</v>
      </c>
      <c r="G4961" s="1">
        <v>6.25</v>
      </c>
      <c r="H4961" s="1">
        <f t="shared" si="693"/>
        <v>6.9599999999999937</v>
      </c>
      <c r="I4961" s="9">
        <f t="shared" si="700"/>
        <v>9.7643097643097559E-2</v>
      </c>
      <c r="J4961" s="1">
        <f t="shared" si="701"/>
        <v>0.12999999999999989</v>
      </c>
      <c r="K4961" s="9">
        <f t="shared" si="694"/>
        <v>2.1241830065359461E-2</v>
      </c>
      <c r="L4961" s="1">
        <f t="shared" si="695"/>
        <v>8.3333333333333329E-2</v>
      </c>
      <c r="M4961" s="1">
        <f t="shared" si="696"/>
        <v>6.52</v>
      </c>
      <c r="N4961" s="1">
        <f t="shared" si="697"/>
        <v>5.9399999999999995</v>
      </c>
      <c r="O4961" s="1">
        <f t="shared" si="698"/>
        <v>4.29</v>
      </c>
      <c r="P4961" s="1">
        <f t="shared" si="699"/>
        <v>2.1887755102040818</v>
      </c>
    </row>
    <row r="4962" spans="1:16">
      <c r="A4962" s="2">
        <v>35858</v>
      </c>
      <c r="B4962" s="1">
        <v>72</v>
      </c>
      <c r="C4962" s="1">
        <v>74.28</v>
      </c>
      <c r="D4962" s="1">
        <v>69.959999999999994</v>
      </c>
      <c r="E4962" s="1">
        <v>73.44</v>
      </c>
      <c r="F4962" s="1">
        <v>7314000</v>
      </c>
      <c r="G4962" s="1">
        <v>6.12</v>
      </c>
      <c r="H4962" s="1">
        <f t="shared" si="693"/>
        <v>4.3200000000000074</v>
      </c>
      <c r="I4962" s="9">
        <f t="shared" si="700"/>
        <v>6.174957118353356E-2</v>
      </c>
      <c r="J4962" s="1">
        <f t="shared" si="701"/>
        <v>0.13999999999999968</v>
      </c>
      <c r="K4962" s="9">
        <f t="shared" si="694"/>
        <v>2.341137123745814E-2</v>
      </c>
      <c r="L4962" s="1">
        <f t="shared" si="695"/>
        <v>8.3333333333333343E-2</v>
      </c>
      <c r="M4962" s="1">
        <f t="shared" si="696"/>
        <v>6.19</v>
      </c>
      <c r="N4962" s="1">
        <f t="shared" si="697"/>
        <v>5.83</v>
      </c>
      <c r="O4962" s="1">
        <f t="shared" si="698"/>
        <v>4.16</v>
      </c>
      <c r="P4962" s="1">
        <f t="shared" si="699"/>
        <v>2.1224489795918369</v>
      </c>
    </row>
    <row r="4963" spans="1:16">
      <c r="A4963" s="2">
        <v>35857</v>
      </c>
      <c r="B4963" s="1">
        <v>75.47</v>
      </c>
      <c r="C4963" s="1">
        <v>75.709999999999994</v>
      </c>
      <c r="D4963" s="1">
        <v>71.510000000000005</v>
      </c>
      <c r="E4963" s="1">
        <v>71.75</v>
      </c>
      <c r="F4963" s="1">
        <v>8016000</v>
      </c>
      <c r="G4963" s="1">
        <v>5.98</v>
      </c>
      <c r="H4963" s="1">
        <f t="shared" si="693"/>
        <v>4.1999999999999886</v>
      </c>
      <c r="I4963" s="9">
        <f t="shared" si="700"/>
        <v>5.8733044329464246E-2</v>
      </c>
      <c r="J4963" s="1">
        <f t="shared" si="701"/>
        <v>-0.36999999999999922</v>
      </c>
      <c r="K4963" s="9">
        <f t="shared" si="694"/>
        <v>-5.8267716535432952E-2</v>
      </c>
      <c r="L4963" s="1">
        <f t="shared" si="695"/>
        <v>8.3344947735191646E-2</v>
      </c>
      <c r="M4963" s="1">
        <f t="shared" si="696"/>
        <v>6.310045993031359</v>
      </c>
      <c r="N4963" s="1">
        <f t="shared" si="697"/>
        <v>5.9599972125435547</v>
      </c>
      <c r="O4963" s="1">
        <f t="shared" si="698"/>
        <v>4.0200000000000005</v>
      </c>
      <c r="P4963" s="1">
        <f t="shared" si="699"/>
        <v>2.0510204081632657</v>
      </c>
    </row>
    <row r="4964" spans="1:16">
      <c r="A4964" s="2">
        <v>35856</v>
      </c>
      <c r="B4964" s="1">
        <v>75.89</v>
      </c>
      <c r="C4964" s="1">
        <v>77.33</v>
      </c>
      <c r="D4964" s="1">
        <v>75.05</v>
      </c>
      <c r="E4964" s="1">
        <v>76.25</v>
      </c>
      <c r="F4964" s="1">
        <v>10957200</v>
      </c>
      <c r="G4964" s="1">
        <v>6.35</v>
      </c>
      <c r="H4964" s="1">
        <f t="shared" si="693"/>
        <v>2.2800000000000011</v>
      </c>
      <c r="I4964" s="9">
        <f t="shared" si="700"/>
        <v>3.0379746835443054E-2</v>
      </c>
      <c r="J4964" s="1">
        <f t="shared" si="701"/>
        <v>-7.0000000000000284E-2</v>
      </c>
      <c r="K4964" s="9">
        <f t="shared" si="694"/>
        <v>-1.0903426791277303E-2</v>
      </c>
      <c r="L4964" s="1">
        <f t="shared" si="695"/>
        <v>8.3278688524590153E-2</v>
      </c>
      <c r="M4964" s="1">
        <f t="shared" si="696"/>
        <v>6.4399409836065562</v>
      </c>
      <c r="N4964" s="1">
        <f t="shared" si="697"/>
        <v>6.2500655737704909</v>
      </c>
      <c r="O4964" s="1">
        <f t="shared" si="698"/>
        <v>4.3899999999999997</v>
      </c>
      <c r="P4964" s="1">
        <f t="shared" si="699"/>
        <v>2.2397959183673466</v>
      </c>
    </row>
    <row r="4965" spans="1:16">
      <c r="A4965" s="2">
        <v>35853</v>
      </c>
      <c r="B4965" s="1">
        <v>72.2</v>
      </c>
      <c r="C4965" s="1">
        <v>79.64</v>
      </c>
      <c r="D4965" s="1">
        <v>71.72</v>
      </c>
      <c r="E4965" s="1">
        <v>77</v>
      </c>
      <c r="F4965" s="1">
        <v>24706800</v>
      </c>
      <c r="G4965" s="1">
        <v>6.42</v>
      </c>
      <c r="H4965" s="1">
        <f t="shared" si="693"/>
        <v>7.9200000000000017</v>
      </c>
      <c r="I4965" s="9">
        <f t="shared" si="700"/>
        <v>0.11042944785276076</v>
      </c>
      <c r="J4965" s="1">
        <f t="shared" si="701"/>
        <v>0.36000000000000032</v>
      </c>
      <c r="K4965" s="9">
        <f t="shared" si="694"/>
        <v>5.9405940594059466E-2</v>
      </c>
      <c r="L4965" s="1">
        <f t="shared" si="695"/>
        <v>8.3376623376623382E-2</v>
      </c>
      <c r="M4965" s="1">
        <f t="shared" si="696"/>
        <v>6.6401142857142865</v>
      </c>
      <c r="N4965" s="1">
        <f t="shared" si="697"/>
        <v>5.9797714285714285</v>
      </c>
      <c r="O4965" s="1">
        <f t="shared" si="698"/>
        <v>4.46</v>
      </c>
      <c r="P4965" s="1">
        <f t="shared" si="699"/>
        <v>2.2755102040816326</v>
      </c>
    </row>
    <row r="4966" spans="1:16">
      <c r="A4966" s="2">
        <v>35852</v>
      </c>
      <c r="B4966" s="1">
        <v>65.55</v>
      </c>
      <c r="C4966" s="1">
        <v>72.989999999999995</v>
      </c>
      <c r="D4966" s="1">
        <v>65.31</v>
      </c>
      <c r="E4966" s="1">
        <v>72.75</v>
      </c>
      <c r="F4966" s="1">
        <v>15373200</v>
      </c>
      <c r="G4966" s="1">
        <v>6.06</v>
      </c>
      <c r="H4966" s="1">
        <f t="shared" si="693"/>
        <v>7.6799999999999926</v>
      </c>
      <c r="I4966" s="9">
        <f t="shared" si="700"/>
        <v>0.11759301791456121</v>
      </c>
      <c r="J4966" s="1">
        <f t="shared" si="701"/>
        <v>0.5699999999999994</v>
      </c>
      <c r="K4966" s="9">
        <f t="shared" si="694"/>
        <v>0.10382513661202174</v>
      </c>
      <c r="L4966" s="1">
        <f t="shared" si="695"/>
        <v>8.3298969072164941E-2</v>
      </c>
      <c r="M4966" s="1">
        <f t="shared" si="696"/>
        <v>6.0799917525773184</v>
      </c>
      <c r="N4966" s="1">
        <f t="shared" si="697"/>
        <v>5.4402556701030926</v>
      </c>
      <c r="O4966" s="1">
        <f t="shared" si="698"/>
        <v>4.0999999999999996</v>
      </c>
      <c r="P4966" s="1">
        <f t="shared" si="699"/>
        <v>2.0918367346938775</v>
      </c>
    </row>
    <row r="4967" spans="1:16">
      <c r="A4967" s="2">
        <v>35851</v>
      </c>
      <c r="B4967" s="1">
        <v>65.64</v>
      </c>
      <c r="C4967" s="1">
        <v>66.48</v>
      </c>
      <c r="D4967" s="1">
        <v>63.12</v>
      </c>
      <c r="E4967" s="1">
        <v>65.88</v>
      </c>
      <c r="F4967" s="1">
        <v>6745200</v>
      </c>
      <c r="G4967" s="1">
        <v>5.49</v>
      </c>
      <c r="H4967" s="1">
        <f t="shared" si="693"/>
        <v>3.3600000000000065</v>
      </c>
      <c r="I4967" s="9">
        <f t="shared" si="700"/>
        <v>5.3231939163498207E-2</v>
      </c>
      <c r="J4967" s="1">
        <f t="shared" si="701"/>
        <v>8.0000000000000071E-2</v>
      </c>
      <c r="K4967" s="9">
        <f t="shared" si="694"/>
        <v>1.4787430683918681E-2</v>
      </c>
      <c r="L4967" s="1">
        <f t="shared" si="695"/>
        <v>8.3333333333333343E-2</v>
      </c>
      <c r="M4967" s="1">
        <f t="shared" si="696"/>
        <v>5.5400000000000009</v>
      </c>
      <c r="N4967" s="1">
        <f t="shared" si="697"/>
        <v>5.2600000000000007</v>
      </c>
      <c r="O4967" s="1">
        <f t="shared" si="698"/>
        <v>3.5300000000000002</v>
      </c>
      <c r="P4967" s="1">
        <f t="shared" si="699"/>
        <v>1.8010204081632655</v>
      </c>
    </row>
    <row r="4968" spans="1:16">
      <c r="A4968" s="2">
        <v>35850</v>
      </c>
      <c r="B4968" s="1">
        <v>65</v>
      </c>
      <c r="C4968" s="1">
        <v>68.12</v>
      </c>
      <c r="D4968" s="1">
        <v>64.16</v>
      </c>
      <c r="E4968" s="1">
        <v>64.88</v>
      </c>
      <c r="F4968" s="1">
        <v>13945200</v>
      </c>
      <c r="G4968" s="1">
        <v>5.41</v>
      </c>
      <c r="H4968" s="1">
        <f t="shared" si="693"/>
        <v>3.960000000000008</v>
      </c>
      <c r="I4968" s="9">
        <f t="shared" si="700"/>
        <v>6.1720698254364215E-2</v>
      </c>
      <c r="J4968" s="1">
        <f t="shared" si="701"/>
        <v>0</v>
      </c>
      <c r="K4968" s="9">
        <f t="shared" si="694"/>
        <v>0</v>
      </c>
      <c r="L4968" s="1">
        <f t="shared" si="695"/>
        <v>8.3384710234278681E-2</v>
      </c>
      <c r="M4968" s="1">
        <f t="shared" si="696"/>
        <v>5.6801664611590645</v>
      </c>
      <c r="N4968" s="1">
        <f t="shared" si="697"/>
        <v>5.3499630086313195</v>
      </c>
      <c r="O4968" s="1">
        <f t="shared" si="698"/>
        <v>3.45</v>
      </c>
      <c r="P4968" s="1">
        <f t="shared" si="699"/>
        <v>1.7602040816326532</v>
      </c>
    </row>
    <row r="4969" spans="1:16">
      <c r="A4969" s="2">
        <v>35849</v>
      </c>
      <c r="B4969" s="1">
        <v>63.44</v>
      </c>
      <c r="C4969" s="1">
        <v>65</v>
      </c>
      <c r="D4969" s="1">
        <v>62.48</v>
      </c>
      <c r="E4969" s="1">
        <v>64.88</v>
      </c>
      <c r="F4969" s="1">
        <v>3978000</v>
      </c>
      <c r="G4969" s="1">
        <v>5.41</v>
      </c>
      <c r="H4969" s="1">
        <f t="shared" si="693"/>
        <v>2.5200000000000031</v>
      </c>
      <c r="I4969" s="9">
        <f t="shared" si="700"/>
        <v>4.0332906530089682E-2</v>
      </c>
      <c r="J4969" s="1">
        <f t="shared" si="701"/>
        <v>0.14000000000000057</v>
      </c>
      <c r="K4969" s="9">
        <f t="shared" si="694"/>
        <v>2.6565464895635785E-2</v>
      </c>
      <c r="L4969" s="1">
        <f t="shared" si="695"/>
        <v>8.3384710234278681E-2</v>
      </c>
      <c r="M4969" s="1">
        <f t="shared" si="696"/>
        <v>5.4200061652281146</v>
      </c>
      <c r="N4969" s="1">
        <f t="shared" si="697"/>
        <v>5.2098766954377318</v>
      </c>
      <c r="O4969" s="1">
        <f t="shared" si="698"/>
        <v>3.45</v>
      </c>
      <c r="P4969" s="1">
        <f t="shared" si="699"/>
        <v>1.7602040816326532</v>
      </c>
    </row>
    <row r="4970" spans="1:16">
      <c r="A4970" s="2">
        <v>35846</v>
      </c>
      <c r="B4970" s="1">
        <v>62.77</v>
      </c>
      <c r="C4970" s="1">
        <v>63.49</v>
      </c>
      <c r="D4970" s="1">
        <v>61.33</v>
      </c>
      <c r="E4970" s="1">
        <v>63.25</v>
      </c>
      <c r="F4970" s="1">
        <v>2703600</v>
      </c>
      <c r="G4970" s="1">
        <v>5.27</v>
      </c>
      <c r="H4970" s="1">
        <f t="shared" si="693"/>
        <v>2.1600000000000037</v>
      </c>
      <c r="I4970" s="9">
        <f t="shared" si="700"/>
        <v>3.521930539703251E-2</v>
      </c>
      <c r="J4970" s="1">
        <f t="shared" si="701"/>
        <v>3.9999999999999147E-2</v>
      </c>
      <c r="K4970" s="9">
        <f t="shared" si="694"/>
        <v>7.6481835564051904E-3</v>
      </c>
      <c r="L4970" s="1">
        <f t="shared" si="695"/>
        <v>8.3320158102766786E-2</v>
      </c>
      <c r="M4970" s="1">
        <f t="shared" si="696"/>
        <v>5.2899968379446634</v>
      </c>
      <c r="N4970" s="1">
        <f t="shared" si="697"/>
        <v>5.1100252964426867</v>
      </c>
      <c r="O4970" s="1">
        <f t="shared" si="698"/>
        <v>3.3099999999999996</v>
      </c>
      <c r="P4970" s="1">
        <f t="shared" si="699"/>
        <v>1.6887755102040816</v>
      </c>
    </row>
    <row r="4971" spans="1:16">
      <c r="A4971" s="2">
        <v>35845</v>
      </c>
      <c r="B4971" s="1">
        <v>61.31</v>
      </c>
      <c r="C4971" s="1">
        <v>63.47</v>
      </c>
      <c r="D4971" s="1">
        <v>60.95</v>
      </c>
      <c r="E4971" s="1">
        <v>62.75</v>
      </c>
      <c r="F4971" s="1">
        <v>4436400</v>
      </c>
      <c r="G4971" s="1">
        <v>5.23</v>
      </c>
      <c r="H4971" s="1">
        <f t="shared" si="693"/>
        <v>2.519999999999996</v>
      </c>
      <c r="I4971" s="9">
        <f t="shared" si="700"/>
        <v>4.1345365053322328E-2</v>
      </c>
      <c r="J4971" s="1">
        <f t="shared" si="701"/>
        <v>0.16000000000000014</v>
      </c>
      <c r="K4971" s="9">
        <f t="shared" si="694"/>
        <v>3.155818540433928E-2</v>
      </c>
      <c r="L4971" s="1">
        <f t="shared" si="695"/>
        <v>8.3346613545816739E-2</v>
      </c>
      <c r="M4971" s="1">
        <f t="shared" si="696"/>
        <v>5.2900095617529885</v>
      </c>
      <c r="N4971" s="1">
        <f t="shared" si="697"/>
        <v>5.0799760956175302</v>
      </c>
      <c r="O4971" s="1">
        <f t="shared" si="698"/>
        <v>3.2700000000000005</v>
      </c>
      <c r="P4971" s="1">
        <f t="shared" si="699"/>
        <v>1.6683673469387759</v>
      </c>
    </row>
    <row r="4972" spans="1:16">
      <c r="A4972" s="2">
        <v>35844</v>
      </c>
      <c r="B4972" s="1">
        <v>61.84</v>
      </c>
      <c r="C4972" s="1">
        <v>61.84</v>
      </c>
      <c r="D4972" s="1">
        <v>60.64</v>
      </c>
      <c r="E4972" s="1">
        <v>60.88</v>
      </c>
      <c r="F4972" s="1">
        <v>2971200</v>
      </c>
      <c r="G4972" s="1">
        <v>5.07</v>
      </c>
      <c r="H4972" s="1">
        <f t="shared" si="693"/>
        <v>1.2000000000000028</v>
      </c>
      <c r="I4972" s="9">
        <f t="shared" si="700"/>
        <v>1.9788918205804796E-2</v>
      </c>
      <c r="J4972" s="1">
        <f t="shared" si="701"/>
        <v>-8.0000000000000071E-2</v>
      </c>
      <c r="K4972" s="9">
        <f t="shared" si="694"/>
        <v>-1.5533980582524285E-2</v>
      </c>
      <c r="L4972" s="1">
        <f t="shared" si="695"/>
        <v>8.3278580814717479E-2</v>
      </c>
      <c r="M4972" s="1">
        <f t="shared" si="696"/>
        <v>5.1499474375821288</v>
      </c>
      <c r="N4972" s="1">
        <f t="shared" si="697"/>
        <v>5.0500131406044684</v>
      </c>
      <c r="O4972" s="1">
        <f t="shared" si="698"/>
        <v>3.1100000000000003</v>
      </c>
      <c r="P4972" s="1">
        <f t="shared" si="699"/>
        <v>1.5867346938775513</v>
      </c>
    </row>
    <row r="4973" spans="1:16">
      <c r="A4973" s="2">
        <v>35843</v>
      </c>
      <c r="B4973" s="1">
        <v>62.59</v>
      </c>
      <c r="C4973" s="1">
        <v>62.59</v>
      </c>
      <c r="D4973" s="1">
        <v>60.79</v>
      </c>
      <c r="E4973" s="1">
        <v>61.75</v>
      </c>
      <c r="F4973" s="1">
        <v>2376000</v>
      </c>
      <c r="G4973" s="1">
        <v>5.15</v>
      </c>
      <c r="H4973" s="1">
        <f t="shared" si="693"/>
        <v>1.8000000000000043</v>
      </c>
      <c r="I4973" s="9">
        <f t="shared" si="700"/>
        <v>2.9610133245599676E-2</v>
      </c>
      <c r="J4973" s="1">
        <f t="shared" si="701"/>
        <v>-4.0000000000000036E-2</v>
      </c>
      <c r="K4973" s="9">
        <f t="shared" si="694"/>
        <v>-7.7071290944123374E-3</v>
      </c>
      <c r="L4973" s="1">
        <f t="shared" si="695"/>
        <v>8.3400809716599203E-2</v>
      </c>
      <c r="M4973" s="1">
        <f t="shared" si="696"/>
        <v>5.2200566801619441</v>
      </c>
      <c r="N4973" s="1">
        <f t="shared" si="697"/>
        <v>5.0699352226720658</v>
      </c>
      <c r="O4973" s="1">
        <f t="shared" si="698"/>
        <v>3.1900000000000004</v>
      </c>
      <c r="P4973" s="1">
        <f t="shared" si="699"/>
        <v>1.6275510204081636</v>
      </c>
    </row>
    <row r="4974" spans="1:16">
      <c r="A4974" s="2">
        <v>35839</v>
      </c>
      <c r="B4974" s="1">
        <v>62.97</v>
      </c>
      <c r="C4974" s="1">
        <v>63.21</v>
      </c>
      <c r="D4974" s="1">
        <v>61.77</v>
      </c>
      <c r="E4974" s="1">
        <v>62.25</v>
      </c>
      <c r="F4974" s="1">
        <v>8420400</v>
      </c>
      <c r="G4974" s="1">
        <v>5.19</v>
      </c>
      <c r="H4974" s="1">
        <f t="shared" si="693"/>
        <v>1.4399999999999977</v>
      </c>
      <c r="I4974" s="9">
        <f t="shared" si="700"/>
        <v>2.3312287518212686E-2</v>
      </c>
      <c r="J4974" s="1">
        <f t="shared" si="701"/>
        <v>-6.9999999999999396E-2</v>
      </c>
      <c r="K4974" s="9">
        <f t="shared" si="694"/>
        <v>-1.3307984790874411E-2</v>
      </c>
      <c r="L4974" s="1">
        <f t="shared" si="695"/>
        <v>8.3373493975903615E-2</v>
      </c>
      <c r="M4974" s="1">
        <f t="shared" si="696"/>
        <v>5.2700385542168675</v>
      </c>
      <c r="N4974" s="1">
        <f t="shared" si="697"/>
        <v>5.1499807228915664</v>
      </c>
      <c r="O4974" s="1">
        <f t="shared" si="698"/>
        <v>3.2300000000000004</v>
      </c>
      <c r="P4974" s="1">
        <f t="shared" si="699"/>
        <v>1.6479591836734697</v>
      </c>
    </row>
    <row r="4975" spans="1:16">
      <c r="A4975" s="2">
        <v>35838</v>
      </c>
      <c r="B4975" s="1">
        <v>63.25</v>
      </c>
      <c r="C4975" s="1">
        <v>63.61</v>
      </c>
      <c r="D4975" s="1">
        <v>62.29</v>
      </c>
      <c r="E4975" s="1">
        <v>63.13</v>
      </c>
      <c r="F4975" s="1">
        <v>3036000</v>
      </c>
      <c r="G4975" s="1">
        <v>5.26</v>
      </c>
      <c r="H4975" s="1">
        <f t="shared" si="693"/>
        <v>1.3200000000000003</v>
      </c>
      <c r="I4975" s="9">
        <f t="shared" si="700"/>
        <v>2.1191202440199074E-2</v>
      </c>
      <c r="J4975" s="1">
        <f t="shared" si="701"/>
        <v>-3.0000000000000249E-2</v>
      </c>
      <c r="K4975" s="9">
        <f t="shared" si="694"/>
        <v>-5.6710775047259451E-3</v>
      </c>
      <c r="L4975" s="1">
        <f t="shared" si="695"/>
        <v>8.332013305876762E-2</v>
      </c>
      <c r="M4975" s="1">
        <f t="shared" si="696"/>
        <v>5.2999936638682081</v>
      </c>
      <c r="N4975" s="1">
        <f t="shared" si="697"/>
        <v>5.1900110882306354</v>
      </c>
      <c r="O4975" s="1">
        <f t="shared" si="698"/>
        <v>3.3</v>
      </c>
      <c r="P4975" s="1">
        <f t="shared" si="699"/>
        <v>1.6836734693877551</v>
      </c>
    </row>
    <row r="4976" spans="1:16">
      <c r="A4976" s="2">
        <v>35837</v>
      </c>
      <c r="B4976" s="1">
        <v>63.5</v>
      </c>
      <c r="C4976" s="1">
        <v>65.540000000000006</v>
      </c>
      <c r="D4976" s="1">
        <v>63.38</v>
      </c>
      <c r="E4976" s="1">
        <v>63.5</v>
      </c>
      <c r="F4976" s="1">
        <v>6474000</v>
      </c>
      <c r="G4976" s="1">
        <v>5.29</v>
      </c>
      <c r="H4976" s="1">
        <f t="shared" si="693"/>
        <v>2.1600000000000037</v>
      </c>
      <c r="I4976" s="9">
        <f t="shared" si="700"/>
        <v>3.4080151467339913E-2</v>
      </c>
      <c r="J4976" s="1">
        <f t="shared" si="701"/>
        <v>-9.9999999999997868E-3</v>
      </c>
      <c r="K4976" s="9">
        <f t="shared" si="694"/>
        <v>-1.8867924528301486E-3</v>
      </c>
      <c r="L4976" s="1">
        <f t="shared" si="695"/>
        <v>8.3307086614173229E-2</v>
      </c>
      <c r="M4976" s="1">
        <f t="shared" si="696"/>
        <v>5.4599464566929141</v>
      </c>
      <c r="N4976" s="1">
        <f t="shared" si="697"/>
        <v>5.2800031496062996</v>
      </c>
      <c r="O4976" s="1">
        <f t="shared" si="698"/>
        <v>3.33</v>
      </c>
      <c r="P4976" s="1">
        <f t="shared" si="699"/>
        <v>1.6989795918367347</v>
      </c>
    </row>
    <row r="4977" spans="1:16">
      <c r="A4977" s="2">
        <v>35836</v>
      </c>
      <c r="B4977" s="1">
        <v>58.59</v>
      </c>
      <c r="C4977" s="1">
        <v>63.87</v>
      </c>
      <c r="D4977" s="1">
        <v>57.99</v>
      </c>
      <c r="E4977" s="1">
        <v>63.63</v>
      </c>
      <c r="F4977" s="1">
        <v>12296400</v>
      </c>
      <c r="G4977" s="1">
        <v>5.3</v>
      </c>
      <c r="H4977" s="1">
        <f t="shared" si="693"/>
        <v>5.8799999999999955</v>
      </c>
      <c r="I4977" s="9">
        <f t="shared" si="700"/>
        <v>0.10139679255043965</v>
      </c>
      <c r="J4977" s="1">
        <f t="shared" si="701"/>
        <v>0.45000000000000018</v>
      </c>
      <c r="K4977" s="9">
        <f t="shared" si="694"/>
        <v>9.278350515463922E-2</v>
      </c>
      <c r="L4977" s="1">
        <f t="shared" si="695"/>
        <v>8.3294043690083294E-2</v>
      </c>
      <c r="M4977" s="1">
        <f t="shared" si="696"/>
        <v>5.3199905704856194</v>
      </c>
      <c r="N4977" s="1">
        <f t="shared" si="697"/>
        <v>4.8302215935879307</v>
      </c>
      <c r="O4977" s="1">
        <f t="shared" si="698"/>
        <v>3.34</v>
      </c>
      <c r="P4977" s="1">
        <f t="shared" si="699"/>
        <v>1.7040816326530612</v>
      </c>
    </row>
    <row r="4978" spans="1:16">
      <c r="A4978" s="2">
        <v>35835</v>
      </c>
      <c r="B4978" s="1">
        <v>59.09</v>
      </c>
      <c r="C4978" s="1">
        <v>59.57</v>
      </c>
      <c r="D4978" s="1">
        <v>57.29</v>
      </c>
      <c r="E4978" s="1">
        <v>58.25</v>
      </c>
      <c r="F4978" s="1">
        <v>2626800</v>
      </c>
      <c r="G4978" s="1">
        <v>4.8499999999999996</v>
      </c>
      <c r="H4978" s="1">
        <f t="shared" si="693"/>
        <v>2.2800000000000011</v>
      </c>
      <c r="I4978" s="9">
        <f t="shared" si="700"/>
        <v>3.9797521382440235E-2</v>
      </c>
      <c r="J4978" s="1">
        <f t="shared" si="701"/>
        <v>-6.0000000000000497E-2</v>
      </c>
      <c r="K4978" s="9">
        <f t="shared" si="694"/>
        <v>-1.2219959266802544E-2</v>
      </c>
      <c r="L4978" s="1">
        <f t="shared" si="695"/>
        <v>8.3261802575107291E-2</v>
      </c>
      <c r="M4978" s="1">
        <f t="shared" si="696"/>
        <v>4.9599055793991411</v>
      </c>
      <c r="N4978" s="1">
        <f t="shared" si="697"/>
        <v>4.7700686695278964</v>
      </c>
      <c r="O4978" s="1">
        <f t="shared" si="698"/>
        <v>2.8899999999999997</v>
      </c>
      <c r="P4978" s="1">
        <f t="shared" si="699"/>
        <v>1.4744897959183672</v>
      </c>
    </row>
    <row r="4979" spans="1:16">
      <c r="A4979" s="2">
        <v>35832</v>
      </c>
      <c r="B4979" s="1">
        <v>59.12</v>
      </c>
      <c r="C4979" s="1">
        <v>60.2</v>
      </c>
      <c r="D4979" s="1">
        <v>58.52</v>
      </c>
      <c r="E4979" s="1">
        <v>58.88</v>
      </c>
      <c r="F4979" s="1">
        <v>2122800</v>
      </c>
      <c r="G4979" s="1">
        <v>4.91</v>
      </c>
      <c r="H4979" s="1">
        <f t="shared" si="693"/>
        <v>1.6799999999999997</v>
      </c>
      <c r="I4979" s="9">
        <f t="shared" si="700"/>
        <v>2.870813397129186E-2</v>
      </c>
      <c r="J4979" s="1">
        <f t="shared" si="701"/>
        <v>-3.0000000000000249E-2</v>
      </c>
      <c r="K4979" s="9">
        <f t="shared" si="694"/>
        <v>-6.072874493927175E-3</v>
      </c>
      <c r="L4979" s="1">
        <f t="shared" si="695"/>
        <v>8.3389945652173905E-2</v>
      </c>
      <c r="M4979" s="1">
        <f t="shared" si="696"/>
        <v>5.0200747282608695</v>
      </c>
      <c r="N4979" s="1">
        <f t="shared" si="697"/>
        <v>4.8799796195652174</v>
      </c>
      <c r="O4979" s="1">
        <f t="shared" si="698"/>
        <v>2.95</v>
      </c>
      <c r="P4979" s="1">
        <f t="shared" si="699"/>
        <v>1.5051020408163267</v>
      </c>
    </row>
    <row r="4980" spans="1:16">
      <c r="A4980" s="2">
        <v>35831</v>
      </c>
      <c r="B4980" s="1">
        <v>61.29</v>
      </c>
      <c r="C4980" s="1">
        <v>61.29</v>
      </c>
      <c r="D4980" s="1">
        <v>58.53</v>
      </c>
      <c r="E4980" s="1">
        <v>59.25</v>
      </c>
      <c r="F4980" s="1">
        <v>5832000</v>
      </c>
      <c r="G4980" s="1">
        <v>4.9400000000000004</v>
      </c>
      <c r="H4980" s="1">
        <f t="shared" si="693"/>
        <v>2.759999999999998</v>
      </c>
      <c r="I4980" s="9">
        <f t="shared" si="700"/>
        <v>4.7155304971809295E-2</v>
      </c>
      <c r="J4980" s="1">
        <f t="shared" si="701"/>
        <v>-0.11999999999999922</v>
      </c>
      <c r="K4980" s="9">
        <f t="shared" si="694"/>
        <v>-2.3715415019762692E-2</v>
      </c>
      <c r="L4980" s="1">
        <f t="shared" si="695"/>
        <v>8.3375527426160348E-2</v>
      </c>
      <c r="M4980" s="1">
        <f t="shared" si="696"/>
        <v>5.1100860759493676</v>
      </c>
      <c r="N4980" s="1">
        <f t="shared" si="697"/>
        <v>4.8799696202531653</v>
      </c>
      <c r="O4980" s="1">
        <f t="shared" si="698"/>
        <v>2.9800000000000004</v>
      </c>
      <c r="P4980" s="1">
        <f t="shared" si="699"/>
        <v>1.5204081632653064</v>
      </c>
    </row>
    <row r="4981" spans="1:16">
      <c r="A4981" s="2">
        <v>35830</v>
      </c>
      <c r="B4981" s="1">
        <v>60.75</v>
      </c>
      <c r="C4981" s="1">
        <v>62.31</v>
      </c>
      <c r="D4981" s="1">
        <v>60.63</v>
      </c>
      <c r="E4981" s="1">
        <v>60.75</v>
      </c>
      <c r="F4981" s="1">
        <v>1234800</v>
      </c>
      <c r="G4981" s="1">
        <v>5.0599999999999996</v>
      </c>
      <c r="H4981" s="1">
        <f t="shared" si="693"/>
        <v>1.6799999999999997</v>
      </c>
      <c r="I4981" s="9">
        <f t="shared" si="700"/>
        <v>2.770905492330529E-2</v>
      </c>
      <c r="J4981" s="1">
        <f t="shared" si="701"/>
        <v>-9.0000000000000746E-2</v>
      </c>
      <c r="K4981" s="9">
        <f t="shared" si="694"/>
        <v>-1.7475728155339949E-2</v>
      </c>
      <c r="L4981" s="1">
        <f t="shared" si="695"/>
        <v>8.3292181069958837E-2</v>
      </c>
      <c r="M4981" s="1">
        <f t="shared" si="696"/>
        <v>5.1899358024691358</v>
      </c>
      <c r="N4981" s="1">
        <f t="shared" si="697"/>
        <v>5.0500049382716048</v>
      </c>
      <c r="O4981" s="1">
        <f t="shared" si="698"/>
        <v>3.0999999999999996</v>
      </c>
      <c r="P4981" s="1">
        <f t="shared" si="699"/>
        <v>1.5816326530612244</v>
      </c>
    </row>
    <row r="4982" spans="1:16">
      <c r="A4982" s="2">
        <v>35829</v>
      </c>
      <c r="B4982" s="1">
        <v>62.29</v>
      </c>
      <c r="C4982" s="1">
        <v>63.01</v>
      </c>
      <c r="D4982" s="1">
        <v>61.09</v>
      </c>
      <c r="E4982" s="1">
        <v>61.81</v>
      </c>
      <c r="F4982" s="1">
        <v>4429200</v>
      </c>
      <c r="G4982" s="1">
        <v>5.15</v>
      </c>
      <c r="H4982" s="1">
        <f t="shared" si="693"/>
        <v>1.9199999999999946</v>
      </c>
      <c r="I4982" s="9">
        <f t="shared" si="700"/>
        <v>3.1429039122605903E-2</v>
      </c>
      <c r="J4982" s="1">
        <f t="shared" si="701"/>
        <v>-4.9999999999999822E-2</v>
      </c>
      <c r="K4982" s="9">
        <f t="shared" si="694"/>
        <v>-9.6153846153845812E-3</v>
      </c>
      <c r="L4982" s="1">
        <f t="shared" si="695"/>
        <v>8.3319851156770749E-2</v>
      </c>
      <c r="M4982" s="1">
        <f t="shared" si="696"/>
        <v>5.2499838213881249</v>
      </c>
      <c r="N4982" s="1">
        <f t="shared" si="697"/>
        <v>5.0900097071671251</v>
      </c>
      <c r="O4982" s="1">
        <f t="shared" si="698"/>
        <v>3.1900000000000004</v>
      </c>
      <c r="P4982" s="1">
        <f t="shared" si="699"/>
        <v>1.6275510204081636</v>
      </c>
    </row>
    <row r="4983" spans="1:16">
      <c r="A4983" s="2">
        <v>35828</v>
      </c>
      <c r="B4983" s="1">
        <v>59.38</v>
      </c>
      <c r="C4983" s="1">
        <v>62.5</v>
      </c>
      <c r="D4983" s="1">
        <v>59.26</v>
      </c>
      <c r="E4983" s="1">
        <v>62.38</v>
      </c>
      <c r="F4983" s="1">
        <v>6913200</v>
      </c>
      <c r="G4983" s="1">
        <v>5.2</v>
      </c>
      <c r="H4983" s="1">
        <f t="shared" si="693"/>
        <v>3.240000000000002</v>
      </c>
      <c r="I4983" s="9">
        <f t="shared" si="700"/>
        <v>5.4674316571042894E-2</v>
      </c>
      <c r="J4983" s="1">
        <f t="shared" si="701"/>
        <v>0.28000000000000025</v>
      </c>
      <c r="K4983" s="9">
        <f t="shared" si="694"/>
        <v>5.691056910569111E-2</v>
      </c>
      <c r="L4983" s="1">
        <f t="shared" si="695"/>
        <v>8.336005129849311E-2</v>
      </c>
      <c r="M4983" s="1">
        <f t="shared" si="696"/>
        <v>5.210003206155819</v>
      </c>
      <c r="N4983" s="1">
        <f t="shared" si="697"/>
        <v>4.9399166399487013</v>
      </c>
      <c r="O4983" s="1">
        <f t="shared" si="698"/>
        <v>3.24</v>
      </c>
      <c r="P4983" s="1">
        <f t="shared" si="699"/>
        <v>1.653061224489796</v>
      </c>
    </row>
    <row r="4984" spans="1:16">
      <c r="A4984" s="2">
        <v>35825</v>
      </c>
      <c r="B4984" s="1">
        <v>59.96</v>
      </c>
      <c r="C4984" s="1">
        <v>60.68</v>
      </c>
      <c r="D4984" s="1">
        <v>58.64</v>
      </c>
      <c r="E4984" s="1">
        <v>59</v>
      </c>
      <c r="F4984" s="1">
        <v>3722400</v>
      </c>
      <c r="G4984" s="1">
        <v>4.92</v>
      </c>
      <c r="H4984" s="1">
        <f t="shared" si="693"/>
        <v>2.0399999999999991</v>
      </c>
      <c r="I4984" s="9">
        <f t="shared" si="700"/>
        <v>3.478854024556615E-2</v>
      </c>
      <c r="J4984" s="1">
        <f t="shared" si="701"/>
        <v>-4.0000000000000036E-2</v>
      </c>
      <c r="K4984" s="9">
        <f t="shared" si="694"/>
        <v>-8.0645161290322648E-3</v>
      </c>
      <c r="L4984" s="1">
        <f t="shared" si="695"/>
        <v>8.338983050847458E-2</v>
      </c>
      <c r="M4984" s="1">
        <f t="shared" si="696"/>
        <v>5.0600949152542372</v>
      </c>
      <c r="N4984" s="1">
        <f t="shared" si="697"/>
        <v>4.889979661016949</v>
      </c>
      <c r="O4984" s="1">
        <f t="shared" si="698"/>
        <v>2.96</v>
      </c>
      <c r="P4984" s="1">
        <f t="shared" si="699"/>
        <v>1.510204081632653</v>
      </c>
    </row>
    <row r="4985" spans="1:16">
      <c r="A4985" s="2">
        <v>35824</v>
      </c>
      <c r="B4985" s="1">
        <v>57.46</v>
      </c>
      <c r="C4985" s="1">
        <v>59.86</v>
      </c>
      <c r="D4985" s="1">
        <v>57.34</v>
      </c>
      <c r="E4985" s="1">
        <v>59.5</v>
      </c>
      <c r="F4985" s="1">
        <v>4836000</v>
      </c>
      <c r="G4985" s="1">
        <v>4.96</v>
      </c>
      <c r="H4985" s="1">
        <f t="shared" si="693"/>
        <v>2.519999999999996</v>
      </c>
      <c r="I4985" s="9">
        <f t="shared" si="700"/>
        <v>4.3948378095570208E-2</v>
      </c>
      <c r="J4985" s="1">
        <f t="shared" si="701"/>
        <v>0.19000000000000039</v>
      </c>
      <c r="K4985" s="9">
        <f t="shared" si="694"/>
        <v>3.9832285115304067E-2</v>
      </c>
      <c r="L4985" s="1">
        <f t="shared" si="695"/>
        <v>8.336134453781513E-2</v>
      </c>
      <c r="M4985" s="1">
        <f t="shared" si="696"/>
        <v>4.9900100840336137</v>
      </c>
      <c r="N4985" s="1">
        <f t="shared" si="697"/>
        <v>4.7799394957983194</v>
      </c>
      <c r="O4985" s="1">
        <f t="shared" si="698"/>
        <v>3</v>
      </c>
      <c r="P4985" s="1">
        <f t="shared" si="699"/>
        <v>1.5306122448979591</v>
      </c>
    </row>
    <row r="4986" spans="1:16">
      <c r="A4986" s="2">
        <v>35823</v>
      </c>
      <c r="B4986" s="1">
        <v>57.01</v>
      </c>
      <c r="C4986" s="1">
        <v>57.97</v>
      </c>
      <c r="D4986" s="1">
        <v>55.57</v>
      </c>
      <c r="E4986" s="1">
        <v>57.25</v>
      </c>
      <c r="F4986" s="1">
        <v>5293200</v>
      </c>
      <c r="G4986" s="1">
        <v>4.7699999999999996</v>
      </c>
      <c r="H4986" s="1">
        <f t="shared" si="693"/>
        <v>2.3999999999999986</v>
      </c>
      <c r="I4986" s="9">
        <f t="shared" si="700"/>
        <v>4.3188770919560887E-2</v>
      </c>
      <c r="J4986" s="1">
        <f t="shared" si="701"/>
        <v>1.9999999999999574E-2</v>
      </c>
      <c r="K4986" s="9">
        <f t="shared" si="694"/>
        <v>4.2105263157893843E-3</v>
      </c>
      <c r="L4986" s="1">
        <f t="shared" si="695"/>
        <v>8.3318777292576418E-2</v>
      </c>
      <c r="M4986" s="1">
        <f t="shared" si="696"/>
        <v>4.8299895196506553</v>
      </c>
      <c r="N4986" s="1">
        <f t="shared" si="697"/>
        <v>4.6300244541484714</v>
      </c>
      <c r="O4986" s="1">
        <f t="shared" si="698"/>
        <v>2.8099999999999996</v>
      </c>
      <c r="P4986" s="1">
        <f t="shared" si="699"/>
        <v>1.4336734693877549</v>
      </c>
    </row>
    <row r="4987" spans="1:16">
      <c r="A4987" s="2">
        <v>35822</v>
      </c>
      <c r="B4987" s="1">
        <v>57.84</v>
      </c>
      <c r="C4987" s="1">
        <v>58.32</v>
      </c>
      <c r="D4987" s="1">
        <v>56.04</v>
      </c>
      <c r="E4987" s="1">
        <v>57</v>
      </c>
      <c r="F4987" s="1">
        <v>4104000</v>
      </c>
      <c r="G4987" s="1">
        <v>4.75</v>
      </c>
      <c r="H4987" s="1">
        <f t="shared" si="693"/>
        <v>2.2800000000000011</v>
      </c>
      <c r="I4987" s="9">
        <f t="shared" si="700"/>
        <v>4.0685224839400451E-2</v>
      </c>
      <c r="J4987" s="1">
        <f t="shared" si="701"/>
        <v>-5.9999999999999609E-2</v>
      </c>
      <c r="K4987" s="9">
        <f t="shared" si="694"/>
        <v>-1.2474012474012393E-2</v>
      </c>
      <c r="L4987" s="1">
        <f t="shared" si="695"/>
        <v>8.3333333333333329E-2</v>
      </c>
      <c r="M4987" s="1">
        <f t="shared" si="696"/>
        <v>4.8599999999999994</v>
      </c>
      <c r="N4987" s="1">
        <f t="shared" si="697"/>
        <v>4.67</v>
      </c>
      <c r="O4987" s="1">
        <f t="shared" si="698"/>
        <v>2.79</v>
      </c>
      <c r="P4987" s="1">
        <f t="shared" si="699"/>
        <v>1.4234693877551021</v>
      </c>
    </row>
    <row r="4988" spans="1:16">
      <c r="A4988" s="2">
        <v>35821</v>
      </c>
      <c r="B4988" s="1">
        <v>59.79</v>
      </c>
      <c r="C4988" s="1">
        <v>59.91</v>
      </c>
      <c r="D4988" s="1">
        <v>56.91</v>
      </c>
      <c r="E4988" s="1">
        <v>57.75</v>
      </c>
      <c r="F4988" s="1">
        <v>4712400</v>
      </c>
      <c r="G4988" s="1">
        <v>4.8099999999999996</v>
      </c>
      <c r="H4988" s="1">
        <f t="shared" si="693"/>
        <v>3</v>
      </c>
      <c r="I4988" s="9">
        <f t="shared" si="700"/>
        <v>5.2714812862414341E-2</v>
      </c>
      <c r="J4988" s="1">
        <f t="shared" si="701"/>
        <v>-0.13000000000000078</v>
      </c>
      <c r="K4988" s="9">
        <f t="shared" si="694"/>
        <v>-2.6315789473684365E-2</v>
      </c>
      <c r="L4988" s="1">
        <f t="shared" si="695"/>
        <v>8.3290043290043289E-2</v>
      </c>
      <c r="M4988" s="1">
        <f t="shared" si="696"/>
        <v>4.989906493506493</v>
      </c>
      <c r="N4988" s="1">
        <f t="shared" si="697"/>
        <v>4.7400363636363636</v>
      </c>
      <c r="O4988" s="1">
        <f t="shared" si="698"/>
        <v>2.8499999999999996</v>
      </c>
      <c r="P4988" s="1">
        <f t="shared" si="699"/>
        <v>1.454081632653061</v>
      </c>
    </row>
    <row r="4989" spans="1:16">
      <c r="A4989" s="2">
        <v>35818</v>
      </c>
      <c r="B4989" s="1">
        <v>64.05</v>
      </c>
      <c r="C4989" s="1">
        <v>64.05</v>
      </c>
      <c r="D4989" s="1">
        <v>59.25</v>
      </c>
      <c r="E4989" s="1">
        <v>59.25</v>
      </c>
      <c r="F4989" s="1">
        <v>9118800</v>
      </c>
      <c r="G4989" s="1">
        <v>4.9400000000000004</v>
      </c>
      <c r="H4989" s="1">
        <f t="shared" si="693"/>
        <v>4.7999999999999972</v>
      </c>
      <c r="I4989" s="9">
        <f t="shared" si="700"/>
        <v>8.1012658227848047E-2</v>
      </c>
      <c r="J4989" s="1">
        <f t="shared" si="701"/>
        <v>-0.19999999999999929</v>
      </c>
      <c r="K4989" s="9">
        <f t="shared" si="694"/>
        <v>-3.8910505836575737E-2</v>
      </c>
      <c r="L4989" s="1">
        <f t="shared" si="695"/>
        <v>8.3375527426160348E-2</v>
      </c>
      <c r="M4989" s="1">
        <f t="shared" si="696"/>
        <v>5.3402025316455699</v>
      </c>
      <c r="N4989" s="1">
        <f t="shared" si="697"/>
        <v>4.9400000000000004</v>
      </c>
      <c r="O4989" s="1">
        <f t="shared" si="698"/>
        <v>2.9800000000000004</v>
      </c>
      <c r="P4989" s="1">
        <f t="shared" si="699"/>
        <v>1.5204081632653064</v>
      </c>
    </row>
    <row r="4990" spans="1:16">
      <c r="A4990" s="2">
        <v>35817</v>
      </c>
      <c r="B4990" s="1">
        <v>60.79</v>
      </c>
      <c r="C4990" s="1">
        <v>63.19</v>
      </c>
      <c r="D4990" s="1">
        <v>60.19</v>
      </c>
      <c r="E4990" s="1">
        <v>61.63</v>
      </c>
      <c r="F4990" s="1">
        <v>9471600</v>
      </c>
      <c r="G4990" s="1">
        <v>5.14</v>
      </c>
      <c r="H4990" s="1">
        <f t="shared" si="693"/>
        <v>3</v>
      </c>
      <c r="I4990" s="9">
        <f t="shared" si="700"/>
        <v>4.9842166472836021E-2</v>
      </c>
      <c r="J4990" s="1">
        <f t="shared" si="701"/>
        <v>6.9999999999999396E-2</v>
      </c>
      <c r="K4990" s="9">
        <f t="shared" si="694"/>
        <v>1.3806706114398302E-2</v>
      </c>
      <c r="L4990" s="1">
        <f t="shared" si="695"/>
        <v>8.3400941100113576E-2</v>
      </c>
      <c r="M4990" s="1">
        <f t="shared" si="696"/>
        <v>5.270105468116177</v>
      </c>
      <c r="N4990" s="1">
        <f t="shared" si="697"/>
        <v>5.0199026448158364</v>
      </c>
      <c r="O4990" s="1">
        <f t="shared" si="698"/>
        <v>3.1799999999999997</v>
      </c>
      <c r="P4990" s="1">
        <f t="shared" si="699"/>
        <v>1.6224489795918366</v>
      </c>
    </row>
    <row r="4991" spans="1:16">
      <c r="A4991" s="2">
        <v>35816</v>
      </c>
      <c r="B4991" s="1">
        <v>59.32</v>
      </c>
      <c r="C4991" s="1">
        <v>62.08</v>
      </c>
      <c r="D4991" s="1">
        <v>58.6</v>
      </c>
      <c r="E4991" s="1">
        <v>60.88</v>
      </c>
      <c r="F4991" s="1">
        <v>8738400</v>
      </c>
      <c r="G4991" s="1">
        <v>5.07</v>
      </c>
      <c r="H4991" s="1">
        <f t="shared" si="693"/>
        <v>3.4799999999999969</v>
      </c>
      <c r="I4991" s="9">
        <f t="shared" si="700"/>
        <v>5.9385665529010187E-2</v>
      </c>
      <c r="J4991" s="1">
        <f t="shared" si="701"/>
        <v>0.12000000000000011</v>
      </c>
      <c r="K4991" s="9">
        <f t="shared" si="694"/>
        <v>2.4242424242424263E-2</v>
      </c>
      <c r="L4991" s="1">
        <f t="shared" si="695"/>
        <v>8.3278580814717479E-2</v>
      </c>
      <c r="M4991" s="1">
        <f t="shared" si="696"/>
        <v>5.1699342969776607</v>
      </c>
      <c r="N4991" s="1">
        <f t="shared" si="697"/>
        <v>4.8801248357424445</v>
      </c>
      <c r="O4991" s="1">
        <f t="shared" si="698"/>
        <v>3.1100000000000003</v>
      </c>
      <c r="P4991" s="1">
        <f t="shared" si="699"/>
        <v>1.5867346938775513</v>
      </c>
    </row>
    <row r="4992" spans="1:16">
      <c r="A4992" s="2">
        <v>35815</v>
      </c>
      <c r="B4992" s="1">
        <v>57.88</v>
      </c>
      <c r="C4992" s="1">
        <v>60.16</v>
      </c>
      <c r="D4992" s="1">
        <v>57.76</v>
      </c>
      <c r="E4992" s="1">
        <v>59.44</v>
      </c>
      <c r="F4992" s="1">
        <v>5467200</v>
      </c>
      <c r="G4992" s="1">
        <v>4.95</v>
      </c>
      <c r="H4992" s="1">
        <f t="shared" si="693"/>
        <v>2.3999999999999986</v>
      </c>
      <c r="I4992" s="9">
        <f t="shared" si="700"/>
        <v>4.15512465373961E-2</v>
      </c>
      <c r="J4992" s="1">
        <f t="shared" si="701"/>
        <v>0.16000000000000014</v>
      </c>
      <c r="K4992" s="9">
        <f t="shared" si="694"/>
        <v>3.3402922755741159E-2</v>
      </c>
      <c r="L4992" s="1">
        <f t="shared" si="695"/>
        <v>8.3277254374158824E-2</v>
      </c>
      <c r="M4992" s="1">
        <f t="shared" si="696"/>
        <v>5.0099596231493946</v>
      </c>
      <c r="N4992" s="1">
        <f t="shared" si="697"/>
        <v>4.8100942126514132</v>
      </c>
      <c r="O4992" s="1">
        <f t="shared" si="698"/>
        <v>2.99</v>
      </c>
      <c r="P4992" s="1">
        <f t="shared" si="699"/>
        <v>1.5255102040816328</v>
      </c>
    </row>
    <row r="4993" spans="1:16">
      <c r="A4993" s="2">
        <v>35811</v>
      </c>
      <c r="B4993" s="1">
        <v>59.54</v>
      </c>
      <c r="C4993" s="1">
        <v>59.78</v>
      </c>
      <c r="D4993" s="1">
        <v>57.26</v>
      </c>
      <c r="E4993" s="1">
        <v>57.5</v>
      </c>
      <c r="F4993" s="1">
        <v>2563200</v>
      </c>
      <c r="G4993" s="1">
        <v>4.79</v>
      </c>
      <c r="H4993" s="1">
        <f t="shared" si="693"/>
        <v>2.5200000000000031</v>
      </c>
      <c r="I4993" s="9">
        <f t="shared" si="700"/>
        <v>4.4009779951100302E-2</v>
      </c>
      <c r="J4993" s="1">
        <f t="shared" si="701"/>
        <v>-0.16000000000000014</v>
      </c>
      <c r="K4993" s="9">
        <f t="shared" si="694"/>
        <v>-3.2323232323232351E-2</v>
      </c>
      <c r="L4993" s="1">
        <f t="shared" si="695"/>
        <v>8.3304347826086964E-2</v>
      </c>
      <c r="M4993" s="1">
        <f t="shared" si="696"/>
        <v>4.979933913043479</v>
      </c>
      <c r="N4993" s="1">
        <f t="shared" si="697"/>
        <v>4.7700069565217396</v>
      </c>
      <c r="O4993" s="1">
        <f t="shared" si="698"/>
        <v>2.83</v>
      </c>
      <c r="P4993" s="1">
        <f t="shared" si="699"/>
        <v>1.4438775510204083</v>
      </c>
    </row>
    <row r="4994" spans="1:16">
      <c r="A4994" s="2">
        <v>35810</v>
      </c>
      <c r="B4994" s="1">
        <v>57.52</v>
      </c>
      <c r="C4994" s="1">
        <v>60.16</v>
      </c>
      <c r="D4994" s="1">
        <v>57.52</v>
      </c>
      <c r="E4994" s="1">
        <v>59.44</v>
      </c>
      <c r="F4994" s="1">
        <v>6014400</v>
      </c>
      <c r="G4994" s="1">
        <v>4.95</v>
      </c>
      <c r="H4994" s="1">
        <f t="shared" si="693"/>
        <v>2.6399999999999935</v>
      </c>
      <c r="I4994" s="9">
        <f t="shared" si="700"/>
        <v>4.5897079276773181E-2</v>
      </c>
      <c r="J4994" s="1">
        <f t="shared" si="701"/>
        <v>7.0000000000000284E-2</v>
      </c>
      <c r="K4994" s="9">
        <f t="shared" si="694"/>
        <v>1.4344262295082027E-2</v>
      </c>
      <c r="L4994" s="1">
        <f t="shared" si="695"/>
        <v>8.3277254374158824E-2</v>
      </c>
      <c r="M4994" s="1">
        <f t="shared" si="696"/>
        <v>5.0099596231493946</v>
      </c>
      <c r="N4994" s="1">
        <f t="shared" si="697"/>
        <v>4.790107671601616</v>
      </c>
      <c r="O4994" s="1">
        <f t="shared" si="698"/>
        <v>2.99</v>
      </c>
      <c r="P4994" s="1">
        <f t="shared" si="699"/>
        <v>1.5255102040816328</v>
      </c>
    </row>
    <row r="4995" spans="1:16">
      <c r="A4995" s="2">
        <v>35809</v>
      </c>
      <c r="B4995" s="1">
        <v>55.86</v>
      </c>
      <c r="C4995" s="1">
        <v>58.5</v>
      </c>
      <c r="D4995" s="1">
        <v>55.5</v>
      </c>
      <c r="E4995" s="1">
        <v>58.5</v>
      </c>
      <c r="F4995" s="1">
        <v>8505600</v>
      </c>
      <c r="G4995" s="1">
        <v>4.88</v>
      </c>
      <c r="H4995" s="1">
        <f t="shared" ref="H4995:H5058" si="702">C4995-D4995</f>
        <v>3</v>
      </c>
      <c r="I4995" s="9">
        <f t="shared" si="700"/>
        <v>5.4054054054054057E-2</v>
      </c>
      <c r="J4995" s="1">
        <f t="shared" si="701"/>
        <v>0.22999999999999954</v>
      </c>
      <c r="K4995" s="9">
        <f t="shared" ref="K4995:K5058" si="703">(G4995-G4996)/G4996</f>
        <v>4.9462365591397744E-2</v>
      </c>
      <c r="L4995" s="1">
        <f t="shared" ref="L4995:L5058" si="704">G4995/E4995</f>
        <v>8.3418803418803422E-2</v>
      </c>
      <c r="M4995" s="1">
        <f t="shared" ref="M4995:M5058" si="705">L4995*C4995</f>
        <v>4.88</v>
      </c>
      <c r="N4995" s="1">
        <f t="shared" ref="N4995:N5058" si="706">L4995*D4995</f>
        <v>4.6297435897435903</v>
      </c>
      <c r="O4995" s="1">
        <f t="shared" ref="O4995:O5058" si="707">G4995-$G$5163</f>
        <v>2.92</v>
      </c>
      <c r="P4995" s="1">
        <f t="shared" ref="P4995:P5058" si="708">(G4995-$G$5163)/$G$5163</f>
        <v>1.489795918367347</v>
      </c>
    </row>
    <row r="4996" spans="1:16">
      <c r="A4996" s="2">
        <v>35808</v>
      </c>
      <c r="B4996" s="1">
        <v>52.03</v>
      </c>
      <c r="C4996" s="1">
        <v>55.99</v>
      </c>
      <c r="D4996" s="1">
        <v>51.79</v>
      </c>
      <c r="E4996" s="1">
        <v>55.75</v>
      </c>
      <c r="F4996" s="1">
        <v>7321200</v>
      </c>
      <c r="G4996" s="1">
        <v>4.6500000000000004</v>
      </c>
      <c r="H4996" s="1">
        <f t="shared" si="702"/>
        <v>4.2000000000000028</v>
      </c>
      <c r="I4996" s="9">
        <f t="shared" ref="I4996:I5059" si="709">(C4996-D4996)/D4996</f>
        <v>8.1096736821780327E-2</v>
      </c>
      <c r="J4996" s="1">
        <f t="shared" ref="J4996:J5059" si="710">G4996-G4997</f>
        <v>0.35000000000000053</v>
      </c>
      <c r="K4996" s="9">
        <f t="shared" si="703"/>
        <v>8.1395348837209433E-2</v>
      </c>
      <c r="L4996" s="1">
        <f t="shared" si="704"/>
        <v>8.3408071748878931E-2</v>
      </c>
      <c r="M4996" s="1">
        <f t="shared" si="705"/>
        <v>4.6700179372197317</v>
      </c>
      <c r="N4996" s="1">
        <f t="shared" si="706"/>
        <v>4.3197040358744401</v>
      </c>
      <c r="O4996" s="1">
        <f t="shared" si="707"/>
        <v>2.6900000000000004</v>
      </c>
      <c r="P4996" s="1">
        <f t="shared" si="708"/>
        <v>1.3724489795918369</v>
      </c>
    </row>
    <row r="4997" spans="1:16">
      <c r="A4997" s="2">
        <v>35807</v>
      </c>
      <c r="B4997" s="1">
        <v>50.07</v>
      </c>
      <c r="C4997" s="1">
        <v>52.71</v>
      </c>
      <c r="D4997" s="1">
        <v>49.83</v>
      </c>
      <c r="E4997" s="1">
        <v>51.63</v>
      </c>
      <c r="F4997" s="1">
        <v>7401600</v>
      </c>
      <c r="G4997" s="1">
        <v>4.3</v>
      </c>
      <c r="H4997" s="1">
        <f t="shared" si="702"/>
        <v>2.8800000000000026</v>
      </c>
      <c r="I4997" s="9">
        <f t="shared" si="709"/>
        <v>5.7796508127634011E-2</v>
      </c>
      <c r="J4997" s="1">
        <f t="shared" si="710"/>
        <v>4.0000000000000036E-2</v>
      </c>
      <c r="K4997" s="9">
        <f t="shared" si="703"/>
        <v>9.3896713615023563E-3</v>
      </c>
      <c r="L4997" s="1">
        <f t="shared" si="704"/>
        <v>8.3284911872942083E-2</v>
      </c>
      <c r="M4997" s="1">
        <f t="shared" si="705"/>
        <v>4.3899477048227773</v>
      </c>
      <c r="N4997" s="1">
        <f t="shared" si="706"/>
        <v>4.150087158628704</v>
      </c>
      <c r="O4997" s="1">
        <f t="shared" si="707"/>
        <v>2.34</v>
      </c>
      <c r="P4997" s="1">
        <f t="shared" si="708"/>
        <v>1.193877551020408</v>
      </c>
    </row>
    <row r="4998" spans="1:16">
      <c r="A4998" s="2">
        <v>35804</v>
      </c>
      <c r="B4998" s="1">
        <v>56.05</v>
      </c>
      <c r="C4998" s="1">
        <v>56.05</v>
      </c>
      <c r="D4998" s="1">
        <v>50.77</v>
      </c>
      <c r="E4998" s="1">
        <v>51.13</v>
      </c>
      <c r="F4998" s="1">
        <v>6643200</v>
      </c>
      <c r="G4998" s="1">
        <v>4.26</v>
      </c>
      <c r="H4998" s="1">
        <f t="shared" si="702"/>
        <v>5.279999999999994</v>
      </c>
      <c r="I4998" s="9">
        <f t="shared" si="709"/>
        <v>0.10399842426629888</v>
      </c>
      <c r="J4998" s="1">
        <f t="shared" si="710"/>
        <v>-0.35000000000000053</v>
      </c>
      <c r="K4998" s="9">
        <f t="shared" si="703"/>
        <v>-7.5921908893709436E-2</v>
      </c>
      <c r="L4998" s="1">
        <f t="shared" si="704"/>
        <v>8.3317035008801082E-2</v>
      </c>
      <c r="M4998" s="1">
        <f t="shared" si="705"/>
        <v>4.6699198122433003</v>
      </c>
      <c r="N4998" s="1">
        <f t="shared" si="706"/>
        <v>4.230005867396831</v>
      </c>
      <c r="O4998" s="1">
        <f t="shared" si="707"/>
        <v>2.2999999999999998</v>
      </c>
      <c r="P4998" s="1">
        <f t="shared" si="708"/>
        <v>1.1734693877551019</v>
      </c>
    </row>
    <row r="4999" spans="1:16">
      <c r="A4999" s="2">
        <v>35803</v>
      </c>
      <c r="B4999" s="1">
        <v>56.46</v>
      </c>
      <c r="C4999" s="1">
        <v>56.46</v>
      </c>
      <c r="D4999" s="1">
        <v>54.42</v>
      </c>
      <c r="E4999" s="1">
        <v>55.38</v>
      </c>
      <c r="F4999" s="1">
        <v>6015600</v>
      </c>
      <c r="G4999" s="1">
        <v>4.6100000000000003</v>
      </c>
      <c r="H4999" s="1">
        <f t="shared" si="702"/>
        <v>2.0399999999999991</v>
      </c>
      <c r="I4999" s="9">
        <f t="shared" si="709"/>
        <v>3.7486218302094802E-2</v>
      </c>
      <c r="J4999" s="1">
        <f t="shared" si="710"/>
        <v>-0.16999999999999993</v>
      </c>
      <c r="K4999" s="9">
        <f t="shared" si="703"/>
        <v>-3.5564853556485337E-2</v>
      </c>
      <c r="L4999" s="1">
        <f t="shared" si="704"/>
        <v>8.3243048031780426E-2</v>
      </c>
      <c r="M4999" s="1">
        <f t="shared" si="705"/>
        <v>4.6999024918743233</v>
      </c>
      <c r="N4999" s="1">
        <f t="shared" si="706"/>
        <v>4.5300866738894907</v>
      </c>
      <c r="O4999" s="1">
        <f t="shared" si="707"/>
        <v>2.6500000000000004</v>
      </c>
      <c r="P4999" s="1">
        <f t="shared" si="708"/>
        <v>1.3520408163265307</v>
      </c>
    </row>
    <row r="5000" spans="1:16">
      <c r="A5000" s="2">
        <v>35802</v>
      </c>
      <c r="B5000" s="1">
        <v>57.98</v>
      </c>
      <c r="C5000" s="1">
        <v>57.98</v>
      </c>
      <c r="D5000" s="1">
        <v>56.3</v>
      </c>
      <c r="E5000" s="1">
        <v>57.38</v>
      </c>
      <c r="F5000" s="1">
        <v>2725200</v>
      </c>
      <c r="G5000" s="1">
        <v>4.78</v>
      </c>
      <c r="H5000" s="1">
        <f t="shared" si="702"/>
        <v>1.6799999999999997</v>
      </c>
      <c r="I5000" s="9">
        <f t="shared" si="709"/>
        <v>2.9840142095914738E-2</v>
      </c>
      <c r="J5000" s="1">
        <f t="shared" si="710"/>
        <v>-5.9999999999999609E-2</v>
      </c>
      <c r="K5000" s="9">
        <f t="shared" si="703"/>
        <v>-1.2396694214875952E-2</v>
      </c>
      <c r="L5000" s="1">
        <f t="shared" si="704"/>
        <v>8.3304287208086442E-2</v>
      </c>
      <c r="M5000" s="1">
        <f t="shared" si="705"/>
        <v>4.8299825723248517</v>
      </c>
      <c r="N5000" s="1">
        <f t="shared" si="706"/>
        <v>4.6900313698152667</v>
      </c>
      <c r="O5000" s="1">
        <f t="shared" si="707"/>
        <v>2.8200000000000003</v>
      </c>
      <c r="P5000" s="1">
        <f t="shared" si="708"/>
        <v>1.4387755102040818</v>
      </c>
    </row>
    <row r="5001" spans="1:16">
      <c r="A5001" s="2">
        <v>35801</v>
      </c>
      <c r="B5001" s="1">
        <v>56.38</v>
      </c>
      <c r="C5001" s="1">
        <v>58.54</v>
      </c>
      <c r="D5001" s="1">
        <v>56.02</v>
      </c>
      <c r="E5001" s="1">
        <v>58.06</v>
      </c>
      <c r="F5001" s="1">
        <v>4174800</v>
      </c>
      <c r="G5001" s="1">
        <v>4.84</v>
      </c>
      <c r="H5001" s="1">
        <f t="shared" si="702"/>
        <v>2.519999999999996</v>
      </c>
      <c r="I5001" s="9">
        <f t="shared" si="709"/>
        <v>4.4983934309175223E-2</v>
      </c>
      <c r="J5001" s="1">
        <f t="shared" si="710"/>
        <v>8.9999999999999858E-2</v>
      </c>
      <c r="K5001" s="9">
        <f t="shared" si="703"/>
        <v>1.8947368421052602E-2</v>
      </c>
      <c r="L5001" s="1">
        <f t="shared" si="704"/>
        <v>8.3362039269720967E-2</v>
      </c>
      <c r="M5001" s="1">
        <f t="shared" si="705"/>
        <v>4.8800137788494657</v>
      </c>
      <c r="N5001" s="1">
        <f t="shared" si="706"/>
        <v>4.6699414398897687</v>
      </c>
      <c r="O5001" s="1">
        <f t="shared" si="707"/>
        <v>2.88</v>
      </c>
      <c r="P5001" s="1">
        <f t="shared" si="708"/>
        <v>1.4693877551020409</v>
      </c>
    </row>
    <row r="5002" spans="1:16">
      <c r="A5002" s="2">
        <v>35800</v>
      </c>
      <c r="B5002" s="1">
        <v>58.68</v>
      </c>
      <c r="C5002" s="1">
        <v>59.28</v>
      </c>
      <c r="D5002" s="1">
        <v>56.52</v>
      </c>
      <c r="E5002" s="1">
        <v>57</v>
      </c>
      <c r="F5002" s="1">
        <v>3590400</v>
      </c>
      <c r="G5002" s="1">
        <v>4.75</v>
      </c>
      <c r="H5002" s="1">
        <f t="shared" si="702"/>
        <v>2.759999999999998</v>
      </c>
      <c r="I5002" s="9">
        <f t="shared" si="709"/>
        <v>4.8832271762208029E-2</v>
      </c>
      <c r="J5002" s="1">
        <f t="shared" si="710"/>
        <v>-0.20999999999999996</v>
      </c>
      <c r="K5002" s="9">
        <f t="shared" si="703"/>
        <v>-4.2338709677419345E-2</v>
      </c>
      <c r="L5002" s="1">
        <f t="shared" si="704"/>
        <v>8.3333333333333329E-2</v>
      </c>
      <c r="M5002" s="1">
        <f t="shared" si="705"/>
        <v>4.9399999999999995</v>
      </c>
      <c r="N5002" s="1">
        <f t="shared" si="706"/>
        <v>4.71</v>
      </c>
      <c r="O5002" s="1">
        <f t="shared" si="707"/>
        <v>2.79</v>
      </c>
      <c r="P5002" s="1">
        <f t="shared" si="708"/>
        <v>1.4234693877551021</v>
      </c>
    </row>
    <row r="5003" spans="1:16">
      <c r="A5003" s="2">
        <v>35797</v>
      </c>
      <c r="B5003" s="1">
        <v>59.98</v>
      </c>
      <c r="C5003" s="1">
        <v>59.98</v>
      </c>
      <c r="D5003" s="1">
        <v>57.58</v>
      </c>
      <c r="E5003" s="1">
        <v>59.5</v>
      </c>
      <c r="F5003" s="1">
        <v>1660800</v>
      </c>
      <c r="G5003" s="1">
        <v>4.96</v>
      </c>
      <c r="H5003" s="1">
        <f t="shared" si="702"/>
        <v>2.3999999999999986</v>
      </c>
      <c r="I5003" s="9">
        <f t="shared" si="709"/>
        <v>4.1681139284473749E-2</v>
      </c>
      <c r="J5003" s="1">
        <f t="shared" si="710"/>
        <v>-5.9999999999999609E-2</v>
      </c>
      <c r="K5003" s="9">
        <f t="shared" si="703"/>
        <v>-1.1952191235059684E-2</v>
      </c>
      <c r="L5003" s="1">
        <f t="shared" si="704"/>
        <v>8.336134453781513E-2</v>
      </c>
      <c r="M5003" s="1">
        <f t="shared" si="705"/>
        <v>5.0000134453781513</v>
      </c>
      <c r="N5003" s="1">
        <f t="shared" si="706"/>
        <v>4.7999462184873947</v>
      </c>
      <c r="O5003" s="1">
        <f t="shared" si="707"/>
        <v>3</v>
      </c>
      <c r="P5003" s="1">
        <f t="shared" si="708"/>
        <v>1.5306122448979591</v>
      </c>
    </row>
    <row r="5004" spans="1:16">
      <c r="A5004" s="2">
        <v>35795</v>
      </c>
      <c r="B5004" s="1">
        <v>58.57</v>
      </c>
      <c r="C5004" s="1">
        <v>60.49</v>
      </c>
      <c r="D5004" s="1">
        <v>58.09</v>
      </c>
      <c r="E5004" s="1">
        <v>60.25</v>
      </c>
      <c r="F5004" s="1">
        <v>4446000</v>
      </c>
      <c r="G5004" s="1">
        <v>5.0199999999999996</v>
      </c>
      <c r="H5004" s="1">
        <f t="shared" si="702"/>
        <v>2.3999999999999986</v>
      </c>
      <c r="I5004" s="9">
        <f t="shared" si="709"/>
        <v>4.1315200550869312E-2</v>
      </c>
      <c r="J5004" s="1">
        <f t="shared" si="710"/>
        <v>0.16999999999999993</v>
      </c>
      <c r="K5004" s="9">
        <f t="shared" si="703"/>
        <v>3.5051546391752564E-2</v>
      </c>
      <c r="L5004" s="1">
        <f t="shared" si="704"/>
        <v>8.3319502074688787E-2</v>
      </c>
      <c r="M5004" s="1">
        <f t="shared" si="705"/>
        <v>5.039996680497925</v>
      </c>
      <c r="N5004" s="1">
        <f t="shared" si="706"/>
        <v>4.8400298755186721</v>
      </c>
      <c r="O5004" s="1">
        <f t="shared" si="707"/>
        <v>3.0599999999999996</v>
      </c>
      <c r="P5004" s="1">
        <f t="shared" si="708"/>
        <v>1.5612244897959182</v>
      </c>
    </row>
    <row r="5005" spans="1:16">
      <c r="A5005" s="2">
        <v>35794</v>
      </c>
      <c r="B5005" s="1">
        <v>57.95</v>
      </c>
      <c r="C5005" s="1">
        <v>58.91</v>
      </c>
      <c r="D5005" s="1">
        <v>57.35</v>
      </c>
      <c r="E5005" s="1">
        <v>58.19</v>
      </c>
      <c r="F5005" s="1">
        <v>6285600</v>
      </c>
      <c r="G5005" s="1">
        <v>4.8499999999999996</v>
      </c>
      <c r="H5005" s="1">
        <f t="shared" si="702"/>
        <v>1.5599999999999952</v>
      </c>
      <c r="I5005" s="9">
        <f t="shared" si="709"/>
        <v>2.7201394943330341E-2</v>
      </c>
      <c r="J5005" s="1">
        <f t="shared" si="710"/>
        <v>9.9999999999999645E-2</v>
      </c>
      <c r="K5005" s="9">
        <f t="shared" si="703"/>
        <v>2.1052631578947295E-2</v>
      </c>
      <c r="L5005" s="1">
        <f t="shared" si="704"/>
        <v>8.3347654236123045E-2</v>
      </c>
      <c r="M5005" s="1">
        <f t="shared" si="705"/>
        <v>4.9100103110500086</v>
      </c>
      <c r="N5005" s="1">
        <f t="shared" si="706"/>
        <v>4.779987970441657</v>
      </c>
      <c r="O5005" s="1">
        <f t="shared" si="707"/>
        <v>2.8899999999999997</v>
      </c>
      <c r="P5005" s="1">
        <f t="shared" si="708"/>
        <v>1.4744897959183672</v>
      </c>
    </row>
    <row r="5006" spans="1:16">
      <c r="A5006" s="2">
        <v>35793</v>
      </c>
      <c r="B5006" s="1">
        <v>54.96</v>
      </c>
      <c r="C5006" s="1">
        <v>57.36</v>
      </c>
      <c r="D5006" s="1">
        <v>54.36</v>
      </c>
      <c r="E5006" s="1">
        <v>57</v>
      </c>
      <c r="F5006" s="1">
        <v>2552400</v>
      </c>
      <c r="G5006" s="1">
        <v>4.75</v>
      </c>
      <c r="H5006" s="1">
        <f t="shared" si="702"/>
        <v>3</v>
      </c>
      <c r="I5006" s="9">
        <f t="shared" si="709"/>
        <v>5.518763796909492E-2</v>
      </c>
      <c r="J5006" s="1">
        <f t="shared" si="710"/>
        <v>0.23000000000000043</v>
      </c>
      <c r="K5006" s="9">
        <f t="shared" si="703"/>
        <v>5.0884955752212489E-2</v>
      </c>
      <c r="L5006" s="1">
        <f t="shared" si="704"/>
        <v>8.3333333333333329E-2</v>
      </c>
      <c r="M5006" s="1">
        <f t="shared" si="705"/>
        <v>4.7799999999999994</v>
      </c>
      <c r="N5006" s="1">
        <f t="shared" si="706"/>
        <v>4.5299999999999994</v>
      </c>
      <c r="O5006" s="1">
        <f t="shared" si="707"/>
        <v>2.79</v>
      </c>
      <c r="P5006" s="1">
        <f t="shared" si="708"/>
        <v>1.4234693877551021</v>
      </c>
    </row>
    <row r="5007" spans="1:16">
      <c r="A5007" s="2">
        <v>35790</v>
      </c>
      <c r="B5007" s="1">
        <v>54.73</v>
      </c>
      <c r="C5007" s="1">
        <v>55.81</v>
      </c>
      <c r="D5007" s="1">
        <v>53.89</v>
      </c>
      <c r="E5007" s="1">
        <v>54.25</v>
      </c>
      <c r="F5007" s="1">
        <v>487200</v>
      </c>
      <c r="G5007" s="1">
        <v>4.5199999999999996</v>
      </c>
      <c r="H5007" s="1">
        <f t="shared" si="702"/>
        <v>1.9200000000000017</v>
      </c>
      <c r="I5007" s="9">
        <f t="shared" si="709"/>
        <v>3.5628131378734489E-2</v>
      </c>
      <c r="J5007" s="1">
        <f t="shared" si="710"/>
        <v>-8.0000000000000071E-2</v>
      </c>
      <c r="K5007" s="9">
        <f t="shared" si="703"/>
        <v>-1.7391304347826105E-2</v>
      </c>
      <c r="L5007" s="1">
        <f t="shared" si="704"/>
        <v>8.3317972350230404E-2</v>
      </c>
      <c r="M5007" s="1">
        <f t="shared" si="705"/>
        <v>4.6499760368663594</v>
      </c>
      <c r="N5007" s="1">
        <f t="shared" si="706"/>
        <v>4.4900055299539163</v>
      </c>
      <c r="O5007" s="1">
        <f t="shared" si="707"/>
        <v>2.5599999999999996</v>
      </c>
      <c r="P5007" s="1">
        <f t="shared" si="708"/>
        <v>1.3061224489795917</v>
      </c>
    </row>
    <row r="5008" spans="1:16">
      <c r="A5008" s="2">
        <v>35788</v>
      </c>
      <c r="B5008" s="1">
        <v>55.61</v>
      </c>
      <c r="C5008" s="1">
        <v>56.57</v>
      </c>
      <c r="D5008" s="1">
        <v>53.69</v>
      </c>
      <c r="E5008" s="1">
        <v>55.25</v>
      </c>
      <c r="F5008" s="1">
        <v>2336400</v>
      </c>
      <c r="G5008" s="1">
        <v>4.5999999999999996</v>
      </c>
      <c r="H5008" s="1">
        <f t="shared" si="702"/>
        <v>2.8800000000000026</v>
      </c>
      <c r="I5008" s="9">
        <f t="shared" si="709"/>
        <v>5.364127398025708E-2</v>
      </c>
      <c r="J5008" s="1">
        <f t="shared" si="710"/>
        <v>-3.0000000000000249E-2</v>
      </c>
      <c r="K5008" s="9">
        <f t="shared" si="703"/>
        <v>-6.4794816414687362E-3</v>
      </c>
      <c r="L5008" s="1">
        <f t="shared" si="704"/>
        <v>8.3257918552036195E-2</v>
      </c>
      <c r="M5008" s="1">
        <f t="shared" si="705"/>
        <v>4.7099004524886876</v>
      </c>
      <c r="N5008" s="1">
        <f t="shared" si="706"/>
        <v>4.4701176470588235</v>
      </c>
      <c r="O5008" s="1">
        <f t="shared" si="707"/>
        <v>2.6399999999999997</v>
      </c>
      <c r="P5008" s="1">
        <f t="shared" si="708"/>
        <v>1.346938775510204</v>
      </c>
    </row>
    <row r="5009" spans="1:16">
      <c r="A5009" s="2">
        <v>35787</v>
      </c>
      <c r="B5009" s="1">
        <v>56.22</v>
      </c>
      <c r="C5009" s="1">
        <v>56.82</v>
      </c>
      <c r="D5009" s="1">
        <v>55.5</v>
      </c>
      <c r="E5009" s="1">
        <v>55.5</v>
      </c>
      <c r="F5009" s="1">
        <v>1177200</v>
      </c>
      <c r="G5009" s="1">
        <v>4.63</v>
      </c>
      <c r="H5009" s="1">
        <f t="shared" si="702"/>
        <v>1.3200000000000003</v>
      </c>
      <c r="I5009" s="9">
        <f t="shared" si="709"/>
        <v>2.3783783783783787E-2</v>
      </c>
      <c r="J5009" s="1">
        <f t="shared" si="710"/>
        <v>-7.0000000000000284E-2</v>
      </c>
      <c r="K5009" s="9">
        <f t="shared" si="703"/>
        <v>-1.4893617021276655E-2</v>
      </c>
      <c r="L5009" s="1">
        <f t="shared" si="704"/>
        <v>8.3423423423423418E-2</v>
      </c>
      <c r="M5009" s="1">
        <f t="shared" si="705"/>
        <v>4.7401189189189186</v>
      </c>
      <c r="N5009" s="1">
        <f t="shared" si="706"/>
        <v>4.63</v>
      </c>
      <c r="O5009" s="1">
        <f t="shared" si="707"/>
        <v>2.67</v>
      </c>
      <c r="P5009" s="1">
        <f t="shared" si="708"/>
        <v>1.3622448979591837</v>
      </c>
    </row>
    <row r="5010" spans="1:16">
      <c r="A5010" s="2">
        <v>35786</v>
      </c>
      <c r="B5010" s="1">
        <v>53.98</v>
      </c>
      <c r="C5010" s="1">
        <v>57.34</v>
      </c>
      <c r="D5010" s="1">
        <v>53.14</v>
      </c>
      <c r="E5010" s="1">
        <v>56.38</v>
      </c>
      <c r="F5010" s="1">
        <v>4352400</v>
      </c>
      <c r="G5010" s="1">
        <v>4.7</v>
      </c>
      <c r="H5010" s="1">
        <f t="shared" si="702"/>
        <v>4.2000000000000028</v>
      </c>
      <c r="I5010" s="9">
        <f t="shared" si="709"/>
        <v>7.9036507339104306E-2</v>
      </c>
      <c r="J5010" s="1">
        <f t="shared" si="710"/>
        <v>0.20000000000000018</v>
      </c>
      <c r="K5010" s="9">
        <f t="shared" si="703"/>
        <v>4.4444444444444481E-2</v>
      </c>
      <c r="L5010" s="1">
        <f t="shared" si="704"/>
        <v>8.3362894643490601E-2</v>
      </c>
      <c r="M5010" s="1">
        <f t="shared" si="705"/>
        <v>4.7800283788577511</v>
      </c>
      <c r="N5010" s="1">
        <f t="shared" si="706"/>
        <v>4.4299042213550903</v>
      </c>
      <c r="O5010" s="1">
        <f t="shared" si="707"/>
        <v>2.74</v>
      </c>
      <c r="P5010" s="1">
        <f t="shared" si="708"/>
        <v>1.3979591836734695</v>
      </c>
    </row>
    <row r="5011" spans="1:16">
      <c r="A5011" s="2">
        <v>35783</v>
      </c>
      <c r="B5011" s="1">
        <v>50.76</v>
      </c>
      <c r="C5011" s="1">
        <v>54.24</v>
      </c>
      <c r="D5011" s="1">
        <v>50.04</v>
      </c>
      <c r="E5011" s="1">
        <v>54</v>
      </c>
      <c r="F5011" s="1">
        <v>4753200</v>
      </c>
      <c r="G5011" s="1">
        <v>4.5</v>
      </c>
      <c r="H5011" s="1">
        <f t="shared" si="702"/>
        <v>4.2000000000000028</v>
      </c>
      <c r="I5011" s="9">
        <f t="shared" si="709"/>
        <v>8.393285371702644E-2</v>
      </c>
      <c r="J5011" s="1">
        <f t="shared" si="710"/>
        <v>0.20999999999999996</v>
      </c>
      <c r="K5011" s="9">
        <f t="shared" si="703"/>
        <v>4.8951048951048945E-2</v>
      </c>
      <c r="L5011" s="1">
        <f t="shared" si="704"/>
        <v>8.3333333333333329E-2</v>
      </c>
      <c r="M5011" s="1">
        <f t="shared" si="705"/>
        <v>4.5199999999999996</v>
      </c>
      <c r="N5011" s="1">
        <f t="shared" si="706"/>
        <v>4.17</v>
      </c>
      <c r="O5011" s="1">
        <f t="shared" si="707"/>
        <v>2.54</v>
      </c>
      <c r="P5011" s="1">
        <f t="shared" si="708"/>
        <v>1.2959183673469388</v>
      </c>
    </row>
    <row r="5012" spans="1:16">
      <c r="A5012" s="2">
        <v>35782</v>
      </c>
      <c r="B5012" s="1">
        <v>52.22</v>
      </c>
      <c r="C5012" s="1">
        <v>53.18</v>
      </c>
      <c r="D5012" s="1">
        <v>50.78</v>
      </c>
      <c r="E5012" s="1">
        <v>51.5</v>
      </c>
      <c r="F5012" s="1">
        <v>3204000</v>
      </c>
      <c r="G5012" s="1">
        <v>4.29</v>
      </c>
      <c r="H5012" s="1">
        <f t="shared" si="702"/>
        <v>2.3999999999999986</v>
      </c>
      <c r="I5012" s="9">
        <f t="shared" si="709"/>
        <v>4.7262701851122461E-2</v>
      </c>
      <c r="J5012" s="1">
        <f t="shared" si="710"/>
        <v>-9.9999999999999645E-2</v>
      </c>
      <c r="K5012" s="9">
        <f t="shared" si="703"/>
        <v>-2.2779043280182154E-2</v>
      </c>
      <c r="L5012" s="1">
        <f t="shared" si="704"/>
        <v>8.3300970873786406E-2</v>
      </c>
      <c r="M5012" s="1">
        <f t="shared" si="705"/>
        <v>4.4299456310679615</v>
      </c>
      <c r="N5012" s="1">
        <f t="shared" si="706"/>
        <v>4.2300233009708741</v>
      </c>
      <c r="O5012" s="1">
        <f t="shared" si="707"/>
        <v>2.33</v>
      </c>
      <c r="P5012" s="1">
        <f t="shared" si="708"/>
        <v>1.1887755102040818</v>
      </c>
    </row>
    <row r="5013" spans="1:16">
      <c r="A5013" s="2">
        <v>35781</v>
      </c>
      <c r="B5013" s="1">
        <v>52.57</v>
      </c>
      <c r="C5013" s="1">
        <v>53.53</v>
      </c>
      <c r="D5013" s="1">
        <v>51.13</v>
      </c>
      <c r="E5013" s="1">
        <v>52.69</v>
      </c>
      <c r="F5013" s="1">
        <v>6140400</v>
      </c>
      <c r="G5013" s="1">
        <v>4.3899999999999997</v>
      </c>
      <c r="H5013" s="1">
        <f t="shared" si="702"/>
        <v>2.3999999999999986</v>
      </c>
      <c r="I5013" s="9">
        <f t="shared" si="709"/>
        <v>4.693917465284566E-2</v>
      </c>
      <c r="J5013" s="1">
        <f t="shared" si="710"/>
        <v>-7.0000000000000284E-2</v>
      </c>
      <c r="K5013" s="9">
        <f t="shared" si="703"/>
        <v>-1.5695067264574054E-2</v>
      </c>
      <c r="L5013" s="1">
        <f t="shared" si="704"/>
        <v>8.3317517555513379E-2</v>
      </c>
      <c r="M5013" s="1">
        <f t="shared" si="705"/>
        <v>4.4599867147466314</v>
      </c>
      <c r="N5013" s="1">
        <f t="shared" si="706"/>
        <v>4.2600246726133992</v>
      </c>
      <c r="O5013" s="1">
        <f t="shared" si="707"/>
        <v>2.4299999999999997</v>
      </c>
      <c r="P5013" s="1">
        <f t="shared" si="708"/>
        <v>1.2397959183673468</v>
      </c>
    </row>
    <row r="5014" spans="1:16">
      <c r="A5014" s="2">
        <v>35780</v>
      </c>
      <c r="B5014" s="1">
        <v>55.78</v>
      </c>
      <c r="C5014" s="1">
        <v>55.78</v>
      </c>
      <c r="D5014" s="1">
        <v>53.5</v>
      </c>
      <c r="E5014" s="1">
        <v>53.5</v>
      </c>
      <c r="F5014" s="1">
        <v>1687200</v>
      </c>
      <c r="G5014" s="1">
        <v>4.46</v>
      </c>
      <c r="H5014" s="1">
        <f t="shared" si="702"/>
        <v>2.2800000000000011</v>
      </c>
      <c r="I5014" s="9">
        <f t="shared" si="709"/>
        <v>4.261682242990656E-2</v>
      </c>
      <c r="J5014" s="1">
        <f t="shared" si="710"/>
        <v>-0.12000000000000011</v>
      </c>
      <c r="K5014" s="9">
        <f t="shared" si="703"/>
        <v>-2.6200873362445438E-2</v>
      </c>
      <c r="L5014" s="1">
        <f t="shared" si="704"/>
        <v>8.3364485981308412E-2</v>
      </c>
      <c r="M5014" s="1">
        <f t="shared" si="705"/>
        <v>4.6500710280373836</v>
      </c>
      <c r="N5014" s="1">
        <f t="shared" si="706"/>
        <v>4.46</v>
      </c>
      <c r="O5014" s="1">
        <f t="shared" si="707"/>
        <v>2.5</v>
      </c>
      <c r="P5014" s="1">
        <f t="shared" si="708"/>
        <v>1.2755102040816326</v>
      </c>
    </row>
    <row r="5015" spans="1:16">
      <c r="A5015" s="2">
        <v>35779</v>
      </c>
      <c r="B5015" s="1">
        <v>55</v>
      </c>
      <c r="C5015" s="1">
        <v>56.08</v>
      </c>
      <c r="D5015" s="1">
        <v>52.96</v>
      </c>
      <c r="E5015" s="1">
        <v>55</v>
      </c>
      <c r="F5015" s="1">
        <v>1694400</v>
      </c>
      <c r="G5015" s="1">
        <v>4.58</v>
      </c>
      <c r="H5015" s="1">
        <f t="shared" si="702"/>
        <v>3.1199999999999974</v>
      </c>
      <c r="I5015" s="9">
        <f t="shared" si="709"/>
        <v>5.8912386706948594E-2</v>
      </c>
      <c r="J5015" s="1">
        <f t="shared" si="710"/>
        <v>4.0000000000000036E-2</v>
      </c>
      <c r="K5015" s="9">
        <f t="shared" si="703"/>
        <v>8.8105726872246774E-3</v>
      </c>
      <c r="L5015" s="1">
        <f t="shared" si="704"/>
        <v>8.3272727272727276E-2</v>
      </c>
      <c r="M5015" s="1">
        <f t="shared" si="705"/>
        <v>4.6699345454545451</v>
      </c>
      <c r="N5015" s="1">
        <f t="shared" si="706"/>
        <v>4.4101236363636369</v>
      </c>
      <c r="O5015" s="1">
        <f t="shared" si="707"/>
        <v>2.62</v>
      </c>
      <c r="P5015" s="1">
        <f t="shared" si="708"/>
        <v>1.3367346938775511</v>
      </c>
    </row>
    <row r="5016" spans="1:16">
      <c r="A5016" s="2">
        <v>35776</v>
      </c>
      <c r="B5016" s="1">
        <v>55.82</v>
      </c>
      <c r="C5016" s="1">
        <v>57.62</v>
      </c>
      <c r="D5016" s="1">
        <v>52.94</v>
      </c>
      <c r="E5016" s="1">
        <v>54.5</v>
      </c>
      <c r="F5016" s="1">
        <v>2672400</v>
      </c>
      <c r="G5016" s="1">
        <v>4.54</v>
      </c>
      <c r="H5016" s="1">
        <f t="shared" si="702"/>
        <v>4.68</v>
      </c>
      <c r="I5016" s="9">
        <f t="shared" si="709"/>
        <v>8.8401964488099741E-2</v>
      </c>
      <c r="J5016" s="1">
        <f t="shared" si="710"/>
        <v>-0.15000000000000036</v>
      </c>
      <c r="K5016" s="9">
        <f t="shared" si="703"/>
        <v>-3.1982942430703695E-2</v>
      </c>
      <c r="L5016" s="1">
        <f t="shared" si="704"/>
        <v>8.3302752293577989E-2</v>
      </c>
      <c r="M5016" s="1">
        <f t="shared" si="705"/>
        <v>4.7999045871559636</v>
      </c>
      <c r="N5016" s="1">
        <f t="shared" si="706"/>
        <v>4.4100477064220183</v>
      </c>
      <c r="O5016" s="1">
        <f t="shared" si="707"/>
        <v>2.58</v>
      </c>
      <c r="P5016" s="1">
        <f t="shared" si="708"/>
        <v>1.3163265306122449</v>
      </c>
    </row>
    <row r="5017" spans="1:16">
      <c r="A5017" s="2">
        <v>35775</v>
      </c>
      <c r="B5017" s="1">
        <v>52.77</v>
      </c>
      <c r="C5017" s="1">
        <v>57.93</v>
      </c>
      <c r="D5017" s="1">
        <v>52.77</v>
      </c>
      <c r="E5017" s="1">
        <v>56.25</v>
      </c>
      <c r="F5017" s="1">
        <v>5014800</v>
      </c>
      <c r="G5017" s="1">
        <v>4.6900000000000004</v>
      </c>
      <c r="H5017" s="1">
        <f t="shared" si="702"/>
        <v>5.1599999999999966</v>
      </c>
      <c r="I5017" s="9">
        <f t="shared" si="709"/>
        <v>9.7782831154064734E-2</v>
      </c>
      <c r="J5017" s="1">
        <f t="shared" si="710"/>
        <v>0.1800000000000006</v>
      </c>
      <c r="K5017" s="9">
        <f t="shared" si="703"/>
        <v>3.9911308203991268E-2</v>
      </c>
      <c r="L5017" s="1">
        <f t="shared" si="704"/>
        <v>8.3377777777777787E-2</v>
      </c>
      <c r="M5017" s="1">
        <f t="shared" si="705"/>
        <v>4.8300746666666674</v>
      </c>
      <c r="N5017" s="1">
        <f t="shared" si="706"/>
        <v>4.3998453333333343</v>
      </c>
      <c r="O5017" s="1">
        <f t="shared" si="707"/>
        <v>2.7300000000000004</v>
      </c>
      <c r="P5017" s="1">
        <f t="shared" si="708"/>
        <v>1.392857142857143</v>
      </c>
    </row>
    <row r="5018" spans="1:16">
      <c r="A5018" s="2">
        <v>35774</v>
      </c>
      <c r="B5018" s="1">
        <v>54.97</v>
      </c>
      <c r="C5018" s="1">
        <v>55.57</v>
      </c>
      <c r="D5018" s="1">
        <v>52.81</v>
      </c>
      <c r="E5018" s="1">
        <v>54.13</v>
      </c>
      <c r="F5018" s="1">
        <v>1444800</v>
      </c>
      <c r="G5018" s="1">
        <v>4.51</v>
      </c>
      <c r="H5018" s="1">
        <f t="shared" si="702"/>
        <v>2.759999999999998</v>
      </c>
      <c r="I5018" s="9">
        <f t="shared" si="709"/>
        <v>5.2262829009657223E-2</v>
      </c>
      <c r="J5018" s="1">
        <f t="shared" si="710"/>
        <v>-0.1800000000000006</v>
      </c>
      <c r="K5018" s="9">
        <f t="shared" si="703"/>
        <v>-3.8379530916844477E-2</v>
      </c>
      <c r="L5018" s="1">
        <f t="shared" si="704"/>
        <v>8.3317938296693136E-2</v>
      </c>
      <c r="M5018" s="1">
        <f t="shared" si="705"/>
        <v>4.6299778311472375</v>
      </c>
      <c r="N5018" s="1">
        <f t="shared" si="706"/>
        <v>4.4000203214483644</v>
      </c>
      <c r="O5018" s="1">
        <f t="shared" si="707"/>
        <v>2.5499999999999998</v>
      </c>
      <c r="P5018" s="1">
        <f t="shared" si="708"/>
        <v>1.3010204081632653</v>
      </c>
    </row>
    <row r="5019" spans="1:16">
      <c r="A5019" s="2">
        <v>35773</v>
      </c>
      <c r="B5019" s="1">
        <v>56.01</v>
      </c>
      <c r="C5019" s="1">
        <v>57.21</v>
      </c>
      <c r="D5019" s="1">
        <v>55.17</v>
      </c>
      <c r="E5019" s="1">
        <v>56.25</v>
      </c>
      <c r="F5019" s="1">
        <v>1332000</v>
      </c>
      <c r="G5019" s="1">
        <v>4.6900000000000004</v>
      </c>
      <c r="H5019" s="1">
        <f t="shared" si="702"/>
        <v>2.0399999999999991</v>
      </c>
      <c r="I5019" s="9">
        <f t="shared" si="709"/>
        <v>3.697661772702554E-2</v>
      </c>
      <c r="J5019" s="1">
        <f t="shared" si="710"/>
        <v>-1.9999999999999574E-2</v>
      </c>
      <c r="K5019" s="9">
        <f t="shared" si="703"/>
        <v>-4.2462845010614808E-3</v>
      </c>
      <c r="L5019" s="1">
        <f t="shared" si="704"/>
        <v>8.3377777777777787E-2</v>
      </c>
      <c r="M5019" s="1">
        <f t="shared" si="705"/>
        <v>4.7700426666666669</v>
      </c>
      <c r="N5019" s="1">
        <f t="shared" si="706"/>
        <v>4.5999520000000009</v>
      </c>
      <c r="O5019" s="1">
        <f t="shared" si="707"/>
        <v>2.7300000000000004</v>
      </c>
      <c r="P5019" s="1">
        <f t="shared" si="708"/>
        <v>1.392857142857143</v>
      </c>
    </row>
    <row r="5020" spans="1:16">
      <c r="A5020" s="2">
        <v>35772</v>
      </c>
      <c r="B5020" s="1">
        <v>54.46</v>
      </c>
      <c r="C5020" s="1">
        <v>57.22</v>
      </c>
      <c r="D5020" s="1">
        <v>54.22</v>
      </c>
      <c r="E5020" s="1">
        <v>56.5</v>
      </c>
      <c r="F5020" s="1">
        <v>4766400</v>
      </c>
      <c r="G5020" s="1">
        <v>4.71</v>
      </c>
      <c r="H5020" s="1">
        <f t="shared" si="702"/>
        <v>3</v>
      </c>
      <c r="I5020" s="9">
        <f t="shared" si="709"/>
        <v>5.5330136481003322E-2</v>
      </c>
      <c r="J5020" s="1">
        <f t="shared" si="710"/>
        <v>0.12000000000000011</v>
      </c>
      <c r="K5020" s="9">
        <f t="shared" si="703"/>
        <v>2.6143790849673228E-2</v>
      </c>
      <c r="L5020" s="1">
        <f t="shared" si="704"/>
        <v>8.336283185840708E-2</v>
      </c>
      <c r="M5020" s="1">
        <f t="shared" si="705"/>
        <v>4.7700212389380532</v>
      </c>
      <c r="N5020" s="1">
        <f t="shared" si="706"/>
        <v>4.5199327433628316</v>
      </c>
      <c r="O5020" s="1">
        <f t="shared" si="707"/>
        <v>2.75</v>
      </c>
      <c r="P5020" s="1">
        <f t="shared" si="708"/>
        <v>1.403061224489796</v>
      </c>
    </row>
    <row r="5021" spans="1:16">
      <c r="A5021" s="2">
        <v>35769</v>
      </c>
      <c r="B5021" s="1">
        <v>53.33</v>
      </c>
      <c r="C5021" s="1">
        <v>55.13</v>
      </c>
      <c r="D5021" s="1">
        <v>52.25</v>
      </c>
      <c r="E5021" s="1">
        <v>55.13</v>
      </c>
      <c r="F5021" s="1">
        <v>2661600</v>
      </c>
      <c r="G5021" s="1">
        <v>4.59</v>
      </c>
      <c r="H5021" s="1">
        <f t="shared" si="702"/>
        <v>2.8800000000000026</v>
      </c>
      <c r="I5021" s="9">
        <f t="shared" si="709"/>
        <v>5.5119617224880429E-2</v>
      </c>
      <c r="J5021" s="1">
        <f t="shared" si="710"/>
        <v>8.9999999999999858E-2</v>
      </c>
      <c r="K5021" s="9">
        <f t="shared" si="703"/>
        <v>1.9999999999999969E-2</v>
      </c>
      <c r="L5021" s="1">
        <f t="shared" si="704"/>
        <v>8.3257754398693984E-2</v>
      </c>
      <c r="M5021" s="1">
        <f t="shared" si="705"/>
        <v>4.59</v>
      </c>
      <c r="N5021" s="1">
        <f t="shared" si="706"/>
        <v>4.3502176673317603</v>
      </c>
      <c r="O5021" s="1">
        <f t="shared" si="707"/>
        <v>2.63</v>
      </c>
      <c r="P5021" s="1">
        <f t="shared" si="708"/>
        <v>1.3418367346938775</v>
      </c>
    </row>
    <row r="5022" spans="1:16">
      <c r="A5022" s="2">
        <v>35768</v>
      </c>
      <c r="B5022" s="1">
        <v>52.8</v>
      </c>
      <c r="C5022" s="1">
        <v>54.6</v>
      </c>
      <c r="D5022" s="1">
        <v>52.68</v>
      </c>
      <c r="E5022" s="1">
        <v>54</v>
      </c>
      <c r="F5022" s="1">
        <v>3038400</v>
      </c>
      <c r="G5022" s="1">
        <v>4.5</v>
      </c>
      <c r="H5022" s="1">
        <f t="shared" si="702"/>
        <v>1.9200000000000017</v>
      </c>
      <c r="I5022" s="9">
        <f t="shared" si="709"/>
        <v>3.6446469248291605E-2</v>
      </c>
      <c r="J5022" s="1">
        <f t="shared" si="710"/>
        <v>0.13999999999999968</v>
      </c>
      <c r="K5022" s="9">
        <f t="shared" si="703"/>
        <v>3.2110091743119192E-2</v>
      </c>
      <c r="L5022" s="1">
        <f t="shared" si="704"/>
        <v>8.3333333333333329E-2</v>
      </c>
      <c r="M5022" s="1">
        <f t="shared" si="705"/>
        <v>4.55</v>
      </c>
      <c r="N5022" s="1">
        <f t="shared" si="706"/>
        <v>4.3899999999999997</v>
      </c>
      <c r="O5022" s="1">
        <f t="shared" si="707"/>
        <v>2.54</v>
      </c>
      <c r="P5022" s="1">
        <f t="shared" si="708"/>
        <v>1.2959183673469388</v>
      </c>
    </row>
    <row r="5023" spans="1:16">
      <c r="A5023" s="2">
        <v>35767</v>
      </c>
      <c r="B5023" s="1">
        <v>50.46</v>
      </c>
      <c r="C5023" s="1">
        <v>52.62</v>
      </c>
      <c r="D5023" s="1">
        <v>50.34</v>
      </c>
      <c r="E5023" s="1">
        <v>52.38</v>
      </c>
      <c r="F5023" s="1">
        <v>1290000</v>
      </c>
      <c r="G5023" s="1">
        <v>4.3600000000000003</v>
      </c>
      <c r="H5023" s="1">
        <f t="shared" si="702"/>
        <v>2.279999999999994</v>
      </c>
      <c r="I5023" s="9">
        <f t="shared" si="709"/>
        <v>4.529201430274124E-2</v>
      </c>
      <c r="J5023" s="1">
        <f t="shared" si="710"/>
        <v>0.12999999999999989</v>
      </c>
      <c r="K5023" s="9">
        <f t="shared" si="703"/>
        <v>3.0732860520094534E-2</v>
      </c>
      <c r="L5023" s="1">
        <f t="shared" si="704"/>
        <v>8.3237877052310047E-2</v>
      </c>
      <c r="M5023" s="1">
        <f t="shared" si="705"/>
        <v>4.3799770904925541</v>
      </c>
      <c r="N5023" s="1">
        <f t="shared" si="706"/>
        <v>4.1901947308132881</v>
      </c>
      <c r="O5023" s="1">
        <f t="shared" si="707"/>
        <v>2.4000000000000004</v>
      </c>
      <c r="P5023" s="1">
        <f t="shared" si="708"/>
        <v>1.2244897959183676</v>
      </c>
    </row>
    <row r="5024" spans="1:16">
      <c r="A5024" s="2">
        <v>35766</v>
      </c>
      <c r="B5024" s="1">
        <v>51.17</v>
      </c>
      <c r="C5024" s="1">
        <v>51.65</v>
      </c>
      <c r="D5024" s="1">
        <v>50.21</v>
      </c>
      <c r="E5024" s="1">
        <v>50.81</v>
      </c>
      <c r="F5024" s="1">
        <v>1262400</v>
      </c>
      <c r="G5024" s="1">
        <v>4.2300000000000004</v>
      </c>
      <c r="H5024" s="1">
        <f t="shared" si="702"/>
        <v>1.4399999999999977</v>
      </c>
      <c r="I5024" s="9">
        <f t="shared" si="709"/>
        <v>2.8679545907189758E-2</v>
      </c>
      <c r="J5024" s="1">
        <f t="shared" si="710"/>
        <v>-3.9999999999999147E-2</v>
      </c>
      <c r="K5024" s="9">
        <f t="shared" si="703"/>
        <v>-9.3676814988288403E-3</v>
      </c>
      <c r="L5024" s="1">
        <f t="shared" si="704"/>
        <v>8.3251328478645942E-2</v>
      </c>
      <c r="M5024" s="1">
        <f t="shared" si="705"/>
        <v>4.299931115922063</v>
      </c>
      <c r="N5024" s="1">
        <f t="shared" si="706"/>
        <v>4.1800492029128131</v>
      </c>
      <c r="O5024" s="1">
        <f t="shared" si="707"/>
        <v>2.2700000000000005</v>
      </c>
      <c r="P5024" s="1">
        <f t="shared" si="708"/>
        <v>1.1581632653061227</v>
      </c>
    </row>
    <row r="5025" spans="1:16">
      <c r="A5025" s="2">
        <v>35765</v>
      </c>
      <c r="B5025" s="1">
        <v>50.89</v>
      </c>
      <c r="C5025" s="1">
        <v>52.57</v>
      </c>
      <c r="D5025" s="1">
        <v>49.69</v>
      </c>
      <c r="E5025" s="1">
        <v>51.25</v>
      </c>
      <c r="F5025" s="1">
        <v>2383200</v>
      </c>
      <c r="G5025" s="1">
        <v>4.2699999999999996</v>
      </c>
      <c r="H5025" s="1">
        <f t="shared" si="702"/>
        <v>2.8800000000000026</v>
      </c>
      <c r="I5025" s="9">
        <f t="shared" si="709"/>
        <v>5.7959347957335532E-2</v>
      </c>
      <c r="J5025" s="1">
        <f t="shared" si="710"/>
        <v>0.13999999999999968</v>
      </c>
      <c r="K5025" s="9">
        <f t="shared" si="703"/>
        <v>3.3898305084745686E-2</v>
      </c>
      <c r="L5025" s="1">
        <f t="shared" si="704"/>
        <v>8.3317073170731698E-2</v>
      </c>
      <c r="M5025" s="1">
        <f t="shared" si="705"/>
        <v>4.379978536585365</v>
      </c>
      <c r="N5025" s="1">
        <f t="shared" si="706"/>
        <v>4.1400253658536581</v>
      </c>
      <c r="O5025" s="1">
        <f t="shared" si="707"/>
        <v>2.3099999999999996</v>
      </c>
      <c r="P5025" s="1">
        <f t="shared" si="708"/>
        <v>1.1785714285714284</v>
      </c>
    </row>
    <row r="5026" spans="1:16">
      <c r="A5026" s="2">
        <v>35762</v>
      </c>
      <c r="B5026" s="1">
        <v>51.18</v>
      </c>
      <c r="C5026" s="1">
        <v>51.9</v>
      </c>
      <c r="D5026" s="1">
        <v>49.26</v>
      </c>
      <c r="E5026" s="1">
        <v>49.5</v>
      </c>
      <c r="F5026" s="1">
        <v>1603200</v>
      </c>
      <c r="G5026" s="1">
        <v>4.13</v>
      </c>
      <c r="H5026" s="1">
        <f t="shared" si="702"/>
        <v>2.6400000000000006</v>
      </c>
      <c r="I5026" s="9">
        <f t="shared" si="709"/>
        <v>5.3593179049939113E-2</v>
      </c>
      <c r="J5026" s="1">
        <f t="shared" si="710"/>
        <v>-0.12999999999999989</v>
      </c>
      <c r="K5026" s="9">
        <f t="shared" si="703"/>
        <v>-3.0516431924882605E-2</v>
      </c>
      <c r="L5026" s="1">
        <f t="shared" si="704"/>
        <v>8.343434343434343E-2</v>
      </c>
      <c r="M5026" s="1">
        <f t="shared" si="705"/>
        <v>4.3302424242424236</v>
      </c>
      <c r="N5026" s="1">
        <f t="shared" si="706"/>
        <v>4.1099757575757572</v>
      </c>
      <c r="O5026" s="1">
        <f t="shared" si="707"/>
        <v>2.17</v>
      </c>
      <c r="P5026" s="1">
        <f t="shared" si="708"/>
        <v>1.1071428571428572</v>
      </c>
    </row>
    <row r="5027" spans="1:16">
      <c r="A5027" s="2">
        <v>35760</v>
      </c>
      <c r="B5027" s="1">
        <v>50.89</v>
      </c>
      <c r="C5027" s="1">
        <v>52.93</v>
      </c>
      <c r="D5027" s="1">
        <v>50.89</v>
      </c>
      <c r="E5027" s="1">
        <v>51.13</v>
      </c>
      <c r="F5027" s="1">
        <v>1630800</v>
      </c>
      <c r="G5027" s="1">
        <v>4.26</v>
      </c>
      <c r="H5027" s="1">
        <f t="shared" si="702"/>
        <v>2.0399999999999991</v>
      </c>
      <c r="I5027" s="9">
        <f t="shared" si="709"/>
        <v>4.0086460994301416E-2</v>
      </c>
      <c r="J5027" s="1">
        <f t="shared" si="710"/>
        <v>5.9999999999999609E-2</v>
      </c>
      <c r="K5027" s="9">
        <f t="shared" si="703"/>
        <v>1.4285714285714192E-2</v>
      </c>
      <c r="L5027" s="1">
        <f t="shared" si="704"/>
        <v>8.3317035008801082E-2</v>
      </c>
      <c r="M5027" s="1">
        <f t="shared" si="705"/>
        <v>4.4099706630158408</v>
      </c>
      <c r="N5027" s="1">
        <f t="shared" si="706"/>
        <v>4.2400039115978867</v>
      </c>
      <c r="O5027" s="1">
        <f t="shared" si="707"/>
        <v>2.2999999999999998</v>
      </c>
      <c r="P5027" s="1">
        <f t="shared" si="708"/>
        <v>1.1734693877551019</v>
      </c>
    </row>
    <row r="5028" spans="1:16">
      <c r="A5028" s="2">
        <v>35759</v>
      </c>
      <c r="B5028" s="1">
        <v>50.92</v>
      </c>
      <c r="C5028" s="1">
        <v>52</v>
      </c>
      <c r="D5028" s="1">
        <v>48.52</v>
      </c>
      <c r="E5028" s="1">
        <v>50.44</v>
      </c>
      <c r="F5028" s="1">
        <v>3304800</v>
      </c>
      <c r="G5028" s="1">
        <v>4.2</v>
      </c>
      <c r="H5028" s="1">
        <f t="shared" si="702"/>
        <v>3.4799999999999969</v>
      </c>
      <c r="I5028" s="9">
        <f t="shared" si="709"/>
        <v>7.1723000824402236E-2</v>
      </c>
      <c r="J5028" s="1">
        <f t="shared" si="710"/>
        <v>-3.0000000000000249E-2</v>
      </c>
      <c r="K5028" s="9">
        <f t="shared" si="703"/>
        <v>-7.0921985815603416E-3</v>
      </c>
      <c r="L5028" s="1">
        <f t="shared" si="704"/>
        <v>8.3267248215701833E-2</v>
      </c>
      <c r="M5028" s="1">
        <f t="shared" si="705"/>
        <v>4.3298969072164954</v>
      </c>
      <c r="N5028" s="1">
        <f t="shared" si="706"/>
        <v>4.0401268834258532</v>
      </c>
      <c r="O5028" s="1">
        <f t="shared" si="707"/>
        <v>2.2400000000000002</v>
      </c>
      <c r="P5028" s="1">
        <f t="shared" si="708"/>
        <v>1.142857142857143</v>
      </c>
    </row>
    <row r="5029" spans="1:16">
      <c r="A5029" s="2">
        <v>35758</v>
      </c>
      <c r="B5029" s="1">
        <v>52.55</v>
      </c>
      <c r="C5029" s="1">
        <v>53.03</v>
      </c>
      <c r="D5029" s="1">
        <v>50.75</v>
      </c>
      <c r="E5029" s="1">
        <v>50.75</v>
      </c>
      <c r="F5029" s="1">
        <v>2019600</v>
      </c>
      <c r="G5029" s="1">
        <v>4.2300000000000004</v>
      </c>
      <c r="H5029" s="1">
        <f t="shared" si="702"/>
        <v>2.2800000000000011</v>
      </c>
      <c r="I5029" s="9">
        <f t="shared" si="709"/>
        <v>4.4926108374384259E-2</v>
      </c>
      <c r="J5029" s="1">
        <f t="shared" si="710"/>
        <v>-0.25999999999999979</v>
      </c>
      <c r="K5029" s="9">
        <f t="shared" si="703"/>
        <v>-5.7906458797327344E-2</v>
      </c>
      <c r="L5029" s="1">
        <f t="shared" si="704"/>
        <v>8.3349753694581294E-2</v>
      </c>
      <c r="M5029" s="1">
        <f t="shared" si="705"/>
        <v>4.4200374384236465</v>
      </c>
      <c r="N5029" s="1">
        <f t="shared" si="706"/>
        <v>4.2300000000000004</v>
      </c>
      <c r="O5029" s="1">
        <f t="shared" si="707"/>
        <v>2.2700000000000005</v>
      </c>
      <c r="P5029" s="1">
        <f t="shared" si="708"/>
        <v>1.1581632653061227</v>
      </c>
    </row>
    <row r="5030" spans="1:16">
      <c r="A5030" s="2">
        <v>35755</v>
      </c>
      <c r="B5030" s="1">
        <v>54.6</v>
      </c>
      <c r="C5030" s="1">
        <v>54.96</v>
      </c>
      <c r="D5030" s="1">
        <v>53.88</v>
      </c>
      <c r="E5030" s="1">
        <v>53.88</v>
      </c>
      <c r="F5030" s="1">
        <v>2602800</v>
      </c>
      <c r="G5030" s="1">
        <v>4.49</v>
      </c>
      <c r="H5030" s="1">
        <f t="shared" si="702"/>
        <v>1.0799999999999983</v>
      </c>
      <c r="I5030" s="9">
        <f t="shared" si="709"/>
        <v>2.0044543429844065E-2</v>
      </c>
      <c r="J5030" s="1">
        <f t="shared" si="710"/>
        <v>-8.9999999999999858E-2</v>
      </c>
      <c r="K5030" s="9">
        <f t="shared" si="703"/>
        <v>-1.9650655021834031E-2</v>
      </c>
      <c r="L5030" s="1">
        <f t="shared" si="704"/>
        <v>8.3333333333333329E-2</v>
      </c>
      <c r="M5030" s="1">
        <f t="shared" si="705"/>
        <v>4.58</v>
      </c>
      <c r="N5030" s="1">
        <f t="shared" si="706"/>
        <v>4.49</v>
      </c>
      <c r="O5030" s="1">
        <f t="shared" si="707"/>
        <v>2.5300000000000002</v>
      </c>
      <c r="P5030" s="1">
        <f t="shared" si="708"/>
        <v>1.2908163265306123</v>
      </c>
    </row>
    <row r="5031" spans="1:16">
      <c r="A5031" s="2">
        <v>35754</v>
      </c>
      <c r="B5031" s="1">
        <v>54.88</v>
      </c>
      <c r="C5031" s="1">
        <v>55.24</v>
      </c>
      <c r="D5031" s="1">
        <v>54.16</v>
      </c>
      <c r="E5031" s="1">
        <v>55</v>
      </c>
      <c r="F5031" s="1">
        <v>5923200</v>
      </c>
      <c r="G5031" s="1">
        <v>4.58</v>
      </c>
      <c r="H5031" s="1">
        <f t="shared" si="702"/>
        <v>1.0800000000000054</v>
      </c>
      <c r="I5031" s="9">
        <f t="shared" si="709"/>
        <v>1.9940915805022257E-2</v>
      </c>
      <c r="J5031" s="1">
        <f t="shared" si="710"/>
        <v>7.0000000000000284E-2</v>
      </c>
      <c r="K5031" s="9">
        <f t="shared" si="703"/>
        <v>1.552106430155217E-2</v>
      </c>
      <c r="L5031" s="1">
        <f t="shared" si="704"/>
        <v>8.3272727272727276E-2</v>
      </c>
      <c r="M5031" s="1">
        <f t="shared" si="705"/>
        <v>4.5999854545454548</v>
      </c>
      <c r="N5031" s="1">
        <f t="shared" si="706"/>
        <v>4.5100509090909089</v>
      </c>
      <c r="O5031" s="1">
        <f t="shared" si="707"/>
        <v>2.62</v>
      </c>
      <c r="P5031" s="1">
        <f t="shared" si="708"/>
        <v>1.3367346938775511</v>
      </c>
    </row>
    <row r="5032" spans="1:16">
      <c r="A5032" s="2">
        <v>35753</v>
      </c>
      <c r="B5032" s="1">
        <v>52.93</v>
      </c>
      <c r="C5032" s="1">
        <v>54.25</v>
      </c>
      <c r="D5032" s="1">
        <v>51.73</v>
      </c>
      <c r="E5032" s="1">
        <v>54.13</v>
      </c>
      <c r="F5032" s="1">
        <v>2534400</v>
      </c>
      <c r="G5032" s="1">
        <v>4.51</v>
      </c>
      <c r="H5032" s="1">
        <f t="shared" si="702"/>
        <v>2.5200000000000031</v>
      </c>
      <c r="I5032" s="9">
        <f t="shared" si="709"/>
        <v>4.871447902571048E-2</v>
      </c>
      <c r="J5032" s="1">
        <f t="shared" si="710"/>
        <v>8.9999999999999858E-2</v>
      </c>
      <c r="K5032" s="9">
        <f t="shared" si="703"/>
        <v>2.0361990950226214E-2</v>
      </c>
      <c r="L5032" s="1">
        <f t="shared" si="704"/>
        <v>8.3317938296693136E-2</v>
      </c>
      <c r="M5032" s="1">
        <f t="shared" si="705"/>
        <v>4.519998152595603</v>
      </c>
      <c r="N5032" s="1">
        <f t="shared" si="706"/>
        <v>4.3100369480879355</v>
      </c>
      <c r="O5032" s="1">
        <f t="shared" si="707"/>
        <v>2.5499999999999998</v>
      </c>
      <c r="P5032" s="1">
        <f t="shared" si="708"/>
        <v>1.3010204081632653</v>
      </c>
    </row>
    <row r="5033" spans="1:16">
      <c r="A5033" s="2">
        <v>35752</v>
      </c>
      <c r="B5033" s="1">
        <v>52.52</v>
      </c>
      <c r="C5033" s="1">
        <v>53.72</v>
      </c>
      <c r="D5033" s="1">
        <v>52.04</v>
      </c>
      <c r="E5033" s="1">
        <v>53</v>
      </c>
      <c r="F5033" s="1">
        <v>1866000</v>
      </c>
      <c r="G5033" s="1">
        <v>4.42</v>
      </c>
      <c r="H5033" s="1">
        <f t="shared" si="702"/>
        <v>1.6799999999999997</v>
      </c>
      <c r="I5033" s="9">
        <f t="shared" si="709"/>
        <v>3.2282859338970016E-2</v>
      </c>
      <c r="J5033" s="1">
        <f t="shared" si="710"/>
        <v>4.0000000000000036E-2</v>
      </c>
      <c r="K5033" s="9">
        <f t="shared" si="703"/>
        <v>9.1324200913242091E-3</v>
      </c>
      <c r="L5033" s="1">
        <f t="shared" si="704"/>
        <v>8.3396226415094338E-2</v>
      </c>
      <c r="M5033" s="1">
        <f t="shared" si="705"/>
        <v>4.4800452830188675</v>
      </c>
      <c r="N5033" s="1">
        <f t="shared" si="706"/>
        <v>4.3399396226415092</v>
      </c>
      <c r="O5033" s="1">
        <f t="shared" si="707"/>
        <v>2.46</v>
      </c>
      <c r="P5033" s="1">
        <f t="shared" si="708"/>
        <v>1.2551020408163265</v>
      </c>
    </row>
    <row r="5034" spans="1:16">
      <c r="A5034" s="2">
        <v>35751</v>
      </c>
      <c r="B5034" s="1">
        <v>50.7</v>
      </c>
      <c r="C5034" s="1">
        <v>54.42</v>
      </c>
      <c r="D5034" s="1">
        <v>50.58</v>
      </c>
      <c r="E5034" s="1">
        <v>52.5</v>
      </c>
      <c r="F5034" s="1">
        <v>7394400</v>
      </c>
      <c r="G5034" s="1">
        <v>4.38</v>
      </c>
      <c r="H5034" s="1">
        <f t="shared" si="702"/>
        <v>3.8400000000000034</v>
      </c>
      <c r="I5034" s="9">
        <f t="shared" si="709"/>
        <v>7.5919335705812649E-2</v>
      </c>
      <c r="J5034" s="1">
        <f t="shared" si="710"/>
        <v>0.20999999999999996</v>
      </c>
      <c r="K5034" s="9">
        <f t="shared" si="703"/>
        <v>5.035971223021582E-2</v>
      </c>
      <c r="L5034" s="1">
        <f t="shared" si="704"/>
        <v>8.3428571428571421E-2</v>
      </c>
      <c r="M5034" s="1">
        <f t="shared" si="705"/>
        <v>4.5401828571428569</v>
      </c>
      <c r="N5034" s="1">
        <f t="shared" si="706"/>
        <v>4.219817142857142</v>
      </c>
      <c r="O5034" s="1">
        <f t="shared" si="707"/>
        <v>2.42</v>
      </c>
      <c r="P5034" s="1">
        <f t="shared" si="708"/>
        <v>1.2346938775510203</v>
      </c>
    </row>
    <row r="5035" spans="1:16">
      <c r="A5035" s="2">
        <v>35748</v>
      </c>
      <c r="B5035" s="1">
        <v>47.24</v>
      </c>
      <c r="C5035" s="1">
        <v>50.48</v>
      </c>
      <c r="D5035" s="1">
        <v>45.32</v>
      </c>
      <c r="E5035" s="1">
        <v>50</v>
      </c>
      <c r="F5035" s="1">
        <v>5869200</v>
      </c>
      <c r="G5035" s="1">
        <v>4.17</v>
      </c>
      <c r="H5035" s="1">
        <f t="shared" si="702"/>
        <v>5.1599999999999966</v>
      </c>
      <c r="I5035" s="9">
        <f t="shared" si="709"/>
        <v>0.11385701676963805</v>
      </c>
      <c r="J5035" s="1">
        <f t="shared" si="710"/>
        <v>0.31000000000000005</v>
      </c>
      <c r="K5035" s="9">
        <f t="shared" si="703"/>
        <v>8.0310880829015566E-2</v>
      </c>
      <c r="L5035" s="1">
        <f t="shared" si="704"/>
        <v>8.3400000000000002E-2</v>
      </c>
      <c r="M5035" s="1">
        <f t="shared" si="705"/>
        <v>4.210032</v>
      </c>
      <c r="N5035" s="1">
        <f t="shared" si="706"/>
        <v>3.7796880000000002</v>
      </c>
      <c r="O5035" s="1">
        <f t="shared" si="707"/>
        <v>2.21</v>
      </c>
      <c r="P5035" s="1">
        <f t="shared" si="708"/>
        <v>1.1275510204081634</v>
      </c>
    </row>
    <row r="5036" spans="1:16">
      <c r="A5036" s="2">
        <v>35747</v>
      </c>
      <c r="B5036" s="1">
        <v>47.39</v>
      </c>
      <c r="C5036" s="1">
        <v>47.63</v>
      </c>
      <c r="D5036" s="1">
        <v>45.23</v>
      </c>
      <c r="E5036" s="1">
        <v>46.31</v>
      </c>
      <c r="F5036" s="1">
        <v>4290000</v>
      </c>
      <c r="G5036" s="1">
        <v>3.86</v>
      </c>
      <c r="H5036" s="1">
        <f t="shared" si="702"/>
        <v>2.4000000000000057</v>
      </c>
      <c r="I5036" s="9">
        <f t="shared" si="709"/>
        <v>5.3062126906920318E-2</v>
      </c>
      <c r="J5036" s="1">
        <f t="shared" si="710"/>
        <v>8.9999999999999858E-2</v>
      </c>
      <c r="K5036" s="9">
        <f t="shared" si="703"/>
        <v>2.3872679045092802E-2</v>
      </c>
      <c r="L5036" s="1">
        <f t="shared" si="704"/>
        <v>8.3351328006909947E-2</v>
      </c>
      <c r="M5036" s="1">
        <f t="shared" si="705"/>
        <v>3.9700237529691211</v>
      </c>
      <c r="N5036" s="1">
        <f t="shared" si="706"/>
        <v>3.7699805657525367</v>
      </c>
      <c r="O5036" s="1">
        <f t="shared" si="707"/>
        <v>1.9</v>
      </c>
      <c r="P5036" s="1">
        <f t="shared" si="708"/>
        <v>0.96938775510204078</v>
      </c>
    </row>
    <row r="5037" spans="1:16">
      <c r="A5037" s="2">
        <v>35746</v>
      </c>
      <c r="B5037" s="1">
        <v>45.37</v>
      </c>
      <c r="C5037" s="1">
        <v>50.29</v>
      </c>
      <c r="D5037" s="1">
        <v>44.05</v>
      </c>
      <c r="E5037" s="1">
        <v>45.25</v>
      </c>
      <c r="F5037" s="1">
        <v>8683200</v>
      </c>
      <c r="G5037" s="1">
        <v>3.77</v>
      </c>
      <c r="H5037" s="1">
        <f t="shared" si="702"/>
        <v>6.240000000000002</v>
      </c>
      <c r="I5037" s="9">
        <f t="shared" si="709"/>
        <v>0.14165720771850177</v>
      </c>
      <c r="J5037" s="1">
        <f t="shared" si="710"/>
        <v>-0.18000000000000016</v>
      </c>
      <c r="K5037" s="9">
        <f t="shared" si="703"/>
        <v>-4.5569620253164599E-2</v>
      </c>
      <c r="L5037" s="1">
        <f t="shared" si="704"/>
        <v>8.3314917127071828E-2</v>
      </c>
      <c r="M5037" s="1">
        <f t="shared" si="705"/>
        <v>4.1899071823204421</v>
      </c>
      <c r="N5037" s="1">
        <f t="shared" si="706"/>
        <v>3.6700220994475137</v>
      </c>
      <c r="O5037" s="1">
        <f t="shared" si="707"/>
        <v>1.81</v>
      </c>
      <c r="P5037" s="1">
        <f t="shared" si="708"/>
        <v>0.92346938775510212</v>
      </c>
    </row>
    <row r="5038" spans="1:16">
      <c r="A5038" s="2">
        <v>35745</v>
      </c>
      <c r="B5038" s="1">
        <v>50.86</v>
      </c>
      <c r="C5038" s="1">
        <v>51.7</v>
      </c>
      <c r="D5038" s="1">
        <v>47.02</v>
      </c>
      <c r="E5038" s="1">
        <v>47.38</v>
      </c>
      <c r="F5038" s="1">
        <v>4312800</v>
      </c>
      <c r="G5038" s="1">
        <v>3.95</v>
      </c>
      <c r="H5038" s="1">
        <f t="shared" si="702"/>
        <v>4.68</v>
      </c>
      <c r="I5038" s="9">
        <f t="shared" si="709"/>
        <v>9.9532113994045074E-2</v>
      </c>
      <c r="J5038" s="1">
        <f t="shared" si="710"/>
        <v>-0.25999999999999979</v>
      </c>
      <c r="K5038" s="9">
        <f t="shared" si="703"/>
        <v>-6.175771971496432E-2</v>
      </c>
      <c r="L5038" s="1">
        <f t="shared" si="704"/>
        <v>8.3368509919797384E-2</v>
      </c>
      <c r="M5038" s="1">
        <f t="shared" si="705"/>
        <v>4.3101519628535252</v>
      </c>
      <c r="N5038" s="1">
        <f t="shared" si="706"/>
        <v>3.9199873364288731</v>
      </c>
      <c r="O5038" s="1">
        <f t="shared" si="707"/>
        <v>1.9900000000000002</v>
      </c>
      <c r="P5038" s="1">
        <f t="shared" si="708"/>
        <v>1.0153061224489797</v>
      </c>
    </row>
    <row r="5039" spans="1:16">
      <c r="A5039" s="2">
        <v>35744</v>
      </c>
      <c r="B5039" s="1">
        <v>53.98</v>
      </c>
      <c r="C5039" s="1">
        <v>54.7</v>
      </c>
      <c r="D5039" s="1">
        <v>50.5</v>
      </c>
      <c r="E5039" s="1">
        <v>50.5</v>
      </c>
      <c r="F5039" s="1">
        <v>2764800</v>
      </c>
      <c r="G5039" s="1">
        <v>4.21</v>
      </c>
      <c r="H5039" s="1">
        <f t="shared" si="702"/>
        <v>4.2000000000000028</v>
      </c>
      <c r="I5039" s="9">
        <f t="shared" si="709"/>
        <v>8.3168316831683228E-2</v>
      </c>
      <c r="J5039" s="1">
        <f t="shared" si="710"/>
        <v>-0.27000000000000046</v>
      </c>
      <c r="K5039" s="9">
        <f t="shared" si="703"/>
        <v>-6.0267857142857241E-2</v>
      </c>
      <c r="L5039" s="1">
        <f t="shared" si="704"/>
        <v>8.3366336633663371E-2</v>
      </c>
      <c r="M5039" s="1">
        <f t="shared" si="705"/>
        <v>4.5601386138613869</v>
      </c>
      <c r="N5039" s="1">
        <f t="shared" si="706"/>
        <v>4.21</v>
      </c>
      <c r="O5039" s="1">
        <f t="shared" si="707"/>
        <v>2.25</v>
      </c>
      <c r="P5039" s="1">
        <f t="shared" si="708"/>
        <v>1.1479591836734695</v>
      </c>
    </row>
    <row r="5040" spans="1:16">
      <c r="A5040" s="2">
        <v>35741</v>
      </c>
      <c r="B5040" s="1">
        <v>53.03</v>
      </c>
      <c r="C5040" s="1">
        <v>55.67</v>
      </c>
      <c r="D5040" s="1">
        <v>52.67</v>
      </c>
      <c r="E5040" s="1">
        <v>53.75</v>
      </c>
      <c r="F5040" s="1">
        <v>2626800</v>
      </c>
      <c r="G5040" s="1">
        <v>4.4800000000000004</v>
      </c>
      <c r="H5040" s="1">
        <f t="shared" si="702"/>
        <v>3</v>
      </c>
      <c r="I5040" s="9">
        <f t="shared" si="709"/>
        <v>5.6958420353142206E-2</v>
      </c>
      <c r="J5040" s="1">
        <f t="shared" si="710"/>
        <v>-0.17999999999999972</v>
      </c>
      <c r="K5040" s="9">
        <f t="shared" si="703"/>
        <v>-3.8626609442060027E-2</v>
      </c>
      <c r="L5040" s="1">
        <f t="shared" si="704"/>
        <v>8.3348837209302334E-2</v>
      </c>
      <c r="M5040" s="1">
        <f t="shared" si="705"/>
        <v>4.6400297674418614</v>
      </c>
      <c r="N5040" s="1">
        <f t="shared" si="706"/>
        <v>4.389983255813954</v>
      </c>
      <c r="O5040" s="1">
        <f t="shared" si="707"/>
        <v>2.5200000000000005</v>
      </c>
      <c r="P5040" s="1">
        <f t="shared" si="708"/>
        <v>1.285714285714286</v>
      </c>
    </row>
    <row r="5041" spans="1:16">
      <c r="A5041" s="2">
        <v>35740</v>
      </c>
      <c r="B5041" s="1">
        <v>59.06</v>
      </c>
      <c r="C5041" s="1">
        <v>59.06</v>
      </c>
      <c r="D5041" s="1">
        <v>55.7</v>
      </c>
      <c r="E5041" s="1">
        <v>55.94</v>
      </c>
      <c r="F5041" s="1">
        <v>2913600</v>
      </c>
      <c r="G5041" s="1">
        <v>4.66</v>
      </c>
      <c r="H5041" s="1">
        <f t="shared" si="702"/>
        <v>3.3599999999999994</v>
      </c>
      <c r="I5041" s="9">
        <f t="shared" si="709"/>
        <v>6.0323159784560133E-2</v>
      </c>
      <c r="J5041" s="1">
        <f t="shared" si="710"/>
        <v>-0.21999999999999975</v>
      </c>
      <c r="K5041" s="9">
        <f t="shared" si="703"/>
        <v>-4.5081967213114707E-2</v>
      </c>
      <c r="L5041" s="1">
        <f t="shared" si="704"/>
        <v>8.3303539506614233E-2</v>
      </c>
      <c r="M5041" s="1">
        <f t="shared" si="705"/>
        <v>4.9199070432606371</v>
      </c>
      <c r="N5041" s="1">
        <f t="shared" si="706"/>
        <v>4.6400071505184126</v>
      </c>
      <c r="O5041" s="1">
        <f t="shared" si="707"/>
        <v>2.7</v>
      </c>
      <c r="P5041" s="1">
        <f t="shared" si="708"/>
        <v>1.3775510204081634</v>
      </c>
    </row>
    <row r="5042" spans="1:16">
      <c r="A5042" s="2">
        <v>35739</v>
      </c>
      <c r="B5042" s="1">
        <v>59.7</v>
      </c>
      <c r="C5042" s="1">
        <v>61.38</v>
      </c>
      <c r="D5042" s="1">
        <v>58.5</v>
      </c>
      <c r="E5042" s="1">
        <v>58.5</v>
      </c>
      <c r="F5042" s="1">
        <v>3093600</v>
      </c>
      <c r="G5042" s="1">
        <v>4.88</v>
      </c>
      <c r="H5042" s="1">
        <f t="shared" si="702"/>
        <v>2.8800000000000026</v>
      </c>
      <c r="I5042" s="9">
        <f t="shared" si="709"/>
        <v>4.9230769230769272E-2</v>
      </c>
      <c r="J5042" s="1">
        <f t="shared" si="710"/>
        <v>-8.0000000000000071E-2</v>
      </c>
      <c r="K5042" s="9">
        <f t="shared" si="703"/>
        <v>-1.612903225806453E-2</v>
      </c>
      <c r="L5042" s="1">
        <f t="shared" si="704"/>
        <v>8.3418803418803422E-2</v>
      </c>
      <c r="M5042" s="1">
        <f t="shared" si="705"/>
        <v>5.1202461538461543</v>
      </c>
      <c r="N5042" s="1">
        <f t="shared" si="706"/>
        <v>4.88</v>
      </c>
      <c r="O5042" s="1">
        <f t="shared" si="707"/>
        <v>2.92</v>
      </c>
      <c r="P5042" s="1">
        <f t="shared" si="708"/>
        <v>1.489795918367347</v>
      </c>
    </row>
    <row r="5043" spans="1:16">
      <c r="A5043" s="2">
        <v>35738</v>
      </c>
      <c r="B5043" s="1">
        <v>59.98</v>
      </c>
      <c r="C5043" s="1">
        <v>60.58</v>
      </c>
      <c r="D5043" s="1">
        <v>57.82</v>
      </c>
      <c r="E5043" s="1">
        <v>59.5</v>
      </c>
      <c r="F5043" s="1">
        <v>2365200</v>
      </c>
      <c r="G5043" s="1">
        <v>4.96</v>
      </c>
      <c r="H5043" s="1">
        <f t="shared" si="702"/>
        <v>2.759999999999998</v>
      </c>
      <c r="I5043" s="9">
        <f t="shared" si="709"/>
        <v>4.7734347976478693E-2</v>
      </c>
      <c r="J5043" s="1">
        <f t="shared" si="710"/>
        <v>-0.11000000000000032</v>
      </c>
      <c r="K5043" s="9">
        <f t="shared" si="703"/>
        <v>-2.1696252465483297E-2</v>
      </c>
      <c r="L5043" s="1">
        <f t="shared" si="704"/>
        <v>8.336134453781513E-2</v>
      </c>
      <c r="M5043" s="1">
        <f t="shared" si="705"/>
        <v>5.0500302521008402</v>
      </c>
      <c r="N5043" s="1">
        <f t="shared" si="706"/>
        <v>4.8199529411764708</v>
      </c>
      <c r="O5043" s="1">
        <f t="shared" si="707"/>
        <v>3</v>
      </c>
      <c r="P5043" s="1">
        <f t="shared" si="708"/>
        <v>1.5306122448979591</v>
      </c>
    </row>
    <row r="5044" spans="1:16">
      <c r="A5044" s="2">
        <v>35737</v>
      </c>
      <c r="B5044" s="1">
        <v>62.68</v>
      </c>
      <c r="C5044" s="1">
        <v>62.68</v>
      </c>
      <c r="D5044" s="1">
        <v>59.44</v>
      </c>
      <c r="E5044" s="1">
        <v>60.88</v>
      </c>
      <c r="F5044" s="1">
        <v>1999200</v>
      </c>
      <c r="G5044" s="1">
        <v>5.07</v>
      </c>
      <c r="H5044" s="1">
        <f t="shared" si="702"/>
        <v>3.240000000000002</v>
      </c>
      <c r="I5044" s="9">
        <f t="shared" si="709"/>
        <v>5.4508748317631257E-2</v>
      </c>
      <c r="J5044" s="1">
        <f t="shared" si="710"/>
        <v>-9.9999999999997868E-3</v>
      </c>
      <c r="K5044" s="9">
        <f t="shared" si="703"/>
        <v>-1.9685039370078319E-3</v>
      </c>
      <c r="L5044" s="1">
        <f t="shared" si="704"/>
        <v>8.3278580814717479E-2</v>
      </c>
      <c r="M5044" s="1">
        <f t="shared" si="705"/>
        <v>5.2199014454664914</v>
      </c>
      <c r="N5044" s="1">
        <f t="shared" si="706"/>
        <v>4.9500788436268071</v>
      </c>
      <c r="O5044" s="1">
        <f t="shared" si="707"/>
        <v>3.1100000000000003</v>
      </c>
      <c r="P5044" s="1">
        <f t="shared" si="708"/>
        <v>1.5867346938775513</v>
      </c>
    </row>
    <row r="5045" spans="1:16">
      <c r="A5045" s="2">
        <v>35734</v>
      </c>
      <c r="B5045" s="1">
        <v>64.36</v>
      </c>
      <c r="C5045" s="1">
        <v>65.56</v>
      </c>
      <c r="D5045" s="1">
        <v>59.68</v>
      </c>
      <c r="E5045" s="1">
        <v>61</v>
      </c>
      <c r="F5045" s="1">
        <v>5026800</v>
      </c>
      <c r="G5045" s="1">
        <v>5.08</v>
      </c>
      <c r="H5045" s="1">
        <f t="shared" si="702"/>
        <v>5.8800000000000026</v>
      </c>
      <c r="I5045" s="9">
        <f t="shared" si="709"/>
        <v>9.8525469168900842E-2</v>
      </c>
      <c r="J5045" s="1">
        <f t="shared" si="710"/>
        <v>-4.9999999999999822E-2</v>
      </c>
      <c r="K5045" s="9">
        <f t="shared" si="703"/>
        <v>-9.7465886939570798E-3</v>
      </c>
      <c r="L5045" s="1">
        <f t="shared" si="704"/>
        <v>8.3278688524590166E-2</v>
      </c>
      <c r="M5045" s="1">
        <f t="shared" si="705"/>
        <v>5.4597508196721316</v>
      </c>
      <c r="N5045" s="1">
        <f t="shared" si="706"/>
        <v>4.9700721311475409</v>
      </c>
      <c r="O5045" s="1">
        <f t="shared" si="707"/>
        <v>3.12</v>
      </c>
      <c r="P5045" s="1">
        <f t="shared" si="708"/>
        <v>1.5918367346938775</v>
      </c>
    </row>
    <row r="5046" spans="1:16">
      <c r="A5046" s="2">
        <v>35733</v>
      </c>
      <c r="B5046" s="1">
        <v>62.46</v>
      </c>
      <c r="C5046" s="1">
        <v>64.14</v>
      </c>
      <c r="D5046" s="1">
        <v>60.42</v>
      </c>
      <c r="E5046" s="1">
        <v>61.5</v>
      </c>
      <c r="F5046" s="1">
        <v>4770000</v>
      </c>
      <c r="G5046" s="1">
        <v>5.13</v>
      </c>
      <c r="H5046" s="1">
        <f t="shared" si="702"/>
        <v>3.7199999999999989</v>
      </c>
      <c r="I5046" s="9">
        <f t="shared" si="709"/>
        <v>6.1569016881827192E-2</v>
      </c>
      <c r="J5046" s="1">
        <f t="shared" si="710"/>
        <v>-0.25999999999999979</v>
      </c>
      <c r="K5046" s="9">
        <f t="shared" si="703"/>
        <v>-4.8237476808905347E-2</v>
      </c>
      <c r="L5046" s="1">
        <f t="shared" si="704"/>
        <v>8.3414634146341468E-2</v>
      </c>
      <c r="M5046" s="1">
        <f t="shared" si="705"/>
        <v>5.3502146341463419</v>
      </c>
      <c r="N5046" s="1">
        <f t="shared" si="706"/>
        <v>5.0399121951219517</v>
      </c>
      <c r="O5046" s="1">
        <f t="shared" si="707"/>
        <v>3.17</v>
      </c>
      <c r="P5046" s="1">
        <f t="shared" si="708"/>
        <v>1.6173469387755102</v>
      </c>
    </row>
    <row r="5047" spans="1:16">
      <c r="A5047" s="2">
        <v>35732</v>
      </c>
      <c r="B5047" s="1">
        <v>61.81</v>
      </c>
      <c r="C5047" s="1">
        <v>66.010000000000005</v>
      </c>
      <c r="D5047" s="1">
        <v>60.01</v>
      </c>
      <c r="E5047" s="1">
        <v>64.69</v>
      </c>
      <c r="F5047" s="1">
        <v>7126800</v>
      </c>
      <c r="G5047" s="1">
        <v>5.39</v>
      </c>
      <c r="H5047" s="1">
        <f t="shared" si="702"/>
        <v>6.0000000000000071</v>
      </c>
      <c r="I5047" s="9">
        <f t="shared" si="709"/>
        <v>9.9983336110648344E-2</v>
      </c>
      <c r="J5047" s="1">
        <f t="shared" si="710"/>
        <v>0.4399999999999995</v>
      </c>
      <c r="K5047" s="9">
        <f t="shared" si="703"/>
        <v>8.8888888888888781E-2</v>
      </c>
      <c r="L5047" s="1">
        <f t="shared" si="704"/>
        <v>8.3320451383521413E-2</v>
      </c>
      <c r="M5047" s="1">
        <f t="shared" si="705"/>
        <v>5.4999829958262492</v>
      </c>
      <c r="N5047" s="1">
        <f t="shared" si="706"/>
        <v>5.0000602875251197</v>
      </c>
      <c r="O5047" s="1">
        <f t="shared" si="707"/>
        <v>3.4299999999999997</v>
      </c>
      <c r="P5047" s="1">
        <f t="shared" si="708"/>
        <v>1.7499999999999998</v>
      </c>
    </row>
    <row r="5048" spans="1:16">
      <c r="A5048" s="2">
        <v>35731</v>
      </c>
      <c r="B5048" s="1">
        <v>47.02</v>
      </c>
      <c r="C5048" s="1">
        <v>59.98</v>
      </c>
      <c r="D5048" s="1">
        <v>46.54</v>
      </c>
      <c r="E5048" s="1">
        <v>59.38</v>
      </c>
      <c r="F5048" s="1">
        <v>11719200</v>
      </c>
      <c r="G5048" s="1">
        <v>4.95</v>
      </c>
      <c r="H5048" s="1">
        <f t="shared" si="702"/>
        <v>13.439999999999998</v>
      </c>
      <c r="I5048" s="9">
        <f t="shared" si="709"/>
        <v>0.28878384185646749</v>
      </c>
      <c r="J5048" s="1">
        <f t="shared" si="710"/>
        <v>0.6800000000000006</v>
      </c>
      <c r="K5048" s="9">
        <f t="shared" si="703"/>
        <v>0.15925058548009383</v>
      </c>
      <c r="L5048" s="1">
        <f t="shared" si="704"/>
        <v>8.3361401145166727E-2</v>
      </c>
      <c r="M5048" s="1">
        <f t="shared" si="705"/>
        <v>5.0000168406871</v>
      </c>
      <c r="N5048" s="1">
        <f t="shared" si="706"/>
        <v>3.8796396092960594</v>
      </c>
      <c r="O5048" s="1">
        <f t="shared" si="707"/>
        <v>2.99</v>
      </c>
      <c r="P5048" s="1">
        <f t="shared" si="708"/>
        <v>1.5255102040816328</v>
      </c>
    </row>
    <row r="5049" spans="1:16">
      <c r="A5049" s="2">
        <v>35730</v>
      </c>
      <c r="B5049" s="1">
        <v>57.61</v>
      </c>
      <c r="C5049" s="1">
        <v>60.13</v>
      </c>
      <c r="D5049" s="1">
        <v>50.77</v>
      </c>
      <c r="E5049" s="1">
        <v>51.25</v>
      </c>
      <c r="F5049" s="1">
        <v>6091200</v>
      </c>
      <c r="G5049" s="1">
        <v>4.2699999999999996</v>
      </c>
      <c r="H5049" s="1">
        <f t="shared" si="702"/>
        <v>9.36</v>
      </c>
      <c r="I5049" s="9">
        <f t="shared" si="709"/>
        <v>0.18436084301753</v>
      </c>
      <c r="J5049" s="1">
        <f t="shared" si="710"/>
        <v>-0.76000000000000068</v>
      </c>
      <c r="K5049" s="9">
        <f t="shared" si="703"/>
        <v>-0.15109343936381722</v>
      </c>
      <c r="L5049" s="1">
        <f t="shared" si="704"/>
        <v>8.3317073170731698E-2</v>
      </c>
      <c r="M5049" s="1">
        <f t="shared" si="705"/>
        <v>5.0098556097560971</v>
      </c>
      <c r="N5049" s="1">
        <f t="shared" si="706"/>
        <v>4.2300078048780483</v>
      </c>
      <c r="O5049" s="1">
        <f t="shared" si="707"/>
        <v>2.3099999999999996</v>
      </c>
      <c r="P5049" s="1">
        <f t="shared" si="708"/>
        <v>1.1785714285714284</v>
      </c>
    </row>
    <row r="5050" spans="1:16">
      <c r="A5050" s="2">
        <v>35727</v>
      </c>
      <c r="B5050" s="1">
        <v>56.95</v>
      </c>
      <c r="C5050" s="1">
        <v>60.67</v>
      </c>
      <c r="D5050" s="1">
        <v>54.43</v>
      </c>
      <c r="E5050" s="1">
        <v>60.31</v>
      </c>
      <c r="F5050" s="1">
        <v>9492000</v>
      </c>
      <c r="G5050" s="1">
        <v>5.03</v>
      </c>
      <c r="H5050" s="1">
        <f t="shared" si="702"/>
        <v>6.240000000000002</v>
      </c>
      <c r="I5050" s="9">
        <f t="shared" si="709"/>
        <v>0.11464266029763003</v>
      </c>
      <c r="J5050" s="1">
        <f t="shared" si="710"/>
        <v>0.53000000000000025</v>
      </c>
      <c r="K5050" s="9">
        <f t="shared" si="703"/>
        <v>0.11777777777777783</v>
      </c>
      <c r="L5050" s="1">
        <f t="shared" si="704"/>
        <v>8.3402420825733709E-2</v>
      </c>
      <c r="M5050" s="1">
        <f t="shared" si="705"/>
        <v>5.060024871497264</v>
      </c>
      <c r="N5050" s="1">
        <f t="shared" si="706"/>
        <v>4.5395937655446854</v>
      </c>
      <c r="O5050" s="1">
        <f t="shared" si="707"/>
        <v>3.0700000000000003</v>
      </c>
      <c r="P5050" s="1">
        <f t="shared" si="708"/>
        <v>1.5663265306122451</v>
      </c>
    </row>
    <row r="5051" spans="1:16">
      <c r="A5051" s="2">
        <v>35726</v>
      </c>
      <c r="B5051" s="1">
        <v>50.76</v>
      </c>
      <c r="C5051" s="1">
        <v>54.72</v>
      </c>
      <c r="D5051" s="1">
        <v>50.28</v>
      </c>
      <c r="E5051" s="1">
        <v>54</v>
      </c>
      <c r="F5051" s="1">
        <v>5656800</v>
      </c>
      <c r="G5051" s="1">
        <v>4.5</v>
      </c>
      <c r="H5051" s="1">
        <f t="shared" si="702"/>
        <v>4.4399999999999977</v>
      </c>
      <c r="I5051" s="9">
        <f t="shared" si="709"/>
        <v>8.8305489260143144E-2</v>
      </c>
      <c r="J5051" s="1">
        <f t="shared" si="710"/>
        <v>-1.9999999999999574E-2</v>
      </c>
      <c r="K5051" s="9">
        <f t="shared" si="703"/>
        <v>-4.4247787610618532E-3</v>
      </c>
      <c r="L5051" s="1">
        <f t="shared" si="704"/>
        <v>8.3333333333333329E-2</v>
      </c>
      <c r="M5051" s="1">
        <f t="shared" si="705"/>
        <v>4.5599999999999996</v>
      </c>
      <c r="N5051" s="1">
        <f t="shared" si="706"/>
        <v>4.1899999999999995</v>
      </c>
      <c r="O5051" s="1">
        <f t="shared" si="707"/>
        <v>2.54</v>
      </c>
      <c r="P5051" s="1">
        <f t="shared" si="708"/>
        <v>1.2959183673469388</v>
      </c>
    </row>
    <row r="5052" spans="1:16">
      <c r="A5052" s="2">
        <v>35725</v>
      </c>
      <c r="B5052" s="1">
        <v>53.05</v>
      </c>
      <c r="C5052" s="1">
        <v>55.45</v>
      </c>
      <c r="D5052" s="1">
        <v>52.57</v>
      </c>
      <c r="E5052" s="1">
        <v>54.25</v>
      </c>
      <c r="F5052" s="1">
        <v>5208000</v>
      </c>
      <c r="G5052" s="1">
        <v>4.5199999999999996</v>
      </c>
      <c r="H5052" s="1">
        <f t="shared" si="702"/>
        <v>2.8800000000000026</v>
      </c>
      <c r="I5052" s="9">
        <f t="shared" si="709"/>
        <v>5.4784097393950973E-2</v>
      </c>
      <c r="J5052" s="1">
        <f t="shared" si="710"/>
        <v>8.9999999999999858E-2</v>
      </c>
      <c r="K5052" s="9">
        <f t="shared" si="703"/>
        <v>2.0316027088036086E-2</v>
      </c>
      <c r="L5052" s="1">
        <f t="shared" si="704"/>
        <v>8.3317972350230404E-2</v>
      </c>
      <c r="M5052" s="1">
        <f t="shared" si="705"/>
        <v>4.6199815668202762</v>
      </c>
      <c r="N5052" s="1">
        <f t="shared" si="706"/>
        <v>4.380025806451612</v>
      </c>
      <c r="O5052" s="1">
        <f t="shared" si="707"/>
        <v>2.5599999999999996</v>
      </c>
      <c r="P5052" s="1">
        <f t="shared" si="708"/>
        <v>1.3061224489795917</v>
      </c>
    </row>
    <row r="5053" spans="1:16">
      <c r="A5053" s="2">
        <v>35724</v>
      </c>
      <c r="B5053" s="1">
        <v>47.49</v>
      </c>
      <c r="C5053" s="1">
        <v>53.25</v>
      </c>
      <c r="D5053" s="1">
        <v>46.17</v>
      </c>
      <c r="E5053" s="1">
        <v>53.13</v>
      </c>
      <c r="F5053" s="1">
        <v>12096000</v>
      </c>
      <c r="G5053" s="1">
        <v>4.43</v>
      </c>
      <c r="H5053" s="1">
        <f t="shared" si="702"/>
        <v>7.0799999999999983</v>
      </c>
      <c r="I5053" s="9">
        <f t="shared" si="709"/>
        <v>0.15334632878492524</v>
      </c>
      <c r="J5053" s="1">
        <f t="shared" si="710"/>
        <v>0.60999999999999988</v>
      </c>
      <c r="K5053" s="9">
        <f t="shared" si="703"/>
        <v>0.15968586387434552</v>
      </c>
      <c r="L5053" s="1">
        <f t="shared" si="704"/>
        <v>8.3380387728213809E-2</v>
      </c>
      <c r="M5053" s="1">
        <f t="shared" si="705"/>
        <v>4.4400056465273856</v>
      </c>
      <c r="N5053" s="1">
        <f t="shared" si="706"/>
        <v>3.8496725014116318</v>
      </c>
      <c r="O5053" s="1">
        <f t="shared" si="707"/>
        <v>2.4699999999999998</v>
      </c>
      <c r="P5053" s="1">
        <f t="shared" si="708"/>
        <v>1.260204081632653</v>
      </c>
    </row>
    <row r="5054" spans="1:16">
      <c r="A5054" s="2">
        <v>35723</v>
      </c>
      <c r="B5054" s="1">
        <v>44.2</v>
      </c>
      <c r="C5054" s="1">
        <v>46.6</v>
      </c>
      <c r="D5054" s="1">
        <v>44.08</v>
      </c>
      <c r="E5054" s="1">
        <v>45.88</v>
      </c>
      <c r="F5054" s="1">
        <v>4912800</v>
      </c>
      <c r="G5054" s="1">
        <v>3.82</v>
      </c>
      <c r="H5054" s="1">
        <f t="shared" si="702"/>
        <v>2.5200000000000031</v>
      </c>
      <c r="I5054" s="9">
        <f t="shared" si="709"/>
        <v>5.7168784029038189E-2</v>
      </c>
      <c r="J5054" s="1">
        <f t="shared" si="710"/>
        <v>0.18999999999999995</v>
      </c>
      <c r="K5054" s="9">
        <f t="shared" si="703"/>
        <v>5.2341597796143238E-2</v>
      </c>
      <c r="L5054" s="1">
        <f t="shared" si="704"/>
        <v>8.326068003487358E-2</v>
      </c>
      <c r="M5054" s="1">
        <f t="shared" si="705"/>
        <v>3.8799476896251091</v>
      </c>
      <c r="N5054" s="1">
        <f t="shared" si="706"/>
        <v>3.6701307759372273</v>
      </c>
      <c r="O5054" s="1">
        <f t="shared" si="707"/>
        <v>1.8599999999999999</v>
      </c>
      <c r="P5054" s="1">
        <f t="shared" si="708"/>
        <v>0.94897959183673464</v>
      </c>
    </row>
    <row r="5055" spans="1:16">
      <c r="A5055" s="2">
        <v>35720</v>
      </c>
      <c r="B5055" s="1">
        <v>43.26</v>
      </c>
      <c r="C5055" s="1">
        <v>43.86</v>
      </c>
      <c r="D5055" s="1">
        <v>42.18</v>
      </c>
      <c r="E5055" s="1">
        <v>43.5</v>
      </c>
      <c r="F5055" s="1">
        <v>2534400</v>
      </c>
      <c r="G5055" s="1">
        <v>3.63</v>
      </c>
      <c r="H5055" s="1">
        <f t="shared" si="702"/>
        <v>1.6799999999999997</v>
      </c>
      <c r="I5055" s="9">
        <f t="shared" si="709"/>
        <v>3.9829302987197716E-2</v>
      </c>
      <c r="J5055" s="1">
        <f t="shared" si="710"/>
        <v>0</v>
      </c>
      <c r="K5055" s="9">
        <f t="shared" si="703"/>
        <v>0</v>
      </c>
      <c r="L5055" s="1">
        <f t="shared" si="704"/>
        <v>8.344827586206896E-2</v>
      </c>
      <c r="M5055" s="1">
        <f t="shared" si="705"/>
        <v>3.6600413793103446</v>
      </c>
      <c r="N5055" s="1">
        <f t="shared" si="706"/>
        <v>3.5198482758620688</v>
      </c>
      <c r="O5055" s="1">
        <f t="shared" si="707"/>
        <v>1.67</v>
      </c>
      <c r="P5055" s="1">
        <f t="shared" si="708"/>
        <v>0.85204081632653061</v>
      </c>
    </row>
    <row r="5056" spans="1:16">
      <c r="A5056" s="2">
        <v>35719</v>
      </c>
      <c r="B5056" s="1">
        <v>47.69</v>
      </c>
      <c r="C5056" s="1">
        <v>47.69</v>
      </c>
      <c r="D5056" s="1">
        <v>43.14</v>
      </c>
      <c r="E5056" s="1">
        <v>43.5</v>
      </c>
      <c r="F5056" s="1">
        <v>3481200</v>
      </c>
      <c r="G5056" s="1">
        <v>3.63</v>
      </c>
      <c r="H5056" s="1">
        <f t="shared" si="702"/>
        <v>4.5499999999999972</v>
      </c>
      <c r="I5056" s="9">
        <f t="shared" si="709"/>
        <v>0.1054705609643022</v>
      </c>
      <c r="J5056" s="1">
        <f t="shared" si="710"/>
        <v>-0.29000000000000004</v>
      </c>
      <c r="K5056" s="9">
        <f t="shared" si="703"/>
        <v>-7.3979591836734707E-2</v>
      </c>
      <c r="L5056" s="1">
        <f t="shared" si="704"/>
        <v>8.344827586206896E-2</v>
      </c>
      <c r="M5056" s="1">
        <f t="shared" si="705"/>
        <v>3.9796482758620684</v>
      </c>
      <c r="N5056" s="1">
        <f t="shared" si="706"/>
        <v>3.5999586206896548</v>
      </c>
      <c r="O5056" s="1">
        <f t="shared" si="707"/>
        <v>1.67</v>
      </c>
      <c r="P5056" s="1">
        <f t="shared" si="708"/>
        <v>0.85204081632653061</v>
      </c>
    </row>
    <row r="5057" spans="1:16">
      <c r="A5057" s="2">
        <v>35718</v>
      </c>
      <c r="B5057" s="1">
        <v>47.66</v>
      </c>
      <c r="C5057" s="1">
        <v>47.66</v>
      </c>
      <c r="D5057" s="1">
        <v>45.26</v>
      </c>
      <c r="E5057" s="1">
        <v>47.06</v>
      </c>
      <c r="F5057" s="1">
        <v>2355600</v>
      </c>
      <c r="G5057" s="1">
        <v>3.92</v>
      </c>
      <c r="H5057" s="1">
        <f t="shared" si="702"/>
        <v>2.3999999999999986</v>
      </c>
      <c r="I5057" s="9">
        <f t="shared" si="709"/>
        <v>5.3026955368979202E-2</v>
      </c>
      <c r="J5057" s="1">
        <f t="shared" si="710"/>
        <v>-6.0000000000000053E-2</v>
      </c>
      <c r="K5057" s="9">
        <f t="shared" si="703"/>
        <v>-1.5075376884422124E-2</v>
      </c>
      <c r="L5057" s="1">
        <f t="shared" si="704"/>
        <v>8.3297917552061188E-2</v>
      </c>
      <c r="M5057" s="1">
        <f t="shared" si="705"/>
        <v>3.9699787505312361</v>
      </c>
      <c r="N5057" s="1">
        <f t="shared" si="706"/>
        <v>3.7700637484062893</v>
      </c>
      <c r="O5057" s="1">
        <f t="shared" si="707"/>
        <v>1.96</v>
      </c>
      <c r="P5057" s="1">
        <f t="shared" si="708"/>
        <v>1</v>
      </c>
    </row>
    <row r="5058" spans="1:16">
      <c r="A5058" s="2">
        <v>35717</v>
      </c>
      <c r="B5058" s="1">
        <v>48.71</v>
      </c>
      <c r="C5058" s="1">
        <v>49.19</v>
      </c>
      <c r="D5058" s="1">
        <v>45.95</v>
      </c>
      <c r="E5058" s="1">
        <v>47.75</v>
      </c>
      <c r="F5058" s="1">
        <v>1546800</v>
      </c>
      <c r="G5058" s="1">
        <v>3.98</v>
      </c>
      <c r="H5058" s="1">
        <f t="shared" si="702"/>
        <v>3.2399999999999949</v>
      </c>
      <c r="I5058" s="9">
        <f t="shared" si="709"/>
        <v>7.0511425462459074E-2</v>
      </c>
      <c r="J5058" s="1">
        <f t="shared" si="710"/>
        <v>-2.0000000000000018E-2</v>
      </c>
      <c r="K5058" s="9">
        <f t="shared" si="703"/>
        <v>-5.0000000000000044E-3</v>
      </c>
      <c r="L5058" s="1">
        <f t="shared" si="704"/>
        <v>8.3350785340314135E-2</v>
      </c>
      <c r="M5058" s="1">
        <f t="shared" si="705"/>
        <v>4.1000251308900522</v>
      </c>
      <c r="N5058" s="1">
        <f t="shared" si="706"/>
        <v>3.8299685863874346</v>
      </c>
      <c r="O5058" s="1">
        <f t="shared" si="707"/>
        <v>2.02</v>
      </c>
      <c r="P5058" s="1">
        <f t="shared" si="708"/>
        <v>1.0306122448979591</v>
      </c>
    </row>
    <row r="5059" spans="1:16">
      <c r="A5059" s="2">
        <v>35716</v>
      </c>
      <c r="B5059" s="1">
        <v>47.16</v>
      </c>
      <c r="C5059" s="1">
        <v>48.48</v>
      </c>
      <c r="D5059" s="1">
        <v>47.16</v>
      </c>
      <c r="E5059" s="1">
        <v>48</v>
      </c>
      <c r="F5059" s="1">
        <v>814800</v>
      </c>
      <c r="G5059" s="1">
        <v>4</v>
      </c>
      <c r="H5059" s="1">
        <f t="shared" ref="H5059:H5122" si="711">C5059-D5059</f>
        <v>1.3200000000000003</v>
      </c>
      <c r="I5059" s="9">
        <f t="shared" si="709"/>
        <v>2.7989821882951661E-2</v>
      </c>
      <c r="J5059" s="1">
        <f t="shared" si="710"/>
        <v>0.10000000000000009</v>
      </c>
      <c r="K5059" s="9">
        <f t="shared" ref="K5059:K5122" si="712">(G5059-G5060)/G5060</f>
        <v>2.5641025641025664E-2</v>
      </c>
      <c r="L5059" s="1">
        <f t="shared" ref="L5059:L5122" si="713">G5059/E5059</f>
        <v>8.3333333333333329E-2</v>
      </c>
      <c r="M5059" s="1">
        <f t="shared" ref="M5059:M5122" si="714">L5059*C5059</f>
        <v>4.0399999999999991</v>
      </c>
      <c r="N5059" s="1">
        <f t="shared" ref="N5059:N5122" si="715">L5059*D5059</f>
        <v>3.9299999999999997</v>
      </c>
      <c r="O5059" s="1">
        <f t="shared" ref="O5059:O5122" si="716">G5059-$G$5163</f>
        <v>2.04</v>
      </c>
      <c r="P5059" s="1">
        <f t="shared" ref="P5059:P5122" si="717">(G5059-$G$5163)/$G$5163</f>
        <v>1.0408163265306123</v>
      </c>
    </row>
    <row r="5060" spans="1:16">
      <c r="A5060" s="2">
        <v>35713</v>
      </c>
      <c r="B5060" s="1">
        <v>44.77</v>
      </c>
      <c r="C5060" s="1">
        <v>48.73</v>
      </c>
      <c r="D5060" s="1">
        <v>44.05</v>
      </c>
      <c r="E5060" s="1">
        <v>46.81</v>
      </c>
      <c r="F5060" s="1">
        <v>3787200</v>
      </c>
      <c r="G5060" s="1">
        <v>3.9</v>
      </c>
      <c r="H5060" s="1">
        <f t="shared" si="711"/>
        <v>4.68</v>
      </c>
      <c r="I5060" s="9">
        <f t="shared" ref="I5060:I5123" si="718">(C5060-D5060)/D5060</f>
        <v>0.10624290578887628</v>
      </c>
      <c r="J5060" s="1">
        <f t="shared" ref="J5060:J5123" si="719">G5060-G5061</f>
        <v>0.14999999999999991</v>
      </c>
      <c r="K5060" s="9">
        <f t="shared" si="712"/>
        <v>3.9999999999999973E-2</v>
      </c>
      <c r="L5060" s="1">
        <f t="shared" si="713"/>
        <v>8.3315530869472326E-2</v>
      </c>
      <c r="M5060" s="1">
        <f t="shared" si="714"/>
        <v>4.0599658192693866</v>
      </c>
      <c r="N5060" s="1">
        <f t="shared" si="715"/>
        <v>3.6700491348002555</v>
      </c>
      <c r="O5060" s="1">
        <f t="shared" si="716"/>
        <v>1.94</v>
      </c>
      <c r="P5060" s="1">
        <f t="shared" si="717"/>
        <v>0.98979591836734693</v>
      </c>
    </row>
    <row r="5061" spans="1:16">
      <c r="A5061" s="2">
        <v>35712</v>
      </c>
      <c r="B5061" s="1">
        <v>48</v>
      </c>
      <c r="C5061" s="1">
        <v>48.24</v>
      </c>
      <c r="D5061" s="1">
        <v>44.88</v>
      </c>
      <c r="E5061" s="1">
        <v>45</v>
      </c>
      <c r="F5061" s="1">
        <v>3950400</v>
      </c>
      <c r="G5061" s="1">
        <v>3.75</v>
      </c>
      <c r="H5061" s="1">
        <f t="shared" si="711"/>
        <v>3.3599999999999994</v>
      </c>
      <c r="I5061" s="9">
        <f t="shared" si="718"/>
        <v>7.4866310160427788E-2</v>
      </c>
      <c r="J5061" s="1">
        <f t="shared" si="719"/>
        <v>-0.25999999999999979</v>
      </c>
      <c r="K5061" s="9">
        <f t="shared" si="712"/>
        <v>-6.4837905236907675E-2</v>
      </c>
      <c r="L5061" s="1">
        <f t="shared" si="713"/>
        <v>8.3333333333333329E-2</v>
      </c>
      <c r="M5061" s="1">
        <f t="shared" si="714"/>
        <v>4.0199999999999996</v>
      </c>
      <c r="N5061" s="1">
        <f t="shared" si="715"/>
        <v>3.74</v>
      </c>
      <c r="O5061" s="1">
        <f t="shared" si="716"/>
        <v>1.79</v>
      </c>
      <c r="P5061" s="1">
        <f t="shared" si="717"/>
        <v>0.91326530612244905</v>
      </c>
    </row>
    <row r="5062" spans="1:16">
      <c r="A5062" s="2">
        <v>35711</v>
      </c>
      <c r="B5062" s="1">
        <v>49.74</v>
      </c>
      <c r="C5062" s="1">
        <v>49.98</v>
      </c>
      <c r="D5062" s="1">
        <v>47.7</v>
      </c>
      <c r="E5062" s="1">
        <v>48.06</v>
      </c>
      <c r="F5062" s="1">
        <v>2806800</v>
      </c>
      <c r="G5062" s="1">
        <v>4.01</v>
      </c>
      <c r="H5062" s="1">
        <f t="shared" si="711"/>
        <v>2.279999999999994</v>
      </c>
      <c r="I5062" s="9">
        <f t="shared" si="718"/>
        <v>4.7798742138364651E-2</v>
      </c>
      <c r="J5062" s="1">
        <f t="shared" si="719"/>
        <v>-4.9999999999999822E-2</v>
      </c>
      <c r="K5062" s="9">
        <f t="shared" si="712"/>
        <v>-1.2315270935960548E-2</v>
      </c>
      <c r="L5062" s="1">
        <f t="shared" si="713"/>
        <v>8.3437369954223878E-2</v>
      </c>
      <c r="M5062" s="1">
        <f t="shared" si="714"/>
        <v>4.1701997503121095</v>
      </c>
      <c r="N5062" s="1">
        <f t="shared" si="715"/>
        <v>3.9799625468164792</v>
      </c>
      <c r="O5062" s="1">
        <f t="shared" si="716"/>
        <v>2.0499999999999998</v>
      </c>
      <c r="P5062" s="1">
        <f t="shared" si="717"/>
        <v>1.0459183673469388</v>
      </c>
    </row>
    <row r="5063" spans="1:16">
      <c r="A5063" s="2">
        <v>35710</v>
      </c>
      <c r="B5063" s="1">
        <v>48.93</v>
      </c>
      <c r="C5063" s="1">
        <v>50.25</v>
      </c>
      <c r="D5063" s="1">
        <v>48.45</v>
      </c>
      <c r="E5063" s="1">
        <v>48.69</v>
      </c>
      <c r="F5063" s="1">
        <v>1742400</v>
      </c>
      <c r="G5063" s="1">
        <v>4.0599999999999996</v>
      </c>
      <c r="H5063" s="1">
        <f t="shared" si="711"/>
        <v>1.7999999999999972</v>
      </c>
      <c r="I5063" s="9">
        <f t="shared" si="718"/>
        <v>3.7151702786377645E-2</v>
      </c>
      <c r="J5063" s="1">
        <f t="shared" si="719"/>
        <v>-7.0000000000000284E-2</v>
      </c>
      <c r="K5063" s="9">
        <f t="shared" si="712"/>
        <v>-1.6949152542372951E-2</v>
      </c>
      <c r="L5063" s="1">
        <f t="shared" si="713"/>
        <v>8.3384678578763596E-2</v>
      </c>
      <c r="M5063" s="1">
        <f t="shared" si="714"/>
        <v>4.1900800985828708</v>
      </c>
      <c r="N5063" s="1">
        <f t="shared" si="715"/>
        <v>4.0399876771410961</v>
      </c>
      <c r="O5063" s="1">
        <f t="shared" si="716"/>
        <v>2.0999999999999996</v>
      </c>
      <c r="P5063" s="1">
        <f t="shared" si="717"/>
        <v>1.0714285714285712</v>
      </c>
    </row>
    <row r="5064" spans="1:16">
      <c r="A5064" s="2">
        <v>35709</v>
      </c>
      <c r="B5064" s="1">
        <v>47.94</v>
      </c>
      <c r="C5064" s="1">
        <v>49.5</v>
      </c>
      <c r="D5064" s="1">
        <v>47.22</v>
      </c>
      <c r="E5064" s="1">
        <v>49.5</v>
      </c>
      <c r="F5064" s="1">
        <v>2028000</v>
      </c>
      <c r="G5064" s="1">
        <v>4.13</v>
      </c>
      <c r="H5064" s="1">
        <f t="shared" si="711"/>
        <v>2.2800000000000011</v>
      </c>
      <c r="I5064" s="9">
        <f t="shared" si="718"/>
        <v>4.8284625158831029E-2</v>
      </c>
      <c r="J5064" s="1">
        <f t="shared" si="719"/>
        <v>0.11000000000000032</v>
      </c>
      <c r="K5064" s="9">
        <f t="shared" si="712"/>
        <v>2.7363184079602074E-2</v>
      </c>
      <c r="L5064" s="1">
        <f t="shared" si="713"/>
        <v>8.343434343434343E-2</v>
      </c>
      <c r="M5064" s="1">
        <f t="shared" si="714"/>
        <v>4.13</v>
      </c>
      <c r="N5064" s="1">
        <f t="shared" si="715"/>
        <v>3.9397696969696967</v>
      </c>
      <c r="O5064" s="1">
        <f t="shared" si="716"/>
        <v>2.17</v>
      </c>
      <c r="P5064" s="1">
        <f t="shared" si="717"/>
        <v>1.1071428571428572</v>
      </c>
    </row>
    <row r="5065" spans="1:16">
      <c r="A5065" s="2">
        <v>35706</v>
      </c>
      <c r="B5065" s="1">
        <v>48.91</v>
      </c>
      <c r="C5065" s="1">
        <v>49.51</v>
      </c>
      <c r="D5065" s="1">
        <v>47.71</v>
      </c>
      <c r="E5065" s="1">
        <v>48.19</v>
      </c>
      <c r="F5065" s="1">
        <v>1164000</v>
      </c>
      <c r="G5065" s="1">
        <v>4.0199999999999996</v>
      </c>
      <c r="H5065" s="1">
        <f t="shared" si="711"/>
        <v>1.7999999999999972</v>
      </c>
      <c r="I5065" s="9">
        <f t="shared" si="718"/>
        <v>3.7727939635296526E-2</v>
      </c>
      <c r="J5065" s="1">
        <f t="shared" si="719"/>
        <v>9.9999999999997868E-3</v>
      </c>
      <c r="K5065" s="9">
        <f t="shared" si="712"/>
        <v>2.4937655860348597E-3</v>
      </c>
      <c r="L5065" s="1">
        <f t="shared" si="713"/>
        <v>8.3419796638306704E-2</v>
      </c>
      <c r="M5065" s="1">
        <f t="shared" si="714"/>
        <v>4.1301141315625651</v>
      </c>
      <c r="N5065" s="1">
        <f t="shared" si="715"/>
        <v>3.9799584976136129</v>
      </c>
      <c r="O5065" s="1">
        <f t="shared" si="716"/>
        <v>2.0599999999999996</v>
      </c>
      <c r="P5065" s="1">
        <f t="shared" si="717"/>
        <v>1.051020408163265</v>
      </c>
    </row>
    <row r="5066" spans="1:16">
      <c r="A5066" s="2">
        <v>35705</v>
      </c>
      <c r="B5066" s="1">
        <v>48.49</v>
      </c>
      <c r="C5066" s="1">
        <v>50.17</v>
      </c>
      <c r="D5066" s="1">
        <v>47.89</v>
      </c>
      <c r="E5066" s="1">
        <v>48.13</v>
      </c>
      <c r="F5066" s="1">
        <v>1876800</v>
      </c>
      <c r="G5066" s="1">
        <v>4.01</v>
      </c>
      <c r="H5066" s="1">
        <f t="shared" si="711"/>
        <v>2.2800000000000011</v>
      </c>
      <c r="I5066" s="9">
        <f t="shared" si="718"/>
        <v>4.7609104197118418E-2</v>
      </c>
      <c r="J5066" s="1">
        <f t="shared" si="719"/>
        <v>-9.9999999999997868E-3</v>
      </c>
      <c r="K5066" s="9">
        <f t="shared" si="712"/>
        <v>-2.4875621890546734E-3</v>
      </c>
      <c r="L5066" s="1">
        <f t="shared" si="713"/>
        <v>8.3316019114897139E-2</v>
      </c>
      <c r="M5066" s="1">
        <f t="shared" si="714"/>
        <v>4.1799646789943896</v>
      </c>
      <c r="N5066" s="1">
        <f t="shared" si="715"/>
        <v>3.9900041554124241</v>
      </c>
      <c r="O5066" s="1">
        <f t="shared" si="716"/>
        <v>2.0499999999999998</v>
      </c>
      <c r="P5066" s="1">
        <f t="shared" si="717"/>
        <v>1.0459183673469388</v>
      </c>
    </row>
    <row r="5067" spans="1:16">
      <c r="A5067" s="2">
        <v>35704</v>
      </c>
      <c r="B5067" s="1">
        <v>53.29</v>
      </c>
      <c r="C5067" s="1">
        <v>54.01</v>
      </c>
      <c r="D5067" s="1">
        <v>47.29</v>
      </c>
      <c r="E5067" s="1">
        <v>48.25</v>
      </c>
      <c r="F5067" s="1">
        <v>4999200</v>
      </c>
      <c r="G5067" s="1">
        <v>4.0199999999999996</v>
      </c>
      <c r="H5067" s="1">
        <f t="shared" si="711"/>
        <v>6.7199999999999989</v>
      </c>
      <c r="I5067" s="9">
        <f t="shared" si="718"/>
        <v>0.1421019242968915</v>
      </c>
      <c r="J5067" s="1">
        <f t="shared" si="719"/>
        <v>-0.32000000000000028</v>
      </c>
      <c r="K5067" s="9">
        <f t="shared" si="712"/>
        <v>-7.3732718894009286E-2</v>
      </c>
      <c r="L5067" s="1">
        <f t="shared" si="713"/>
        <v>8.33160621761658E-2</v>
      </c>
      <c r="M5067" s="1">
        <f t="shared" si="714"/>
        <v>4.4999005181347149</v>
      </c>
      <c r="N5067" s="1">
        <f t="shared" si="715"/>
        <v>3.9400165803108806</v>
      </c>
      <c r="O5067" s="1">
        <f t="shared" si="716"/>
        <v>2.0599999999999996</v>
      </c>
      <c r="P5067" s="1">
        <f t="shared" si="717"/>
        <v>1.051020408163265</v>
      </c>
    </row>
    <row r="5068" spans="1:16">
      <c r="A5068" s="2">
        <v>35703</v>
      </c>
      <c r="B5068" s="1">
        <v>47.98</v>
      </c>
      <c r="C5068" s="1">
        <v>52.18</v>
      </c>
      <c r="D5068" s="1">
        <v>45.58</v>
      </c>
      <c r="E5068" s="1">
        <v>52.06</v>
      </c>
      <c r="F5068" s="1">
        <v>5254800</v>
      </c>
      <c r="G5068" s="1">
        <v>4.34</v>
      </c>
      <c r="H5068" s="1">
        <f t="shared" si="711"/>
        <v>6.6000000000000014</v>
      </c>
      <c r="I5068" s="9">
        <f t="shared" si="718"/>
        <v>0.14480035103115405</v>
      </c>
      <c r="J5068" s="1">
        <f t="shared" si="719"/>
        <v>0.29999999999999982</v>
      </c>
      <c r="K5068" s="9">
        <f t="shared" si="712"/>
        <v>7.4257425742574212E-2</v>
      </c>
      <c r="L5068" s="1">
        <f t="shared" si="713"/>
        <v>8.3365347675758733E-2</v>
      </c>
      <c r="M5068" s="1">
        <f t="shared" si="714"/>
        <v>4.3500038417210902</v>
      </c>
      <c r="N5068" s="1">
        <f t="shared" si="715"/>
        <v>3.7997925470610827</v>
      </c>
      <c r="O5068" s="1">
        <f t="shared" si="716"/>
        <v>2.38</v>
      </c>
      <c r="P5068" s="1">
        <f t="shared" si="717"/>
        <v>1.2142857142857142</v>
      </c>
    </row>
    <row r="5069" spans="1:16">
      <c r="A5069" s="2">
        <v>35702</v>
      </c>
      <c r="B5069" s="1">
        <v>49.82</v>
      </c>
      <c r="C5069" s="1">
        <v>50.3</v>
      </c>
      <c r="D5069" s="1">
        <v>47.54</v>
      </c>
      <c r="E5069" s="1">
        <v>48.5</v>
      </c>
      <c r="F5069" s="1">
        <v>2371200</v>
      </c>
      <c r="G5069" s="1">
        <v>4.04</v>
      </c>
      <c r="H5069" s="1">
        <f t="shared" si="711"/>
        <v>2.759999999999998</v>
      </c>
      <c r="I5069" s="9">
        <f t="shared" si="718"/>
        <v>5.8056373580142998E-2</v>
      </c>
      <c r="J5069" s="1">
        <f t="shared" si="719"/>
        <v>-0.12999999999999989</v>
      </c>
      <c r="K5069" s="9">
        <f t="shared" si="712"/>
        <v>-3.1175059952038345E-2</v>
      </c>
      <c r="L5069" s="1">
        <f t="shared" si="713"/>
        <v>8.3298969072164955E-2</v>
      </c>
      <c r="M5069" s="1">
        <f t="shared" si="714"/>
        <v>4.1899381443298971</v>
      </c>
      <c r="N5069" s="1">
        <f t="shared" si="715"/>
        <v>3.9600329896907218</v>
      </c>
      <c r="O5069" s="1">
        <f t="shared" si="716"/>
        <v>2.08</v>
      </c>
      <c r="P5069" s="1">
        <f t="shared" si="717"/>
        <v>1.0612244897959184</v>
      </c>
    </row>
    <row r="5070" spans="1:16">
      <c r="A5070" s="2">
        <v>35699</v>
      </c>
      <c r="B5070" s="1">
        <v>48.8</v>
      </c>
      <c r="C5070" s="1">
        <v>51.08</v>
      </c>
      <c r="D5070" s="1">
        <v>48.56</v>
      </c>
      <c r="E5070" s="1">
        <v>50</v>
      </c>
      <c r="F5070" s="1">
        <v>2731200</v>
      </c>
      <c r="G5070" s="1">
        <v>4.17</v>
      </c>
      <c r="H5070" s="1">
        <f t="shared" si="711"/>
        <v>2.519999999999996</v>
      </c>
      <c r="I5070" s="9">
        <f t="shared" si="718"/>
        <v>5.189456342668855E-2</v>
      </c>
      <c r="J5070" s="1">
        <f t="shared" si="719"/>
        <v>8.9999999999999858E-2</v>
      </c>
      <c r="K5070" s="9">
        <f t="shared" si="712"/>
        <v>2.2058823529411728E-2</v>
      </c>
      <c r="L5070" s="1">
        <f t="shared" si="713"/>
        <v>8.3400000000000002E-2</v>
      </c>
      <c r="M5070" s="1">
        <f t="shared" si="714"/>
        <v>4.2600720000000001</v>
      </c>
      <c r="N5070" s="1">
        <f t="shared" si="715"/>
        <v>4.0499040000000006</v>
      </c>
      <c r="O5070" s="1">
        <f t="shared" si="716"/>
        <v>2.21</v>
      </c>
      <c r="P5070" s="1">
        <f t="shared" si="717"/>
        <v>1.1275510204081634</v>
      </c>
    </row>
    <row r="5071" spans="1:16">
      <c r="A5071" s="2">
        <v>35698</v>
      </c>
      <c r="B5071" s="1">
        <v>52.06</v>
      </c>
      <c r="C5071" s="1">
        <v>52.18</v>
      </c>
      <c r="D5071" s="1">
        <v>48.58</v>
      </c>
      <c r="E5071" s="1">
        <v>48.94</v>
      </c>
      <c r="F5071" s="1">
        <v>4968000</v>
      </c>
      <c r="G5071" s="1">
        <v>4.08</v>
      </c>
      <c r="H5071" s="1">
        <f t="shared" si="711"/>
        <v>3.6000000000000014</v>
      </c>
      <c r="I5071" s="9">
        <f t="shared" si="718"/>
        <v>7.4104569781803242E-2</v>
      </c>
      <c r="J5071" s="1">
        <f t="shared" si="719"/>
        <v>-0.29999999999999982</v>
      </c>
      <c r="K5071" s="9">
        <f t="shared" si="712"/>
        <v>-6.8493150684931461E-2</v>
      </c>
      <c r="L5071" s="1">
        <f t="shared" si="713"/>
        <v>8.3367388639149984E-2</v>
      </c>
      <c r="M5071" s="1">
        <f t="shared" si="714"/>
        <v>4.350110339190846</v>
      </c>
      <c r="N5071" s="1">
        <f t="shared" si="715"/>
        <v>4.0499877400899065</v>
      </c>
      <c r="O5071" s="1">
        <f t="shared" si="716"/>
        <v>2.12</v>
      </c>
      <c r="P5071" s="1">
        <f t="shared" si="717"/>
        <v>1.0816326530612246</v>
      </c>
    </row>
    <row r="5072" spans="1:16">
      <c r="A5072" s="2">
        <v>35697</v>
      </c>
      <c r="B5072" s="1">
        <v>55.74</v>
      </c>
      <c r="C5072" s="1">
        <v>57.65</v>
      </c>
      <c r="D5072" s="1">
        <v>51.42</v>
      </c>
      <c r="E5072" s="1">
        <v>52.5</v>
      </c>
      <c r="F5072" s="1">
        <v>8200800</v>
      </c>
      <c r="G5072" s="1">
        <v>4.38</v>
      </c>
      <c r="H5072" s="1">
        <f t="shared" si="711"/>
        <v>6.2299999999999969</v>
      </c>
      <c r="I5072" s="9">
        <f t="shared" si="718"/>
        <v>0.12115908206923369</v>
      </c>
      <c r="J5072" s="1">
        <f t="shared" si="719"/>
        <v>-0.25</v>
      </c>
      <c r="K5072" s="9">
        <f t="shared" si="712"/>
        <v>-5.3995680345572353E-2</v>
      </c>
      <c r="L5072" s="1">
        <f t="shared" si="713"/>
        <v>8.3428571428571421E-2</v>
      </c>
      <c r="M5072" s="1">
        <f t="shared" si="714"/>
        <v>4.8096571428571426</v>
      </c>
      <c r="N5072" s="1">
        <f t="shared" si="715"/>
        <v>4.2898971428571429</v>
      </c>
      <c r="O5072" s="1">
        <f t="shared" si="716"/>
        <v>2.42</v>
      </c>
      <c r="P5072" s="1">
        <f t="shared" si="717"/>
        <v>1.2346938775510203</v>
      </c>
    </row>
    <row r="5073" spans="1:16">
      <c r="A5073" s="2">
        <v>35696</v>
      </c>
      <c r="B5073" s="1">
        <v>53.82</v>
      </c>
      <c r="C5073" s="1">
        <v>55.74</v>
      </c>
      <c r="D5073" s="1">
        <v>52.74</v>
      </c>
      <c r="E5073" s="1">
        <v>55.5</v>
      </c>
      <c r="F5073" s="1">
        <v>7682400</v>
      </c>
      <c r="G5073" s="1">
        <v>4.63</v>
      </c>
      <c r="H5073" s="1">
        <f t="shared" si="711"/>
        <v>3</v>
      </c>
      <c r="I5073" s="9">
        <f t="shared" si="718"/>
        <v>5.6882821387940839E-2</v>
      </c>
      <c r="J5073" s="1">
        <f t="shared" si="719"/>
        <v>0.12999999999999989</v>
      </c>
      <c r="K5073" s="9">
        <f t="shared" si="712"/>
        <v>2.8888888888888867E-2</v>
      </c>
      <c r="L5073" s="1">
        <f t="shared" si="713"/>
        <v>8.3423423423423418E-2</v>
      </c>
      <c r="M5073" s="1">
        <f t="shared" si="714"/>
        <v>4.6500216216216215</v>
      </c>
      <c r="N5073" s="1">
        <f t="shared" si="715"/>
        <v>4.3997513513513509</v>
      </c>
      <c r="O5073" s="1">
        <f t="shared" si="716"/>
        <v>2.67</v>
      </c>
      <c r="P5073" s="1">
        <f t="shared" si="717"/>
        <v>1.3622448979591837</v>
      </c>
    </row>
    <row r="5074" spans="1:16">
      <c r="A5074" s="2">
        <v>35695</v>
      </c>
      <c r="B5074" s="1">
        <v>48</v>
      </c>
      <c r="C5074" s="1">
        <v>56.16</v>
      </c>
      <c r="D5074" s="1">
        <v>47.4</v>
      </c>
      <c r="E5074" s="1">
        <v>54</v>
      </c>
      <c r="F5074" s="1">
        <v>16938000</v>
      </c>
      <c r="G5074" s="1">
        <v>4.5</v>
      </c>
      <c r="H5074" s="1">
        <f t="shared" si="711"/>
        <v>8.759999999999998</v>
      </c>
      <c r="I5074" s="9">
        <f t="shared" si="718"/>
        <v>0.18481012658227844</v>
      </c>
      <c r="J5074" s="1">
        <f t="shared" si="719"/>
        <v>0.54999999999999982</v>
      </c>
      <c r="K5074" s="9">
        <f t="shared" si="712"/>
        <v>0.13924050632911386</v>
      </c>
      <c r="L5074" s="1">
        <f t="shared" si="713"/>
        <v>8.3333333333333329E-2</v>
      </c>
      <c r="M5074" s="1">
        <f t="shared" si="714"/>
        <v>4.68</v>
      </c>
      <c r="N5074" s="1">
        <f t="shared" si="715"/>
        <v>3.9499999999999997</v>
      </c>
      <c r="O5074" s="1">
        <f t="shared" si="716"/>
        <v>2.54</v>
      </c>
      <c r="P5074" s="1">
        <f t="shared" si="717"/>
        <v>1.2959183673469388</v>
      </c>
    </row>
    <row r="5075" spans="1:16">
      <c r="A5075" s="2">
        <v>35692</v>
      </c>
      <c r="B5075" s="1">
        <v>40.54</v>
      </c>
      <c r="C5075" s="1">
        <v>48.94</v>
      </c>
      <c r="D5075" s="1">
        <v>40.54</v>
      </c>
      <c r="E5075" s="1">
        <v>47.38</v>
      </c>
      <c r="F5075" s="1">
        <v>8929200</v>
      </c>
      <c r="G5075" s="1">
        <v>3.95</v>
      </c>
      <c r="H5075" s="1">
        <f t="shared" si="711"/>
        <v>8.3999999999999986</v>
      </c>
      <c r="I5075" s="9">
        <f t="shared" si="718"/>
        <v>0.20720276270350269</v>
      </c>
      <c r="J5075" s="1">
        <f t="shared" si="719"/>
        <v>0.66000000000000014</v>
      </c>
      <c r="K5075" s="9">
        <f t="shared" si="712"/>
        <v>0.20060790273556234</v>
      </c>
      <c r="L5075" s="1">
        <f t="shared" si="713"/>
        <v>8.3368509919797384E-2</v>
      </c>
      <c r="M5075" s="1">
        <f t="shared" si="714"/>
        <v>4.0800548754748842</v>
      </c>
      <c r="N5075" s="1">
        <f t="shared" si="715"/>
        <v>3.379759392148586</v>
      </c>
      <c r="O5075" s="1">
        <f t="shared" si="716"/>
        <v>1.9900000000000002</v>
      </c>
      <c r="P5075" s="1">
        <f t="shared" si="717"/>
        <v>1.0153061224489797</v>
      </c>
    </row>
    <row r="5076" spans="1:16">
      <c r="A5076" s="2">
        <v>35691</v>
      </c>
      <c r="B5076" s="1">
        <v>41.3</v>
      </c>
      <c r="C5076" s="1">
        <v>41.66</v>
      </c>
      <c r="D5076" s="1">
        <v>39.380000000000003</v>
      </c>
      <c r="E5076" s="1">
        <v>39.5</v>
      </c>
      <c r="F5076" s="1">
        <v>2128800</v>
      </c>
      <c r="G5076" s="1">
        <v>3.29</v>
      </c>
      <c r="H5076" s="1">
        <f t="shared" si="711"/>
        <v>2.279999999999994</v>
      </c>
      <c r="I5076" s="9">
        <f t="shared" si="718"/>
        <v>5.7897409852716963E-2</v>
      </c>
      <c r="J5076" s="1">
        <f t="shared" si="719"/>
        <v>-0.12000000000000011</v>
      </c>
      <c r="K5076" s="9">
        <f t="shared" si="712"/>
        <v>-3.5190615835777157E-2</v>
      </c>
      <c r="L5076" s="1">
        <f t="shared" si="713"/>
        <v>8.3291139240506323E-2</v>
      </c>
      <c r="M5076" s="1">
        <f t="shared" si="714"/>
        <v>3.4699088607594932</v>
      </c>
      <c r="N5076" s="1">
        <f t="shared" si="715"/>
        <v>3.2800050632911391</v>
      </c>
      <c r="O5076" s="1">
        <f t="shared" si="716"/>
        <v>1.33</v>
      </c>
      <c r="P5076" s="1">
        <f t="shared" si="717"/>
        <v>0.6785714285714286</v>
      </c>
    </row>
    <row r="5077" spans="1:16">
      <c r="A5077" s="2">
        <v>35690</v>
      </c>
      <c r="B5077" s="1">
        <v>41.48</v>
      </c>
      <c r="C5077" s="1">
        <v>41.96</v>
      </c>
      <c r="D5077" s="1">
        <v>39.92</v>
      </c>
      <c r="E5077" s="1">
        <v>40.880000000000003</v>
      </c>
      <c r="F5077" s="1">
        <v>2607600</v>
      </c>
      <c r="G5077" s="1">
        <v>3.41</v>
      </c>
      <c r="H5077" s="1">
        <f t="shared" si="711"/>
        <v>2.0399999999999991</v>
      </c>
      <c r="I5077" s="9">
        <f t="shared" si="718"/>
        <v>5.110220440881761E-2</v>
      </c>
      <c r="J5077" s="1">
        <f t="shared" si="719"/>
        <v>6.0000000000000053E-2</v>
      </c>
      <c r="K5077" s="9">
        <f t="shared" si="712"/>
        <v>1.7910447761194045E-2</v>
      </c>
      <c r="L5077" s="1">
        <f t="shared" si="713"/>
        <v>8.3414872798434445E-2</v>
      </c>
      <c r="M5077" s="1">
        <f t="shared" si="714"/>
        <v>3.5000880626223094</v>
      </c>
      <c r="N5077" s="1">
        <f t="shared" si="715"/>
        <v>3.3299217221135033</v>
      </c>
      <c r="O5077" s="1">
        <f t="shared" si="716"/>
        <v>1.4500000000000002</v>
      </c>
      <c r="P5077" s="1">
        <f t="shared" si="717"/>
        <v>0.73979591836734704</v>
      </c>
    </row>
    <row r="5078" spans="1:16">
      <c r="A5078" s="2">
        <v>35689</v>
      </c>
      <c r="B5078" s="1">
        <v>37.61</v>
      </c>
      <c r="C5078" s="1">
        <v>42.53</v>
      </c>
      <c r="D5078" s="1">
        <v>37.49</v>
      </c>
      <c r="E5078" s="1">
        <v>40.25</v>
      </c>
      <c r="F5078" s="1">
        <v>6432000</v>
      </c>
      <c r="G5078" s="1">
        <v>3.35</v>
      </c>
      <c r="H5078" s="1">
        <f t="shared" si="711"/>
        <v>5.0399999999999991</v>
      </c>
      <c r="I5078" s="9">
        <f t="shared" si="718"/>
        <v>0.13443584955988261</v>
      </c>
      <c r="J5078" s="1">
        <f t="shared" si="719"/>
        <v>0.26000000000000023</v>
      </c>
      <c r="K5078" s="9">
        <f t="shared" si="712"/>
        <v>8.4142394822006555E-2</v>
      </c>
      <c r="L5078" s="1">
        <f t="shared" si="713"/>
        <v>8.322981366459628E-2</v>
      </c>
      <c r="M5078" s="1">
        <f t="shared" si="714"/>
        <v>3.5397639751552799</v>
      </c>
      <c r="N5078" s="1">
        <f t="shared" si="715"/>
        <v>3.1202857142857146</v>
      </c>
      <c r="O5078" s="1">
        <f t="shared" si="716"/>
        <v>1.3900000000000001</v>
      </c>
      <c r="P5078" s="1">
        <f t="shared" si="717"/>
        <v>0.70918367346938782</v>
      </c>
    </row>
    <row r="5079" spans="1:16">
      <c r="A5079" s="2">
        <v>35688</v>
      </c>
      <c r="B5079" s="1">
        <v>44.1</v>
      </c>
      <c r="C5079" s="1">
        <v>44.22</v>
      </c>
      <c r="D5079" s="1">
        <v>36.65</v>
      </c>
      <c r="E5079" s="1">
        <v>37.130000000000003</v>
      </c>
      <c r="F5079" s="1">
        <v>5583600</v>
      </c>
      <c r="G5079" s="1">
        <v>3.09</v>
      </c>
      <c r="H5079" s="1">
        <f t="shared" si="711"/>
        <v>7.57</v>
      </c>
      <c r="I5079" s="9">
        <f t="shared" si="718"/>
        <v>0.20654843110504775</v>
      </c>
      <c r="J5079" s="1">
        <f t="shared" si="719"/>
        <v>-0.60000000000000009</v>
      </c>
      <c r="K5079" s="9">
        <f t="shared" si="712"/>
        <v>-0.16260162601626019</v>
      </c>
      <c r="L5079" s="1">
        <f t="shared" si="713"/>
        <v>8.3221115001346616E-2</v>
      </c>
      <c r="M5079" s="1">
        <f t="shared" si="714"/>
        <v>3.6800377053595472</v>
      </c>
      <c r="N5079" s="1">
        <f t="shared" si="715"/>
        <v>3.0500538647993531</v>
      </c>
      <c r="O5079" s="1">
        <f t="shared" si="716"/>
        <v>1.1299999999999999</v>
      </c>
      <c r="P5079" s="1">
        <f t="shared" si="717"/>
        <v>0.57653061224489788</v>
      </c>
    </row>
    <row r="5080" spans="1:16">
      <c r="A5080" s="2">
        <v>35685</v>
      </c>
      <c r="B5080" s="1">
        <v>38.25</v>
      </c>
      <c r="C5080" s="1">
        <v>44.37</v>
      </c>
      <c r="D5080" s="1">
        <v>37.89</v>
      </c>
      <c r="E5080" s="1">
        <v>44.25</v>
      </c>
      <c r="F5080" s="1">
        <v>3333600</v>
      </c>
      <c r="G5080" s="1">
        <v>3.69</v>
      </c>
      <c r="H5080" s="1">
        <f t="shared" si="711"/>
        <v>6.4799999999999969</v>
      </c>
      <c r="I5080" s="9">
        <f t="shared" si="718"/>
        <v>0.17102137767220893</v>
      </c>
      <c r="J5080" s="1">
        <f t="shared" si="719"/>
        <v>0.5299999999999998</v>
      </c>
      <c r="K5080" s="9">
        <f t="shared" si="712"/>
        <v>0.16772151898734169</v>
      </c>
      <c r="L5080" s="1">
        <f t="shared" si="713"/>
        <v>8.338983050847458E-2</v>
      </c>
      <c r="M5080" s="1">
        <f t="shared" si="714"/>
        <v>3.7000067796610168</v>
      </c>
      <c r="N5080" s="1">
        <f t="shared" si="715"/>
        <v>3.1596406779661019</v>
      </c>
      <c r="O5080" s="1">
        <f t="shared" si="716"/>
        <v>1.73</v>
      </c>
      <c r="P5080" s="1">
        <f t="shared" si="717"/>
        <v>0.88265306122448983</v>
      </c>
    </row>
    <row r="5081" spans="1:16">
      <c r="A5081" s="2">
        <v>35684</v>
      </c>
      <c r="B5081" s="1">
        <v>39.92</v>
      </c>
      <c r="C5081" s="1">
        <v>39.92</v>
      </c>
      <c r="D5081" s="1">
        <v>36.44</v>
      </c>
      <c r="E5081" s="1">
        <v>37.880000000000003</v>
      </c>
      <c r="F5081" s="1">
        <v>4262400</v>
      </c>
      <c r="G5081" s="1">
        <v>3.16</v>
      </c>
      <c r="H5081" s="1">
        <f t="shared" si="711"/>
        <v>3.480000000000004</v>
      </c>
      <c r="I5081" s="9">
        <f t="shared" si="718"/>
        <v>9.5499451152579698E-2</v>
      </c>
      <c r="J5081" s="1">
        <f t="shared" si="719"/>
        <v>-0.13999999999999968</v>
      </c>
      <c r="K5081" s="9">
        <f t="shared" si="712"/>
        <v>-4.242424242424233E-2</v>
      </c>
      <c r="L5081" s="1">
        <f t="shared" si="713"/>
        <v>8.3421330517423439E-2</v>
      </c>
      <c r="M5081" s="1">
        <f t="shared" si="714"/>
        <v>3.3301795142555437</v>
      </c>
      <c r="N5081" s="1">
        <f t="shared" si="715"/>
        <v>3.0398732840549099</v>
      </c>
      <c r="O5081" s="1">
        <f t="shared" si="716"/>
        <v>1.2000000000000002</v>
      </c>
      <c r="P5081" s="1">
        <f t="shared" si="717"/>
        <v>0.6122448979591838</v>
      </c>
    </row>
    <row r="5082" spans="1:16">
      <c r="A5082" s="2">
        <v>35683</v>
      </c>
      <c r="B5082" s="1">
        <v>39.75</v>
      </c>
      <c r="C5082" s="1">
        <v>39.99</v>
      </c>
      <c r="D5082" s="1">
        <v>37.590000000000003</v>
      </c>
      <c r="E5082" s="1">
        <v>39.630000000000003</v>
      </c>
      <c r="F5082" s="1">
        <v>3866400</v>
      </c>
      <c r="G5082" s="1">
        <v>3.3</v>
      </c>
      <c r="H5082" s="1">
        <f t="shared" si="711"/>
        <v>2.3999999999999986</v>
      </c>
      <c r="I5082" s="9">
        <f t="shared" si="718"/>
        <v>6.3846767757382239E-2</v>
      </c>
      <c r="J5082" s="1">
        <f t="shared" si="719"/>
        <v>5.9999999999999609E-2</v>
      </c>
      <c r="K5082" s="9">
        <f t="shared" si="712"/>
        <v>1.8518518518518396E-2</v>
      </c>
      <c r="L5082" s="1">
        <f t="shared" si="713"/>
        <v>8.3270249810749417E-2</v>
      </c>
      <c r="M5082" s="1">
        <f t="shared" si="714"/>
        <v>3.3299772899318691</v>
      </c>
      <c r="N5082" s="1">
        <f t="shared" si="715"/>
        <v>3.130128690386071</v>
      </c>
      <c r="O5082" s="1">
        <f t="shared" si="716"/>
        <v>1.3399999999999999</v>
      </c>
      <c r="P5082" s="1">
        <f t="shared" si="717"/>
        <v>0.68367346938775508</v>
      </c>
    </row>
    <row r="5083" spans="1:16">
      <c r="A5083" s="2">
        <v>35682</v>
      </c>
      <c r="B5083" s="1">
        <v>37.68</v>
      </c>
      <c r="C5083" s="1">
        <v>40.68</v>
      </c>
      <c r="D5083" s="1">
        <v>36.36</v>
      </c>
      <c r="E5083" s="1">
        <v>38.880000000000003</v>
      </c>
      <c r="F5083" s="1">
        <v>8971200</v>
      </c>
      <c r="G5083" s="1">
        <v>3.24</v>
      </c>
      <c r="H5083" s="1">
        <f t="shared" si="711"/>
        <v>4.32</v>
      </c>
      <c r="I5083" s="9">
        <f t="shared" si="718"/>
        <v>0.11881188118811882</v>
      </c>
      <c r="J5083" s="1">
        <f t="shared" si="719"/>
        <v>0.24000000000000021</v>
      </c>
      <c r="K5083" s="9">
        <f t="shared" si="712"/>
        <v>8.0000000000000071E-2</v>
      </c>
      <c r="L5083" s="1">
        <f t="shared" si="713"/>
        <v>8.3333333333333329E-2</v>
      </c>
      <c r="M5083" s="1">
        <f t="shared" si="714"/>
        <v>3.3899999999999997</v>
      </c>
      <c r="N5083" s="1">
        <f t="shared" si="715"/>
        <v>3.03</v>
      </c>
      <c r="O5083" s="1">
        <f t="shared" si="716"/>
        <v>1.2800000000000002</v>
      </c>
      <c r="P5083" s="1">
        <f t="shared" si="717"/>
        <v>0.65306122448979609</v>
      </c>
    </row>
    <row r="5084" spans="1:16">
      <c r="A5084" s="2">
        <v>35681</v>
      </c>
      <c r="B5084" s="1">
        <v>30.36</v>
      </c>
      <c r="C5084" s="1">
        <v>36.24</v>
      </c>
      <c r="D5084" s="1">
        <v>30</v>
      </c>
      <c r="E5084" s="1">
        <v>36</v>
      </c>
      <c r="F5084" s="1">
        <v>5648400</v>
      </c>
      <c r="G5084" s="1">
        <v>3</v>
      </c>
      <c r="H5084" s="1">
        <f t="shared" si="711"/>
        <v>6.240000000000002</v>
      </c>
      <c r="I5084" s="9">
        <f t="shared" si="718"/>
        <v>0.20800000000000007</v>
      </c>
      <c r="J5084" s="1">
        <f t="shared" si="719"/>
        <v>0.5</v>
      </c>
      <c r="K5084" s="9">
        <f t="shared" si="712"/>
        <v>0.2</v>
      </c>
      <c r="L5084" s="1">
        <f t="shared" si="713"/>
        <v>8.3333333333333329E-2</v>
      </c>
      <c r="M5084" s="1">
        <f t="shared" si="714"/>
        <v>3.02</v>
      </c>
      <c r="N5084" s="1">
        <f t="shared" si="715"/>
        <v>2.5</v>
      </c>
      <c r="O5084" s="1">
        <f t="shared" si="716"/>
        <v>1.04</v>
      </c>
      <c r="P5084" s="1">
        <f t="shared" si="717"/>
        <v>0.53061224489795922</v>
      </c>
    </row>
    <row r="5085" spans="1:16">
      <c r="A5085" s="2">
        <v>35678</v>
      </c>
      <c r="B5085" s="1">
        <v>30.96</v>
      </c>
      <c r="C5085" s="1">
        <v>32.04</v>
      </c>
      <c r="D5085" s="1">
        <v>29.52</v>
      </c>
      <c r="E5085" s="1">
        <v>30</v>
      </c>
      <c r="F5085" s="1">
        <v>1908000</v>
      </c>
      <c r="G5085" s="1">
        <v>2.5</v>
      </c>
      <c r="H5085" s="1">
        <f t="shared" si="711"/>
        <v>2.5199999999999996</v>
      </c>
      <c r="I5085" s="9">
        <f t="shared" si="718"/>
        <v>8.5365853658536578E-2</v>
      </c>
      <c r="J5085" s="1">
        <f t="shared" si="719"/>
        <v>-4.9999999999999822E-2</v>
      </c>
      <c r="K5085" s="9">
        <f t="shared" si="712"/>
        <v>-1.9607843137254832E-2</v>
      </c>
      <c r="L5085" s="1">
        <f t="shared" si="713"/>
        <v>8.3333333333333329E-2</v>
      </c>
      <c r="M5085" s="1">
        <f t="shared" si="714"/>
        <v>2.67</v>
      </c>
      <c r="N5085" s="1">
        <f t="shared" si="715"/>
        <v>2.46</v>
      </c>
      <c r="O5085" s="1">
        <f t="shared" si="716"/>
        <v>0.54</v>
      </c>
      <c r="P5085" s="1">
        <f t="shared" si="717"/>
        <v>0.27551020408163268</v>
      </c>
    </row>
    <row r="5086" spans="1:16">
      <c r="A5086" s="2">
        <v>35677</v>
      </c>
      <c r="B5086" s="1">
        <v>28.35</v>
      </c>
      <c r="C5086" s="1">
        <v>30.63</v>
      </c>
      <c r="D5086" s="1">
        <v>28.11</v>
      </c>
      <c r="E5086" s="1">
        <v>30.63</v>
      </c>
      <c r="F5086" s="1">
        <v>3348000</v>
      </c>
      <c r="G5086" s="1">
        <v>2.5499999999999998</v>
      </c>
      <c r="H5086" s="1">
        <f t="shared" si="711"/>
        <v>2.5199999999999996</v>
      </c>
      <c r="I5086" s="9">
        <f t="shared" si="718"/>
        <v>8.9647812166488774E-2</v>
      </c>
      <c r="J5086" s="1">
        <f t="shared" si="719"/>
        <v>0.21999999999999975</v>
      </c>
      <c r="K5086" s="9">
        <f t="shared" si="712"/>
        <v>9.4420600858368994E-2</v>
      </c>
      <c r="L5086" s="1">
        <f t="shared" si="713"/>
        <v>8.3251714005876595E-2</v>
      </c>
      <c r="M5086" s="1">
        <f t="shared" si="714"/>
        <v>2.5499999999999998</v>
      </c>
      <c r="N5086" s="1">
        <f t="shared" si="715"/>
        <v>2.340205680705191</v>
      </c>
      <c r="O5086" s="1">
        <f t="shared" si="716"/>
        <v>0.58999999999999986</v>
      </c>
      <c r="P5086" s="1">
        <f t="shared" si="717"/>
        <v>0.30102040816326525</v>
      </c>
    </row>
    <row r="5087" spans="1:16">
      <c r="A5087" s="2">
        <v>35676</v>
      </c>
      <c r="B5087" s="1">
        <v>28.12</v>
      </c>
      <c r="C5087" s="1">
        <v>29.08</v>
      </c>
      <c r="D5087" s="1">
        <v>27.76</v>
      </c>
      <c r="E5087" s="1">
        <v>28</v>
      </c>
      <c r="F5087" s="1">
        <v>1964400</v>
      </c>
      <c r="G5087" s="1">
        <v>2.33</v>
      </c>
      <c r="H5087" s="1">
        <f t="shared" si="711"/>
        <v>1.3199999999999967</v>
      </c>
      <c r="I5087" s="9">
        <f t="shared" si="718"/>
        <v>4.7550432276656937E-2</v>
      </c>
      <c r="J5087" s="1">
        <f t="shared" si="719"/>
        <v>-2.0000000000000018E-2</v>
      </c>
      <c r="K5087" s="9">
        <f t="shared" si="712"/>
        <v>-8.5106382978723475E-3</v>
      </c>
      <c r="L5087" s="1">
        <f t="shared" si="713"/>
        <v>8.3214285714285713E-2</v>
      </c>
      <c r="M5087" s="1">
        <f t="shared" si="714"/>
        <v>2.4198714285714282</v>
      </c>
      <c r="N5087" s="1">
        <f t="shared" si="715"/>
        <v>2.3100285714285715</v>
      </c>
      <c r="O5087" s="1">
        <f t="shared" si="716"/>
        <v>0.37000000000000011</v>
      </c>
      <c r="P5087" s="1">
        <f t="shared" si="717"/>
        <v>0.1887755102040817</v>
      </c>
    </row>
    <row r="5088" spans="1:16">
      <c r="A5088" s="2">
        <v>35675</v>
      </c>
      <c r="B5088" s="1">
        <v>28.13</v>
      </c>
      <c r="C5088" s="1">
        <v>28.61</v>
      </c>
      <c r="D5088" s="1">
        <v>28.01</v>
      </c>
      <c r="E5088" s="1">
        <v>28.25</v>
      </c>
      <c r="F5088" s="1">
        <v>732000</v>
      </c>
      <c r="G5088" s="1">
        <v>2.35</v>
      </c>
      <c r="H5088" s="1">
        <f t="shared" si="711"/>
        <v>0.59999999999999787</v>
      </c>
      <c r="I5088" s="9">
        <f t="shared" si="718"/>
        <v>2.1420921099607207E-2</v>
      </c>
      <c r="J5088" s="1">
        <f t="shared" si="719"/>
        <v>1.0000000000000231E-2</v>
      </c>
      <c r="K5088" s="9">
        <f t="shared" si="712"/>
        <v>4.2735042735043728E-3</v>
      </c>
      <c r="L5088" s="1">
        <f t="shared" si="713"/>
        <v>8.3185840707964601E-2</v>
      </c>
      <c r="M5088" s="1">
        <f t="shared" si="714"/>
        <v>2.3799469026548672</v>
      </c>
      <c r="N5088" s="1">
        <f t="shared" si="715"/>
        <v>2.3300353982300885</v>
      </c>
      <c r="O5088" s="1">
        <f t="shared" si="716"/>
        <v>0.39000000000000012</v>
      </c>
      <c r="P5088" s="1">
        <f t="shared" si="717"/>
        <v>0.19897959183673475</v>
      </c>
    </row>
    <row r="5089" spans="1:16">
      <c r="A5089" s="2">
        <v>35671</v>
      </c>
      <c r="B5089" s="1">
        <v>28.3</v>
      </c>
      <c r="C5089" s="1">
        <v>28.54</v>
      </c>
      <c r="D5089" s="1">
        <v>27.82</v>
      </c>
      <c r="E5089" s="1">
        <v>28.06</v>
      </c>
      <c r="F5089" s="1">
        <v>722400</v>
      </c>
      <c r="G5089" s="1">
        <v>2.34</v>
      </c>
      <c r="H5089" s="1">
        <f t="shared" si="711"/>
        <v>0.71999999999999886</v>
      </c>
      <c r="I5089" s="9">
        <f t="shared" si="718"/>
        <v>2.5880661394680045E-2</v>
      </c>
      <c r="J5089" s="1">
        <f t="shared" si="719"/>
        <v>-4.0000000000000036E-2</v>
      </c>
      <c r="K5089" s="9">
        <f t="shared" si="712"/>
        <v>-1.6806722689075647E-2</v>
      </c>
      <c r="L5089" s="1">
        <f t="shared" si="713"/>
        <v>8.339272986457591E-2</v>
      </c>
      <c r="M5089" s="1">
        <f t="shared" si="714"/>
        <v>2.3800285103349963</v>
      </c>
      <c r="N5089" s="1">
        <f t="shared" si="715"/>
        <v>2.3199857448325019</v>
      </c>
      <c r="O5089" s="1">
        <f t="shared" si="716"/>
        <v>0.37999999999999989</v>
      </c>
      <c r="P5089" s="1">
        <f t="shared" si="717"/>
        <v>0.1938775510204081</v>
      </c>
    </row>
    <row r="5090" spans="1:16">
      <c r="A5090" s="2">
        <v>35670</v>
      </c>
      <c r="B5090" s="1">
        <v>27.54</v>
      </c>
      <c r="C5090" s="1">
        <v>28.74</v>
      </c>
      <c r="D5090" s="1">
        <v>27.3</v>
      </c>
      <c r="E5090" s="1">
        <v>28.5</v>
      </c>
      <c r="F5090" s="1">
        <v>1147200</v>
      </c>
      <c r="G5090" s="1">
        <v>2.38</v>
      </c>
      <c r="H5090" s="1">
        <f t="shared" si="711"/>
        <v>1.4399999999999977</v>
      </c>
      <c r="I5090" s="9">
        <f t="shared" si="718"/>
        <v>5.2747252747252664E-2</v>
      </c>
      <c r="J5090" s="1">
        <f t="shared" si="719"/>
        <v>6.0000000000000053E-2</v>
      </c>
      <c r="K5090" s="9">
        <f t="shared" si="712"/>
        <v>2.5862068965517265E-2</v>
      </c>
      <c r="L5090" s="1">
        <f t="shared" si="713"/>
        <v>8.350877192982456E-2</v>
      </c>
      <c r="M5090" s="1">
        <f t="shared" si="714"/>
        <v>2.4000421052631578</v>
      </c>
      <c r="N5090" s="1">
        <f t="shared" si="715"/>
        <v>2.2797894736842106</v>
      </c>
      <c r="O5090" s="1">
        <f t="shared" si="716"/>
        <v>0.41999999999999993</v>
      </c>
      <c r="P5090" s="1">
        <f t="shared" si="717"/>
        <v>0.21428571428571425</v>
      </c>
    </row>
    <row r="5091" spans="1:16">
      <c r="A5091" s="2">
        <v>35669</v>
      </c>
      <c r="B5091" s="1">
        <v>27.69</v>
      </c>
      <c r="C5091" s="1">
        <v>27.81</v>
      </c>
      <c r="D5091" s="1">
        <v>26.97</v>
      </c>
      <c r="E5091" s="1">
        <v>27.81</v>
      </c>
      <c r="F5091" s="1">
        <v>1392000</v>
      </c>
      <c r="G5091" s="1">
        <v>2.3199999999999998</v>
      </c>
      <c r="H5091" s="1">
        <f t="shared" si="711"/>
        <v>0.83999999999999986</v>
      </c>
      <c r="I5091" s="9">
        <f t="shared" si="718"/>
        <v>3.1145717463848716E-2</v>
      </c>
      <c r="J5091" s="1">
        <f t="shared" si="719"/>
        <v>-2.0000000000000018E-2</v>
      </c>
      <c r="K5091" s="9">
        <f t="shared" si="712"/>
        <v>-8.5470085470085548E-3</v>
      </c>
      <c r="L5091" s="1">
        <f t="shared" si="713"/>
        <v>8.3423229054297013E-2</v>
      </c>
      <c r="M5091" s="1">
        <f t="shared" si="714"/>
        <v>2.3199999999999998</v>
      </c>
      <c r="N5091" s="1">
        <f t="shared" si="715"/>
        <v>2.2499244875943902</v>
      </c>
      <c r="O5091" s="1">
        <f t="shared" si="716"/>
        <v>0.35999999999999988</v>
      </c>
      <c r="P5091" s="1">
        <f t="shared" si="717"/>
        <v>0.18367346938775503</v>
      </c>
    </row>
    <row r="5092" spans="1:16">
      <c r="A5092" s="2">
        <v>35668</v>
      </c>
      <c r="B5092" s="1">
        <v>26.93</v>
      </c>
      <c r="C5092" s="1">
        <v>28.25</v>
      </c>
      <c r="D5092" s="1">
        <v>26.81</v>
      </c>
      <c r="E5092" s="1">
        <v>28.13</v>
      </c>
      <c r="F5092" s="1">
        <v>2574000</v>
      </c>
      <c r="G5092" s="1">
        <v>2.34</v>
      </c>
      <c r="H5092" s="1">
        <f t="shared" si="711"/>
        <v>1.4400000000000013</v>
      </c>
      <c r="I5092" s="9">
        <f t="shared" si="718"/>
        <v>5.3711301753077263E-2</v>
      </c>
      <c r="J5092" s="1">
        <f t="shared" si="719"/>
        <v>0.11999999999999966</v>
      </c>
      <c r="K5092" s="9">
        <f t="shared" si="712"/>
        <v>5.4054054054053897E-2</v>
      </c>
      <c r="L5092" s="1">
        <f t="shared" si="713"/>
        <v>8.3185211517952357E-2</v>
      </c>
      <c r="M5092" s="1">
        <f t="shared" si="714"/>
        <v>2.3499822253821541</v>
      </c>
      <c r="N5092" s="1">
        <f t="shared" si="715"/>
        <v>2.2301955207963027</v>
      </c>
      <c r="O5092" s="1">
        <f t="shared" si="716"/>
        <v>0.37999999999999989</v>
      </c>
      <c r="P5092" s="1">
        <f t="shared" si="717"/>
        <v>0.1938775510204081</v>
      </c>
    </row>
    <row r="5093" spans="1:16">
      <c r="A5093" s="2">
        <v>35667</v>
      </c>
      <c r="B5093" s="1">
        <v>25.19</v>
      </c>
      <c r="C5093" s="1">
        <v>27.11</v>
      </c>
      <c r="D5093" s="1">
        <v>25.19</v>
      </c>
      <c r="E5093" s="1">
        <v>26.63</v>
      </c>
      <c r="F5093" s="1">
        <v>1126800</v>
      </c>
      <c r="G5093" s="1">
        <v>2.2200000000000002</v>
      </c>
      <c r="H5093" s="1">
        <f t="shared" si="711"/>
        <v>1.9199999999999982</v>
      </c>
      <c r="I5093" s="9">
        <f t="shared" si="718"/>
        <v>7.622072250893204E-2</v>
      </c>
      <c r="J5093" s="1">
        <f t="shared" si="719"/>
        <v>9.0000000000000302E-2</v>
      </c>
      <c r="K5093" s="9">
        <f t="shared" si="712"/>
        <v>4.2253521126760708E-2</v>
      </c>
      <c r="L5093" s="1">
        <f t="shared" si="713"/>
        <v>8.3364626361246724E-2</v>
      </c>
      <c r="M5093" s="1">
        <f t="shared" si="714"/>
        <v>2.2600150206533987</v>
      </c>
      <c r="N5093" s="1">
        <f t="shared" si="715"/>
        <v>2.0999549380398053</v>
      </c>
      <c r="O5093" s="1">
        <f t="shared" si="716"/>
        <v>0.26000000000000023</v>
      </c>
      <c r="P5093" s="1">
        <f t="shared" si="717"/>
        <v>0.13265306122448992</v>
      </c>
    </row>
    <row r="5094" spans="1:16">
      <c r="A5094" s="2">
        <v>35664</v>
      </c>
      <c r="B5094" s="1">
        <v>25.14</v>
      </c>
      <c r="C5094" s="1">
        <v>25.5</v>
      </c>
      <c r="D5094" s="1">
        <v>25.02</v>
      </c>
      <c r="E5094" s="1">
        <v>25.5</v>
      </c>
      <c r="F5094" s="1">
        <v>712800</v>
      </c>
      <c r="G5094" s="1">
        <v>2.13</v>
      </c>
      <c r="H5094" s="1">
        <f t="shared" si="711"/>
        <v>0.48000000000000043</v>
      </c>
      <c r="I5094" s="9">
        <f t="shared" si="718"/>
        <v>1.9184652278177474E-2</v>
      </c>
      <c r="J5094" s="1">
        <f t="shared" si="719"/>
        <v>2.0000000000000018E-2</v>
      </c>
      <c r="K5094" s="9">
        <f t="shared" si="712"/>
        <v>9.4786729857819999E-3</v>
      </c>
      <c r="L5094" s="1">
        <f t="shared" si="713"/>
        <v>8.352941176470588E-2</v>
      </c>
      <c r="M5094" s="1">
        <f t="shared" si="714"/>
        <v>2.13</v>
      </c>
      <c r="N5094" s="1">
        <f t="shared" si="715"/>
        <v>2.0899058823529413</v>
      </c>
      <c r="O5094" s="1">
        <f t="shared" si="716"/>
        <v>0.16999999999999993</v>
      </c>
      <c r="P5094" s="1">
        <f t="shared" si="717"/>
        <v>8.6734693877550992E-2</v>
      </c>
    </row>
    <row r="5095" spans="1:16">
      <c r="A5095" s="2">
        <v>35663</v>
      </c>
      <c r="B5095" s="1">
        <v>25.74</v>
      </c>
      <c r="C5095" s="1">
        <v>26.1</v>
      </c>
      <c r="D5095" s="1">
        <v>24.9</v>
      </c>
      <c r="E5095" s="1">
        <v>25.38</v>
      </c>
      <c r="F5095" s="1">
        <v>624000</v>
      </c>
      <c r="G5095" s="1">
        <v>2.11</v>
      </c>
      <c r="H5095" s="1">
        <f t="shared" si="711"/>
        <v>1.2000000000000028</v>
      </c>
      <c r="I5095" s="9">
        <f t="shared" si="718"/>
        <v>4.8192771084337463E-2</v>
      </c>
      <c r="J5095" s="1">
        <f t="shared" si="719"/>
        <v>-6.0000000000000053E-2</v>
      </c>
      <c r="K5095" s="9">
        <f t="shared" si="712"/>
        <v>-2.7649769585253482E-2</v>
      </c>
      <c r="L5095" s="1">
        <f t="shared" si="713"/>
        <v>8.3136327817178876E-2</v>
      </c>
      <c r="M5095" s="1">
        <f t="shared" si="714"/>
        <v>2.169858156028369</v>
      </c>
      <c r="N5095" s="1">
        <f t="shared" si="715"/>
        <v>2.0700945626477538</v>
      </c>
      <c r="O5095" s="1">
        <f t="shared" si="716"/>
        <v>0.14999999999999991</v>
      </c>
      <c r="P5095" s="1">
        <f t="shared" si="717"/>
        <v>7.6530612244897919E-2</v>
      </c>
    </row>
    <row r="5096" spans="1:16">
      <c r="A5096" s="2">
        <v>35662</v>
      </c>
      <c r="B5096" s="1">
        <v>26.24</v>
      </c>
      <c r="C5096" s="1">
        <v>26.24</v>
      </c>
      <c r="D5096" s="1">
        <v>24.8</v>
      </c>
      <c r="E5096" s="1">
        <v>26</v>
      </c>
      <c r="F5096" s="1">
        <v>999600</v>
      </c>
      <c r="G5096" s="1">
        <v>2.17</v>
      </c>
      <c r="H5096" s="1">
        <f t="shared" si="711"/>
        <v>1.4399999999999977</v>
      </c>
      <c r="I5096" s="9">
        <f t="shared" si="718"/>
        <v>5.8064516129032163E-2</v>
      </c>
      <c r="J5096" s="1">
        <f t="shared" si="719"/>
        <v>0</v>
      </c>
      <c r="K5096" s="9">
        <f t="shared" si="712"/>
        <v>0</v>
      </c>
      <c r="L5096" s="1">
        <f t="shared" si="713"/>
        <v>8.3461538461538462E-2</v>
      </c>
      <c r="M5096" s="1">
        <f t="shared" si="714"/>
        <v>2.190030769230769</v>
      </c>
      <c r="N5096" s="1">
        <f t="shared" si="715"/>
        <v>2.0698461538461541</v>
      </c>
      <c r="O5096" s="1">
        <f t="shared" si="716"/>
        <v>0.20999999999999996</v>
      </c>
      <c r="P5096" s="1">
        <f t="shared" si="717"/>
        <v>0.10714285714285712</v>
      </c>
    </row>
    <row r="5097" spans="1:16">
      <c r="A5097" s="2">
        <v>35661</v>
      </c>
      <c r="B5097" s="1">
        <v>25.04</v>
      </c>
      <c r="C5097" s="1">
        <v>26.48</v>
      </c>
      <c r="D5097" s="1">
        <v>24.56</v>
      </c>
      <c r="E5097" s="1">
        <v>26</v>
      </c>
      <c r="F5097" s="1">
        <v>1003200</v>
      </c>
      <c r="G5097" s="1">
        <v>2.17</v>
      </c>
      <c r="H5097" s="1">
        <f t="shared" si="711"/>
        <v>1.9200000000000017</v>
      </c>
      <c r="I5097" s="9">
        <f t="shared" si="718"/>
        <v>7.8175895765472389E-2</v>
      </c>
      <c r="J5097" s="1">
        <f t="shared" si="719"/>
        <v>0.12999999999999989</v>
      </c>
      <c r="K5097" s="9">
        <f t="shared" si="712"/>
        <v>6.3725490196078372E-2</v>
      </c>
      <c r="L5097" s="1">
        <f t="shared" si="713"/>
        <v>8.3461538461538462E-2</v>
      </c>
      <c r="M5097" s="1">
        <f t="shared" si="714"/>
        <v>2.2100615384615385</v>
      </c>
      <c r="N5097" s="1">
        <f t="shared" si="715"/>
        <v>2.0498153846153846</v>
      </c>
      <c r="O5097" s="1">
        <f t="shared" si="716"/>
        <v>0.20999999999999996</v>
      </c>
      <c r="P5097" s="1">
        <f t="shared" si="717"/>
        <v>0.10714285714285712</v>
      </c>
    </row>
    <row r="5098" spans="1:16">
      <c r="A5098" s="2">
        <v>35660</v>
      </c>
      <c r="B5098" s="1">
        <v>24.62</v>
      </c>
      <c r="C5098" s="1">
        <v>24.62</v>
      </c>
      <c r="D5098" s="1">
        <v>23.66</v>
      </c>
      <c r="E5098" s="1">
        <v>24.5</v>
      </c>
      <c r="F5098" s="1">
        <v>1784400</v>
      </c>
      <c r="G5098" s="1">
        <v>2.04</v>
      </c>
      <c r="H5098" s="1">
        <f t="shared" si="711"/>
        <v>0.96000000000000085</v>
      </c>
      <c r="I5098" s="9">
        <f t="shared" si="718"/>
        <v>4.0574809805579072E-2</v>
      </c>
      <c r="J5098" s="1">
        <f t="shared" si="719"/>
        <v>-6.999999999999984E-2</v>
      </c>
      <c r="K5098" s="9">
        <f t="shared" si="712"/>
        <v>-3.3175355450236893E-2</v>
      </c>
      <c r="L5098" s="1">
        <f t="shared" si="713"/>
        <v>8.3265306122448979E-2</v>
      </c>
      <c r="M5098" s="1">
        <f t="shared" si="714"/>
        <v>2.0499918367346939</v>
      </c>
      <c r="N5098" s="1">
        <f t="shared" si="715"/>
        <v>1.970057142857143</v>
      </c>
      <c r="O5098" s="1">
        <f t="shared" si="716"/>
        <v>8.0000000000000071E-2</v>
      </c>
      <c r="P5098" s="1">
        <f t="shared" si="717"/>
        <v>4.0816326530612283E-2</v>
      </c>
    </row>
    <row r="5099" spans="1:16">
      <c r="A5099" s="2">
        <v>35657</v>
      </c>
      <c r="B5099" s="1">
        <v>25.74</v>
      </c>
      <c r="C5099" s="1">
        <v>25.98</v>
      </c>
      <c r="D5099" s="1">
        <v>23.34</v>
      </c>
      <c r="E5099" s="1">
        <v>25.38</v>
      </c>
      <c r="F5099" s="1">
        <v>1597200</v>
      </c>
      <c r="G5099" s="1">
        <v>2.11</v>
      </c>
      <c r="H5099" s="1">
        <f t="shared" si="711"/>
        <v>2.6400000000000006</v>
      </c>
      <c r="I5099" s="9">
        <f t="shared" si="718"/>
        <v>0.11311053984575838</v>
      </c>
      <c r="J5099" s="1">
        <f t="shared" si="719"/>
        <v>-5.0000000000000266E-2</v>
      </c>
      <c r="K5099" s="9">
        <f t="shared" si="712"/>
        <v>-2.3148148148148268E-2</v>
      </c>
      <c r="L5099" s="1">
        <f t="shared" si="713"/>
        <v>8.3136327817178876E-2</v>
      </c>
      <c r="M5099" s="1">
        <f t="shared" si="714"/>
        <v>2.1598817966903074</v>
      </c>
      <c r="N5099" s="1">
        <f t="shared" si="715"/>
        <v>1.940401891252955</v>
      </c>
      <c r="O5099" s="1">
        <f t="shared" si="716"/>
        <v>0.14999999999999991</v>
      </c>
      <c r="P5099" s="1">
        <f t="shared" si="717"/>
        <v>7.6530612244897919E-2</v>
      </c>
    </row>
    <row r="5100" spans="1:16">
      <c r="A5100" s="2">
        <v>35656</v>
      </c>
      <c r="B5100" s="1">
        <v>26.12</v>
      </c>
      <c r="C5100" s="1">
        <v>26.96</v>
      </c>
      <c r="D5100" s="1">
        <v>25.4</v>
      </c>
      <c r="E5100" s="1">
        <v>25.88</v>
      </c>
      <c r="F5100" s="1">
        <v>1041600</v>
      </c>
      <c r="G5100" s="1">
        <v>2.16</v>
      </c>
      <c r="H5100" s="1">
        <f t="shared" si="711"/>
        <v>1.5600000000000023</v>
      </c>
      <c r="I5100" s="9">
        <f t="shared" si="718"/>
        <v>6.1417322834645766E-2</v>
      </c>
      <c r="J5100" s="1">
        <f t="shared" si="719"/>
        <v>-4.0000000000000036E-2</v>
      </c>
      <c r="K5100" s="9">
        <f t="shared" si="712"/>
        <v>-1.8181818181818195E-2</v>
      </c>
      <c r="L5100" s="1">
        <f t="shared" si="713"/>
        <v>8.3462132921174659E-2</v>
      </c>
      <c r="M5100" s="1">
        <f t="shared" si="714"/>
        <v>2.250139103554869</v>
      </c>
      <c r="N5100" s="1">
        <f t="shared" si="715"/>
        <v>2.1199381761978362</v>
      </c>
      <c r="O5100" s="1">
        <f t="shared" si="716"/>
        <v>0.20000000000000018</v>
      </c>
      <c r="P5100" s="1">
        <f t="shared" si="717"/>
        <v>0.10204081632653071</v>
      </c>
    </row>
    <row r="5101" spans="1:16">
      <c r="A5101" s="2">
        <v>35655</v>
      </c>
      <c r="B5101" s="1">
        <v>26.74</v>
      </c>
      <c r="C5101" s="1">
        <v>26.74</v>
      </c>
      <c r="D5101" s="1">
        <v>26.02</v>
      </c>
      <c r="E5101" s="1">
        <v>26.38</v>
      </c>
      <c r="F5101" s="1">
        <v>590400</v>
      </c>
      <c r="G5101" s="1">
        <v>2.2000000000000002</v>
      </c>
      <c r="H5101" s="1">
        <f t="shared" si="711"/>
        <v>0.71999999999999886</v>
      </c>
      <c r="I5101" s="9">
        <f t="shared" si="718"/>
        <v>2.7671022290545692E-2</v>
      </c>
      <c r="J5101" s="1">
        <f t="shared" si="719"/>
        <v>0</v>
      </c>
      <c r="K5101" s="9">
        <f t="shared" si="712"/>
        <v>0</v>
      </c>
      <c r="L5101" s="1">
        <f t="shared" si="713"/>
        <v>8.3396512509476883E-2</v>
      </c>
      <c r="M5101" s="1">
        <f t="shared" si="714"/>
        <v>2.2300227445034118</v>
      </c>
      <c r="N5101" s="1">
        <f t="shared" si="715"/>
        <v>2.1699772554965886</v>
      </c>
      <c r="O5101" s="1">
        <f t="shared" si="716"/>
        <v>0.24000000000000021</v>
      </c>
      <c r="P5101" s="1">
        <f t="shared" si="717"/>
        <v>0.12244897959183684</v>
      </c>
    </row>
    <row r="5102" spans="1:16">
      <c r="A5102" s="2">
        <v>35654</v>
      </c>
      <c r="B5102" s="1">
        <v>27.34</v>
      </c>
      <c r="C5102" s="1">
        <v>27.58</v>
      </c>
      <c r="D5102" s="1">
        <v>26.38</v>
      </c>
      <c r="E5102" s="1">
        <v>26.38</v>
      </c>
      <c r="F5102" s="1">
        <v>571200</v>
      </c>
      <c r="G5102" s="1">
        <v>2.2000000000000002</v>
      </c>
      <c r="H5102" s="1">
        <f t="shared" si="711"/>
        <v>1.1999999999999993</v>
      </c>
      <c r="I5102" s="9">
        <f t="shared" si="718"/>
        <v>4.5489006823350997E-2</v>
      </c>
      <c r="J5102" s="1">
        <f t="shared" si="719"/>
        <v>-0.12999999999999989</v>
      </c>
      <c r="K5102" s="9">
        <f t="shared" si="712"/>
        <v>-5.5793991416308968E-2</v>
      </c>
      <c r="L5102" s="1">
        <f t="shared" si="713"/>
        <v>8.3396512509476883E-2</v>
      </c>
      <c r="M5102" s="1">
        <f t="shared" si="714"/>
        <v>2.3000758150113723</v>
      </c>
      <c r="N5102" s="1">
        <f t="shared" si="715"/>
        <v>2.2000000000000002</v>
      </c>
      <c r="O5102" s="1">
        <f t="shared" si="716"/>
        <v>0.24000000000000021</v>
      </c>
      <c r="P5102" s="1">
        <f t="shared" si="717"/>
        <v>0.12244897959183684</v>
      </c>
    </row>
    <row r="5103" spans="1:16">
      <c r="A5103" s="2">
        <v>35653</v>
      </c>
      <c r="B5103" s="1">
        <v>27.46</v>
      </c>
      <c r="C5103" s="1">
        <v>27.94</v>
      </c>
      <c r="D5103" s="1">
        <v>26.98</v>
      </c>
      <c r="E5103" s="1">
        <v>27.94</v>
      </c>
      <c r="F5103" s="1">
        <v>1239600</v>
      </c>
      <c r="G5103" s="1">
        <v>2.33</v>
      </c>
      <c r="H5103" s="1">
        <f t="shared" si="711"/>
        <v>0.96000000000000085</v>
      </c>
      <c r="I5103" s="9">
        <f t="shared" si="718"/>
        <v>3.5581912527798402E-2</v>
      </c>
      <c r="J5103" s="1">
        <f t="shared" si="719"/>
        <v>4.0000000000000036E-2</v>
      </c>
      <c r="K5103" s="9">
        <f t="shared" si="712"/>
        <v>1.746724890829696E-2</v>
      </c>
      <c r="L5103" s="1">
        <f t="shared" si="713"/>
        <v>8.3392984967788117E-2</v>
      </c>
      <c r="M5103" s="1">
        <f t="shared" si="714"/>
        <v>2.33</v>
      </c>
      <c r="N5103" s="1">
        <f t="shared" si="715"/>
        <v>2.2499427344309235</v>
      </c>
      <c r="O5103" s="1">
        <f t="shared" si="716"/>
        <v>0.37000000000000011</v>
      </c>
      <c r="P5103" s="1">
        <f t="shared" si="717"/>
        <v>0.1887755102040817</v>
      </c>
    </row>
    <row r="5104" spans="1:16">
      <c r="A5104" s="2">
        <v>35650</v>
      </c>
      <c r="B5104" s="1">
        <v>26.06</v>
      </c>
      <c r="C5104" s="1">
        <v>27.62</v>
      </c>
      <c r="D5104" s="1">
        <v>25.22</v>
      </c>
      <c r="E5104" s="1">
        <v>27.5</v>
      </c>
      <c r="F5104" s="1">
        <v>2211600</v>
      </c>
      <c r="G5104" s="1">
        <v>2.29</v>
      </c>
      <c r="H5104" s="1">
        <f t="shared" si="711"/>
        <v>2.4000000000000021</v>
      </c>
      <c r="I5104" s="9">
        <f t="shared" si="718"/>
        <v>9.5162569389373605E-2</v>
      </c>
      <c r="J5104" s="1">
        <f t="shared" si="719"/>
        <v>0.10999999999999988</v>
      </c>
      <c r="K5104" s="9">
        <f t="shared" si="712"/>
        <v>5.0458715596330216E-2</v>
      </c>
      <c r="L5104" s="1">
        <f t="shared" si="713"/>
        <v>8.3272727272727276E-2</v>
      </c>
      <c r="M5104" s="1">
        <f t="shared" si="714"/>
        <v>2.2999927272727274</v>
      </c>
      <c r="N5104" s="1">
        <f t="shared" si="715"/>
        <v>2.1001381818181817</v>
      </c>
      <c r="O5104" s="1">
        <f t="shared" si="716"/>
        <v>0.33000000000000007</v>
      </c>
      <c r="P5104" s="1">
        <f t="shared" si="717"/>
        <v>0.16836734693877556</v>
      </c>
    </row>
    <row r="5105" spans="1:16">
      <c r="A5105" s="2">
        <v>35649</v>
      </c>
      <c r="B5105" s="1">
        <v>26.97</v>
      </c>
      <c r="C5105" s="1">
        <v>27.09</v>
      </c>
      <c r="D5105" s="1">
        <v>25.53</v>
      </c>
      <c r="E5105" s="1">
        <v>26.13</v>
      </c>
      <c r="F5105" s="1">
        <v>2034000</v>
      </c>
      <c r="G5105" s="1">
        <v>2.1800000000000002</v>
      </c>
      <c r="H5105" s="1">
        <f t="shared" si="711"/>
        <v>1.5599999999999987</v>
      </c>
      <c r="I5105" s="9">
        <f t="shared" si="718"/>
        <v>6.1104582843713229E-2</v>
      </c>
      <c r="J5105" s="1">
        <f t="shared" si="719"/>
        <v>-6.999999999999984E-2</v>
      </c>
      <c r="K5105" s="9">
        <f t="shared" si="712"/>
        <v>-3.1111111111111041E-2</v>
      </c>
      <c r="L5105" s="1">
        <f t="shared" si="713"/>
        <v>8.3429008802143143E-2</v>
      </c>
      <c r="M5105" s="1">
        <f t="shared" si="714"/>
        <v>2.2600918484500578</v>
      </c>
      <c r="N5105" s="1">
        <f t="shared" si="715"/>
        <v>2.1299425947187145</v>
      </c>
      <c r="O5105" s="1">
        <f t="shared" si="716"/>
        <v>0.2200000000000002</v>
      </c>
      <c r="P5105" s="1">
        <f t="shared" si="717"/>
        <v>0.11224489795918377</v>
      </c>
    </row>
    <row r="5106" spans="1:16">
      <c r="A5106" s="2">
        <v>35648</v>
      </c>
      <c r="B5106" s="1">
        <v>26.52</v>
      </c>
      <c r="C5106" s="1">
        <v>27.72</v>
      </c>
      <c r="D5106" s="1">
        <v>26.28</v>
      </c>
      <c r="E5106" s="1">
        <v>27</v>
      </c>
      <c r="F5106" s="1">
        <v>1243200</v>
      </c>
      <c r="G5106" s="1">
        <v>2.25</v>
      </c>
      <c r="H5106" s="1">
        <f t="shared" si="711"/>
        <v>1.4399999999999977</v>
      </c>
      <c r="I5106" s="9">
        <f t="shared" si="718"/>
        <v>5.4794520547945119E-2</v>
      </c>
      <c r="J5106" s="1">
        <f t="shared" si="719"/>
        <v>4.0000000000000036E-2</v>
      </c>
      <c r="K5106" s="9">
        <f t="shared" si="712"/>
        <v>1.8099547511312233E-2</v>
      </c>
      <c r="L5106" s="1">
        <f t="shared" si="713"/>
        <v>8.3333333333333329E-2</v>
      </c>
      <c r="M5106" s="1">
        <f t="shared" si="714"/>
        <v>2.3099999999999996</v>
      </c>
      <c r="N5106" s="1">
        <f t="shared" si="715"/>
        <v>2.19</v>
      </c>
      <c r="O5106" s="1">
        <f t="shared" si="716"/>
        <v>0.29000000000000004</v>
      </c>
      <c r="P5106" s="1">
        <f t="shared" si="717"/>
        <v>0.14795918367346941</v>
      </c>
    </row>
    <row r="5107" spans="1:16">
      <c r="A5107" s="2">
        <v>35647</v>
      </c>
      <c r="B5107" s="1">
        <v>27.94</v>
      </c>
      <c r="C5107" s="1">
        <v>27.94</v>
      </c>
      <c r="D5107" s="1">
        <v>25.78</v>
      </c>
      <c r="E5107" s="1">
        <v>26.5</v>
      </c>
      <c r="F5107" s="1">
        <v>3032400</v>
      </c>
      <c r="G5107" s="1">
        <v>2.21</v>
      </c>
      <c r="H5107" s="1">
        <f t="shared" si="711"/>
        <v>2.16</v>
      </c>
      <c r="I5107" s="9">
        <f t="shared" si="718"/>
        <v>8.3785880527540726E-2</v>
      </c>
      <c r="J5107" s="1">
        <f t="shared" si="719"/>
        <v>-0.10000000000000009</v>
      </c>
      <c r="K5107" s="9">
        <f t="shared" si="712"/>
        <v>-4.329004329004333E-2</v>
      </c>
      <c r="L5107" s="1">
        <f t="shared" si="713"/>
        <v>8.3396226415094338E-2</v>
      </c>
      <c r="M5107" s="1">
        <f t="shared" si="714"/>
        <v>2.330090566037736</v>
      </c>
      <c r="N5107" s="1">
        <f t="shared" si="715"/>
        <v>2.1499547169811319</v>
      </c>
      <c r="O5107" s="1">
        <f t="shared" si="716"/>
        <v>0.25</v>
      </c>
      <c r="P5107" s="1">
        <f t="shared" si="717"/>
        <v>0.12755102040816327</v>
      </c>
    </row>
    <row r="5108" spans="1:16">
      <c r="A5108" s="2">
        <v>35646</v>
      </c>
      <c r="B5108" s="1">
        <v>28.59</v>
      </c>
      <c r="C5108" s="1">
        <v>28.95</v>
      </c>
      <c r="D5108" s="1">
        <v>27.63</v>
      </c>
      <c r="E5108" s="1">
        <v>27.75</v>
      </c>
      <c r="F5108" s="1">
        <v>2671200</v>
      </c>
      <c r="G5108" s="1">
        <v>2.31</v>
      </c>
      <c r="H5108" s="1">
        <f t="shared" si="711"/>
        <v>1.3200000000000003</v>
      </c>
      <c r="I5108" s="9">
        <f t="shared" si="718"/>
        <v>4.7774158523344205E-2</v>
      </c>
      <c r="J5108" s="1">
        <f t="shared" si="719"/>
        <v>-0.10999999999999988</v>
      </c>
      <c r="K5108" s="9">
        <f t="shared" si="712"/>
        <v>-4.5454545454545407E-2</v>
      </c>
      <c r="L5108" s="1">
        <f t="shared" si="713"/>
        <v>8.324324324324324E-2</v>
      </c>
      <c r="M5108" s="1">
        <f t="shared" si="714"/>
        <v>2.4098918918918919</v>
      </c>
      <c r="N5108" s="1">
        <f t="shared" si="715"/>
        <v>2.3000108108108108</v>
      </c>
      <c r="O5108" s="1">
        <f t="shared" si="716"/>
        <v>0.35000000000000009</v>
      </c>
      <c r="P5108" s="1">
        <f t="shared" si="717"/>
        <v>0.17857142857142863</v>
      </c>
    </row>
    <row r="5109" spans="1:16">
      <c r="A5109" s="2">
        <v>35643</v>
      </c>
      <c r="B5109" s="1">
        <v>28.04</v>
      </c>
      <c r="C5109" s="1">
        <v>29</v>
      </c>
      <c r="D5109" s="1">
        <v>26.96</v>
      </c>
      <c r="E5109" s="1">
        <v>29</v>
      </c>
      <c r="F5109" s="1">
        <v>3588000</v>
      </c>
      <c r="G5109" s="1">
        <v>2.42</v>
      </c>
      <c r="H5109" s="1">
        <f t="shared" si="711"/>
        <v>2.0399999999999991</v>
      </c>
      <c r="I5109" s="9">
        <f t="shared" si="718"/>
        <v>7.566765578635011E-2</v>
      </c>
      <c r="J5109" s="1">
        <f t="shared" si="719"/>
        <v>2.0000000000000018E-2</v>
      </c>
      <c r="K5109" s="9">
        <f t="shared" si="712"/>
        <v>8.3333333333333419E-3</v>
      </c>
      <c r="L5109" s="1">
        <f t="shared" si="713"/>
        <v>8.344827586206896E-2</v>
      </c>
      <c r="M5109" s="1">
        <f t="shared" si="714"/>
        <v>2.42</v>
      </c>
      <c r="N5109" s="1">
        <f t="shared" si="715"/>
        <v>2.2497655172413791</v>
      </c>
      <c r="O5109" s="1">
        <f t="shared" si="716"/>
        <v>0.45999999999999996</v>
      </c>
      <c r="P5109" s="1">
        <f t="shared" si="717"/>
        <v>0.23469387755102039</v>
      </c>
    </row>
    <row r="5110" spans="1:16">
      <c r="A5110" s="2">
        <v>35642</v>
      </c>
      <c r="B5110" s="1">
        <v>29.23</v>
      </c>
      <c r="C5110" s="1">
        <v>29.23</v>
      </c>
      <c r="D5110" s="1">
        <v>27.91</v>
      </c>
      <c r="E5110" s="1">
        <v>28.75</v>
      </c>
      <c r="F5110" s="1">
        <v>1454400</v>
      </c>
      <c r="G5110" s="1">
        <v>2.4</v>
      </c>
      <c r="H5110" s="1">
        <f t="shared" si="711"/>
        <v>1.3200000000000003</v>
      </c>
      <c r="I5110" s="9">
        <f t="shared" si="718"/>
        <v>4.729487638839127E-2</v>
      </c>
      <c r="J5110" s="1">
        <f t="shared" si="719"/>
        <v>-5.0000000000000266E-2</v>
      </c>
      <c r="K5110" s="9">
        <f t="shared" si="712"/>
        <v>-2.0408163265306228E-2</v>
      </c>
      <c r="L5110" s="1">
        <f t="shared" si="713"/>
        <v>8.347826086956521E-2</v>
      </c>
      <c r="M5110" s="1">
        <f t="shared" si="714"/>
        <v>2.4400695652173909</v>
      </c>
      <c r="N5110" s="1">
        <f t="shared" si="715"/>
        <v>2.329878260869565</v>
      </c>
      <c r="O5110" s="1">
        <f t="shared" si="716"/>
        <v>0.43999999999999995</v>
      </c>
      <c r="P5110" s="1">
        <f t="shared" si="717"/>
        <v>0.22448979591836732</v>
      </c>
    </row>
    <row r="5111" spans="1:16">
      <c r="A5111" s="2">
        <v>35641</v>
      </c>
      <c r="B5111" s="1">
        <v>29.98</v>
      </c>
      <c r="C5111" s="1">
        <v>30.1</v>
      </c>
      <c r="D5111" s="1">
        <v>29.14</v>
      </c>
      <c r="E5111" s="1">
        <v>29.38</v>
      </c>
      <c r="F5111" s="1">
        <v>2517600</v>
      </c>
      <c r="G5111" s="1">
        <v>2.4500000000000002</v>
      </c>
      <c r="H5111" s="1">
        <f t="shared" si="711"/>
        <v>0.96000000000000085</v>
      </c>
      <c r="I5111" s="9">
        <f t="shared" si="718"/>
        <v>3.2944406314344574E-2</v>
      </c>
      <c r="J5111" s="1">
        <f t="shared" si="719"/>
        <v>-2.9999999999999805E-2</v>
      </c>
      <c r="K5111" s="9">
        <f t="shared" si="712"/>
        <v>-1.2096774193548309E-2</v>
      </c>
      <c r="L5111" s="1">
        <f t="shared" si="713"/>
        <v>8.3390061266167465E-2</v>
      </c>
      <c r="M5111" s="1">
        <f t="shared" si="714"/>
        <v>2.5100408441116406</v>
      </c>
      <c r="N5111" s="1">
        <f t="shared" si="715"/>
        <v>2.4299863852961199</v>
      </c>
      <c r="O5111" s="1">
        <f t="shared" si="716"/>
        <v>0.49000000000000021</v>
      </c>
      <c r="P5111" s="1">
        <f t="shared" si="717"/>
        <v>0.25000000000000011</v>
      </c>
    </row>
    <row r="5112" spans="1:16">
      <c r="A5112" s="2">
        <v>35640</v>
      </c>
      <c r="B5112" s="1">
        <v>28.31</v>
      </c>
      <c r="C5112" s="1">
        <v>29.99</v>
      </c>
      <c r="D5112" s="1">
        <v>27.95</v>
      </c>
      <c r="E5112" s="1">
        <v>29.75</v>
      </c>
      <c r="F5112" s="1">
        <v>4814400</v>
      </c>
      <c r="G5112" s="1">
        <v>2.48</v>
      </c>
      <c r="H5112" s="1">
        <f t="shared" si="711"/>
        <v>2.0399999999999991</v>
      </c>
      <c r="I5112" s="9">
        <f t="shared" si="718"/>
        <v>7.29874776386404E-2</v>
      </c>
      <c r="J5112" s="1">
        <f t="shared" si="719"/>
        <v>0.16000000000000014</v>
      </c>
      <c r="K5112" s="9">
        <f t="shared" si="712"/>
        <v>6.8965517241379379E-2</v>
      </c>
      <c r="L5112" s="1">
        <f t="shared" si="713"/>
        <v>8.336134453781513E-2</v>
      </c>
      <c r="M5112" s="1">
        <f t="shared" si="714"/>
        <v>2.5000067226890756</v>
      </c>
      <c r="N5112" s="1">
        <f t="shared" si="715"/>
        <v>2.3299495798319327</v>
      </c>
      <c r="O5112" s="1">
        <f t="shared" si="716"/>
        <v>0.52</v>
      </c>
      <c r="P5112" s="1">
        <f t="shared" si="717"/>
        <v>0.26530612244897961</v>
      </c>
    </row>
    <row r="5113" spans="1:16">
      <c r="A5113" s="2">
        <v>35639</v>
      </c>
      <c r="B5113" s="1">
        <v>26.8</v>
      </c>
      <c r="C5113" s="1">
        <v>28.84</v>
      </c>
      <c r="D5113" s="1">
        <v>26.68</v>
      </c>
      <c r="E5113" s="1">
        <v>27.88</v>
      </c>
      <c r="F5113" s="1">
        <v>2574000</v>
      </c>
      <c r="G5113" s="1">
        <v>2.3199999999999998</v>
      </c>
      <c r="H5113" s="1">
        <f t="shared" si="711"/>
        <v>2.16</v>
      </c>
      <c r="I5113" s="9">
        <f t="shared" si="718"/>
        <v>8.0959520239880067E-2</v>
      </c>
      <c r="J5113" s="1">
        <f t="shared" si="719"/>
        <v>8.9999999999999858E-2</v>
      </c>
      <c r="K5113" s="9">
        <f t="shared" si="712"/>
        <v>4.035874439461877E-2</v>
      </c>
      <c r="L5113" s="1">
        <f t="shared" si="713"/>
        <v>8.3213773314203723E-2</v>
      </c>
      <c r="M5113" s="1">
        <f t="shared" si="714"/>
        <v>2.3998852223816352</v>
      </c>
      <c r="N5113" s="1">
        <f t="shared" si="715"/>
        <v>2.2201434720229551</v>
      </c>
      <c r="O5113" s="1">
        <f t="shared" si="716"/>
        <v>0.35999999999999988</v>
      </c>
      <c r="P5113" s="1">
        <f t="shared" si="717"/>
        <v>0.18367346938775503</v>
      </c>
    </row>
    <row r="5114" spans="1:16">
      <c r="A5114" s="2">
        <v>35636</v>
      </c>
      <c r="B5114" s="1">
        <v>26.63</v>
      </c>
      <c r="C5114" s="1">
        <v>26.99</v>
      </c>
      <c r="D5114" s="1">
        <v>26.63</v>
      </c>
      <c r="E5114" s="1">
        <v>26.75</v>
      </c>
      <c r="F5114" s="1">
        <v>620400</v>
      </c>
      <c r="G5114" s="1">
        <v>2.23</v>
      </c>
      <c r="H5114" s="1">
        <f t="shared" si="711"/>
        <v>0.35999999999999943</v>
      </c>
      <c r="I5114" s="9">
        <f t="shared" si="718"/>
        <v>1.3518588058580527E-2</v>
      </c>
      <c r="J5114" s="1">
        <f t="shared" si="719"/>
        <v>-2.9999999999999805E-2</v>
      </c>
      <c r="K5114" s="9">
        <f t="shared" si="712"/>
        <v>-1.3274336283185756E-2</v>
      </c>
      <c r="L5114" s="1">
        <f t="shared" si="713"/>
        <v>8.3364485981308412E-2</v>
      </c>
      <c r="M5114" s="1">
        <f t="shared" si="714"/>
        <v>2.2500074766355138</v>
      </c>
      <c r="N5114" s="1">
        <f t="shared" si="715"/>
        <v>2.2199962616822431</v>
      </c>
      <c r="O5114" s="1">
        <f t="shared" si="716"/>
        <v>0.27</v>
      </c>
      <c r="P5114" s="1">
        <f t="shared" si="717"/>
        <v>0.13775510204081634</v>
      </c>
    </row>
    <row r="5115" spans="1:16">
      <c r="A5115" s="2">
        <v>35635</v>
      </c>
      <c r="B5115" s="1">
        <v>27.61</v>
      </c>
      <c r="C5115" s="1">
        <v>27.73</v>
      </c>
      <c r="D5115" s="1">
        <v>26.65</v>
      </c>
      <c r="E5115" s="1">
        <v>27.13</v>
      </c>
      <c r="F5115" s="1">
        <v>1216800</v>
      </c>
      <c r="G5115" s="1">
        <v>2.2599999999999998</v>
      </c>
      <c r="H5115" s="1">
        <f t="shared" si="711"/>
        <v>1.0800000000000018</v>
      </c>
      <c r="I5115" s="9">
        <f t="shared" si="718"/>
        <v>4.0525328330206452E-2</v>
      </c>
      <c r="J5115" s="1">
        <f t="shared" si="719"/>
        <v>-3.0000000000000249E-2</v>
      </c>
      <c r="K5115" s="9">
        <f t="shared" si="712"/>
        <v>-1.3100436681222816E-2</v>
      </c>
      <c r="L5115" s="1">
        <f t="shared" si="713"/>
        <v>8.330261702911905E-2</v>
      </c>
      <c r="M5115" s="1">
        <f t="shared" si="714"/>
        <v>2.3099815702174711</v>
      </c>
      <c r="N5115" s="1">
        <f t="shared" si="715"/>
        <v>2.2200147438260225</v>
      </c>
      <c r="O5115" s="1">
        <f t="shared" si="716"/>
        <v>0.29999999999999982</v>
      </c>
      <c r="P5115" s="1">
        <f t="shared" si="717"/>
        <v>0.15306122448979584</v>
      </c>
    </row>
    <row r="5116" spans="1:16">
      <c r="A5116" s="2">
        <v>35634</v>
      </c>
      <c r="B5116" s="1">
        <v>26.3</v>
      </c>
      <c r="C5116" s="1">
        <v>27.98</v>
      </c>
      <c r="D5116" s="1">
        <v>26.18</v>
      </c>
      <c r="E5116" s="1">
        <v>27.5</v>
      </c>
      <c r="F5116" s="1">
        <v>3259200</v>
      </c>
      <c r="G5116" s="1">
        <v>2.29</v>
      </c>
      <c r="H5116" s="1">
        <f t="shared" si="711"/>
        <v>1.8000000000000007</v>
      </c>
      <c r="I5116" s="9">
        <f t="shared" si="718"/>
        <v>6.8754774637127605E-2</v>
      </c>
      <c r="J5116" s="1">
        <f t="shared" si="719"/>
        <v>0.14999999999999991</v>
      </c>
      <c r="K5116" s="9">
        <f t="shared" si="712"/>
        <v>7.0093457943925186E-2</v>
      </c>
      <c r="L5116" s="1">
        <f t="shared" si="713"/>
        <v>8.3272727272727276E-2</v>
      </c>
      <c r="M5116" s="1">
        <f t="shared" si="714"/>
        <v>2.3299709090909091</v>
      </c>
      <c r="N5116" s="1">
        <f t="shared" si="715"/>
        <v>2.1800800000000002</v>
      </c>
      <c r="O5116" s="1">
        <f t="shared" si="716"/>
        <v>0.33000000000000007</v>
      </c>
      <c r="P5116" s="1">
        <f t="shared" si="717"/>
        <v>0.16836734693877556</v>
      </c>
    </row>
    <row r="5117" spans="1:16">
      <c r="A5117" s="2">
        <v>35633</v>
      </c>
      <c r="B5117" s="1">
        <v>25.99</v>
      </c>
      <c r="C5117" s="1">
        <v>26.23</v>
      </c>
      <c r="D5117" s="1">
        <v>24.67</v>
      </c>
      <c r="E5117" s="1">
        <v>25.63</v>
      </c>
      <c r="F5117" s="1">
        <v>1563600</v>
      </c>
      <c r="G5117" s="1">
        <v>2.14</v>
      </c>
      <c r="H5117" s="1">
        <f t="shared" si="711"/>
        <v>1.5599999999999987</v>
      </c>
      <c r="I5117" s="9">
        <f t="shared" si="718"/>
        <v>6.323469801378187E-2</v>
      </c>
      <c r="J5117" s="1">
        <f t="shared" si="719"/>
        <v>-4.0000000000000036E-2</v>
      </c>
      <c r="K5117" s="9">
        <f t="shared" si="712"/>
        <v>-1.8348623853211024E-2</v>
      </c>
      <c r="L5117" s="1">
        <f t="shared" si="713"/>
        <v>8.349590323839251E-2</v>
      </c>
      <c r="M5117" s="1">
        <f t="shared" si="714"/>
        <v>2.1900975419430355</v>
      </c>
      <c r="N5117" s="1">
        <f t="shared" si="715"/>
        <v>2.0598439328911433</v>
      </c>
      <c r="O5117" s="1">
        <f t="shared" si="716"/>
        <v>0.18000000000000016</v>
      </c>
      <c r="P5117" s="1">
        <f t="shared" si="717"/>
        <v>9.1836734693877639E-2</v>
      </c>
    </row>
    <row r="5118" spans="1:16">
      <c r="A5118" s="2">
        <v>35632</v>
      </c>
      <c r="B5118" s="1">
        <v>26.19</v>
      </c>
      <c r="C5118" s="1">
        <v>26.43</v>
      </c>
      <c r="D5118" s="1">
        <v>25.83</v>
      </c>
      <c r="E5118" s="1">
        <v>26.19</v>
      </c>
      <c r="F5118" s="1">
        <v>574800</v>
      </c>
      <c r="G5118" s="1">
        <v>2.1800000000000002</v>
      </c>
      <c r="H5118" s="1">
        <f t="shared" si="711"/>
        <v>0.60000000000000142</v>
      </c>
      <c r="I5118" s="9">
        <f t="shared" si="718"/>
        <v>2.322880371660865E-2</v>
      </c>
      <c r="J5118" s="1">
        <f t="shared" si="719"/>
        <v>2.0000000000000018E-2</v>
      </c>
      <c r="K5118" s="9">
        <f t="shared" si="712"/>
        <v>9.2592592592592674E-3</v>
      </c>
      <c r="L5118" s="1">
        <f t="shared" si="713"/>
        <v>8.3237877052310047E-2</v>
      </c>
      <c r="M5118" s="1">
        <f t="shared" si="714"/>
        <v>2.1999770904925544</v>
      </c>
      <c r="N5118" s="1">
        <f t="shared" si="715"/>
        <v>2.1500343642611686</v>
      </c>
      <c r="O5118" s="1">
        <f t="shared" si="716"/>
        <v>0.2200000000000002</v>
      </c>
      <c r="P5118" s="1">
        <f t="shared" si="717"/>
        <v>0.11224489795918377</v>
      </c>
    </row>
    <row r="5119" spans="1:16">
      <c r="A5119" s="2">
        <v>35629</v>
      </c>
      <c r="B5119" s="1">
        <v>26.24</v>
      </c>
      <c r="C5119" s="1">
        <v>26.6</v>
      </c>
      <c r="D5119" s="1">
        <v>25.88</v>
      </c>
      <c r="E5119" s="1">
        <v>25.88</v>
      </c>
      <c r="F5119" s="1">
        <v>780000</v>
      </c>
      <c r="G5119" s="1">
        <v>2.16</v>
      </c>
      <c r="H5119" s="1">
        <f t="shared" si="711"/>
        <v>0.72000000000000242</v>
      </c>
      <c r="I5119" s="9">
        <f t="shared" si="718"/>
        <v>2.7820710973724978E-2</v>
      </c>
      <c r="J5119" s="1">
        <f t="shared" si="719"/>
        <v>-6.0000000000000053E-2</v>
      </c>
      <c r="K5119" s="9">
        <f t="shared" si="712"/>
        <v>-2.7027027027027049E-2</v>
      </c>
      <c r="L5119" s="1">
        <f t="shared" si="713"/>
        <v>8.3462132921174659E-2</v>
      </c>
      <c r="M5119" s="1">
        <f t="shared" si="714"/>
        <v>2.2200927357032461</v>
      </c>
      <c r="N5119" s="1">
        <f t="shared" si="715"/>
        <v>2.16</v>
      </c>
      <c r="O5119" s="1">
        <f t="shared" si="716"/>
        <v>0.20000000000000018</v>
      </c>
      <c r="P5119" s="1">
        <f t="shared" si="717"/>
        <v>0.10204081632653071</v>
      </c>
    </row>
    <row r="5120" spans="1:16">
      <c r="A5120" s="2">
        <v>35628</v>
      </c>
      <c r="B5120" s="1">
        <v>28.07</v>
      </c>
      <c r="C5120" s="1">
        <v>28.07</v>
      </c>
      <c r="D5120" s="1">
        <v>25.91</v>
      </c>
      <c r="E5120" s="1">
        <v>26.63</v>
      </c>
      <c r="F5120" s="1">
        <v>3169200</v>
      </c>
      <c r="G5120" s="1">
        <v>2.2200000000000002</v>
      </c>
      <c r="H5120" s="1">
        <f t="shared" si="711"/>
        <v>2.16</v>
      </c>
      <c r="I5120" s="9">
        <f t="shared" si="718"/>
        <v>8.3365495947510623E-2</v>
      </c>
      <c r="J5120" s="1">
        <f t="shared" si="719"/>
        <v>-0.10999999999999988</v>
      </c>
      <c r="K5120" s="9">
        <f t="shared" si="712"/>
        <v>-4.7210300429184497E-2</v>
      </c>
      <c r="L5120" s="1">
        <f t="shared" si="713"/>
        <v>8.3364626361246724E-2</v>
      </c>
      <c r="M5120" s="1">
        <f t="shared" si="714"/>
        <v>2.3400450619601956</v>
      </c>
      <c r="N5120" s="1">
        <f t="shared" si="715"/>
        <v>2.1599774690199025</v>
      </c>
      <c r="O5120" s="1">
        <f t="shared" si="716"/>
        <v>0.26000000000000023</v>
      </c>
      <c r="P5120" s="1">
        <f t="shared" si="717"/>
        <v>0.13265306122448992</v>
      </c>
    </row>
    <row r="5121" spans="1:16">
      <c r="A5121" s="2">
        <v>35627</v>
      </c>
      <c r="B5121" s="1">
        <v>29.44</v>
      </c>
      <c r="C5121" s="1">
        <v>29.92</v>
      </c>
      <c r="D5121" s="1">
        <v>27.64</v>
      </c>
      <c r="E5121" s="1">
        <v>28</v>
      </c>
      <c r="F5121" s="1">
        <v>3024000</v>
      </c>
      <c r="G5121" s="1">
        <v>2.33</v>
      </c>
      <c r="H5121" s="1">
        <f t="shared" si="711"/>
        <v>2.2800000000000011</v>
      </c>
      <c r="I5121" s="9">
        <f t="shared" si="718"/>
        <v>8.2489146164978336E-2</v>
      </c>
      <c r="J5121" s="1">
        <f t="shared" si="719"/>
        <v>-0.10999999999999988</v>
      </c>
      <c r="K5121" s="9">
        <f t="shared" si="712"/>
        <v>-4.5081967213114707E-2</v>
      </c>
      <c r="L5121" s="1">
        <f t="shared" si="713"/>
        <v>8.3214285714285713E-2</v>
      </c>
      <c r="M5121" s="1">
        <f t="shared" si="714"/>
        <v>2.4897714285714287</v>
      </c>
      <c r="N5121" s="1">
        <f t="shared" si="715"/>
        <v>2.3000428571428571</v>
      </c>
      <c r="O5121" s="1">
        <f t="shared" si="716"/>
        <v>0.37000000000000011</v>
      </c>
      <c r="P5121" s="1">
        <f t="shared" si="717"/>
        <v>0.1887755102040817</v>
      </c>
    </row>
    <row r="5122" spans="1:16">
      <c r="A5122" s="2">
        <v>35626</v>
      </c>
      <c r="B5122" s="1">
        <v>25.65</v>
      </c>
      <c r="C5122" s="1">
        <v>29.73</v>
      </c>
      <c r="D5122" s="1">
        <v>25.65</v>
      </c>
      <c r="E5122" s="1">
        <v>29.25</v>
      </c>
      <c r="F5122" s="1">
        <v>9274800</v>
      </c>
      <c r="G5122" s="1">
        <v>2.44</v>
      </c>
      <c r="H5122" s="1">
        <f t="shared" si="711"/>
        <v>4.0800000000000018</v>
      </c>
      <c r="I5122" s="9">
        <f t="shared" si="718"/>
        <v>0.15906432748538019</v>
      </c>
      <c r="J5122" s="1">
        <f t="shared" si="719"/>
        <v>0.29999999999999982</v>
      </c>
      <c r="K5122" s="9">
        <f t="shared" si="712"/>
        <v>0.14018691588785037</v>
      </c>
      <c r="L5122" s="1">
        <f t="shared" si="713"/>
        <v>8.3418803418803422E-2</v>
      </c>
      <c r="M5122" s="1">
        <f t="shared" si="714"/>
        <v>2.4800410256410257</v>
      </c>
      <c r="N5122" s="1">
        <f t="shared" si="715"/>
        <v>2.1396923076923078</v>
      </c>
      <c r="O5122" s="1">
        <f t="shared" si="716"/>
        <v>0.48</v>
      </c>
      <c r="P5122" s="1">
        <f t="shared" si="717"/>
        <v>0.24489795918367346</v>
      </c>
    </row>
    <row r="5123" spans="1:16">
      <c r="A5123" s="2">
        <v>35625</v>
      </c>
      <c r="B5123" s="1">
        <v>27.79</v>
      </c>
      <c r="C5123" s="1">
        <v>27.91</v>
      </c>
      <c r="D5123" s="1">
        <v>25.27</v>
      </c>
      <c r="E5123" s="1">
        <v>25.63</v>
      </c>
      <c r="F5123" s="1">
        <v>4604400</v>
      </c>
      <c r="G5123" s="1">
        <v>2.14</v>
      </c>
      <c r="H5123" s="1">
        <f t="shared" ref="H5123:H5163" si="720">C5123-D5123</f>
        <v>2.6400000000000006</v>
      </c>
      <c r="I5123" s="9">
        <f t="shared" si="718"/>
        <v>0.10447170557973884</v>
      </c>
      <c r="J5123" s="1">
        <f t="shared" si="719"/>
        <v>-0.14999999999999991</v>
      </c>
      <c r="K5123" s="9">
        <f t="shared" ref="K5123:K5162" si="721">(G5123-G5124)/G5124</f>
        <v>-6.5502183406113496E-2</v>
      </c>
      <c r="L5123" s="1">
        <f t="shared" ref="L5123:L5163" si="722">G5123/E5123</f>
        <v>8.349590323839251E-2</v>
      </c>
      <c r="M5123" s="1">
        <f t="shared" ref="M5123:M5163" si="723">L5123*C5123</f>
        <v>2.3303706593835352</v>
      </c>
      <c r="N5123" s="1">
        <f t="shared" ref="N5123:N5163" si="724">L5123*D5123</f>
        <v>2.1099414748341787</v>
      </c>
      <c r="O5123" s="1">
        <f t="shared" ref="O5123:O5163" si="725">G5123-$G$5163</f>
        <v>0.18000000000000016</v>
      </c>
      <c r="P5123" s="1">
        <f t="shared" ref="P5123:P5163" si="726">(G5123-$G$5163)/$G$5163</f>
        <v>9.1836734693877639E-2</v>
      </c>
    </row>
    <row r="5124" spans="1:16">
      <c r="A5124" s="2">
        <v>35622</v>
      </c>
      <c r="B5124" s="1">
        <v>30.26</v>
      </c>
      <c r="C5124" s="1">
        <v>30.26</v>
      </c>
      <c r="D5124" s="1">
        <v>26.54</v>
      </c>
      <c r="E5124" s="1">
        <v>27.5</v>
      </c>
      <c r="F5124" s="1">
        <v>10531200</v>
      </c>
      <c r="G5124" s="1">
        <v>2.29</v>
      </c>
      <c r="H5124" s="1">
        <f t="shared" si="720"/>
        <v>3.7200000000000024</v>
      </c>
      <c r="I5124" s="9">
        <f t="shared" ref="I5124:I5163" si="727">(C5124-D5124)/D5124</f>
        <v>0.14016578749058034</v>
      </c>
      <c r="J5124" s="1">
        <f t="shared" ref="J5124:J5162" si="728">G5124-G5125</f>
        <v>-0.27</v>
      </c>
      <c r="K5124" s="9">
        <f t="shared" si="721"/>
        <v>-0.10546875</v>
      </c>
      <c r="L5124" s="1">
        <f t="shared" si="722"/>
        <v>8.3272727272727276E-2</v>
      </c>
      <c r="M5124" s="1">
        <f t="shared" si="723"/>
        <v>2.5198327272727274</v>
      </c>
      <c r="N5124" s="1">
        <f t="shared" si="724"/>
        <v>2.2100581818181819</v>
      </c>
      <c r="O5124" s="1">
        <f t="shared" si="725"/>
        <v>0.33000000000000007</v>
      </c>
      <c r="P5124" s="1">
        <f t="shared" si="726"/>
        <v>0.16836734693877556</v>
      </c>
    </row>
    <row r="5125" spans="1:16">
      <c r="A5125" s="2">
        <v>35621</v>
      </c>
      <c r="B5125" s="1">
        <v>27.99</v>
      </c>
      <c r="C5125" s="1">
        <v>30.87</v>
      </c>
      <c r="D5125" s="1">
        <v>27.99</v>
      </c>
      <c r="E5125" s="1">
        <v>30.75</v>
      </c>
      <c r="F5125" s="1">
        <v>9051600</v>
      </c>
      <c r="G5125" s="1">
        <v>2.56</v>
      </c>
      <c r="H5125" s="1">
        <f t="shared" si="720"/>
        <v>2.8800000000000026</v>
      </c>
      <c r="I5125" s="9">
        <f t="shared" si="727"/>
        <v>0.10289389067524125</v>
      </c>
      <c r="J5125" s="1">
        <f t="shared" si="728"/>
        <v>0.24000000000000021</v>
      </c>
      <c r="K5125" s="9">
        <f t="shared" si="721"/>
        <v>0.10344827586206906</v>
      </c>
      <c r="L5125" s="1">
        <f t="shared" si="722"/>
        <v>8.3252032520325203E-2</v>
      </c>
      <c r="M5125" s="1">
        <f t="shared" si="723"/>
        <v>2.5699902439024389</v>
      </c>
      <c r="N5125" s="1">
        <f t="shared" si="724"/>
        <v>2.3302243902439024</v>
      </c>
      <c r="O5125" s="1">
        <f t="shared" si="725"/>
        <v>0.60000000000000009</v>
      </c>
      <c r="P5125" s="1">
        <f t="shared" si="726"/>
        <v>0.3061224489795919</v>
      </c>
    </row>
    <row r="5126" spans="1:16">
      <c r="A5126" s="2">
        <v>35620</v>
      </c>
      <c r="B5126" s="1">
        <v>27.64</v>
      </c>
      <c r="C5126" s="1">
        <v>28.72</v>
      </c>
      <c r="D5126" s="1">
        <v>27.28</v>
      </c>
      <c r="E5126" s="1">
        <v>27.88</v>
      </c>
      <c r="F5126" s="1">
        <v>8262000</v>
      </c>
      <c r="G5126" s="1">
        <v>2.3199999999999998</v>
      </c>
      <c r="H5126" s="1">
        <f t="shared" si="720"/>
        <v>1.4399999999999977</v>
      </c>
      <c r="I5126" s="9">
        <f t="shared" si="727"/>
        <v>5.2785923753665601E-2</v>
      </c>
      <c r="J5126" s="1">
        <f t="shared" si="728"/>
        <v>2.0000000000000018E-2</v>
      </c>
      <c r="K5126" s="9">
        <f t="shared" si="721"/>
        <v>8.6956521739130523E-3</v>
      </c>
      <c r="L5126" s="1">
        <f t="shared" si="722"/>
        <v>8.3213773314203723E-2</v>
      </c>
      <c r="M5126" s="1">
        <f t="shared" si="723"/>
        <v>2.3898995695839309</v>
      </c>
      <c r="N5126" s="1">
        <f t="shared" si="724"/>
        <v>2.2700717360114777</v>
      </c>
      <c r="O5126" s="1">
        <f t="shared" si="725"/>
        <v>0.35999999999999988</v>
      </c>
      <c r="P5126" s="1">
        <f t="shared" si="726"/>
        <v>0.18367346938775503</v>
      </c>
    </row>
    <row r="5127" spans="1:16">
      <c r="A5127" s="2">
        <v>35619</v>
      </c>
      <c r="B5127" s="1">
        <v>24.51</v>
      </c>
      <c r="C5127" s="1">
        <v>27.99</v>
      </c>
      <c r="D5127" s="1">
        <v>24.51</v>
      </c>
      <c r="E5127" s="1">
        <v>27.63</v>
      </c>
      <c r="F5127" s="1">
        <v>15517200</v>
      </c>
      <c r="G5127" s="1">
        <v>2.2999999999999998</v>
      </c>
      <c r="H5127" s="1">
        <f t="shared" si="720"/>
        <v>3.4799999999999969</v>
      </c>
      <c r="I5127" s="9">
        <f t="shared" si="727"/>
        <v>0.14198286413708677</v>
      </c>
      <c r="J5127" s="1">
        <f t="shared" si="728"/>
        <v>0.29999999999999982</v>
      </c>
      <c r="K5127" s="9">
        <f t="shared" si="721"/>
        <v>0.14999999999999991</v>
      </c>
      <c r="L5127" s="1">
        <f t="shared" si="722"/>
        <v>8.3242851972493662E-2</v>
      </c>
      <c r="M5127" s="1">
        <f t="shared" si="723"/>
        <v>2.3299674267100974</v>
      </c>
      <c r="N5127" s="1">
        <f t="shared" si="724"/>
        <v>2.0402823018458198</v>
      </c>
      <c r="O5127" s="1">
        <f t="shared" si="725"/>
        <v>0.33999999999999986</v>
      </c>
      <c r="P5127" s="1">
        <f t="shared" si="726"/>
        <v>0.17346938775510198</v>
      </c>
    </row>
    <row r="5128" spans="1:16">
      <c r="A5128" s="2">
        <v>35618</v>
      </c>
      <c r="B5128" s="1">
        <v>21.96</v>
      </c>
      <c r="C5128" s="1">
        <v>24.24</v>
      </c>
      <c r="D5128" s="1">
        <v>21.96</v>
      </c>
      <c r="E5128" s="1">
        <v>24</v>
      </c>
      <c r="F5128" s="1">
        <v>8053200</v>
      </c>
      <c r="G5128" s="1">
        <v>2</v>
      </c>
      <c r="H5128" s="1">
        <f t="shared" si="720"/>
        <v>2.2799999999999976</v>
      </c>
      <c r="I5128" s="9">
        <f t="shared" si="727"/>
        <v>0.10382513661202174</v>
      </c>
      <c r="J5128" s="1">
        <f t="shared" si="728"/>
        <v>9.000000000000008E-2</v>
      </c>
      <c r="K5128" s="9">
        <f t="shared" si="721"/>
        <v>4.7120418848167582E-2</v>
      </c>
      <c r="L5128" s="1">
        <f t="shared" si="722"/>
        <v>8.3333333333333329E-2</v>
      </c>
      <c r="M5128" s="1">
        <f t="shared" si="723"/>
        <v>2.0199999999999996</v>
      </c>
      <c r="N5128" s="1">
        <f t="shared" si="724"/>
        <v>1.83</v>
      </c>
      <c r="O5128" s="1">
        <f t="shared" si="725"/>
        <v>4.0000000000000036E-2</v>
      </c>
      <c r="P5128" s="1">
        <f t="shared" si="726"/>
        <v>2.0408163265306142E-2</v>
      </c>
    </row>
    <row r="5129" spans="1:16">
      <c r="A5129" s="2">
        <v>35614</v>
      </c>
      <c r="B5129" s="1">
        <v>19.22</v>
      </c>
      <c r="C5129" s="1">
        <v>23.06</v>
      </c>
      <c r="D5129" s="1">
        <v>19.100000000000001</v>
      </c>
      <c r="E5129" s="1">
        <v>22.94</v>
      </c>
      <c r="F5129" s="1">
        <v>12577200</v>
      </c>
      <c r="G5129" s="1">
        <v>1.91</v>
      </c>
      <c r="H5129" s="1">
        <f t="shared" si="720"/>
        <v>3.9599999999999973</v>
      </c>
      <c r="I5129" s="9">
        <f t="shared" si="727"/>
        <v>0.20732984293193701</v>
      </c>
      <c r="J5129" s="1">
        <f t="shared" si="728"/>
        <v>0.31999999999999984</v>
      </c>
      <c r="K5129" s="9">
        <f t="shared" si="721"/>
        <v>0.20125786163522003</v>
      </c>
      <c r="L5129" s="1">
        <f t="shared" si="722"/>
        <v>8.326068003487358E-2</v>
      </c>
      <c r="M5129" s="1">
        <f t="shared" si="723"/>
        <v>1.9199912816041846</v>
      </c>
      <c r="N5129" s="1">
        <f t="shared" si="724"/>
        <v>1.5902789886660855</v>
      </c>
      <c r="O5129" s="1">
        <f t="shared" si="725"/>
        <v>-5.0000000000000044E-2</v>
      </c>
      <c r="P5129" s="1">
        <f t="shared" si="726"/>
        <v>-2.5510204081632678E-2</v>
      </c>
    </row>
    <row r="5130" spans="1:16">
      <c r="A5130" s="2">
        <v>35613</v>
      </c>
      <c r="B5130" s="1">
        <v>18.22</v>
      </c>
      <c r="C5130" s="1">
        <v>19.059999999999999</v>
      </c>
      <c r="D5130" s="1">
        <v>18.100000000000001</v>
      </c>
      <c r="E5130" s="1">
        <v>19.059999999999999</v>
      </c>
      <c r="F5130" s="1">
        <v>3882000</v>
      </c>
      <c r="G5130" s="1">
        <v>1.59</v>
      </c>
      <c r="H5130" s="1">
        <f t="shared" si="720"/>
        <v>0.9599999999999973</v>
      </c>
      <c r="I5130" s="9">
        <f t="shared" si="727"/>
        <v>5.3038674033149019E-2</v>
      </c>
      <c r="J5130" s="1">
        <f t="shared" si="728"/>
        <v>7.0000000000000062E-2</v>
      </c>
      <c r="K5130" s="9">
        <f t="shared" si="721"/>
        <v>4.6052631578947407E-2</v>
      </c>
      <c r="L5130" s="1">
        <f t="shared" si="722"/>
        <v>8.3420776495278084E-2</v>
      </c>
      <c r="M5130" s="1">
        <f t="shared" si="723"/>
        <v>1.59</v>
      </c>
      <c r="N5130" s="1">
        <f t="shared" si="724"/>
        <v>1.5099160545645334</v>
      </c>
      <c r="O5130" s="1">
        <f t="shared" si="725"/>
        <v>-0.36999999999999988</v>
      </c>
      <c r="P5130" s="1">
        <f t="shared" si="726"/>
        <v>-0.18877551020408156</v>
      </c>
    </row>
    <row r="5131" spans="1:16">
      <c r="A5131" s="2">
        <v>35612</v>
      </c>
      <c r="B5131" s="1">
        <v>18.43</v>
      </c>
      <c r="C5131" s="1">
        <v>18.43</v>
      </c>
      <c r="D5131" s="1">
        <v>18.07</v>
      </c>
      <c r="E5131" s="1">
        <v>18.190000000000001</v>
      </c>
      <c r="F5131" s="1">
        <v>1292400</v>
      </c>
      <c r="G5131" s="1">
        <v>1.52</v>
      </c>
      <c r="H5131" s="1">
        <f t="shared" si="720"/>
        <v>0.35999999999999943</v>
      </c>
      <c r="I5131" s="9">
        <f t="shared" si="727"/>
        <v>1.9922523519645789E-2</v>
      </c>
      <c r="J5131" s="1">
        <f t="shared" si="728"/>
        <v>-2.0000000000000018E-2</v>
      </c>
      <c r="K5131" s="9">
        <f t="shared" si="721"/>
        <v>-1.2987012987012998E-2</v>
      </c>
      <c r="L5131" s="1">
        <f t="shared" si="722"/>
        <v>8.3562396921385368E-2</v>
      </c>
      <c r="M5131" s="1">
        <f t="shared" si="723"/>
        <v>1.5400549752611323</v>
      </c>
      <c r="N5131" s="1">
        <f t="shared" si="724"/>
        <v>1.5099725123694336</v>
      </c>
      <c r="O5131" s="1">
        <f t="shared" si="725"/>
        <v>-0.43999999999999995</v>
      </c>
      <c r="P5131" s="1">
        <f t="shared" si="726"/>
        <v>-0.22448979591836732</v>
      </c>
    </row>
    <row r="5132" spans="1:16">
      <c r="A5132" s="2">
        <v>35611</v>
      </c>
      <c r="B5132" s="1">
        <v>18.14</v>
      </c>
      <c r="C5132" s="1">
        <v>19.22</v>
      </c>
      <c r="D5132" s="1">
        <v>17.78</v>
      </c>
      <c r="E5132" s="1">
        <v>18.5</v>
      </c>
      <c r="F5132" s="1">
        <v>2746800</v>
      </c>
      <c r="G5132" s="1">
        <v>1.54</v>
      </c>
      <c r="H5132" s="1">
        <f t="shared" si="720"/>
        <v>1.4399999999999977</v>
      </c>
      <c r="I5132" s="9">
        <f t="shared" si="727"/>
        <v>8.0989876265466679E-2</v>
      </c>
      <c r="J5132" s="1">
        <f t="shared" si="728"/>
        <v>5.0000000000000044E-2</v>
      </c>
      <c r="K5132" s="9">
        <f t="shared" si="721"/>
        <v>3.35570469798658E-2</v>
      </c>
      <c r="L5132" s="1">
        <f t="shared" si="722"/>
        <v>8.324324324324324E-2</v>
      </c>
      <c r="M5132" s="1">
        <f t="shared" si="723"/>
        <v>1.599935135135135</v>
      </c>
      <c r="N5132" s="1">
        <f t="shared" si="724"/>
        <v>1.4800648648648649</v>
      </c>
      <c r="O5132" s="1">
        <f t="shared" si="725"/>
        <v>-0.41999999999999993</v>
      </c>
      <c r="P5132" s="1">
        <f t="shared" si="726"/>
        <v>-0.21428571428571425</v>
      </c>
    </row>
    <row r="5133" spans="1:16">
      <c r="A5133" s="2">
        <v>35608</v>
      </c>
      <c r="B5133" s="1">
        <v>18.239999999999998</v>
      </c>
      <c r="C5133" s="1">
        <v>18.239999999999998</v>
      </c>
      <c r="D5133" s="1">
        <v>17.760000000000002</v>
      </c>
      <c r="E5133" s="1">
        <v>17.88</v>
      </c>
      <c r="F5133" s="1">
        <v>1188000</v>
      </c>
      <c r="G5133" s="1">
        <v>1.49</v>
      </c>
      <c r="H5133" s="1">
        <f t="shared" si="720"/>
        <v>0.47999999999999687</v>
      </c>
      <c r="I5133" s="9">
        <f t="shared" si="727"/>
        <v>2.7027027027026848E-2</v>
      </c>
      <c r="J5133" s="1">
        <f t="shared" si="728"/>
        <v>-2.0000000000000018E-2</v>
      </c>
      <c r="K5133" s="9">
        <f t="shared" si="721"/>
        <v>-1.3245033112582794E-2</v>
      </c>
      <c r="L5133" s="1">
        <f t="shared" si="722"/>
        <v>8.3333333333333343E-2</v>
      </c>
      <c r="M5133" s="1">
        <f t="shared" si="723"/>
        <v>1.52</v>
      </c>
      <c r="N5133" s="1">
        <f t="shared" si="724"/>
        <v>1.4800000000000002</v>
      </c>
      <c r="O5133" s="1">
        <f t="shared" si="725"/>
        <v>-0.47</v>
      </c>
      <c r="P5133" s="1">
        <f t="shared" si="726"/>
        <v>-0.23979591836734693</v>
      </c>
    </row>
    <row r="5134" spans="1:16">
      <c r="A5134" s="2">
        <v>35607</v>
      </c>
      <c r="B5134" s="1">
        <v>18.25</v>
      </c>
      <c r="C5134" s="1">
        <v>18.25</v>
      </c>
      <c r="D5134" s="1">
        <v>18.13</v>
      </c>
      <c r="E5134" s="1">
        <v>18.13</v>
      </c>
      <c r="F5134" s="1">
        <v>3189600</v>
      </c>
      <c r="G5134" s="1">
        <v>1.51</v>
      </c>
      <c r="H5134" s="1">
        <f t="shared" si="720"/>
        <v>0.12000000000000099</v>
      </c>
      <c r="I5134" s="9">
        <f t="shared" si="727"/>
        <v>6.6188637617209597E-3</v>
      </c>
      <c r="J5134" s="1">
        <f t="shared" si="728"/>
        <v>0</v>
      </c>
      <c r="K5134" s="9">
        <f t="shared" si="721"/>
        <v>0</v>
      </c>
      <c r="L5134" s="1">
        <f t="shared" si="722"/>
        <v>8.3287369001654718E-2</v>
      </c>
      <c r="M5134" s="1">
        <f t="shared" si="723"/>
        <v>1.5199944842801987</v>
      </c>
      <c r="N5134" s="1">
        <f t="shared" si="724"/>
        <v>1.51</v>
      </c>
      <c r="O5134" s="1">
        <f t="shared" si="725"/>
        <v>-0.44999999999999996</v>
      </c>
      <c r="P5134" s="1">
        <f t="shared" si="726"/>
        <v>-0.22959183673469385</v>
      </c>
    </row>
    <row r="5135" spans="1:16">
      <c r="A5135" s="2">
        <v>35606</v>
      </c>
      <c r="B5135" s="1">
        <v>18.37</v>
      </c>
      <c r="C5135" s="1">
        <v>18.37</v>
      </c>
      <c r="D5135" s="1">
        <v>17.89</v>
      </c>
      <c r="E5135" s="1">
        <v>18.13</v>
      </c>
      <c r="F5135" s="1">
        <v>2106000</v>
      </c>
      <c r="G5135" s="1">
        <v>1.51</v>
      </c>
      <c r="H5135" s="1">
        <f t="shared" si="720"/>
        <v>0.48000000000000043</v>
      </c>
      <c r="I5135" s="9">
        <f t="shared" si="727"/>
        <v>2.6830631637786494E-2</v>
      </c>
      <c r="J5135" s="1">
        <f t="shared" si="728"/>
        <v>0</v>
      </c>
      <c r="K5135" s="9">
        <f t="shared" si="721"/>
        <v>0</v>
      </c>
      <c r="L5135" s="1">
        <f t="shared" si="722"/>
        <v>8.3287369001654718E-2</v>
      </c>
      <c r="M5135" s="1">
        <f t="shared" si="723"/>
        <v>1.5299889685603973</v>
      </c>
      <c r="N5135" s="1">
        <f t="shared" si="724"/>
        <v>1.4900110314396029</v>
      </c>
      <c r="O5135" s="1">
        <f t="shared" si="725"/>
        <v>-0.44999999999999996</v>
      </c>
      <c r="P5135" s="1">
        <f t="shared" si="726"/>
        <v>-0.22959183673469385</v>
      </c>
    </row>
    <row r="5136" spans="1:16">
      <c r="A5136" s="2">
        <v>35605</v>
      </c>
      <c r="B5136" s="1">
        <v>18.13</v>
      </c>
      <c r="C5136" s="1">
        <v>18.37</v>
      </c>
      <c r="D5136" s="1">
        <v>17.77</v>
      </c>
      <c r="E5136" s="1">
        <v>18.13</v>
      </c>
      <c r="F5136" s="1">
        <v>751200</v>
      </c>
      <c r="G5136" s="1">
        <v>1.51</v>
      </c>
      <c r="H5136" s="1">
        <f t="shared" si="720"/>
        <v>0.60000000000000142</v>
      </c>
      <c r="I5136" s="9">
        <f t="shared" si="727"/>
        <v>3.376477208778849E-2</v>
      </c>
      <c r="J5136" s="1">
        <f t="shared" si="728"/>
        <v>1.0000000000000009E-2</v>
      </c>
      <c r="K5136" s="9">
        <f t="shared" si="721"/>
        <v>6.6666666666666723E-3</v>
      </c>
      <c r="L5136" s="1">
        <f t="shared" si="722"/>
        <v>8.3287369001654718E-2</v>
      </c>
      <c r="M5136" s="1">
        <f t="shared" si="723"/>
        <v>1.5299889685603973</v>
      </c>
      <c r="N5136" s="1">
        <f t="shared" si="724"/>
        <v>1.4800165471594042</v>
      </c>
      <c r="O5136" s="1">
        <f t="shared" si="725"/>
        <v>-0.44999999999999996</v>
      </c>
      <c r="P5136" s="1">
        <f t="shared" si="726"/>
        <v>-0.22959183673469385</v>
      </c>
    </row>
    <row r="5137" spans="1:16">
      <c r="A5137" s="2">
        <v>35604</v>
      </c>
      <c r="B5137" s="1">
        <v>18.48</v>
      </c>
      <c r="C5137" s="1">
        <v>18.48</v>
      </c>
      <c r="D5137" s="1">
        <v>17.760000000000002</v>
      </c>
      <c r="E5137" s="1">
        <v>18</v>
      </c>
      <c r="F5137" s="1">
        <v>1047600</v>
      </c>
      <c r="G5137" s="1">
        <v>1.5</v>
      </c>
      <c r="H5137" s="1">
        <f t="shared" si="720"/>
        <v>0.71999999999999886</v>
      </c>
      <c r="I5137" s="9">
        <f t="shared" si="727"/>
        <v>4.0540540540540473E-2</v>
      </c>
      <c r="J5137" s="1">
        <f t="shared" si="728"/>
        <v>-3.0000000000000027E-2</v>
      </c>
      <c r="K5137" s="9">
        <f t="shared" si="721"/>
        <v>-1.9607843137254919E-2</v>
      </c>
      <c r="L5137" s="1">
        <f t="shared" si="722"/>
        <v>8.3333333333333329E-2</v>
      </c>
      <c r="M5137" s="1">
        <f t="shared" si="723"/>
        <v>1.54</v>
      </c>
      <c r="N5137" s="1">
        <f t="shared" si="724"/>
        <v>1.48</v>
      </c>
      <c r="O5137" s="1">
        <f t="shared" si="725"/>
        <v>-0.45999999999999996</v>
      </c>
      <c r="P5137" s="1">
        <f t="shared" si="726"/>
        <v>-0.23469387755102039</v>
      </c>
    </row>
    <row r="5138" spans="1:16">
      <c r="A5138" s="2">
        <v>35601</v>
      </c>
      <c r="B5138" s="1">
        <v>18.309999999999999</v>
      </c>
      <c r="C5138" s="1">
        <v>18.55</v>
      </c>
      <c r="D5138" s="1">
        <v>17.95</v>
      </c>
      <c r="E5138" s="1">
        <v>18.309999999999999</v>
      </c>
      <c r="F5138" s="1">
        <v>3387600</v>
      </c>
      <c r="G5138" s="1">
        <v>1.53</v>
      </c>
      <c r="H5138" s="1">
        <f t="shared" si="720"/>
        <v>0.60000000000000142</v>
      </c>
      <c r="I5138" s="9">
        <f t="shared" si="727"/>
        <v>3.342618384401122E-2</v>
      </c>
      <c r="J5138" s="1">
        <f t="shared" si="728"/>
        <v>2.0000000000000018E-2</v>
      </c>
      <c r="K5138" s="9">
        <f t="shared" si="721"/>
        <v>1.3245033112582794E-2</v>
      </c>
      <c r="L5138" s="1">
        <f t="shared" si="722"/>
        <v>8.3560895685417816E-2</v>
      </c>
      <c r="M5138" s="1">
        <f t="shared" si="723"/>
        <v>1.5500546149645005</v>
      </c>
      <c r="N5138" s="1">
        <f t="shared" si="724"/>
        <v>1.4999180775532497</v>
      </c>
      <c r="O5138" s="1">
        <f t="shared" si="725"/>
        <v>-0.42999999999999994</v>
      </c>
      <c r="P5138" s="1">
        <f t="shared" si="726"/>
        <v>-0.21938775510204078</v>
      </c>
    </row>
    <row r="5139" spans="1:16">
      <c r="A5139" s="2">
        <v>35600</v>
      </c>
      <c r="B5139" s="1">
        <v>18.13</v>
      </c>
      <c r="C5139" s="1">
        <v>18.37</v>
      </c>
      <c r="D5139" s="1">
        <v>18.010000000000002</v>
      </c>
      <c r="E5139" s="1">
        <v>18.13</v>
      </c>
      <c r="F5139" s="1">
        <v>1003200</v>
      </c>
      <c r="G5139" s="1">
        <v>1.51</v>
      </c>
      <c r="H5139" s="1">
        <f t="shared" si="720"/>
        <v>0.35999999999999943</v>
      </c>
      <c r="I5139" s="9">
        <f t="shared" si="727"/>
        <v>1.9988895058300912E-2</v>
      </c>
      <c r="J5139" s="1">
        <f t="shared" si="728"/>
        <v>0</v>
      </c>
      <c r="K5139" s="9">
        <f t="shared" si="721"/>
        <v>0</v>
      </c>
      <c r="L5139" s="1">
        <f t="shared" si="722"/>
        <v>8.3287369001654718E-2</v>
      </c>
      <c r="M5139" s="1">
        <f t="shared" si="723"/>
        <v>1.5299889685603973</v>
      </c>
      <c r="N5139" s="1">
        <f t="shared" si="724"/>
        <v>1.5000055157198016</v>
      </c>
      <c r="O5139" s="1">
        <f t="shared" si="725"/>
        <v>-0.44999999999999996</v>
      </c>
      <c r="P5139" s="1">
        <f t="shared" si="726"/>
        <v>-0.22959183673469385</v>
      </c>
    </row>
    <row r="5140" spans="1:16">
      <c r="A5140" s="2">
        <v>35599</v>
      </c>
      <c r="B5140" s="1">
        <v>18.25</v>
      </c>
      <c r="C5140" s="1">
        <v>18.489999999999998</v>
      </c>
      <c r="D5140" s="1">
        <v>18.010000000000002</v>
      </c>
      <c r="E5140" s="1">
        <v>18.13</v>
      </c>
      <c r="F5140" s="1">
        <v>2464800</v>
      </c>
      <c r="G5140" s="1">
        <v>1.51</v>
      </c>
      <c r="H5140" s="1">
        <f t="shared" si="720"/>
        <v>0.47999999999999687</v>
      </c>
      <c r="I5140" s="9">
        <f t="shared" si="727"/>
        <v>2.6651860077734416E-2</v>
      </c>
      <c r="J5140" s="1">
        <f t="shared" si="728"/>
        <v>0</v>
      </c>
      <c r="K5140" s="9">
        <f t="shared" si="721"/>
        <v>0</v>
      </c>
      <c r="L5140" s="1">
        <f t="shared" si="722"/>
        <v>8.3287369001654718E-2</v>
      </c>
      <c r="M5140" s="1">
        <f t="shared" si="723"/>
        <v>1.5399834528405956</v>
      </c>
      <c r="N5140" s="1">
        <f t="shared" si="724"/>
        <v>1.5000055157198016</v>
      </c>
      <c r="O5140" s="1">
        <f t="shared" si="725"/>
        <v>-0.44999999999999996</v>
      </c>
      <c r="P5140" s="1">
        <f t="shared" si="726"/>
        <v>-0.22959183673469385</v>
      </c>
    </row>
    <row r="5141" spans="1:16">
      <c r="A5141" s="2">
        <v>35598</v>
      </c>
      <c r="B5141" s="1">
        <v>19.14</v>
      </c>
      <c r="C5141" s="1">
        <v>19.14</v>
      </c>
      <c r="D5141" s="1">
        <v>17.82</v>
      </c>
      <c r="E5141" s="1">
        <v>18.059999999999999</v>
      </c>
      <c r="F5141" s="1">
        <v>4706400</v>
      </c>
      <c r="G5141" s="1">
        <v>1.51</v>
      </c>
      <c r="H5141" s="1">
        <f t="shared" si="720"/>
        <v>1.3200000000000003</v>
      </c>
      <c r="I5141" s="9">
        <f t="shared" si="727"/>
        <v>7.4074074074074084E-2</v>
      </c>
      <c r="J5141" s="1">
        <f t="shared" si="728"/>
        <v>-6.0000000000000053E-2</v>
      </c>
      <c r="K5141" s="9">
        <f t="shared" si="721"/>
        <v>-3.8216560509554173E-2</v>
      </c>
      <c r="L5141" s="1">
        <f t="shared" si="722"/>
        <v>8.3610188261351054E-2</v>
      </c>
      <c r="M5141" s="1">
        <f t="shared" si="723"/>
        <v>1.6002990033222593</v>
      </c>
      <c r="N5141" s="1">
        <f t="shared" si="724"/>
        <v>1.4899335548172759</v>
      </c>
      <c r="O5141" s="1">
        <f t="shared" si="725"/>
        <v>-0.44999999999999996</v>
      </c>
      <c r="P5141" s="1">
        <f t="shared" si="726"/>
        <v>-0.22959183673469385</v>
      </c>
    </row>
    <row r="5142" spans="1:16">
      <c r="A5142" s="2">
        <v>35597</v>
      </c>
      <c r="B5142" s="1">
        <v>19.239999999999998</v>
      </c>
      <c r="C5142" s="1">
        <v>19.239999999999998</v>
      </c>
      <c r="D5142" s="1">
        <v>18.760000000000002</v>
      </c>
      <c r="E5142" s="1">
        <v>18.88</v>
      </c>
      <c r="F5142" s="1">
        <v>913200</v>
      </c>
      <c r="G5142" s="1">
        <v>1.57</v>
      </c>
      <c r="H5142" s="1">
        <f t="shared" si="720"/>
        <v>0.47999999999999687</v>
      </c>
      <c r="I5142" s="9">
        <f t="shared" si="727"/>
        <v>2.5586353944562729E-2</v>
      </c>
      <c r="J5142" s="1">
        <f t="shared" si="728"/>
        <v>-1.0000000000000009E-2</v>
      </c>
      <c r="K5142" s="9">
        <f t="shared" si="721"/>
        <v>-6.329113924050638E-3</v>
      </c>
      <c r="L5142" s="1">
        <f t="shared" si="722"/>
        <v>8.3156779661016964E-2</v>
      </c>
      <c r="M5142" s="1">
        <f t="shared" si="723"/>
        <v>1.5999364406779661</v>
      </c>
      <c r="N5142" s="1">
        <f t="shared" si="724"/>
        <v>1.5600211864406783</v>
      </c>
      <c r="O5142" s="1">
        <f t="shared" si="725"/>
        <v>-0.3899999999999999</v>
      </c>
      <c r="P5142" s="1">
        <f t="shared" si="726"/>
        <v>-0.19897959183673464</v>
      </c>
    </row>
    <row r="5143" spans="1:16">
      <c r="A5143" s="2">
        <v>35594</v>
      </c>
      <c r="B5143" s="1">
        <v>19.600000000000001</v>
      </c>
      <c r="C5143" s="1">
        <v>19.600000000000001</v>
      </c>
      <c r="D5143" s="1">
        <v>19</v>
      </c>
      <c r="E5143" s="1">
        <v>19</v>
      </c>
      <c r="F5143" s="1">
        <v>693600</v>
      </c>
      <c r="G5143" s="1">
        <v>1.58</v>
      </c>
      <c r="H5143" s="1">
        <f t="shared" si="720"/>
        <v>0.60000000000000142</v>
      </c>
      <c r="I5143" s="9">
        <f t="shared" si="727"/>
        <v>3.157894736842113E-2</v>
      </c>
      <c r="J5143" s="1">
        <f t="shared" si="728"/>
        <v>-2.0000000000000018E-2</v>
      </c>
      <c r="K5143" s="9">
        <f t="shared" si="721"/>
        <v>-1.2500000000000011E-2</v>
      </c>
      <c r="L5143" s="1">
        <f t="shared" si="722"/>
        <v>8.3157894736842111E-2</v>
      </c>
      <c r="M5143" s="1">
        <f t="shared" si="723"/>
        <v>1.6298947368421055</v>
      </c>
      <c r="N5143" s="1">
        <f t="shared" si="724"/>
        <v>1.58</v>
      </c>
      <c r="O5143" s="1">
        <f t="shared" si="725"/>
        <v>-0.37999999999999989</v>
      </c>
      <c r="P5143" s="1">
        <f t="shared" si="726"/>
        <v>-0.1938775510204081</v>
      </c>
    </row>
    <row r="5144" spans="1:16">
      <c r="A5144" s="2">
        <v>35593</v>
      </c>
      <c r="B5144" s="1">
        <v>19.010000000000002</v>
      </c>
      <c r="C5144" s="1">
        <v>19.850000000000001</v>
      </c>
      <c r="D5144" s="1">
        <v>18.649999999999999</v>
      </c>
      <c r="E5144" s="1">
        <v>19.25</v>
      </c>
      <c r="F5144" s="1">
        <v>1632000</v>
      </c>
      <c r="G5144" s="1">
        <v>1.6</v>
      </c>
      <c r="H5144" s="1">
        <f t="shared" si="720"/>
        <v>1.2000000000000028</v>
      </c>
      <c r="I5144" s="9">
        <f t="shared" si="727"/>
        <v>6.4343163538874149E-2</v>
      </c>
      <c r="J5144" s="1">
        <f t="shared" si="728"/>
        <v>6.0000000000000053E-2</v>
      </c>
      <c r="K5144" s="9">
        <f t="shared" si="721"/>
        <v>3.8961038961038995E-2</v>
      </c>
      <c r="L5144" s="1">
        <f t="shared" si="722"/>
        <v>8.3116883116883117E-2</v>
      </c>
      <c r="M5144" s="1">
        <f t="shared" si="723"/>
        <v>1.6498701298701299</v>
      </c>
      <c r="N5144" s="1">
        <f t="shared" si="724"/>
        <v>1.55012987012987</v>
      </c>
      <c r="O5144" s="1">
        <f t="shared" si="725"/>
        <v>-0.35999999999999988</v>
      </c>
      <c r="P5144" s="1">
        <f t="shared" si="726"/>
        <v>-0.18367346938775503</v>
      </c>
    </row>
    <row r="5145" spans="1:16">
      <c r="A5145" s="2">
        <v>35592</v>
      </c>
      <c r="B5145" s="1">
        <v>19.100000000000001</v>
      </c>
      <c r="C5145" s="1">
        <v>19.22</v>
      </c>
      <c r="D5145" s="1">
        <v>18.38</v>
      </c>
      <c r="E5145" s="1">
        <v>18.5</v>
      </c>
      <c r="F5145" s="1">
        <v>1188000</v>
      </c>
      <c r="G5145" s="1">
        <v>1.54</v>
      </c>
      <c r="H5145" s="1">
        <f t="shared" si="720"/>
        <v>0.83999999999999986</v>
      </c>
      <c r="I5145" s="9">
        <f t="shared" si="727"/>
        <v>4.57018498367791E-2</v>
      </c>
      <c r="J5145" s="1">
        <f t="shared" si="728"/>
        <v>-4.0000000000000036E-2</v>
      </c>
      <c r="K5145" s="9">
        <f t="shared" si="721"/>
        <v>-2.5316455696202552E-2</v>
      </c>
      <c r="L5145" s="1">
        <f t="shared" si="722"/>
        <v>8.324324324324324E-2</v>
      </c>
      <c r="M5145" s="1">
        <f t="shared" si="723"/>
        <v>1.599935135135135</v>
      </c>
      <c r="N5145" s="1">
        <f t="shared" si="724"/>
        <v>1.5300108108108106</v>
      </c>
      <c r="O5145" s="1">
        <f t="shared" si="725"/>
        <v>-0.41999999999999993</v>
      </c>
      <c r="P5145" s="1">
        <f t="shared" si="726"/>
        <v>-0.21428571428571425</v>
      </c>
    </row>
    <row r="5146" spans="1:16">
      <c r="A5146" s="2">
        <v>35591</v>
      </c>
      <c r="B5146" s="1">
        <v>20.56</v>
      </c>
      <c r="C5146" s="1">
        <v>20.56</v>
      </c>
      <c r="D5146" s="1">
        <v>18.399999999999999</v>
      </c>
      <c r="E5146" s="1">
        <v>19</v>
      </c>
      <c r="F5146" s="1">
        <v>5458800</v>
      </c>
      <c r="G5146" s="1">
        <v>1.58</v>
      </c>
      <c r="H5146" s="1">
        <f t="shared" si="720"/>
        <v>2.16</v>
      </c>
      <c r="I5146" s="9">
        <f t="shared" si="727"/>
        <v>0.1173913043478261</v>
      </c>
      <c r="J5146" s="1">
        <f t="shared" si="728"/>
        <v>-0.10999999999999988</v>
      </c>
      <c r="K5146" s="9">
        <f t="shared" si="721"/>
        <v>-6.5088757396449634E-2</v>
      </c>
      <c r="L5146" s="1">
        <f t="shared" si="722"/>
        <v>8.3157894736842111E-2</v>
      </c>
      <c r="M5146" s="1">
        <f t="shared" si="723"/>
        <v>1.7097263157894738</v>
      </c>
      <c r="N5146" s="1">
        <f t="shared" si="724"/>
        <v>1.5301052631578946</v>
      </c>
      <c r="O5146" s="1">
        <f t="shared" si="725"/>
        <v>-0.37999999999999989</v>
      </c>
      <c r="P5146" s="1">
        <f t="shared" si="726"/>
        <v>-0.1938775510204081</v>
      </c>
    </row>
    <row r="5147" spans="1:16">
      <c r="A5147" s="2">
        <v>35590</v>
      </c>
      <c r="B5147" s="1">
        <v>19.89</v>
      </c>
      <c r="C5147" s="1">
        <v>20.49</v>
      </c>
      <c r="D5147" s="1">
        <v>19.89</v>
      </c>
      <c r="E5147" s="1">
        <v>20.25</v>
      </c>
      <c r="F5147" s="1">
        <v>2352000</v>
      </c>
      <c r="G5147" s="1">
        <v>1.69</v>
      </c>
      <c r="H5147" s="1">
        <f t="shared" si="720"/>
        <v>0.59999999999999787</v>
      </c>
      <c r="I5147" s="9">
        <f t="shared" si="727"/>
        <v>3.0165912518853588E-2</v>
      </c>
      <c r="J5147" s="1">
        <f t="shared" si="728"/>
        <v>3.0000000000000027E-2</v>
      </c>
      <c r="K5147" s="9">
        <f t="shared" si="721"/>
        <v>1.8072289156626523E-2</v>
      </c>
      <c r="L5147" s="1">
        <f t="shared" si="722"/>
        <v>8.3456790123456789E-2</v>
      </c>
      <c r="M5147" s="1">
        <f t="shared" si="723"/>
        <v>1.7100296296296296</v>
      </c>
      <c r="N5147" s="1">
        <f t="shared" si="724"/>
        <v>1.6599555555555556</v>
      </c>
      <c r="O5147" s="1">
        <f t="shared" si="725"/>
        <v>-0.27</v>
      </c>
      <c r="P5147" s="1">
        <f t="shared" si="726"/>
        <v>-0.13775510204081634</v>
      </c>
    </row>
    <row r="5148" spans="1:16">
      <c r="A5148" s="2">
        <v>35587</v>
      </c>
      <c r="B5148" s="1">
        <v>18.2</v>
      </c>
      <c r="C5148" s="1">
        <v>20.48</v>
      </c>
      <c r="D5148" s="1">
        <v>18.079999999999998</v>
      </c>
      <c r="E5148" s="1">
        <v>19.88</v>
      </c>
      <c r="F5148" s="1">
        <v>7807200</v>
      </c>
      <c r="G5148" s="1">
        <v>1.66</v>
      </c>
      <c r="H5148" s="1">
        <f t="shared" si="720"/>
        <v>2.4000000000000021</v>
      </c>
      <c r="I5148" s="9">
        <f t="shared" si="727"/>
        <v>0.13274336283185853</v>
      </c>
      <c r="J5148" s="1">
        <f t="shared" si="728"/>
        <v>0.11999999999999988</v>
      </c>
      <c r="K5148" s="9">
        <f t="shared" si="721"/>
        <v>7.7922077922077851E-2</v>
      </c>
      <c r="L5148" s="1">
        <f t="shared" si="722"/>
        <v>8.350100603621731E-2</v>
      </c>
      <c r="M5148" s="1">
        <f t="shared" si="723"/>
        <v>1.7101006036217306</v>
      </c>
      <c r="N5148" s="1">
        <f t="shared" si="724"/>
        <v>1.5096981891348089</v>
      </c>
      <c r="O5148" s="1">
        <f t="shared" si="725"/>
        <v>-0.30000000000000004</v>
      </c>
      <c r="P5148" s="1">
        <f t="shared" si="726"/>
        <v>-0.15306122448979595</v>
      </c>
    </row>
    <row r="5149" spans="1:16">
      <c r="A5149" s="2">
        <v>35586</v>
      </c>
      <c r="B5149" s="1">
        <v>17.059999999999999</v>
      </c>
      <c r="C5149" s="1">
        <v>18.5</v>
      </c>
      <c r="D5149" s="1">
        <v>16.579999999999998</v>
      </c>
      <c r="E5149" s="1">
        <v>18.5</v>
      </c>
      <c r="F5149" s="1">
        <v>5672400</v>
      </c>
      <c r="G5149" s="1">
        <v>1.54</v>
      </c>
      <c r="H5149" s="1">
        <f t="shared" si="720"/>
        <v>1.9200000000000017</v>
      </c>
      <c r="I5149" s="9">
        <f t="shared" si="727"/>
        <v>0.11580217129071181</v>
      </c>
      <c r="J5149" s="1">
        <f t="shared" si="728"/>
        <v>0.12000000000000011</v>
      </c>
      <c r="K5149" s="9">
        <f t="shared" si="721"/>
        <v>8.4507042253521208E-2</v>
      </c>
      <c r="L5149" s="1">
        <f t="shared" si="722"/>
        <v>8.324324324324324E-2</v>
      </c>
      <c r="M5149" s="1">
        <f t="shared" si="723"/>
        <v>1.54</v>
      </c>
      <c r="N5149" s="1">
        <f t="shared" si="724"/>
        <v>1.3801729729729728</v>
      </c>
      <c r="O5149" s="1">
        <f t="shared" si="725"/>
        <v>-0.41999999999999993</v>
      </c>
      <c r="P5149" s="1">
        <f t="shared" si="726"/>
        <v>-0.21428571428571425</v>
      </c>
    </row>
    <row r="5150" spans="1:16">
      <c r="A5150" s="2">
        <v>35585</v>
      </c>
      <c r="B5150" s="1">
        <v>17.72</v>
      </c>
      <c r="C5150" s="1">
        <v>17.84</v>
      </c>
      <c r="D5150" s="1">
        <v>16.760000000000002</v>
      </c>
      <c r="E5150" s="1">
        <v>17</v>
      </c>
      <c r="F5150" s="1">
        <v>3080400</v>
      </c>
      <c r="G5150" s="1">
        <v>1.42</v>
      </c>
      <c r="H5150" s="1">
        <f t="shared" si="720"/>
        <v>1.0799999999999983</v>
      </c>
      <c r="I5150" s="9">
        <f t="shared" si="727"/>
        <v>6.4439140811455742E-2</v>
      </c>
      <c r="J5150" s="1">
        <f t="shared" si="728"/>
        <v>-6.0000000000000053E-2</v>
      </c>
      <c r="K5150" s="9">
        <f t="shared" si="721"/>
        <v>-4.0540540540540577E-2</v>
      </c>
      <c r="L5150" s="1">
        <f t="shared" si="722"/>
        <v>8.352941176470588E-2</v>
      </c>
      <c r="M5150" s="1">
        <f t="shared" si="723"/>
        <v>1.4901647058823528</v>
      </c>
      <c r="N5150" s="1">
        <f t="shared" si="724"/>
        <v>1.3999529411764706</v>
      </c>
      <c r="O5150" s="1">
        <f t="shared" si="725"/>
        <v>-0.54</v>
      </c>
      <c r="P5150" s="1">
        <f t="shared" si="726"/>
        <v>-0.27551020408163268</v>
      </c>
    </row>
    <row r="5151" spans="1:16">
      <c r="A5151" s="2">
        <v>35584</v>
      </c>
      <c r="B5151" s="1">
        <v>18.350000000000001</v>
      </c>
      <c r="C5151" s="1">
        <v>18.350000000000001</v>
      </c>
      <c r="D5151" s="1">
        <v>17.75</v>
      </c>
      <c r="E5151" s="1">
        <v>17.75</v>
      </c>
      <c r="F5151" s="1">
        <v>1183200</v>
      </c>
      <c r="G5151" s="1">
        <v>1.48</v>
      </c>
      <c r="H5151" s="1">
        <f t="shared" si="720"/>
        <v>0.60000000000000142</v>
      </c>
      <c r="I5151" s="9">
        <f t="shared" si="727"/>
        <v>3.3802816901408531E-2</v>
      </c>
      <c r="J5151" s="1">
        <f t="shared" si="728"/>
        <v>-3.0000000000000027E-2</v>
      </c>
      <c r="K5151" s="9">
        <f t="shared" si="721"/>
        <v>-1.986754966887419E-2</v>
      </c>
      <c r="L5151" s="1">
        <f t="shared" si="722"/>
        <v>8.3380281690140848E-2</v>
      </c>
      <c r="M5151" s="1">
        <f t="shared" si="723"/>
        <v>1.5300281690140847</v>
      </c>
      <c r="N5151" s="1">
        <f t="shared" si="724"/>
        <v>1.48</v>
      </c>
      <c r="O5151" s="1">
        <f t="shared" si="725"/>
        <v>-0.48</v>
      </c>
      <c r="P5151" s="1">
        <f t="shared" si="726"/>
        <v>-0.24489795918367346</v>
      </c>
    </row>
    <row r="5152" spans="1:16">
      <c r="A5152" s="2">
        <v>35583</v>
      </c>
      <c r="B5152" s="1">
        <v>18.13</v>
      </c>
      <c r="C5152" s="1">
        <v>18.37</v>
      </c>
      <c r="D5152" s="1">
        <v>18.010000000000002</v>
      </c>
      <c r="E5152" s="1">
        <v>18.13</v>
      </c>
      <c r="F5152" s="1">
        <v>591600</v>
      </c>
      <c r="G5152" s="1">
        <v>1.51</v>
      </c>
      <c r="H5152" s="1">
        <f t="shared" si="720"/>
        <v>0.35999999999999943</v>
      </c>
      <c r="I5152" s="9">
        <f t="shared" si="727"/>
        <v>1.9988895058300912E-2</v>
      </c>
      <c r="J5152" s="1">
        <f t="shared" si="728"/>
        <v>1.0000000000000009E-2</v>
      </c>
      <c r="K5152" s="9">
        <f t="shared" si="721"/>
        <v>6.6666666666666723E-3</v>
      </c>
      <c r="L5152" s="1">
        <f t="shared" si="722"/>
        <v>8.3287369001654718E-2</v>
      </c>
      <c r="M5152" s="1">
        <f t="shared" si="723"/>
        <v>1.5299889685603973</v>
      </c>
      <c r="N5152" s="1">
        <f t="shared" si="724"/>
        <v>1.5000055157198016</v>
      </c>
      <c r="O5152" s="1">
        <f t="shared" si="725"/>
        <v>-0.44999999999999996</v>
      </c>
      <c r="P5152" s="1">
        <f t="shared" si="726"/>
        <v>-0.22959183673469385</v>
      </c>
    </row>
    <row r="5153" spans="1:16">
      <c r="A5153" s="2">
        <v>35580</v>
      </c>
      <c r="B5153" s="1">
        <v>18</v>
      </c>
      <c r="C5153" s="1">
        <v>18.12</v>
      </c>
      <c r="D5153" s="1">
        <v>17.760000000000002</v>
      </c>
      <c r="E5153" s="1">
        <v>18</v>
      </c>
      <c r="F5153" s="1">
        <v>2594400</v>
      </c>
      <c r="G5153" s="1">
        <v>1.5</v>
      </c>
      <c r="H5153" s="1">
        <f t="shared" si="720"/>
        <v>0.35999999999999943</v>
      </c>
      <c r="I5153" s="9">
        <f t="shared" si="727"/>
        <v>2.0270270270270237E-2</v>
      </c>
      <c r="J5153" s="1">
        <f t="shared" si="728"/>
        <v>-1.0000000000000009E-2</v>
      </c>
      <c r="K5153" s="9">
        <f t="shared" si="721"/>
        <v>-6.6225165562913968E-3</v>
      </c>
      <c r="L5153" s="1">
        <f t="shared" si="722"/>
        <v>8.3333333333333329E-2</v>
      </c>
      <c r="M5153" s="1">
        <f t="shared" si="723"/>
        <v>1.51</v>
      </c>
      <c r="N5153" s="1">
        <f t="shared" si="724"/>
        <v>1.48</v>
      </c>
      <c r="O5153" s="1">
        <f t="shared" si="725"/>
        <v>-0.45999999999999996</v>
      </c>
      <c r="P5153" s="1">
        <f t="shared" si="726"/>
        <v>-0.23469387755102039</v>
      </c>
    </row>
    <row r="5154" spans="1:16">
      <c r="A5154" s="2">
        <v>35579</v>
      </c>
      <c r="B5154" s="1">
        <v>18.420000000000002</v>
      </c>
      <c r="C5154" s="1">
        <v>18.420000000000002</v>
      </c>
      <c r="D5154" s="1">
        <v>17.7</v>
      </c>
      <c r="E5154" s="1">
        <v>18.059999999999999</v>
      </c>
      <c r="F5154" s="1">
        <v>3472800</v>
      </c>
      <c r="G5154" s="1">
        <v>1.51</v>
      </c>
      <c r="H5154" s="1">
        <f t="shared" si="720"/>
        <v>0.72000000000000242</v>
      </c>
      <c r="I5154" s="9">
        <f t="shared" si="727"/>
        <v>4.0677966101695051E-2</v>
      </c>
      <c r="J5154" s="1">
        <f t="shared" si="728"/>
        <v>-2.0000000000000018E-2</v>
      </c>
      <c r="K5154" s="9">
        <f t="shared" si="721"/>
        <v>-1.3071895424836612E-2</v>
      </c>
      <c r="L5154" s="1">
        <f t="shared" si="722"/>
        <v>8.3610188261351054E-2</v>
      </c>
      <c r="M5154" s="1">
        <f t="shared" si="723"/>
        <v>1.5400996677740866</v>
      </c>
      <c r="N5154" s="1">
        <f t="shared" si="724"/>
        <v>1.4799003322259137</v>
      </c>
      <c r="O5154" s="1">
        <f t="shared" si="725"/>
        <v>-0.44999999999999996</v>
      </c>
      <c r="P5154" s="1">
        <f t="shared" si="726"/>
        <v>-0.22959183673469385</v>
      </c>
    </row>
    <row r="5155" spans="1:16">
      <c r="A5155" s="2">
        <v>35578</v>
      </c>
      <c r="B5155" s="1">
        <v>19.579999999999998</v>
      </c>
      <c r="C5155" s="1">
        <v>19.7</v>
      </c>
      <c r="D5155" s="1">
        <v>18.38</v>
      </c>
      <c r="E5155" s="1">
        <v>18.38</v>
      </c>
      <c r="F5155" s="1">
        <v>4574400</v>
      </c>
      <c r="G5155" s="1">
        <v>1.53</v>
      </c>
      <c r="H5155" s="1">
        <f t="shared" si="720"/>
        <v>1.3200000000000003</v>
      </c>
      <c r="I5155" s="9">
        <f t="shared" si="727"/>
        <v>7.1817192600652904E-2</v>
      </c>
      <c r="J5155" s="1">
        <f t="shared" si="728"/>
        <v>-5.0000000000000044E-2</v>
      </c>
      <c r="K5155" s="9">
        <f t="shared" si="721"/>
        <v>-3.1645569620253194E-2</v>
      </c>
      <c r="L5155" s="1">
        <f t="shared" si="722"/>
        <v>8.3242655059847667E-2</v>
      </c>
      <c r="M5155" s="1">
        <f t="shared" si="723"/>
        <v>1.6398803046789989</v>
      </c>
      <c r="N5155" s="1">
        <f t="shared" si="724"/>
        <v>1.53</v>
      </c>
      <c r="O5155" s="1">
        <f t="shared" si="725"/>
        <v>-0.42999999999999994</v>
      </c>
      <c r="P5155" s="1">
        <f t="shared" si="726"/>
        <v>-0.21938775510204078</v>
      </c>
    </row>
    <row r="5156" spans="1:16">
      <c r="A5156" s="2">
        <v>35577</v>
      </c>
      <c r="B5156" s="1">
        <v>18.16</v>
      </c>
      <c r="C5156" s="1">
        <v>19.84</v>
      </c>
      <c r="D5156" s="1">
        <v>17.559999999999999</v>
      </c>
      <c r="E5156" s="1">
        <v>19</v>
      </c>
      <c r="F5156" s="1">
        <v>8697600</v>
      </c>
      <c r="G5156" s="1">
        <v>1.58</v>
      </c>
      <c r="H5156" s="1">
        <f t="shared" si="720"/>
        <v>2.2800000000000011</v>
      </c>
      <c r="I5156" s="9">
        <f t="shared" si="727"/>
        <v>0.12984054669703879</v>
      </c>
      <c r="J5156" s="1">
        <f t="shared" si="728"/>
        <v>8.0000000000000071E-2</v>
      </c>
      <c r="K5156" s="9">
        <f t="shared" si="721"/>
        <v>5.3333333333333378E-2</v>
      </c>
      <c r="L5156" s="1">
        <f t="shared" si="722"/>
        <v>8.3157894736842111E-2</v>
      </c>
      <c r="M5156" s="1">
        <f t="shared" si="723"/>
        <v>1.6498526315789475</v>
      </c>
      <c r="N5156" s="1">
        <f t="shared" si="724"/>
        <v>1.4602526315789475</v>
      </c>
      <c r="O5156" s="1">
        <f t="shared" si="725"/>
        <v>-0.37999999999999989</v>
      </c>
      <c r="P5156" s="1">
        <f t="shared" si="726"/>
        <v>-0.1938775510204081</v>
      </c>
    </row>
    <row r="5157" spans="1:16">
      <c r="A5157" s="2">
        <v>35573</v>
      </c>
      <c r="B5157" s="1">
        <v>16.920000000000002</v>
      </c>
      <c r="C5157" s="1">
        <v>18.239999999999998</v>
      </c>
      <c r="D5157" s="1">
        <v>15.96</v>
      </c>
      <c r="E5157" s="1">
        <v>18</v>
      </c>
      <c r="F5157" s="1">
        <v>15937200</v>
      </c>
      <c r="G5157" s="1">
        <v>1.5</v>
      </c>
      <c r="H5157" s="1">
        <f t="shared" si="720"/>
        <v>2.2799999999999976</v>
      </c>
      <c r="I5157" s="9">
        <f t="shared" si="727"/>
        <v>0.14285714285714271</v>
      </c>
      <c r="J5157" s="1">
        <f t="shared" si="728"/>
        <v>0.10000000000000009</v>
      </c>
      <c r="K5157" s="9">
        <f t="shared" si="721"/>
        <v>7.1428571428571494E-2</v>
      </c>
      <c r="L5157" s="1">
        <f t="shared" si="722"/>
        <v>8.3333333333333329E-2</v>
      </c>
      <c r="M5157" s="1">
        <f t="shared" si="723"/>
        <v>1.5199999999999998</v>
      </c>
      <c r="N5157" s="1">
        <f t="shared" si="724"/>
        <v>1.33</v>
      </c>
      <c r="O5157" s="1">
        <f t="shared" si="725"/>
        <v>-0.45999999999999996</v>
      </c>
      <c r="P5157" s="1">
        <f t="shared" si="726"/>
        <v>-0.23469387755102039</v>
      </c>
    </row>
    <row r="5158" spans="1:16">
      <c r="A5158" s="2">
        <v>35572</v>
      </c>
      <c r="B5158" s="1">
        <v>17.23</v>
      </c>
      <c r="C5158" s="1">
        <v>17.350000000000001</v>
      </c>
      <c r="D5158" s="1">
        <v>15.67</v>
      </c>
      <c r="E5158" s="1">
        <v>16.75</v>
      </c>
      <c r="F5158" s="1">
        <v>11776800</v>
      </c>
      <c r="G5158" s="1">
        <v>1.4</v>
      </c>
      <c r="H5158" s="1">
        <f t="shared" si="720"/>
        <v>1.6800000000000015</v>
      </c>
      <c r="I5158" s="9">
        <f t="shared" si="727"/>
        <v>0.10721123165283991</v>
      </c>
      <c r="J5158" s="1">
        <f t="shared" si="728"/>
        <v>-3.0000000000000027E-2</v>
      </c>
      <c r="K5158" s="9">
        <f t="shared" si="721"/>
        <v>-2.0979020979020997E-2</v>
      </c>
      <c r="L5158" s="1">
        <f t="shared" si="722"/>
        <v>8.3582089552238795E-2</v>
      </c>
      <c r="M5158" s="1">
        <f t="shared" si="723"/>
        <v>1.4501492537313432</v>
      </c>
      <c r="N5158" s="1">
        <f t="shared" si="724"/>
        <v>1.309731343283582</v>
      </c>
      <c r="O5158" s="1">
        <f t="shared" si="725"/>
        <v>-0.56000000000000005</v>
      </c>
      <c r="P5158" s="1">
        <f t="shared" si="726"/>
        <v>-0.28571428571428575</v>
      </c>
    </row>
    <row r="5159" spans="1:16">
      <c r="A5159" s="2">
        <v>35571</v>
      </c>
      <c r="B5159" s="1">
        <v>19.649999999999999</v>
      </c>
      <c r="C5159" s="1">
        <v>19.77</v>
      </c>
      <c r="D5159" s="1">
        <v>16.53</v>
      </c>
      <c r="E5159" s="1">
        <v>17.13</v>
      </c>
      <c r="F5159" s="1">
        <v>18853200</v>
      </c>
      <c r="G5159" s="1">
        <v>1.43</v>
      </c>
      <c r="H5159" s="1">
        <f t="shared" si="720"/>
        <v>3.2399999999999984</v>
      </c>
      <c r="I5159" s="9">
        <f t="shared" si="727"/>
        <v>0.19600725952813056</v>
      </c>
      <c r="J5159" s="1">
        <f t="shared" si="728"/>
        <v>-0.20999999999999996</v>
      </c>
      <c r="K5159" s="9">
        <f t="shared" si="721"/>
        <v>-0.12804878048780485</v>
      </c>
      <c r="L5159" s="1">
        <f t="shared" si="722"/>
        <v>8.3479276123759494E-2</v>
      </c>
      <c r="M5159" s="1">
        <f t="shared" si="723"/>
        <v>1.6503852889667252</v>
      </c>
      <c r="N5159" s="1">
        <f t="shared" si="724"/>
        <v>1.3799124343257445</v>
      </c>
      <c r="O5159" s="1">
        <f t="shared" si="725"/>
        <v>-0.53</v>
      </c>
      <c r="P5159" s="1">
        <f t="shared" si="726"/>
        <v>-0.27040816326530615</v>
      </c>
    </row>
    <row r="5160" spans="1:16">
      <c r="A5160" s="2">
        <v>35570</v>
      </c>
      <c r="B5160" s="1">
        <v>20.71</v>
      </c>
      <c r="C5160" s="1">
        <v>20.95</v>
      </c>
      <c r="D5160" s="1">
        <v>19.63</v>
      </c>
      <c r="E5160" s="1">
        <v>19.63</v>
      </c>
      <c r="F5160" s="1">
        <v>5467200</v>
      </c>
      <c r="G5160" s="1">
        <v>1.64</v>
      </c>
      <c r="H5160" s="1">
        <f t="shared" si="720"/>
        <v>1.3200000000000003</v>
      </c>
      <c r="I5160" s="9">
        <f t="shared" si="727"/>
        <v>6.7244014263881838E-2</v>
      </c>
      <c r="J5160" s="1">
        <f t="shared" si="728"/>
        <v>-7.0000000000000062E-2</v>
      </c>
      <c r="K5160" s="9">
        <f t="shared" si="721"/>
        <v>-4.0935672514619922E-2</v>
      </c>
      <c r="L5160" s="1">
        <f t="shared" si="722"/>
        <v>8.354559347936831E-2</v>
      </c>
      <c r="M5160" s="1">
        <f t="shared" si="723"/>
        <v>1.7502801833927661</v>
      </c>
      <c r="N5160" s="1">
        <f t="shared" si="724"/>
        <v>1.64</v>
      </c>
      <c r="O5160" s="1">
        <f t="shared" si="725"/>
        <v>-0.32000000000000006</v>
      </c>
      <c r="P5160" s="1">
        <f t="shared" si="726"/>
        <v>-0.16326530612244902</v>
      </c>
    </row>
    <row r="5161" spans="1:16">
      <c r="A5161" s="2">
        <v>35569</v>
      </c>
      <c r="B5161" s="1">
        <v>21.1</v>
      </c>
      <c r="C5161" s="1">
        <v>21.22</v>
      </c>
      <c r="D5161" s="1">
        <v>19.54</v>
      </c>
      <c r="E5161" s="1">
        <v>20.5</v>
      </c>
      <c r="F5161" s="1">
        <v>6106800</v>
      </c>
      <c r="G5161" s="1">
        <v>1.71</v>
      </c>
      <c r="H5161" s="1">
        <f t="shared" si="720"/>
        <v>1.6799999999999997</v>
      </c>
      <c r="I5161" s="9">
        <f t="shared" si="727"/>
        <v>8.5977482088024554E-2</v>
      </c>
      <c r="J5161" s="1">
        <f t="shared" si="728"/>
        <v>-2.0000000000000018E-2</v>
      </c>
      <c r="K5161" s="9">
        <f t="shared" si="721"/>
        <v>-1.1560693641618507E-2</v>
      </c>
      <c r="L5161" s="1">
        <f t="shared" si="722"/>
        <v>8.3414634146341468E-2</v>
      </c>
      <c r="M5161" s="1">
        <f t="shared" si="723"/>
        <v>1.7700585365853658</v>
      </c>
      <c r="N5161" s="1">
        <f t="shared" si="724"/>
        <v>1.6299219512195122</v>
      </c>
      <c r="O5161" s="1">
        <f t="shared" si="725"/>
        <v>-0.25</v>
      </c>
      <c r="P5161" s="1">
        <f t="shared" si="726"/>
        <v>-0.12755102040816327</v>
      </c>
    </row>
    <row r="5162" spans="1:16">
      <c r="A5162" s="2">
        <v>35566</v>
      </c>
      <c r="B5162" s="1">
        <v>23.63</v>
      </c>
      <c r="C5162" s="1">
        <v>23.75</v>
      </c>
      <c r="D5162" s="1">
        <v>20.51</v>
      </c>
      <c r="E5162" s="1">
        <v>20.75</v>
      </c>
      <c r="F5162" s="1">
        <v>14700000</v>
      </c>
      <c r="G5162" s="1">
        <v>1.73</v>
      </c>
      <c r="H5162" s="1">
        <f t="shared" si="720"/>
        <v>3.2399999999999984</v>
      </c>
      <c r="I5162" s="9">
        <f t="shared" si="727"/>
        <v>0.15797172111165275</v>
      </c>
      <c r="J5162" s="1">
        <f t="shared" si="728"/>
        <v>-0.22999999999999998</v>
      </c>
      <c r="K5162" s="9">
        <f t="shared" si="721"/>
        <v>-0.1173469387755102</v>
      </c>
      <c r="L5162" s="1">
        <f t="shared" si="722"/>
        <v>8.3373493975903615E-2</v>
      </c>
      <c r="M5162" s="1">
        <f t="shared" si="723"/>
        <v>1.980120481927711</v>
      </c>
      <c r="N5162" s="1">
        <f t="shared" si="724"/>
        <v>1.7099903614457832</v>
      </c>
      <c r="O5162" s="1">
        <f t="shared" si="725"/>
        <v>-0.22999999999999998</v>
      </c>
      <c r="P5162" s="1">
        <f t="shared" si="726"/>
        <v>-0.1173469387755102</v>
      </c>
    </row>
    <row r="5163" spans="1:16">
      <c r="A5163" s="2">
        <v>35565</v>
      </c>
      <c r="B5163" s="1">
        <v>29.26</v>
      </c>
      <c r="C5163" s="1">
        <v>29.97</v>
      </c>
      <c r="D5163" s="1">
        <v>23.14</v>
      </c>
      <c r="E5163" s="1">
        <v>23.5</v>
      </c>
      <c r="F5163" s="1">
        <v>72156000</v>
      </c>
      <c r="G5163" s="1">
        <v>1.96</v>
      </c>
      <c r="H5163" s="1">
        <f t="shared" si="720"/>
        <v>6.8299999999999983</v>
      </c>
      <c r="I5163" s="9">
        <f t="shared" si="727"/>
        <v>0.29515989628349171</v>
      </c>
      <c r="K5163" s="9"/>
      <c r="L5163" s="1">
        <f t="shared" si="722"/>
        <v>8.340425531914894E-2</v>
      </c>
      <c r="M5163" s="1">
        <f t="shared" si="723"/>
        <v>2.4996255319148935</v>
      </c>
      <c r="N5163" s="1">
        <f t="shared" si="724"/>
        <v>1.9299744680851065</v>
      </c>
      <c r="O5163" s="1">
        <f t="shared" si="725"/>
        <v>0</v>
      </c>
      <c r="P5163" s="1">
        <f t="shared" si="726"/>
        <v>0</v>
      </c>
    </row>
  </sheetData>
  <dataValidations count="1">
    <dataValidation type="custom" showInputMessage="1" showErrorMessage="1" sqref="A4388:E4388" xr:uid="{00000000-0002-0000-0100-000000000000}">
      <formula1>IF(1,1,"WMDAU:1672772400")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9A38-C28C-4A8F-A249-2F00E0143F8E}">
  <dimension ref="A1:R134"/>
  <sheetViews>
    <sheetView tabSelected="1" workbookViewId="0">
      <selection activeCell="Q4" sqref="Q4"/>
    </sheetView>
  </sheetViews>
  <sheetFormatPr defaultRowHeight="15"/>
  <cols>
    <col min="1" max="1" width="9.88671875" bestFit="1" customWidth="1"/>
    <col min="5" max="5" width="9.88671875" bestFit="1" customWidth="1"/>
    <col min="6" max="6" width="10.77734375" customWidth="1"/>
    <col min="7" max="7" width="9.88671875" bestFit="1" customWidth="1"/>
    <col min="8" max="8" width="12.44140625" bestFit="1" customWidth="1"/>
    <col min="9" max="9" width="11.44140625" bestFit="1" customWidth="1"/>
    <col min="10" max="11" width="14" bestFit="1" customWidth="1"/>
  </cols>
  <sheetData>
    <row r="1" spans="1:9">
      <c r="A1" t="s">
        <v>9</v>
      </c>
    </row>
    <row r="2" spans="1:9" ht="15.75">
      <c r="B2" s="3" t="s">
        <v>10</v>
      </c>
    </row>
    <row r="3" spans="1:9" ht="45">
      <c r="A3" t="s">
        <v>2</v>
      </c>
      <c r="B3" t="s">
        <v>4</v>
      </c>
      <c r="C3" t="s">
        <v>5</v>
      </c>
      <c r="D3" s="4" t="s">
        <v>22</v>
      </c>
      <c r="E3" s="4" t="s">
        <v>29</v>
      </c>
      <c r="F3" t="s">
        <v>17</v>
      </c>
      <c r="G3" s="4" t="s">
        <v>30</v>
      </c>
      <c r="H3" s="4" t="s">
        <v>31</v>
      </c>
      <c r="I3" s="4" t="s">
        <v>33</v>
      </c>
    </row>
    <row r="4" spans="1:9">
      <c r="A4" s="5">
        <v>42117</v>
      </c>
      <c r="B4">
        <f>_xlfn.XLOOKUP(A4,Table!A:A, Table!C:C)</f>
        <v>391.88</v>
      </c>
      <c r="C4">
        <f>_xlfn.XLOOKUP(A4,Table!A:A, Table!D:D)</f>
        <v>386.15</v>
      </c>
      <c r="D4">
        <f>B4-C4</f>
        <v>5.7300000000000182</v>
      </c>
      <c r="E4">
        <f>(B4-C4)/C4</f>
        <v>1.4838793215071911E-2</v>
      </c>
      <c r="F4">
        <f>_xlfn.XLOOKUP(A4,Table!A:A, Table!G:G)</f>
        <v>389.99</v>
      </c>
    </row>
    <row r="5" spans="1:9">
      <c r="A5" s="5">
        <v>42151</v>
      </c>
      <c r="B5">
        <f>_xlfn.XLOOKUP(A5,Table!A:A, Table!C:C)</f>
        <v>431.85</v>
      </c>
      <c r="C5">
        <f>_xlfn.XLOOKUP(A5,Table!A:A, Table!D:D)</f>
        <v>425.01</v>
      </c>
      <c r="D5">
        <f>B5-C5</f>
        <v>6.8400000000000318</v>
      </c>
      <c r="E5">
        <f>(B5-C5)/C5</f>
        <v>1.6093738970847819E-2</v>
      </c>
      <c r="F5">
        <f>_xlfn.XLOOKUP(A5,Table!A:A, Table!G:G)</f>
        <v>431.42</v>
      </c>
    </row>
    <row r="6" spans="1:9">
      <c r="A6" s="5">
        <v>42446</v>
      </c>
      <c r="B6">
        <f>_xlfn.XLOOKUP(A6,Table!A:A, Table!C:C)</f>
        <v>571.4</v>
      </c>
      <c r="C6">
        <f>_xlfn.XLOOKUP(A6,Table!A:A, Table!D:D)</f>
        <v>555.01</v>
      </c>
      <c r="D6">
        <f>B6-C6</f>
        <v>16.389999999999986</v>
      </c>
      <c r="E6">
        <f>(B6-C6)/C6</f>
        <v>2.9530999441451482E-2</v>
      </c>
      <c r="F6">
        <f>_xlfn.XLOOKUP(A6,Table!A:A, Table!G:G)</f>
        <v>559.44000000000005</v>
      </c>
      <c r="G6">
        <f>_xlfn.XLOOKUP(A9, Table!A:A, Table!G:G)</f>
        <v>574.27</v>
      </c>
      <c r="H6">
        <f>F6-G6</f>
        <v>-14.829999999999927</v>
      </c>
    </row>
    <row r="7" spans="1:9">
      <c r="A7" s="5">
        <v>41796</v>
      </c>
      <c r="F7" s="7"/>
      <c r="I7" s="7"/>
    </row>
    <row r="8" spans="1:9">
      <c r="C8" t="s">
        <v>36</v>
      </c>
      <c r="D8" t="s">
        <v>35</v>
      </c>
      <c r="F8" t="s">
        <v>34</v>
      </c>
    </row>
    <row r="9" spans="1:9" ht="31.5">
      <c r="A9" s="5">
        <v>42445</v>
      </c>
      <c r="C9">
        <f>_xlfn.XLOOKUP(A6, Table!A:A, Table!J:J)</f>
        <v>-14.829999999999927</v>
      </c>
      <c r="D9">
        <f>_xlfn.XLOOKUP(A7, Table!A:A, Table!K:K)</f>
        <v>1.8852180362827278E-2</v>
      </c>
      <c r="F9" s="1" t="s">
        <v>22</v>
      </c>
      <c r="G9" s="8" t="s">
        <v>29</v>
      </c>
      <c r="H9" s="8" t="s">
        <v>31</v>
      </c>
      <c r="I9" s="8" t="s">
        <v>32</v>
      </c>
    </row>
    <row r="10" spans="1:9">
      <c r="E10" t="s">
        <v>37</v>
      </c>
      <c r="F10">
        <f>MAX(Table!H:H)</f>
        <v>85.990000000000009</v>
      </c>
      <c r="G10">
        <f>MAX(Table!I:I)</f>
        <v>0.33328201970443361</v>
      </c>
      <c r="H10">
        <f>MAX(Table!J:J)</f>
        <v>128.5200000000001</v>
      </c>
      <c r="I10">
        <f>MAX(Table!K:K)</f>
        <v>0.34471365638766527</v>
      </c>
    </row>
    <row r="11" spans="1:9" ht="15.75">
      <c r="A11" s="3" t="s">
        <v>15</v>
      </c>
      <c r="F11" s="5">
        <f>_xlfn.XLOOKUP(F10,Table!H:H, Table!$A:$A)</f>
        <v>42895</v>
      </c>
      <c r="G11" s="5">
        <f>_xlfn.XLOOKUP(G10,Table!I:I, Table!$A:$A)</f>
        <v>36039</v>
      </c>
      <c r="H11" s="5">
        <f>_xlfn.XLOOKUP(H10,Table!J:J, Table!$A:$A)</f>
        <v>43035</v>
      </c>
      <c r="I11" s="5">
        <f>_xlfn.XLOOKUP(I10,Table!K:K, Table!$A:$A)</f>
        <v>37221</v>
      </c>
    </row>
    <row r="12" spans="1:9" ht="30">
      <c r="A12" s="4" t="s">
        <v>11</v>
      </c>
      <c r="B12">
        <v>3480</v>
      </c>
      <c r="C12">
        <v>9971.25</v>
      </c>
      <c r="E12" t="s">
        <v>38</v>
      </c>
      <c r="F12">
        <f>MIN(Table!H:H)</f>
        <v>0.12000000000000099</v>
      </c>
      <c r="G12">
        <f>MIN(Table!I:I)</f>
        <v>3.7501175585442194E-3</v>
      </c>
      <c r="H12">
        <f>MIN(Table!J:J)</f>
        <v>-48.350000000000023</v>
      </c>
      <c r="I12">
        <f>MIN(Table!K:K)</f>
        <v>-0.24766063630692453</v>
      </c>
    </row>
    <row r="13" spans="1:9" ht="30">
      <c r="A13" s="4" t="s">
        <v>12</v>
      </c>
      <c r="B13">
        <v>4242.1000000000004</v>
      </c>
      <c r="C13">
        <v>25784.959999999999</v>
      </c>
      <c r="F13" s="5">
        <f>_xlfn.XLOOKUP(F12,Table!H:H, Table!$A:$A)</f>
        <v>35607</v>
      </c>
      <c r="G13" s="5">
        <f>_xlfn.XLOOKUP(G12,Table!I:I, Table!$A:$A)</f>
        <v>42811</v>
      </c>
      <c r="H13" s="5">
        <f>_xlfn.XLOOKUP(H12,Table!J:J, Table!$A:$A)</f>
        <v>42398</v>
      </c>
      <c r="I13" s="5">
        <f>_xlfn.XLOOKUP(I12,Table!K:K, Table!$A:$A)</f>
        <v>37096</v>
      </c>
    </row>
    <row r="14" spans="1:9" ht="30">
      <c r="A14" s="4" t="s">
        <v>13</v>
      </c>
      <c r="B14">
        <v>10</v>
      </c>
      <c r="C14">
        <v>3.5</v>
      </c>
    </row>
    <row r="15" spans="1:9">
      <c r="A15" s="4" t="s">
        <v>14</v>
      </c>
      <c r="B15">
        <f>(B13/B12)^(1/B14)-1</f>
        <v>1.9999986016045135E-2</v>
      </c>
      <c r="C15">
        <f>(C13/C12)^(1/C14)-1</f>
        <v>0.31186918405659414</v>
      </c>
      <c r="F15">
        <v>20000</v>
      </c>
    </row>
    <row r="16" spans="1:9" ht="15.75">
      <c r="A16" s="6" t="s">
        <v>18</v>
      </c>
      <c r="F16">
        <f>F15+F15*0.025</f>
        <v>20500</v>
      </c>
      <c r="H16" t="s">
        <v>45</v>
      </c>
    </row>
    <row r="17" spans="1:10">
      <c r="A17" t="s">
        <v>16</v>
      </c>
      <c r="F17">
        <f>F16+F16*0.025</f>
        <v>21012.5</v>
      </c>
      <c r="H17" t="s">
        <v>39</v>
      </c>
      <c r="I17" t="s">
        <v>42</v>
      </c>
      <c r="J17" t="s">
        <v>43</v>
      </c>
    </row>
    <row r="18" spans="1:10">
      <c r="A18" s="4" t="s">
        <v>2</v>
      </c>
      <c r="B18" t="s">
        <v>6</v>
      </c>
      <c r="C18" t="s">
        <v>17</v>
      </c>
      <c r="F18">
        <f t="shared" ref="F18" si="0">F17+F17*0.025</f>
        <v>21537.8125</v>
      </c>
      <c r="H18" t="s">
        <v>41</v>
      </c>
      <c r="I18">
        <f>COUNTIF(Table!K:K, H18)</f>
        <v>2539</v>
      </c>
      <c r="J18">
        <f>I18/I21</f>
        <v>0.49195892268940128</v>
      </c>
    </row>
    <row r="19" spans="1:10">
      <c r="A19" s="5">
        <v>41995</v>
      </c>
      <c r="B19">
        <f>_xlfn.XLOOKUP(A19,Table!A:A,Table!E:E)</f>
        <v>306.54000000000002</v>
      </c>
      <c r="C19">
        <f>_xlfn.XLOOKUP(A19,Table!A:A, Table!G:G )</f>
        <v>306.54000000000002</v>
      </c>
      <c r="F19">
        <f t="shared" ref="F19" si="1">F18+F18*0.025</f>
        <v>22076.2578125</v>
      </c>
      <c r="H19" t="s">
        <v>40</v>
      </c>
      <c r="I19">
        <f>COUNTIF(Table!K:K, H19)</f>
        <v>2587</v>
      </c>
      <c r="J19">
        <f>I19/I21</f>
        <v>0.50125944584382875</v>
      </c>
    </row>
    <row r="20" spans="1:10">
      <c r="F20">
        <f t="shared" ref="F20" si="2">F19+F19*0.025</f>
        <v>22628.164257812499</v>
      </c>
      <c r="H20" t="s">
        <v>54</v>
      </c>
      <c r="I20">
        <f>COUNTIF(Table!K:K, $H$20)</f>
        <v>1055</v>
      </c>
      <c r="J20">
        <f>I20/I21</f>
        <v>0.20441774849835304</v>
      </c>
    </row>
    <row r="21" spans="1:10">
      <c r="A21" t="s">
        <v>19</v>
      </c>
      <c r="H21" t="s">
        <v>44</v>
      </c>
      <c r="I21">
        <v>5161</v>
      </c>
      <c r="J21">
        <f>J19+J18</f>
        <v>0.99321836853323009</v>
      </c>
    </row>
    <row r="22" spans="1:10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17</v>
      </c>
      <c r="H22" t="s">
        <v>46</v>
      </c>
      <c r="I22">
        <f>COUNTIFS(Table!K:K, H21, Table!F:F, H22)</f>
        <v>488</v>
      </c>
      <c r="J22">
        <f>I22/I21</f>
        <v>9.4555318736678939E-2</v>
      </c>
    </row>
    <row r="23" spans="1:10">
      <c r="A23" s="5">
        <v>41995</v>
      </c>
      <c r="B23" cm="1">
        <f t="array" ref="B23:G23">_xlfn.XLOOKUP(A23,Table!A:A, Table!B:G)</f>
        <v>301.94</v>
      </c>
      <c r="C23">
        <v>307.36</v>
      </c>
      <c r="D23">
        <v>301.94</v>
      </c>
      <c r="E23">
        <v>306.54000000000002</v>
      </c>
      <c r="F23">
        <v>4003800</v>
      </c>
      <c r="G23">
        <v>306.54000000000002</v>
      </c>
    </row>
    <row r="24" spans="1:10">
      <c r="A24" t="s">
        <v>23</v>
      </c>
    </row>
    <row r="26" spans="1:10" ht="15.75">
      <c r="A26" s="3" t="s">
        <v>20</v>
      </c>
      <c r="H26" t="s">
        <v>48</v>
      </c>
    </row>
    <row r="27" spans="1:10">
      <c r="A27" t="s">
        <v>21</v>
      </c>
      <c r="H27" t="s">
        <v>51</v>
      </c>
    </row>
    <row r="28" spans="1:10" ht="30">
      <c r="C28">
        <f>2.48- (2.48*0.1009)</f>
        <v>2.229768</v>
      </c>
      <c r="G28" t="s">
        <v>2</v>
      </c>
      <c r="H28" s="4" t="s">
        <v>47</v>
      </c>
      <c r="I28" t="s">
        <v>52</v>
      </c>
      <c r="J28" t="s">
        <v>53</v>
      </c>
    </row>
    <row r="29" spans="1:10">
      <c r="A29">
        <f>(1.19-1.683)/1.683</f>
        <v>-0.29292929292929298</v>
      </c>
      <c r="G29" s="5">
        <v>36395</v>
      </c>
      <c r="H29">
        <f>_xlfn.XLOOKUP(G29, Table!A:A, Table!L:L)</f>
        <v>0.5</v>
      </c>
    </row>
    <row r="30" spans="1:10">
      <c r="A30">
        <f>(66-54)/54</f>
        <v>0.22222222222222221</v>
      </c>
      <c r="G30" s="5">
        <v>36896</v>
      </c>
      <c r="H30">
        <f>_xlfn.XLOOKUP(G30, Table!A:A, Table!L:L)</f>
        <v>1</v>
      </c>
    </row>
    <row r="31" spans="1:10">
      <c r="B31" t="s">
        <v>27</v>
      </c>
      <c r="E31" t="s">
        <v>28</v>
      </c>
      <c r="G31" s="5">
        <v>42433</v>
      </c>
      <c r="H31">
        <f>_xlfn.XLOOKUP(G31, Table!A:A, Table!L:L)</f>
        <v>1</v>
      </c>
    </row>
    <row r="32" spans="1:10">
      <c r="A32" t="s">
        <v>24</v>
      </c>
      <c r="B32" t="s">
        <v>25</v>
      </c>
      <c r="C32" t="s">
        <v>26</v>
      </c>
      <c r="G32" s="5">
        <v>35663</v>
      </c>
      <c r="I32">
        <f>_xlfn.XLOOKUP(G32, Table!A:A, Table!M:M)</f>
        <v>2.169858156028369</v>
      </c>
    </row>
    <row r="33" spans="1:10">
      <c r="A33">
        <v>2.67</v>
      </c>
      <c r="B33">
        <f>ROUND(A33,0)</f>
        <v>3</v>
      </c>
      <c r="C33">
        <f>ROUND(A33,2)</f>
        <v>2.67</v>
      </c>
      <c r="E33">
        <f>INT(A33)</f>
        <v>2</v>
      </c>
      <c r="G33" s="5">
        <v>36348</v>
      </c>
      <c r="I33">
        <f>_xlfn.XLOOKUP(G33, Table!A:A, Table!M:M)</f>
        <v>63.75</v>
      </c>
    </row>
    <row r="34" spans="1:10">
      <c r="A34">
        <v>7.8948999999999998</v>
      </c>
      <c r="B34">
        <f t="shared" ref="B34:B36" si="3">ROUND(A34,0)</f>
        <v>8</v>
      </c>
      <c r="C34">
        <f t="shared" ref="C34:C36" si="4">ROUND(A34,2)</f>
        <v>7.89</v>
      </c>
    </row>
    <row r="35" spans="1:10">
      <c r="A35">
        <v>13.7</v>
      </c>
      <c r="B35">
        <f t="shared" si="3"/>
        <v>14</v>
      </c>
      <c r="C35">
        <f t="shared" si="4"/>
        <v>13.7</v>
      </c>
    </row>
    <row r="36" spans="1:10">
      <c r="A36">
        <v>15.222899999999999</v>
      </c>
      <c r="B36">
        <f t="shared" si="3"/>
        <v>15</v>
      </c>
      <c r="C36">
        <f t="shared" si="4"/>
        <v>15.22</v>
      </c>
      <c r="G36" t="s">
        <v>55</v>
      </c>
    </row>
    <row r="37" spans="1:10">
      <c r="F37" t="s">
        <v>39</v>
      </c>
      <c r="G37" t="s">
        <v>2</v>
      </c>
    </row>
    <row r="38" spans="1:10">
      <c r="A38" t="s">
        <v>89</v>
      </c>
      <c r="G38" s="5">
        <v>42880</v>
      </c>
      <c r="H38">
        <f>_xlfn.XLOOKUP(G38,Table!A:A, Table!I:I)</f>
        <v>1.7197666249198142E-2</v>
      </c>
    </row>
    <row r="39" spans="1:10">
      <c r="A39">
        <f>10502/1.2497</f>
        <v>8403.6168680483315</v>
      </c>
      <c r="B39" t="s">
        <v>90</v>
      </c>
      <c r="G39" s="5">
        <v>42821</v>
      </c>
      <c r="H39">
        <f>_xlfn.XLOOKUP(G39, Table!A:A, Table!J:J)</f>
        <v>1.2100000000000364</v>
      </c>
    </row>
    <row r="40" spans="1:10">
      <c r="F40" t="s">
        <v>56</v>
      </c>
      <c r="H40">
        <f>COUNTIF(Table!$K:$K, F40)</f>
        <v>386</v>
      </c>
    </row>
    <row r="41" spans="1:10">
      <c r="F41" t="s">
        <v>57</v>
      </c>
      <c r="H41">
        <f>COUNTIF(Table!H:H, F41)</f>
        <v>2558</v>
      </c>
    </row>
    <row r="42" spans="1:10">
      <c r="G42" s="5">
        <v>36278</v>
      </c>
      <c r="H42" s="10">
        <f>_xlfn.XLOOKUP(G42, Table!A:A, Table!M:M)</f>
        <v>101</v>
      </c>
    </row>
    <row r="44" spans="1:10">
      <c r="A44" t="s">
        <v>61</v>
      </c>
      <c r="B44" t="s">
        <v>60</v>
      </c>
      <c r="F44" t="s">
        <v>67</v>
      </c>
      <c r="G44" t="s">
        <v>62</v>
      </c>
    </row>
    <row r="45" spans="1:10">
      <c r="A45" s="5">
        <v>42564</v>
      </c>
      <c r="B45">
        <f>_xlfn.XLOOKUP(A45, Table!A:A, Table!O:O)</f>
        <v>740.67</v>
      </c>
      <c r="C45" t="s">
        <v>62</v>
      </c>
      <c r="G45" t="s">
        <v>2</v>
      </c>
      <c r="H45" t="s">
        <v>69</v>
      </c>
      <c r="I45" t="s">
        <v>68</v>
      </c>
    </row>
    <row r="46" spans="1:10" ht="15.75">
      <c r="G46" s="5">
        <v>37621</v>
      </c>
      <c r="H46">
        <v>18.89</v>
      </c>
      <c r="I46" s="1">
        <v>863.77551000000005</v>
      </c>
      <c r="J46" s="11">
        <f>27390.5+236592.43</f>
        <v>263982.93</v>
      </c>
    </row>
    <row r="47" spans="1:10">
      <c r="A47" s="5">
        <v>35885</v>
      </c>
      <c r="B47">
        <f>_xlfn.XLOOKUP(A47, Table!A:A, Table!P:P)</f>
        <v>2.6377551020408165</v>
      </c>
      <c r="C47" t="s">
        <v>63</v>
      </c>
    </row>
    <row r="48" spans="1:10">
      <c r="A48" s="5">
        <v>35971</v>
      </c>
      <c r="B48">
        <f>_xlfn.XLOOKUP(A48, Table!A:A, Table!P:P)</f>
        <v>7.4234693877551026</v>
      </c>
    </row>
    <row r="50" spans="1:18">
      <c r="A50" s="5">
        <v>37340</v>
      </c>
      <c r="B50">
        <f>_xlfn.XLOOKUP(A50, Table!A:A, Table!P:P)</f>
        <v>6.5204081632653068</v>
      </c>
    </row>
    <row r="51" spans="1:18">
      <c r="A51" s="5">
        <v>37426</v>
      </c>
      <c r="B51">
        <f>_xlfn.XLOOKUP(A51, Table!A:A, Table!P:P)</f>
        <v>8.3367346938775508</v>
      </c>
      <c r="F51" t="s">
        <v>72</v>
      </c>
    </row>
    <row r="52" spans="1:18" ht="45">
      <c r="G52" t="s">
        <v>2</v>
      </c>
      <c r="H52" t="s">
        <v>73</v>
      </c>
      <c r="I52" s="4" t="s">
        <v>74</v>
      </c>
      <c r="J52" s="4" t="s">
        <v>75</v>
      </c>
    </row>
    <row r="53" spans="1:18" ht="30">
      <c r="A53" s="5">
        <v>35835</v>
      </c>
      <c r="B53">
        <f>_xlfn.XLOOKUP(A53, Table!A:A, Table!P:P)</f>
        <v>1.4744897959183672</v>
      </c>
      <c r="C53" t="s">
        <v>64</v>
      </c>
      <c r="F53" s="4" t="s">
        <v>70</v>
      </c>
      <c r="G53" s="5">
        <v>35565</v>
      </c>
      <c r="H53" s="12">
        <v>1.96</v>
      </c>
    </row>
    <row r="54" spans="1:18" ht="30">
      <c r="F54" s="4" t="s">
        <v>71</v>
      </c>
      <c r="G54" s="5">
        <v>43054</v>
      </c>
      <c r="H54" s="12">
        <v>1126.69</v>
      </c>
      <c r="I54" s="12">
        <f>H54-H$53</f>
        <v>1124.73</v>
      </c>
      <c r="J54" s="13">
        <f>(H54-H$53)/H$53</f>
        <v>573.84183673469386</v>
      </c>
    </row>
    <row r="55" spans="1:18" ht="30">
      <c r="G55" s="5">
        <v>35797</v>
      </c>
      <c r="H55">
        <f>_xlfn.XLOOKUP(G55,Table!A:A, Table!G:G)</f>
        <v>4.96</v>
      </c>
      <c r="I55" s="12">
        <f>H55-H$53</f>
        <v>3</v>
      </c>
      <c r="J55" s="13">
        <f t="shared" ref="J55:J58" si="5">(H55-H$53)/H$53</f>
        <v>1.5306122448979591</v>
      </c>
      <c r="M55" s="4" t="s">
        <v>104</v>
      </c>
      <c r="N55" t="s">
        <v>77</v>
      </c>
      <c r="O55" t="s">
        <v>6</v>
      </c>
      <c r="P55" s="4" t="s">
        <v>78</v>
      </c>
      <c r="Q55" s="4" t="s">
        <v>79</v>
      </c>
      <c r="R55" s="4" t="s">
        <v>80</v>
      </c>
    </row>
    <row r="56" spans="1:18">
      <c r="C56" t="s">
        <v>65</v>
      </c>
      <c r="G56" s="5">
        <v>36528</v>
      </c>
      <c r="H56">
        <f>_xlfn.XLOOKUP(G56,Table!A:A, Table!G:G)</f>
        <v>89.38</v>
      </c>
      <c r="I56" s="12">
        <f t="shared" ref="I56:I58" si="6">H56-H$53</f>
        <v>87.42</v>
      </c>
      <c r="J56" s="13">
        <f t="shared" si="5"/>
        <v>44.602040816326536</v>
      </c>
      <c r="M56" s="17">
        <v>4793</v>
      </c>
      <c r="N56" s="5">
        <v>36893</v>
      </c>
      <c r="O56">
        <f>_xlfn.XLOOKUP(N56, Table!A:A, Table!E:E)</f>
        <v>13.88</v>
      </c>
      <c r="P56">
        <f>ROUNDDOWN(M56/O56,0)</f>
        <v>345</v>
      </c>
      <c r="Q56">
        <f>P56*O56</f>
        <v>4788.6000000000004</v>
      </c>
      <c r="R56" s="17">
        <f>M56-Q56</f>
        <v>4.3999999999996362</v>
      </c>
    </row>
    <row r="57" spans="1:18" ht="30">
      <c r="A57" s="4" t="s">
        <v>2</v>
      </c>
      <c r="B57" s="4" t="s">
        <v>66</v>
      </c>
      <c r="G57" s="5">
        <v>37258</v>
      </c>
      <c r="H57">
        <f>_xlfn.XLOOKUP(G57,Table!A:A, Table!G:G)</f>
        <v>10.96</v>
      </c>
      <c r="I57" s="12">
        <f t="shared" si="6"/>
        <v>9</v>
      </c>
      <c r="J57" s="13">
        <f t="shared" si="5"/>
        <v>4.591836734693878</v>
      </c>
    </row>
    <row r="58" spans="1:18">
      <c r="A58" s="5">
        <v>35565</v>
      </c>
      <c r="B58">
        <v>23.5</v>
      </c>
      <c r="G58" s="5">
        <v>38355</v>
      </c>
      <c r="H58">
        <f>_xlfn.XLOOKUP(G58,Table!A:A, Table!G:G)</f>
        <v>44.52</v>
      </c>
      <c r="I58" s="12">
        <f t="shared" si="6"/>
        <v>42.56</v>
      </c>
      <c r="J58" s="13">
        <f t="shared" si="5"/>
        <v>21.714285714285715</v>
      </c>
    </row>
    <row r="59" spans="1:18">
      <c r="A59" s="5">
        <v>37621</v>
      </c>
      <c r="B59">
        <f>_xlfn.XLOOKUP(A59, Table!A:A, Table!E:E)</f>
        <v>18.89</v>
      </c>
      <c r="F59" t="s">
        <v>65</v>
      </c>
    </row>
    <row r="60" spans="1:18" ht="30">
      <c r="F60" s="4" t="s">
        <v>76</v>
      </c>
      <c r="G60" t="s">
        <v>77</v>
      </c>
      <c r="H60" t="s">
        <v>66</v>
      </c>
      <c r="I60" s="4" t="s">
        <v>78</v>
      </c>
      <c r="J60" t="s">
        <v>79</v>
      </c>
      <c r="K60" t="s">
        <v>80</v>
      </c>
    </row>
    <row r="61" spans="1:18">
      <c r="F61" s="14">
        <v>25000</v>
      </c>
      <c r="G61" s="5">
        <v>35565</v>
      </c>
      <c r="H61" s="12">
        <v>23.5</v>
      </c>
      <c r="I61">
        <f>ROUNDDOWN(F61/H61,0)</f>
        <v>1063</v>
      </c>
      <c r="J61" s="12">
        <f>I61*H61</f>
        <v>24980.5</v>
      </c>
      <c r="K61" s="12">
        <f>F61-J61</f>
        <v>19.5</v>
      </c>
    </row>
    <row r="63" spans="1:18" ht="45">
      <c r="F63" s="4" t="s">
        <v>81</v>
      </c>
      <c r="G63" t="s">
        <v>2</v>
      </c>
      <c r="H63" t="s">
        <v>17</v>
      </c>
      <c r="I63" s="4" t="s">
        <v>84</v>
      </c>
      <c r="J63" t="s">
        <v>85</v>
      </c>
      <c r="K63" s="4" t="s">
        <v>86</v>
      </c>
    </row>
    <row r="64" spans="1:18" ht="30">
      <c r="F64" s="4" t="s">
        <v>82</v>
      </c>
      <c r="G64" s="5">
        <v>35555</v>
      </c>
      <c r="H64" s="12">
        <v>1.96</v>
      </c>
      <c r="L64" t="s">
        <v>87</v>
      </c>
    </row>
    <row r="65" spans="6:13">
      <c r="F65" s="4" t="s">
        <v>83</v>
      </c>
      <c r="G65" s="5">
        <v>35797</v>
      </c>
      <c r="H65">
        <f>H55</f>
        <v>4.96</v>
      </c>
      <c r="I65" s="15">
        <f>(H65-$H$64)/$H$64</f>
        <v>1.5306122448979591</v>
      </c>
      <c r="J65" s="12">
        <f>K65-$J$61</f>
        <v>38235.459183673476</v>
      </c>
      <c r="K65" s="12">
        <f>$J$61*(1+I65)</f>
        <v>63215.959183673476</v>
      </c>
      <c r="L65" t="s">
        <v>88</v>
      </c>
    </row>
    <row r="66" spans="6:13">
      <c r="G66" s="5">
        <v>36528</v>
      </c>
      <c r="H66">
        <f>H56</f>
        <v>89.38</v>
      </c>
      <c r="I66" s="15">
        <f t="shared" ref="I66:I69" si="7">(H66-$H$64)/$H$64</f>
        <v>44.602040816326536</v>
      </c>
      <c r="J66" s="12">
        <f>K66-$J$61</f>
        <v>1114181.280612245</v>
      </c>
      <c r="K66" s="12">
        <f>$J$61*(1+I66)</f>
        <v>1139161.780612245</v>
      </c>
    </row>
    <row r="67" spans="6:13">
      <c r="G67" s="5">
        <v>37258</v>
      </c>
      <c r="H67">
        <f>H57</f>
        <v>10.96</v>
      </c>
      <c r="I67" s="15">
        <f t="shared" si="7"/>
        <v>4.591836734693878</v>
      </c>
      <c r="J67" s="12">
        <f t="shared" ref="J67:J68" si="8">K67-$J$61</f>
        <v>114706.37755102041</v>
      </c>
      <c r="K67" s="12">
        <f t="shared" ref="K67:K68" si="9">$J$61*(1+I67)</f>
        <v>139686.87755102041</v>
      </c>
    </row>
    <row r="68" spans="6:13">
      <c r="G68" s="5">
        <v>38355</v>
      </c>
      <c r="H68">
        <f>H58</f>
        <v>44.52</v>
      </c>
      <c r="I68" s="15">
        <f t="shared" si="7"/>
        <v>21.714285714285715</v>
      </c>
      <c r="J68" s="12">
        <f t="shared" si="8"/>
        <v>542433.71428571432</v>
      </c>
      <c r="K68" s="12">
        <f t="shared" si="9"/>
        <v>567414.21428571432</v>
      </c>
    </row>
    <row r="69" spans="6:13">
      <c r="G69" s="5">
        <v>43054</v>
      </c>
      <c r="H69" s="16">
        <v>1126.69</v>
      </c>
      <c r="I69" s="15">
        <f t="shared" si="7"/>
        <v>573.84183673469386</v>
      </c>
      <c r="J69" s="12">
        <f>K69-$J$61</f>
        <v>14334856.002551019</v>
      </c>
      <c r="K69" s="12">
        <f>$J$61*(1+I69)</f>
        <v>14359836.502551019</v>
      </c>
    </row>
    <row r="71" spans="6:13">
      <c r="F71" t="s">
        <v>67</v>
      </c>
    </row>
    <row r="72" spans="6:13" ht="30">
      <c r="F72" s="4" t="s">
        <v>71</v>
      </c>
      <c r="G72" s="5">
        <v>43054</v>
      </c>
      <c r="H72" s="4" t="s">
        <v>91</v>
      </c>
      <c r="J72" s="5">
        <v>35565</v>
      </c>
    </row>
    <row r="73" spans="6:13">
      <c r="F73" t="s">
        <v>62</v>
      </c>
    </row>
    <row r="74" spans="6:13" ht="30">
      <c r="F74" s="4" t="s">
        <v>92</v>
      </c>
      <c r="G74" s="14">
        <v>10000</v>
      </c>
      <c r="H74" s="4" t="s">
        <v>93</v>
      </c>
      <c r="I74" s="5">
        <v>36528</v>
      </c>
    </row>
    <row r="75" spans="6:13">
      <c r="H75" t="s">
        <v>6</v>
      </c>
      <c r="I75" s="12">
        <v>89.38</v>
      </c>
    </row>
    <row r="76" spans="6:13" ht="30">
      <c r="F76" s="4" t="s">
        <v>94</v>
      </c>
      <c r="H76" s="4" t="s">
        <v>94</v>
      </c>
      <c r="I76">
        <f>ROUNDDOWN(G74/I75,0)</f>
        <v>111</v>
      </c>
    </row>
    <row r="77" spans="6:13">
      <c r="F77" t="s">
        <v>95</v>
      </c>
      <c r="G77" s="12">
        <f>I75*I76</f>
        <v>9921.18</v>
      </c>
    </row>
    <row r="79" spans="6:13" ht="60">
      <c r="G79" t="s">
        <v>17</v>
      </c>
      <c r="H79" s="4" t="s">
        <v>96</v>
      </c>
      <c r="I79" t="s">
        <v>97</v>
      </c>
      <c r="J79" s="4" t="s">
        <v>98</v>
      </c>
      <c r="K79" s="4" t="s">
        <v>102</v>
      </c>
      <c r="L79" s="4" t="s">
        <v>99</v>
      </c>
    </row>
    <row r="80" spans="6:13">
      <c r="F80" s="5">
        <v>36528</v>
      </c>
      <c r="G80">
        <f>_xlfn.XLOOKUP(F80, Table!A:A, Table!G:G)</f>
        <v>89.38</v>
      </c>
      <c r="H80">
        <f>G80-G$80</f>
        <v>0</v>
      </c>
      <c r="I80" s="15">
        <f>(G80-G$80)/G$80</f>
        <v>0</v>
      </c>
      <c r="J80" s="12">
        <f>G77</f>
        <v>9921.18</v>
      </c>
      <c r="K80">
        <f>_xlfn.XLOOKUP(F80, Table!A:A, Table!E:E)</f>
        <v>89.38</v>
      </c>
      <c r="L80">
        <f>I$76*K80</f>
        <v>9921.18</v>
      </c>
      <c r="M80" t="s">
        <v>100</v>
      </c>
    </row>
    <row r="81" spans="4:13">
      <c r="F81" s="5">
        <v>37258</v>
      </c>
      <c r="G81">
        <f>_xlfn.XLOOKUP(F81, Table!A:A, Table!G:G)</f>
        <v>10.96</v>
      </c>
      <c r="H81">
        <f>G81-G$80</f>
        <v>-78.419999999999987</v>
      </c>
      <c r="I81" s="15">
        <f>(G81-G$80)/G$80</f>
        <v>-0.87737748937122384</v>
      </c>
      <c r="J81" s="12">
        <f>G$77*(1+I81)</f>
        <v>1216.5600000000015</v>
      </c>
      <c r="K81">
        <f>_xlfn.XLOOKUP(F81, Table!A:A, Table!E:E)</f>
        <v>10.96</v>
      </c>
      <c r="L81">
        <f>I$76*K81</f>
        <v>1216.5600000000002</v>
      </c>
      <c r="M81" t="s">
        <v>101</v>
      </c>
    </row>
    <row r="82" spans="4:13">
      <c r="F82" s="5">
        <v>37988</v>
      </c>
      <c r="G82">
        <f>_xlfn.XLOOKUP(F82, Table!A:A, Table!G:G)</f>
        <v>51.9</v>
      </c>
      <c r="H82">
        <f t="shared" ref="H82:H84" si="10">G82-G$80</f>
        <v>-37.479999999999997</v>
      </c>
      <c r="I82" s="15">
        <f t="shared" ref="I82:I84" si="11">(G82-G$80)/G$80</f>
        <v>-0.41933318415752963</v>
      </c>
      <c r="J82" s="12">
        <f>G$77*(1+I82)</f>
        <v>5760.9000000000005</v>
      </c>
      <c r="K82">
        <f>_xlfn.XLOOKUP(F82, Table!A:A, Table!E:E)</f>
        <v>51.9</v>
      </c>
      <c r="L82">
        <f t="shared" ref="L82:L84" si="12">I$76*K82</f>
        <v>5760.9</v>
      </c>
      <c r="M82" t="s">
        <v>103</v>
      </c>
    </row>
    <row r="83" spans="4:13">
      <c r="F83" s="5">
        <v>39815</v>
      </c>
      <c r="G83">
        <f>_xlfn.XLOOKUP(F83, Table!A:A, Table!G:G)</f>
        <v>54.36</v>
      </c>
      <c r="H83">
        <f t="shared" si="10"/>
        <v>-35.019999999999996</v>
      </c>
      <c r="I83" s="15">
        <f t="shared" si="11"/>
        <v>-0.39181024837771311</v>
      </c>
      <c r="J83" s="12">
        <f t="shared" ref="J83:J84" si="13">G$77*(1+I83)</f>
        <v>6033.9600000000009</v>
      </c>
      <c r="K83">
        <f>_xlfn.XLOOKUP(F83, Table!A:A, Table!E:E)</f>
        <v>54.36</v>
      </c>
      <c r="L83">
        <f t="shared" si="12"/>
        <v>6033.96</v>
      </c>
    </row>
    <row r="84" spans="4:13">
      <c r="F84" s="5">
        <v>43054</v>
      </c>
      <c r="G84">
        <f>_xlfn.XLOOKUP(F84, Table!A:A, Table!G:G)</f>
        <v>1126.69</v>
      </c>
      <c r="H84">
        <f t="shared" si="10"/>
        <v>1037.31</v>
      </c>
      <c r="I84" s="15">
        <f t="shared" si="11"/>
        <v>11.605616469008726</v>
      </c>
      <c r="J84" s="12">
        <f t="shared" si="13"/>
        <v>125062.59</v>
      </c>
      <c r="K84">
        <f>_xlfn.XLOOKUP(F84, Table!A:A, Table!E:E)</f>
        <v>1126.69</v>
      </c>
      <c r="L84">
        <f t="shared" si="12"/>
        <v>125062.59000000001</v>
      </c>
    </row>
    <row r="86" spans="4:13">
      <c r="F86" t="s">
        <v>105</v>
      </c>
    </row>
    <row r="88" spans="4:13" ht="45">
      <c r="E88" t="s">
        <v>110</v>
      </c>
      <c r="F88" t="s">
        <v>106</v>
      </c>
      <c r="G88" t="s">
        <v>66</v>
      </c>
      <c r="H88" s="4" t="s">
        <v>107</v>
      </c>
      <c r="I88" s="4" t="s">
        <v>108</v>
      </c>
      <c r="J88" s="4" t="s">
        <v>113</v>
      </c>
      <c r="K88" s="4" t="s">
        <v>112</v>
      </c>
      <c r="L88" s="4" t="s">
        <v>78</v>
      </c>
      <c r="M88" s="4" t="s">
        <v>79</v>
      </c>
    </row>
    <row r="89" spans="4:13" ht="30">
      <c r="D89" s="4" t="s">
        <v>109</v>
      </c>
      <c r="E89" s="14">
        <v>1000</v>
      </c>
      <c r="F89" s="5">
        <v>36893</v>
      </c>
      <c r="G89">
        <f>_xlfn.XLOOKUP(F89, Table!A:A, Table!E:E)</f>
        <v>13.88</v>
      </c>
      <c r="H89">
        <f>ROUNDDOWN($E$89/G89, 0)</f>
        <v>72</v>
      </c>
      <c r="I89">
        <f>H89</f>
        <v>72</v>
      </c>
      <c r="J89">
        <f t="shared" ref="J89:J98" si="14">G89*H89</f>
        <v>999.36</v>
      </c>
      <c r="K89">
        <f>J89</f>
        <v>999.36</v>
      </c>
    </row>
    <row r="90" spans="4:13">
      <c r="F90" s="5">
        <v>37258</v>
      </c>
      <c r="G90">
        <f>_xlfn.XLOOKUP(F90, Table!A:A, Table!E:E)</f>
        <v>10.96</v>
      </c>
      <c r="H90">
        <f>ROUNDDOWN($E$89/G90, 0)</f>
        <v>91</v>
      </c>
      <c r="I90">
        <f>I89+H90</f>
        <v>163</v>
      </c>
      <c r="J90">
        <f t="shared" si="14"/>
        <v>997.36000000000013</v>
      </c>
      <c r="K90">
        <f>K89+J90</f>
        <v>1996.7200000000003</v>
      </c>
    </row>
    <row r="91" spans="4:13">
      <c r="F91" s="5">
        <v>37623</v>
      </c>
      <c r="G91">
        <f>_xlfn.XLOOKUP(F91, Table!A:A, Table!E:E)</f>
        <v>19.57</v>
      </c>
      <c r="H91">
        <f>ROUNDDOWN($E$89/G91, 0)</f>
        <v>51</v>
      </c>
      <c r="I91">
        <f>I90+H91</f>
        <v>214</v>
      </c>
      <c r="J91">
        <f t="shared" si="14"/>
        <v>998.07</v>
      </c>
      <c r="K91">
        <f>K90+J91</f>
        <v>2994.7900000000004</v>
      </c>
    </row>
    <row r="92" spans="4:13">
      <c r="F92" s="5">
        <v>37988</v>
      </c>
      <c r="G92">
        <f>_xlfn.XLOOKUP(F92, Table!A:A, Table!E:E)</f>
        <v>51.9</v>
      </c>
      <c r="H92">
        <f t="shared" ref="H92:H97" si="15">ROUNDDOWN($E$89/G92, 0)</f>
        <v>19</v>
      </c>
      <c r="I92">
        <f>I91+H92</f>
        <v>233</v>
      </c>
      <c r="J92">
        <f t="shared" si="14"/>
        <v>986.1</v>
      </c>
      <c r="K92">
        <f t="shared" ref="K92:K98" si="16">K91+J92</f>
        <v>3980.8900000000003</v>
      </c>
    </row>
    <row r="93" spans="4:13">
      <c r="F93" s="5">
        <v>38355</v>
      </c>
      <c r="G93">
        <f>_xlfn.XLOOKUP(F93, Table!A:A, Table!E:E)</f>
        <v>44.52</v>
      </c>
      <c r="H93">
        <f t="shared" si="15"/>
        <v>22</v>
      </c>
      <c r="I93">
        <f t="shared" ref="I93:I98" si="17">I92+H93</f>
        <v>255</v>
      </c>
      <c r="J93">
        <f t="shared" si="14"/>
        <v>979.44</v>
      </c>
      <c r="K93">
        <f t="shared" si="16"/>
        <v>4960.33</v>
      </c>
    </row>
    <row r="94" spans="4:13">
      <c r="F94" s="5">
        <v>38720</v>
      </c>
      <c r="G94">
        <f>_xlfn.XLOOKUP(F94, Table!A:A, Table!E:E)</f>
        <v>47.58</v>
      </c>
      <c r="H94">
        <f t="shared" si="15"/>
        <v>21</v>
      </c>
      <c r="I94">
        <f t="shared" si="17"/>
        <v>276</v>
      </c>
      <c r="J94">
        <f t="shared" si="14"/>
        <v>999.18</v>
      </c>
      <c r="K94">
        <f t="shared" si="16"/>
        <v>5959.51</v>
      </c>
    </row>
    <row r="95" spans="4:13">
      <c r="F95" s="5">
        <v>39085</v>
      </c>
      <c r="G95">
        <f>_xlfn.XLOOKUP(F95, Table!A:A, Table!E:E)</f>
        <v>38.700000000000003</v>
      </c>
      <c r="H95">
        <f t="shared" si="15"/>
        <v>25</v>
      </c>
      <c r="I95">
        <f t="shared" si="17"/>
        <v>301</v>
      </c>
      <c r="J95">
        <f t="shared" si="14"/>
        <v>967.50000000000011</v>
      </c>
      <c r="K95">
        <f t="shared" si="16"/>
        <v>6927.01</v>
      </c>
    </row>
    <row r="96" spans="4:13">
      <c r="F96" s="5">
        <v>39449</v>
      </c>
      <c r="G96">
        <f>_xlfn.XLOOKUP(F96, Table!A:A, Table!E:E)</f>
        <v>96.25</v>
      </c>
      <c r="H96">
        <f t="shared" si="15"/>
        <v>10</v>
      </c>
      <c r="I96">
        <f t="shared" si="17"/>
        <v>311</v>
      </c>
      <c r="J96">
        <f t="shared" si="14"/>
        <v>962.5</v>
      </c>
      <c r="K96">
        <f t="shared" si="16"/>
        <v>7889.51</v>
      </c>
    </row>
    <row r="97" spans="1:13">
      <c r="F97" s="5">
        <v>39815</v>
      </c>
      <c r="G97">
        <f>_xlfn.XLOOKUP(F97, Table!A:A, Table!E:E)</f>
        <v>54.36</v>
      </c>
      <c r="H97">
        <f t="shared" si="15"/>
        <v>18</v>
      </c>
      <c r="I97">
        <f t="shared" si="17"/>
        <v>329</v>
      </c>
      <c r="J97">
        <f t="shared" si="14"/>
        <v>978.48</v>
      </c>
      <c r="K97">
        <f t="shared" si="16"/>
        <v>8867.99</v>
      </c>
    </row>
    <row r="98" spans="1:13">
      <c r="F98" s="5">
        <v>40182</v>
      </c>
      <c r="G98">
        <f>_xlfn.XLOOKUP(F98, Table!A:A, Table!E:E)</f>
        <v>133.9</v>
      </c>
      <c r="H98">
        <f>ROUNDDOWN($E$89/G98, 0)</f>
        <v>7</v>
      </c>
      <c r="I98">
        <f t="shared" si="17"/>
        <v>336</v>
      </c>
      <c r="J98">
        <f t="shared" si="14"/>
        <v>937.30000000000007</v>
      </c>
      <c r="K98">
        <f t="shared" si="16"/>
        <v>9805.2899999999991</v>
      </c>
    </row>
    <row r="99" spans="1:13">
      <c r="F99" s="5">
        <v>43054</v>
      </c>
      <c r="G99">
        <f>_xlfn.XLOOKUP(F99, Table!A:A, Table!E:E)</f>
        <v>1126.69</v>
      </c>
      <c r="H99">
        <f>ROUNDDOWN($E$89/G99, 0)</f>
        <v>0</v>
      </c>
    </row>
    <row r="100" spans="1:13">
      <c r="E100" t="s">
        <v>111</v>
      </c>
      <c r="F100" s="5">
        <v>37074</v>
      </c>
      <c r="G100">
        <f>_xlfn.XLOOKUP(F100, Table!A:A, Table!E:E)</f>
        <v>14.53</v>
      </c>
      <c r="H100">
        <f>ROUNDDOWN($E$89/G100, 0)</f>
        <v>68</v>
      </c>
      <c r="I100">
        <f>H100</f>
        <v>68</v>
      </c>
      <c r="J100">
        <f>H100*G100</f>
        <v>988.04</v>
      </c>
      <c r="K100">
        <f>J100</f>
        <v>988.04</v>
      </c>
      <c r="L100">
        <v>336</v>
      </c>
      <c r="M100">
        <f>L100*G100</f>
        <v>4882.08</v>
      </c>
    </row>
    <row r="101" spans="1:13">
      <c r="F101" s="5">
        <v>37438</v>
      </c>
      <c r="G101">
        <f>_xlfn.XLOOKUP(F101, Table!A:A, Table!E:E)</f>
        <v>13.55</v>
      </c>
      <c r="H101">
        <f t="shared" ref="H101:H109" si="18">ROUNDDOWN($E$89/G101, 0)</f>
        <v>73</v>
      </c>
      <c r="I101">
        <f>I100+H101</f>
        <v>141</v>
      </c>
      <c r="J101">
        <f t="shared" ref="J101:J109" si="19">H101*G101</f>
        <v>989.15000000000009</v>
      </c>
      <c r="K101">
        <f>K100+J101</f>
        <v>1977.19</v>
      </c>
      <c r="L101">
        <v>336</v>
      </c>
      <c r="M101">
        <f t="shared" ref="M101:M109" si="20">L101*G101</f>
        <v>4552.8</v>
      </c>
    </row>
    <row r="102" spans="1:13">
      <c r="F102" s="5">
        <v>37803</v>
      </c>
      <c r="G102">
        <f>_xlfn.XLOOKUP(F102, Table!A:A, Table!E:E)</f>
        <v>37.25</v>
      </c>
      <c r="H102">
        <f t="shared" si="18"/>
        <v>26</v>
      </c>
      <c r="I102">
        <f t="shared" ref="I102:I109" si="21">I101+H102</f>
        <v>167</v>
      </c>
      <c r="J102">
        <f t="shared" si="19"/>
        <v>968.5</v>
      </c>
      <c r="K102">
        <f t="shared" ref="K102:K109" si="22">K101+J102</f>
        <v>2945.69</v>
      </c>
      <c r="L102">
        <v>336</v>
      </c>
      <c r="M102">
        <f t="shared" si="20"/>
        <v>12516</v>
      </c>
    </row>
    <row r="103" spans="1:13">
      <c r="F103" s="5">
        <v>38169</v>
      </c>
      <c r="G103">
        <f>_xlfn.XLOOKUP(F103, Table!A:A, Table!E:E)</f>
        <v>52.56</v>
      </c>
      <c r="H103">
        <f t="shared" si="18"/>
        <v>19</v>
      </c>
      <c r="I103">
        <f t="shared" si="21"/>
        <v>186</v>
      </c>
      <c r="J103">
        <f t="shared" si="19"/>
        <v>998.6400000000001</v>
      </c>
      <c r="K103">
        <f t="shared" si="22"/>
        <v>3944.33</v>
      </c>
      <c r="L103">
        <v>336</v>
      </c>
      <c r="M103">
        <f t="shared" si="20"/>
        <v>17660.16</v>
      </c>
    </row>
    <row r="104" spans="1:13">
      <c r="F104" s="5">
        <v>38534</v>
      </c>
      <c r="G104">
        <f>_xlfn.XLOOKUP(F104, Table!A:A, Table!E:E)</f>
        <v>32.909999999999997</v>
      </c>
      <c r="H104">
        <f t="shared" si="18"/>
        <v>30</v>
      </c>
      <c r="I104">
        <f t="shared" si="21"/>
        <v>216</v>
      </c>
      <c r="J104">
        <f t="shared" si="19"/>
        <v>987.3</v>
      </c>
      <c r="K104">
        <f t="shared" si="22"/>
        <v>4931.63</v>
      </c>
      <c r="L104">
        <v>336</v>
      </c>
      <c r="M104">
        <f t="shared" si="20"/>
        <v>11057.759999999998</v>
      </c>
    </row>
    <row r="105" spans="1:13">
      <c r="F105" s="5">
        <v>38901</v>
      </c>
      <c r="G105">
        <f>_xlfn.XLOOKUP(F105, Table!A:A, Table!E:E)</f>
        <v>38.61</v>
      </c>
      <c r="H105">
        <f t="shared" si="18"/>
        <v>25</v>
      </c>
      <c r="I105">
        <f t="shared" si="21"/>
        <v>241</v>
      </c>
      <c r="J105">
        <f t="shared" si="19"/>
        <v>965.25</v>
      </c>
      <c r="K105">
        <f t="shared" si="22"/>
        <v>5896.88</v>
      </c>
      <c r="L105">
        <v>336</v>
      </c>
      <c r="M105">
        <f t="shared" si="20"/>
        <v>12972.96</v>
      </c>
    </row>
    <row r="106" spans="1:13">
      <c r="A106" t="s">
        <v>120</v>
      </c>
      <c r="F106" s="5">
        <v>39265</v>
      </c>
      <c r="G106">
        <f>_xlfn.XLOOKUP(F106, Table!A:A, Table!E:E)</f>
        <v>69.61</v>
      </c>
      <c r="H106">
        <f t="shared" si="18"/>
        <v>14</v>
      </c>
      <c r="I106">
        <f t="shared" si="21"/>
        <v>255</v>
      </c>
      <c r="J106">
        <f t="shared" si="19"/>
        <v>974.54</v>
      </c>
      <c r="K106">
        <f t="shared" si="22"/>
        <v>6871.42</v>
      </c>
      <c r="L106">
        <v>336</v>
      </c>
      <c r="M106">
        <f t="shared" si="20"/>
        <v>23388.959999999999</v>
      </c>
    </row>
    <row r="107" spans="1:13">
      <c r="A107" t="s">
        <v>121</v>
      </c>
      <c r="F107" s="5">
        <v>39630</v>
      </c>
      <c r="G107">
        <f>_xlfn.XLOOKUP(F107, Table!A:A, Table!E:E)</f>
        <v>73.62</v>
      </c>
      <c r="H107">
        <f t="shared" si="18"/>
        <v>13</v>
      </c>
      <c r="I107">
        <f t="shared" si="21"/>
        <v>268</v>
      </c>
      <c r="J107">
        <f t="shared" si="19"/>
        <v>957.06000000000006</v>
      </c>
      <c r="K107">
        <f t="shared" si="22"/>
        <v>7828.4800000000005</v>
      </c>
      <c r="L107">
        <v>336</v>
      </c>
      <c r="M107">
        <f t="shared" si="20"/>
        <v>24736.32</v>
      </c>
    </row>
    <row r="108" spans="1:13">
      <c r="F108" s="5">
        <v>39995</v>
      </c>
      <c r="G108">
        <f>_xlfn.XLOOKUP(F108, Table!A:A, Table!E:E)</f>
        <v>81.599999999999994</v>
      </c>
      <c r="H108">
        <f t="shared" si="18"/>
        <v>12</v>
      </c>
      <c r="I108">
        <f t="shared" si="21"/>
        <v>280</v>
      </c>
      <c r="J108">
        <f t="shared" si="19"/>
        <v>979.19999999999993</v>
      </c>
      <c r="K108">
        <f t="shared" si="22"/>
        <v>8807.68</v>
      </c>
      <c r="L108">
        <v>336</v>
      </c>
      <c r="M108">
        <f t="shared" si="20"/>
        <v>27417.599999999999</v>
      </c>
    </row>
    <row r="109" spans="1:13">
      <c r="F109" s="5">
        <v>40360</v>
      </c>
      <c r="G109">
        <f>_xlfn.XLOOKUP(F109, Table!A:A, Table!E:E)</f>
        <v>110.96</v>
      </c>
      <c r="H109">
        <f t="shared" si="18"/>
        <v>9</v>
      </c>
      <c r="I109">
        <f t="shared" si="21"/>
        <v>289</v>
      </c>
      <c r="J109">
        <f t="shared" si="19"/>
        <v>998.64</v>
      </c>
      <c r="K109">
        <f t="shared" si="22"/>
        <v>9806.32</v>
      </c>
      <c r="L109">
        <v>336</v>
      </c>
      <c r="M109">
        <f t="shared" si="20"/>
        <v>37282.559999999998</v>
      </c>
    </row>
    <row r="110" spans="1:13">
      <c r="F110" s="5"/>
      <c r="M110">
        <f>SUM(M100:M109)</f>
        <v>176467.20000000001</v>
      </c>
    </row>
    <row r="111" spans="1:13">
      <c r="F111" s="5"/>
    </row>
    <row r="112" spans="1:13">
      <c r="F112" t="s">
        <v>114</v>
      </c>
      <c r="I112" t="s">
        <v>63</v>
      </c>
      <c r="J112" t="s">
        <v>118</v>
      </c>
    </row>
    <row r="113" spans="4:10" ht="75">
      <c r="E113" t="s">
        <v>2</v>
      </c>
      <c r="F113" t="s">
        <v>17</v>
      </c>
      <c r="G113" s="4" t="s">
        <v>115</v>
      </c>
      <c r="H113" s="4" t="s">
        <v>116</v>
      </c>
      <c r="I113" s="4" t="s">
        <v>117</v>
      </c>
      <c r="J113" s="4" t="s">
        <v>119</v>
      </c>
    </row>
    <row r="114" spans="4:10">
      <c r="E114" s="5">
        <v>41274</v>
      </c>
      <c r="F114">
        <f>_xlfn.XLOOKUP(E114, Table!A:A, Table!G:G)</f>
        <v>250.87</v>
      </c>
    </row>
    <row r="115" spans="4:10">
      <c r="E115" s="5">
        <v>41639</v>
      </c>
      <c r="F115">
        <f>_xlfn.XLOOKUP(E115, Table!A:A, Table!G:G)</f>
        <v>398.79</v>
      </c>
      <c r="G115" s="15">
        <f>(F115-F114)/F114</f>
        <v>0.58962809423207241</v>
      </c>
    </row>
    <row r="116" spans="4:10">
      <c r="E116" s="5">
        <v>39813</v>
      </c>
      <c r="F116">
        <f>_xlfn.XLOOKUP(E116, Table!A:A, Table!G:G)</f>
        <v>51.28</v>
      </c>
      <c r="G116" s="15">
        <f>(F116-F115)/F115</f>
        <v>-0.87141101833044954</v>
      </c>
      <c r="H116">
        <f>(E116-$E$115)/365.25</f>
        <v>-4.9993155373032172</v>
      </c>
      <c r="I116" s="15">
        <f>(F116/F115)^(1/H116) -1</f>
        <v>0.50724426685492485</v>
      </c>
    </row>
    <row r="117" spans="4:10">
      <c r="E117" s="5">
        <v>42004</v>
      </c>
      <c r="F117">
        <f>_xlfn.XLOOKUP(E117, Table!A:A, Table!G:G)</f>
        <v>310.35000000000002</v>
      </c>
      <c r="H117">
        <f>(E117-$E$115)/365.25</f>
        <v>0.99931553730321698</v>
      </c>
      <c r="I117" s="15"/>
      <c r="J117" s="11">
        <f>F$115*(1+I$116)^(H117)</f>
        <v>600.90516924693554</v>
      </c>
    </row>
    <row r="118" spans="4:10">
      <c r="E118" s="5">
        <v>42734</v>
      </c>
      <c r="H118">
        <f>(E118-$E$115)/365.25</f>
        <v>2.9979466119096507</v>
      </c>
      <c r="J118" s="11">
        <f>F$115*(1+I$116)^(H118)</f>
        <v>1364.3610139080279</v>
      </c>
    </row>
    <row r="120" spans="4:10">
      <c r="E120" s="5">
        <v>35565</v>
      </c>
      <c r="F120">
        <f>_xlfn.XLOOKUP(E120, Table!A:A, Table!G:G)</f>
        <v>1.96</v>
      </c>
    </row>
    <row r="121" spans="4:10">
      <c r="D121" t="s">
        <v>122</v>
      </c>
      <c r="E121" s="5">
        <v>43054</v>
      </c>
      <c r="F121">
        <f>_xlfn.XLOOKUP(E121, Table!A:A, Table!G:G)</f>
        <v>1126.69</v>
      </c>
      <c r="H121">
        <f>(E121-E120)/365.25</f>
        <v>20.503764544832308</v>
      </c>
      <c r="I121" s="15">
        <f>(F121/F120)^(1/H121) -1</f>
        <v>0.36328733587614548</v>
      </c>
    </row>
    <row r="123" spans="4:10">
      <c r="E123" t="s">
        <v>123</v>
      </c>
    </row>
    <row r="124" spans="4:10">
      <c r="E124" s="5">
        <v>41066</v>
      </c>
      <c r="F124">
        <f>_xlfn.XLOOKUP(E124, Table!A:A, Table!G:G)</f>
        <v>217.64</v>
      </c>
    </row>
    <row r="125" spans="4:10">
      <c r="E125" s="5">
        <v>42271</v>
      </c>
      <c r="F125">
        <f>_xlfn.XLOOKUP(E125, Table!A:A, Table!G:G)</f>
        <v>533.75</v>
      </c>
      <c r="H125">
        <f>(E125-E124)/365.25</f>
        <v>3.2991101984941822</v>
      </c>
      <c r="I125" s="15">
        <f>(F125/F124)^(1/H125) -1</f>
        <v>0.31247849676498674</v>
      </c>
    </row>
    <row r="127" spans="4:10">
      <c r="E127" s="5">
        <v>41086</v>
      </c>
      <c r="F127">
        <f>_xlfn.XLOOKUP(E127, Table!A:A, Table!G:G)</f>
        <v>225.61</v>
      </c>
      <c r="H127" s="5"/>
    </row>
    <row r="128" spans="4:10">
      <c r="E128" s="5">
        <v>42355</v>
      </c>
      <c r="F128">
        <f>_xlfn.XLOOKUP(E128, Table!A:A, Table!G:G)</f>
        <v>670.65</v>
      </c>
      <c r="H128">
        <f>(E128-E127)/365.25</f>
        <v>3.4743326488706368</v>
      </c>
      <c r="I128" s="15">
        <v>0.27539999999999998</v>
      </c>
      <c r="J128" s="11">
        <f>F127*(1+I128)^(H128)</f>
        <v>525.30208699897889</v>
      </c>
    </row>
    <row r="129" spans="5:10">
      <c r="J129" s="11">
        <f>F128-J128</f>
        <v>145.34791300102108</v>
      </c>
    </row>
    <row r="130" spans="5:10">
      <c r="E130" s="5">
        <v>41229</v>
      </c>
      <c r="F130">
        <f>_xlfn.XLOOKUP(E130, Table!A:A, Table!G:G)</f>
        <v>225.23</v>
      </c>
    </row>
    <row r="131" spans="5:10">
      <c r="E131" s="5">
        <v>42103</v>
      </c>
      <c r="F131">
        <f>_xlfn.XLOOKUP(E131, Table!A:A, Table!G:G)</f>
        <v>383.54</v>
      </c>
      <c r="H131">
        <f>(E131-E130)/365.25</f>
        <v>2.3928815879534566</v>
      </c>
      <c r="I131" s="13">
        <v>0.44190000000000002</v>
      </c>
      <c r="J131" s="11">
        <f>F130*(1+I131)^(H131)</f>
        <v>540.67863835319656</v>
      </c>
    </row>
    <row r="133" spans="5:10">
      <c r="E133" s="5">
        <v>38560</v>
      </c>
    </row>
    <row r="134" spans="5:10">
      <c r="E134" s="5">
        <v>41569</v>
      </c>
      <c r="H134">
        <f>(E134-E133)/365.25</f>
        <v>8.2381930184804926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NAsource</vt:lpstr>
      <vt:lpstr>Table</vt:lpstr>
      <vt:lpstr>Amazon Stock Price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Brayden Jonason</dc:creator>
  <cp:lastModifiedBy>Brayden Jonason</cp:lastModifiedBy>
  <dcterms:created xsi:type="dcterms:W3CDTF">2023-01-03T12:00:00Z</dcterms:created>
  <dcterms:modified xsi:type="dcterms:W3CDTF">2026-04-04T22:53:59Z</dcterms:modified>
</cp:coreProperties>
</file>