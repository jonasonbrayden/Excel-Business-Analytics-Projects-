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ona\Downloads\"/>
    </mc:Choice>
  </mc:AlternateContent>
  <xr:revisionPtr revIDLastSave="0" documentId="8_{E4059583-6095-4A3C-9193-7737A4C282C2}" xr6:coauthVersionLast="47" xr6:coauthVersionMax="47" xr10:uidLastSave="{00000000-0000-0000-0000-000000000000}"/>
  <bookViews>
    <workbookView xWindow="3930" yWindow="3750" windowWidth="21585" windowHeight="11370" activeTab="1" xr2:uid="{00000000-000D-0000-FFFF-FFFF00000000}"/>
  </bookViews>
  <sheets>
    <sheet name="Price and Cost" sheetId="1" r:id="rId1"/>
    <sheet name="Units" sheetId="2" r:id="rId2"/>
    <sheet name="Operating Costs" sheetId="3" r:id="rId3"/>
    <sheet name="Overall Financial Mod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  <c r="D15" i="2" s="1"/>
  <c r="D11" i="2"/>
  <c r="E11" i="2" s="1"/>
  <c r="F11" i="2" s="1"/>
  <c r="G11" i="2" s="1"/>
  <c r="H11" i="2" s="1"/>
  <c r="I11" i="2" s="1"/>
  <c r="J11" i="2" s="1"/>
  <c r="K11" i="2" s="1"/>
  <c r="L11" i="2" s="1"/>
  <c r="M11" i="2" s="1"/>
  <c r="N11" i="2" s="1"/>
  <c r="D9" i="2"/>
  <c r="D14" i="2" s="1"/>
  <c r="C9" i="4"/>
  <c r="B9" i="4"/>
  <c r="D8" i="3"/>
  <c r="E8" i="3" s="1"/>
  <c r="F8" i="3" s="1"/>
  <c r="G8" i="3" s="1"/>
  <c r="H8" i="3" s="1"/>
  <c r="I8" i="3" s="1"/>
  <c r="J8" i="3" s="1"/>
  <c r="K8" i="3" s="1"/>
  <c r="K9" i="4" s="1"/>
  <c r="E46" i="1"/>
  <c r="D46" i="1"/>
  <c r="D37" i="1"/>
  <c r="D45" i="1"/>
  <c r="E45" i="1" s="1"/>
  <c r="E10" i="2" l="1"/>
  <c r="F10" i="2" s="1"/>
  <c r="G10" i="2" s="1"/>
  <c r="H10" i="2" s="1"/>
  <c r="I10" i="2" s="1"/>
  <c r="J10" i="2" s="1"/>
  <c r="K10" i="2" s="1"/>
  <c r="L10" i="2" s="1"/>
  <c r="M10" i="2" s="1"/>
  <c r="N10" i="2" s="1"/>
  <c r="E9" i="2"/>
  <c r="F9" i="2" s="1"/>
  <c r="G9" i="2" s="1"/>
  <c r="H9" i="2" s="1"/>
  <c r="I9" i="2" s="1"/>
  <c r="J9" i="2" s="1"/>
  <c r="K9" i="2" s="1"/>
  <c r="L9" i="2" s="1"/>
  <c r="M9" i="2" s="1"/>
  <c r="N9" i="2" s="1"/>
  <c r="G9" i="4"/>
  <c r="J9" i="4"/>
  <c r="I9" i="4"/>
  <c r="H9" i="4"/>
  <c r="F9" i="4"/>
  <c r="E9" i="4"/>
  <c r="D9" i="4"/>
  <c r="E47" i="1"/>
  <c r="B49" i="1" l="1"/>
  <c r="I21" i="4"/>
  <c r="I20" i="4"/>
  <c r="I22" i="4" s="1"/>
  <c r="E37" i="1"/>
  <c r="F37" i="1"/>
  <c r="G37" i="1"/>
  <c r="H37" i="1"/>
  <c r="I37" i="1"/>
  <c r="J37" i="1"/>
  <c r="K37" i="1"/>
  <c r="C37" i="1"/>
  <c r="D52" i="1" l="1"/>
  <c r="E52" i="1" s="1"/>
  <c r="D53" i="1"/>
  <c r="E53" i="1" s="1"/>
  <c r="D51" i="1"/>
  <c r="E51" i="1" s="1"/>
  <c r="C12" i="1"/>
  <c r="D12" i="1"/>
  <c r="E12" i="1"/>
  <c r="F12" i="1"/>
  <c r="G12" i="1"/>
  <c r="H12" i="1"/>
  <c r="I12" i="1"/>
  <c r="J12" i="1"/>
  <c r="K12" i="1"/>
  <c r="E54" i="1" l="1"/>
  <c r="F50" i="1" s="1"/>
  <c r="B15" i="2"/>
  <c r="C15" i="2"/>
  <c r="B16" i="2"/>
  <c r="C16" i="2"/>
  <c r="C14" i="2"/>
  <c r="B14" i="2"/>
  <c r="F15" i="4"/>
  <c r="I5" i="4"/>
  <c r="J5" i="4"/>
  <c r="K5" i="4"/>
  <c r="C5" i="4"/>
  <c r="D5" i="4"/>
  <c r="E5" i="4"/>
  <c r="G5" i="4"/>
  <c r="H5" i="4"/>
  <c r="B5" i="4"/>
  <c r="D16" i="2"/>
  <c r="E16" i="2" l="1"/>
  <c r="C18" i="2"/>
  <c r="C4" i="4" s="1"/>
  <c r="C10" i="1" s="1"/>
  <c r="C35" i="1" s="1"/>
  <c r="C38" i="1" s="1"/>
  <c r="C41" i="1" s="1"/>
  <c r="D18" i="2"/>
  <c r="D4" i="4" s="1"/>
  <c r="D10" i="1" s="1"/>
  <c r="D35" i="1" s="1"/>
  <c r="D38" i="1" s="1"/>
  <c r="B18" i="2"/>
  <c r="B4" i="4" s="1"/>
  <c r="E15" i="2"/>
  <c r="E14" i="2" l="1"/>
  <c r="E18" i="2" s="1"/>
  <c r="E4" i="4" s="1"/>
  <c r="B10" i="1"/>
  <c r="D39" i="1"/>
  <c r="D41" i="1" s="1"/>
  <c r="D13" i="1"/>
  <c r="D14" i="1" s="1"/>
  <c r="D8" i="4" s="1"/>
  <c r="C13" i="1"/>
  <c r="C14" i="1" s="1"/>
  <c r="C7" i="4"/>
  <c r="B7" i="4"/>
  <c r="D7" i="4"/>
  <c r="F15" i="2"/>
  <c r="F16" i="2" l="1"/>
  <c r="B35" i="1"/>
  <c r="B37" i="1" s="1"/>
  <c r="B41" i="1" s="1"/>
  <c r="B12" i="1"/>
  <c r="B14" i="1" s="1"/>
  <c r="B8" i="4" s="1"/>
  <c r="B10" i="4" s="1"/>
  <c r="F14" i="2"/>
  <c r="G16" i="2"/>
  <c r="C8" i="4"/>
  <c r="C10" i="4" s="1"/>
  <c r="D10" i="4"/>
  <c r="E7" i="4"/>
  <c r="E10" i="1"/>
  <c r="E35" i="1" s="1"/>
  <c r="G15" i="2"/>
  <c r="F18" i="2" l="1"/>
  <c r="F4" i="4" s="1"/>
  <c r="F7" i="4" s="1"/>
  <c r="H16" i="2"/>
  <c r="G14" i="2"/>
  <c r="G18" i="2" s="1"/>
  <c r="G4" i="4" s="1"/>
  <c r="E38" i="1"/>
  <c r="E39" i="1"/>
  <c r="E13" i="1"/>
  <c r="E14" i="1" s="1"/>
  <c r="H15" i="2"/>
  <c r="F10" i="1" l="1"/>
  <c r="F35" i="1" s="1"/>
  <c r="F39" i="1" s="1"/>
  <c r="E41" i="1"/>
  <c r="H14" i="2"/>
  <c r="H18" i="2" s="1"/>
  <c r="H4" i="4" s="1"/>
  <c r="H7" i="4" s="1"/>
  <c r="I16" i="2"/>
  <c r="E8" i="4"/>
  <c r="E10" i="4" s="1"/>
  <c r="G10" i="1"/>
  <c r="G35" i="1" s="1"/>
  <c r="G7" i="4"/>
  <c r="F38" i="1" l="1"/>
  <c r="F41" i="1" s="1"/>
  <c r="F13" i="1"/>
  <c r="F14" i="1" s="1"/>
  <c r="F8" i="4" s="1"/>
  <c r="F10" i="4" s="1"/>
  <c r="I15" i="2"/>
  <c r="J16" i="2"/>
  <c r="I14" i="2"/>
  <c r="G38" i="1"/>
  <c r="G39" i="1"/>
  <c r="G13" i="1"/>
  <c r="G14" i="1" s="1"/>
  <c r="H10" i="1"/>
  <c r="H35" i="1" s="1"/>
  <c r="I18" i="2" l="1"/>
  <c r="I4" i="4" s="1"/>
  <c r="I7" i="4" s="1"/>
  <c r="J15" i="2"/>
  <c r="J14" i="2"/>
  <c r="K16" i="2"/>
  <c r="H38" i="1"/>
  <c r="H39" i="1"/>
  <c r="G41" i="1"/>
  <c r="G8" i="4"/>
  <c r="G10" i="4" s="1"/>
  <c r="H13" i="1"/>
  <c r="H14" i="1" s="1"/>
  <c r="I10" i="1" l="1"/>
  <c r="I35" i="1" s="1"/>
  <c r="J18" i="2"/>
  <c r="J4" i="4" s="1"/>
  <c r="J10" i="1" s="1"/>
  <c r="K14" i="2"/>
  <c r="L16" i="2"/>
  <c r="K15" i="2"/>
  <c r="H41" i="1"/>
  <c r="H8" i="4"/>
  <c r="H10" i="4" s="1"/>
  <c r="I13" i="1" l="1"/>
  <c r="I14" i="1" s="1"/>
  <c r="I8" i="4" s="1"/>
  <c r="I10" i="4" s="1"/>
  <c r="K18" i="2"/>
  <c r="K4" i="4" s="1"/>
  <c r="K7" i="4" s="1"/>
  <c r="J7" i="4"/>
  <c r="M16" i="2"/>
  <c r="N16" i="2"/>
  <c r="I38" i="1"/>
  <c r="I39" i="1"/>
  <c r="L14" i="2"/>
  <c r="L15" i="2"/>
  <c r="J35" i="1"/>
  <c r="J13" i="1"/>
  <c r="J14" i="1" s="1"/>
  <c r="K10" i="1" l="1"/>
  <c r="K35" i="1" s="1"/>
  <c r="I41" i="1"/>
  <c r="N14" i="2"/>
  <c r="M14" i="2"/>
  <c r="J38" i="1"/>
  <c r="J39" i="1"/>
  <c r="N15" i="2"/>
  <c r="M15" i="2"/>
  <c r="L18" i="2"/>
  <c r="J8" i="4"/>
  <c r="J10" i="4" s="1"/>
  <c r="A23" i="1" l="1" a="1"/>
  <c r="A23" i="1" s="1"/>
  <c r="K13" i="1"/>
  <c r="K14" i="1" s="1"/>
  <c r="K8" i="4" s="1"/>
  <c r="K10" i="4" s="1"/>
  <c r="J41" i="1"/>
  <c r="M18" i="2"/>
  <c r="N18" i="2"/>
  <c r="K38" i="1"/>
  <c r="K39" i="1"/>
  <c r="B23" i="1" a="1"/>
  <c r="B23" i="1" s="1"/>
  <c r="K41" i="1" l="1"/>
  <c r="C23" i="1" s="1" a="1"/>
  <c r="C2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<sst xmlns="http://schemas.openxmlformats.org/spreadsheetml/2006/main" count="101" uniqueCount="64">
  <si>
    <t>Price</t>
  </si>
  <si>
    <t xml:space="preserve"> Wholesale Price</t>
  </si>
  <si>
    <t>per unit</t>
  </si>
  <si>
    <t>This is the amount that the company making the product receives from the retail stores that will sell it to consumers.</t>
  </si>
  <si>
    <t xml:space="preserve">Per Unit Cost </t>
  </si>
  <si>
    <t>For the first</t>
  </si>
  <si>
    <t>units annually, the cost is</t>
  </si>
  <si>
    <t>For additional units in a year, the cost is</t>
  </si>
  <si>
    <t>Model to Estimate Number of Units by Year</t>
  </si>
  <si>
    <t>Assumption</t>
  </si>
  <si>
    <t>annual growth in number of stores from Year 2 to Year 3 and each year after, for all three channels</t>
  </si>
  <si>
    <t>Year</t>
  </si>
  <si>
    <t>Number of Stores by Channel</t>
  </si>
  <si>
    <t>Convenience Stores</t>
  </si>
  <si>
    <t>Grocery Stores</t>
  </si>
  <si>
    <t>Mass Stores</t>
  </si>
  <si>
    <t>Units by Channel</t>
  </si>
  <si>
    <t>Annual Units per Store by Channel</t>
  </si>
  <si>
    <t>Total Units Across the Three Channels</t>
  </si>
  <si>
    <t>Model to Estimate Operating Costs</t>
  </si>
  <si>
    <t>annual growth in operating costs from Year 2 to Year 3 and each year after</t>
  </si>
  <si>
    <t>Operating Costs Estimates</t>
  </si>
  <si>
    <t>Financial Model</t>
  </si>
  <si>
    <t>Total Units</t>
  </si>
  <si>
    <t>Wholesale Price</t>
  </si>
  <si>
    <t>Revenue</t>
  </si>
  <si>
    <t>Cost of Goods</t>
  </si>
  <si>
    <t>Operating Costs</t>
  </si>
  <si>
    <t>Operating Income (= Revenue-Cost of Goods-Operating Costs)</t>
  </si>
  <si>
    <t>&lt;500000</t>
  </si>
  <si>
    <t>year</t>
  </si>
  <si>
    <t>Year 1</t>
  </si>
  <si>
    <t>lower</t>
  </si>
  <si>
    <t>Upper</t>
  </si>
  <si>
    <t>No limit</t>
  </si>
  <si>
    <t>Per unit cost</t>
  </si>
  <si>
    <t>&gt;500000</t>
  </si>
  <si>
    <t>Total units</t>
  </si>
  <si>
    <t>Cost of goods</t>
  </si>
  <si>
    <t>upper</t>
  </si>
  <si>
    <t>per unit cost</t>
  </si>
  <si>
    <t>&lt;430,000</t>
  </si>
  <si>
    <t>430000&gt;&lt;753000</t>
  </si>
  <si>
    <t>no limit</t>
  </si>
  <si>
    <t>&lt;753000</t>
  </si>
  <si>
    <t>cost of goods</t>
  </si>
  <si>
    <t>Cost of goods other</t>
  </si>
  <si>
    <t>Base</t>
  </si>
  <si>
    <t>Pessimistic</t>
  </si>
  <si>
    <t>Optimistic</t>
  </si>
  <si>
    <t>Expected Value</t>
  </si>
  <si>
    <t>Probability</t>
  </si>
  <si>
    <t>Amount</t>
  </si>
  <si>
    <t># of Units</t>
  </si>
  <si>
    <t>Orriginal Cost sctructure</t>
  </si>
  <si>
    <t>Per Unit cost</t>
  </si>
  <si>
    <t>Total Cost</t>
  </si>
  <si>
    <t>Sub Cost</t>
  </si>
  <si>
    <t>New Cost Structure</t>
  </si>
  <si>
    <t>Per Unit Cost</t>
  </si>
  <si>
    <t>Units in bracket</t>
  </si>
  <si>
    <t>Difference</t>
  </si>
  <si>
    <t>Units in Bracket</t>
  </si>
  <si>
    <t>These are all wrong use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</si>
</sst>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0"/>
    <numFmt numFmtId="166" formatCode="_(&quot;$&quot;* #,##0.0000_);_(&quot;$&quot;* \(#,##0.0000\);_(&quot;$&quot;* &quot;-&quot;??_);_(@_)"/>
  </numFmts>
  <fonts count="6">
    <font>
      <sz val="12"/>
      <color theme="1"/>
      <name val="TimesNewRomanPSMT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NewRomanPSM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43" fontId="1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1" applyFont="1"/>
    <xf numFmtId="0" fontId="2" fillId="0" borderId="0" xfId="1" applyFont="1" applyAlignment="1">
      <alignment horizontal="right"/>
    </xf>
    <xf numFmtId="2" fontId="2" fillId="0" borderId="0" xfId="1" applyNumberFormat="1" applyFont="1"/>
    <xf numFmtId="164" fontId="2" fillId="0" borderId="0" xfId="2" applyNumberFormat="1" applyFont="1"/>
    <xf numFmtId="8" fontId="2" fillId="0" borderId="0" xfId="1" applyNumberFormat="1" applyFont="1"/>
    <xf numFmtId="0" fontId="3" fillId="0" borderId="0" xfId="1" applyFont="1" applyAlignment="1">
      <alignment horizontal="left"/>
    </xf>
    <xf numFmtId="0" fontId="3" fillId="0" borderId="0" xfId="1" applyFont="1"/>
    <xf numFmtId="0" fontId="2" fillId="2" borderId="0" xfId="1" applyFont="1" applyFill="1"/>
    <xf numFmtId="0" fontId="4" fillId="0" borderId="0" xfId="1" applyFont="1"/>
    <xf numFmtId="3" fontId="2" fillId="0" borderId="0" xfId="1" applyNumberFormat="1" applyFont="1"/>
    <xf numFmtId="0" fontId="2" fillId="0" borderId="0" xfId="1" applyFont="1" applyAlignment="1">
      <alignment horizontal="left"/>
    </xf>
    <xf numFmtId="0" fontId="2" fillId="0" borderId="0" xfId="1" applyFont="1" applyAlignment="1">
      <alignment horizontal="center"/>
    </xf>
    <xf numFmtId="9" fontId="2" fillId="0" borderId="0" xfId="1" applyNumberFormat="1" applyFont="1"/>
    <xf numFmtId="2" fontId="2" fillId="2" borderId="0" xfId="1" applyNumberFormat="1" applyFont="1" applyFill="1"/>
    <xf numFmtId="43" fontId="2" fillId="2" borderId="0" xfId="3" applyFont="1" applyFill="1"/>
    <xf numFmtId="44" fontId="2" fillId="2" borderId="0" xfId="4" applyFont="1" applyFill="1"/>
    <xf numFmtId="43" fontId="2" fillId="0" borderId="0" xfId="1" applyNumberFormat="1" applyFont="1"/>
    <xf numFmtId="165" fontId="2" fillId="0" borderId="0" xfId="1" applyNumberFormat="1" applyFont="1"/>
    <xf numFmtId="166" fontId="2" fillId="2" borderId="0" xfId="4" applyNumberFormat="1" applyFont="1" applyFill="1"/>
    <xf numFmtId="0" fontId="2" fillId="3" borderId="0" xfId="1" applyFont="1" applyFill="1"/>
  </cellXfs>
  <cellStyles count="5">
    <cellStyle name="Comma" xfId="3" builtinId="3"/>
    <cellStyle name="Comma 2" xfId="2" xr:uid="{00000000-0005-0000-0000-000002000000}"/>
    <cellStyle name="Currency" xfId="4" builtinId="4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'Price and Cost'!$A$23:$A$32</c:f>
              <c:numCache>
                <c:formatCode>General</c:formatCode>
                <c:ptCount val="10"/>
                <c:pt idx="0">
                  <c:v>280000</c:v>
                </c:pt>
                <c:pt idx="1">
                  <c:v>697500</c:v>
                </c:pt>
                <c:pt idx="2">
                  <c:v>760275</c:v>
                </c:pt>
                <c:pt idx="3">
                  <c:v>828699.75000000012</c:v>
                </c:pt>
                <c:pt idx="4">
                  <c:v>903282.72750000027</c:v>
                </c:pt>
                <c:pt idx="5">
                  <c:v>984578.17297500034</c:v>
                </c:pt>
                <c:pt idx="6">
                  <c:v>1073190.2085427504</c:v>
                </c:pt>
                <c:pt idx="7">
                  <c:v>1169777.3273115978</c:v>
                </c:pt>
                <c:pt idx="8">
                  <c:v>1275057.286769642</c:v>
                </c:pt>
                <c:pt idx="9">
                  <c:v>1389812.4425789097</c:v>
                </c:pt>
              </c:numCache>
            </c:numRef>
          </c:xVal>
          <c:yVal>
            <c:numRef>
              <c:f>'Price and Cost'!$B$23:$B$32</c:f>
              <c:numCache>
                <c:formatCode>General</c:formatCode>
                <c:ptCount val="10"/>
                <c:pt idx="0">
                  <c:v>58800</c:v>
                </c:pt>
                <c:pt idx="1">
                  <c:v>130675</c:v>
                </c:pt>
                <c:pt idx="2">
                  <c:v>138835.75</c:v>
                </c:pt>
                <c:pt idx="3">
                  <c:v>147730.96750000003</c:v>
                </c:pt>
                <c:pt idx="4">
                  <c:v>157426.75457500003</c:v>
                </c:pt>
                <c:pt idx="5">
                  <c:v>167995.16248675005</c:v>
                </c:pt>
                <c:pt idx="6">
                  <c:v>179514.72711055755</c:v>
                </c:pt>
                <c:pt idx="7">
                  <c:v>192071.05255050771</c:v>
                </c:pt>
                <c:pt idx="8">
                  <c:v>205757.44728005346</c:v>
                </c:pt>
                <c:pt idx="9">
                  <c:v>220675.61753525826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3B-4462-BAF9-BC47213F95B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'Price and Cost'!$A$23:$A$32</c:f>
              <c:numCache>
                <c:formatCode>General</c:formatCode>
                <c:ptCount val="10"/>
                <c:pt idx="0">
                  <c:v>280000</c:v>
                </c:pt>
                <c:pt idx="1">
                  <c:v>697500</c:v>
                </c:pt>
                <c:pt idx="2">
                  <c:v>760275</c:v>
                </c:pt>
                <c:pt idx="3">
                  <c:v>828699.75000000012</c:v>
                </c:pt>
                <c:pt idx="4">
                  <c:v>903282.72750000027</c:v>
                </c:pt>
                <c:pt idx="5">
                  <c:v>984578.17297500034</c:v>
                </c:pt>
                <c:pt idx="6">
                  <c:v>1073190.2085427504</c:v>
                </c:pt>
                <c:pt idx="7">
                  <c:v>1169777.3273115978</c:v>
                </c:pt>
                <c:pt idx="8">
                  <c:v>1275057.286769642</c:v>
                </c:pt>
                <c:pt idx="9">
                  <c:v>1389812.4425789097</c:v>
                </c:pt>
              </c:numCache>
            </c:numRef>
          </c:xVal>
          <c:yVal>
            <c:numRef>
              <c:f>'Price and Cost'!$C$23:$C$32</c:f>
              <c:numCache>
                <c:formatCode>General</c:formatCode>
                <c:ptCount val="10"/>
                <c:pt idx="0">
                  <c:v>86800</c:v>
                </c:pt>
                <c:pt idx="1">
                  <c:v>194825</c:v>
                </c:pt>
                <c:pt idx="2">
                  <c:v>210136.25</c:v>
                </c:pt>
                <c:pt idx="3">
                  <c:v>234084.91250000003</c:v>
                </c:pt>
                <c:pt idx="4">
                  <c:v>260188.9546250001</c:v>
                </c:pt>
                <c:pt idx="5">
                  <c:v>288642.36054125015</c:v>
                </c:pt>
                <c:pt idx="6">
                  <c:v>319656.57298996265</c:v>
                </c:pt>
                <c:pt idx="7">
                  <c:v>353462.06455905922</c:v>
                </c:pt>
                <c:pt idx="8">
                  <c:v>390310.05036937475</c:v>
                </c:pt>
                <c:pt idx="9">
                  <c:v>430474.35490261845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33B-4462-BAF9-BC47213F9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1464255"/>
        <c:axId val="1511461375"/>
      </c:scatterChart>
      <c:valAx>
        <c:axId val="151146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61375"/>
        <c:crosses val="autoZero"/>
        <c:crossBetween val="midCat"/>
      </c:valAx>
      <c:valAx>
        <c:axId val="1511461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464255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17</xdr:row>
      <xdr:rowOff>100012</xdr:rowOff>
    </xdr:from>
    <xdr:to>
      <xdr:col>11</xdr:col>
      <xdr:colOff>733425</xdr:colOff>
      <xdr:row>31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99F7EC-6E9B-C4D2-4B90-31864830E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4"/>
  <sheetViews>
    <sheetView workbookViewId="0">
      <selection activeCell="D26" sqref="D26"/>
    </sheetView>
  </sheetViews>
  <sheetFormatPr defaultColWidth="8.77734375" defaultRowHeight="15.75"/>
  <cols>
    <col min="1" max="1" width="14.21875" style="1" customWidth="1"/>
    <col min="2" max="2" width="14.44140625" style="1" customWidth="1"/>
    <col min="3" max="3" width="13.6640625" style="1" customWidth="1"/>
    <col min="4" max="4" width="24.33203125" style="1" customWidth="1"/>
    <col min="5" max="5" width="12" style="1" customWidth="1"/>
    <col min="6" max="6" width="11.33203125" style="1" customWidth="1"/>
    <col min="7" max="7" width="11" style="1" customWidth="1"/>
    <col min="8" max="8" width="11.6640625" style="1" customWidth="1"/>
    <col min="9" max="9" width="13.5546875" style="1" customWidth="1"/>
    <col min="10" max="10" width="11.6640625" style="1" customWidth="1"/>
    <col min="11" max="11" width="11" style="1" customWidth="1"/>
    <col min="12" max="12" width="16.109375" style="1" customWidth="1"/>
    <col min="13" max="16384" width="8.77734375" style="1"/>
  </cols>
  <sheetData>
    <row r="1" spans="1:12">
      <c r="B1" s="7" t="s">
        <v>0</v>
      </c>
    </row>
    <row r="2" spans="1:12">
      <c r="B2" s="2" t="s">
        <v>1</v>
      </c>
      <c r="C2" s="3">
        <v>0.35</v>
      </c>
      <c r="D2" s="1" t="s">
        <v>2</v>
      </c>
    </row>
    <row r="3" spans="1:12">
      <c r="B3" s="1" t="s">
        <v>3</v>
      </c>
    </row>
    <row r="5" spans="1:12">
      <c r="B5" s="6" t="s">
        <v>4</v>
      </c>
      <c r="C5" s="5"/>
    </row>
    <row r="6" spans="1:12">
      <c r="B6" s="2" t="s">
        <v>5</v>
      </c>
      <c r="C6" s="4">
        <v>500000</v>
      </c>
      <c r="D6" s="1" t="s">
        <v>6</v>
      </c>
      <c r="E6" s="18">
        <v>0.21</v>
      </c>
      <c r="F6" s="1" t="s">
        <v>2</v>
      </c>
    </row>
    <row r="7" spans="1:12">
      <c r="D7" s="2" t="s">
        <v>7</v>
      </c>
      <c r="E7" s="1">
        <v>0.13</v>
      </c>
      <c r="F7" s="1" t="s">
        <v>2</v>
      </c>
    </row>
    <row r="9" spans="1:12">
      <c r="B9" s="1" t="s">
        <v>31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</row>
    <row r="10" spans="1:12">
      <c r="A10" s="1" t="s">
        <v>23</v>
      </c>
      <c r="B10" s="17">
        <f>'Overall Financial Model'!B4</f>
        <v>280000</v>
      </c>
      <c r="C10" s="17">
        <f>'Overall Financial Model'!C4</f>
        <v>697500</v>
      </c>
      <c r="D10" s="17">
        <f>'Overall Financial Model'!D4</f>
        <v>760275</v>
      </c>
      <c r="E10" s="17">
        <f>'Overall Financial Model'!E4</f>
        <v>828699.75000000012</v>
      </c>
      <c r="F10" s="17">
        <f>'Overall Financial Model'!F4</f>
        <v>903282.72750000027</v>
      </c>
      <c r="G10" s="17">
        <f>'Overall Financial Model'!G4</f>
        <v>984578.17297500034</v>
      </c>
      <c r="H10" s="17">
        <f>'Overall Financial Model'!H4</f>
        <v>1073190.2085427504</v>
      </c>
      <c r="I10" s="17">
        <f>'Overall Financial Model'!I4</f>
        <v>1169777.3273115978</v>
      </c>
      <c r="J10" s="17">
        <f>'Overall Financial Model'!J4</f>
        <v>1275057.286769642</v>
      </c>
      <c r="K10" s="17">
        <f>'Overall Financial Model'!K4</f>
        <v>1389812.4425789097</v>
      </c>
      <c r="L10" s="1">
        <v>2</v>
      </c>
    </row>
    <row r="12" spans="1:12">
      <c r="A12" s="1" t="s">
        <v>29</v>
      </c>
      <c r="B12" s="17">
        <f>B10*E6</f>
        <v>58800</v>
      </c>
      <c r="C12" s="17">
        <f>$C6*$E6</f>
        <v>105000</v>
      </c>
      <c r="D12" s="17">
        <f t="shared" ref="D12:K12" si="0">$C6*$E6</f>
        <v>105000</v>
      </c>
      <c r="E12" s="17">
        <f t="shared" si="0"/>
        <v>105000</v>
      </c>
      <c r="F12" s="17">
        <f t="shared" si="0"/>
        <v>105000</v>
      </c>
      <c r="G12" s="17">
        <f t="shared" si="0"/>
        <v>105000</v>
      </c>
      <c r="H12" s="17">
        <f t="shared" si="0"/>
        <v>105000</v>
      </c>
      <c r="I12" s="17">
        <f t="shared" si="0"/>
        <v>105000</v>
      </c>
      <c r="J12" s="17">
        <f t="shared" si="0"/>
        <v>105000</v>
      </c>
      <c r="K12" s="17">
        <f t="shared" si="0"/>
        <v>105000</v>
      </c>
      <c r="L12" s="17"/>
    </row>
    <row r="13" spans="1:12">
      <c r="A13" s="1" t="s">
        <v>36</v>
      </c>
      <c r="C13" s="17">
        <f>(C10-$C6)*$E7</f>
        <v>25675</v>
      </c>
      <c r="D13" s="17">
        <f t="shared" ref="D13:K13" si="1">(D10-$C6)*$E7</f>
        <v>33835.75</v>
      </c>
      <c r="E13" s="17">
        <f t="shared" si="1"/>
        <v>42730.967500000013</v>
      </c>
      <c r="F13" s="17">
        <f t="shared" si="1"/>
        <v>52426.754575000035</v>
      </c>
      <c r="G13" s="17">
        <f t="shared" si="1"/>
        <v>62995.162486750043</v>
      </c>
      <c r="H13" s="17">
        <f t="shared" si="1"/>
        <v>74514.727110557564</v>
      </c>
      <c r="I13" s="17">
        <f t="shared" si="1"/>
        <v>87071.052550507709</v>
      </c>
      <c r="J13" s="17">
        <f t="shared" si="1"/>
        <v>100757.44728005347</v>
      </c>
      <c r="K13" s="17">
        <f t="shared" si="1"/>
        <v>115675.61753525826</v>
      </c>
      <c r="L13" s="17"/>
    </row>
    <row r="14" spans="1:12">
      <c r="A14" s="1" t="s">
        <v>26</v>
      </c>
      <c r="B14" s="17">
        <f>B12</f>
        <v>58800</v>
      </c>
      <c r="C14" s="17">
        <f>SUM(C12:C13)</f>
        <v>130675</v>
      </c>
      <c r="D14" s="17">
        <f t="shared" ref="D14:I14" si="2">SUM(D12:D13)</f>
        <v>138835.75</v>
      </c>
      <c r="E14" s="17">
        <f t="shared" si="2"/>
        <v>147730.96750000003</v>
      </c>
      <c r="F14" s="17">
        <f t="shared" si="2"/>
        <v>157426.75457500003</v>
      </c>
      <c r="G14" s="17">
        <f t="shared" si="2"/>
        <v>167995.16248675005</v>
      </c>
      <c r="H14" s="17">
        <f t="shared" si="2"/>
        <v>179514.72711055755</v>
      </c>
      <c r="I14" s="17">
        <f t="shared" si="2"/>
        <v>192071.05255050771</v>
      </c>
      <c r="J14" s="17">
        <f t="shared" ref="J14" si="3">SUM(J12:J13)</f>
        <v>205757.44728005346</v>
      </c>
      <c r="K14" s="17">
        <f t="shared" ref="K14" si="4">SUM(K12:K13)</f>
        <v>220675.61753525826</v>
      </c>
      <c r="L14" s="17"/>
    </row>
    <row r="18" spans="1:11">
      <c r="B18" s="1" t="s">
        <v>32</v>
      </c>
      <c r="C18" s="1" t="s">
        <v>33</v>
      </c>
      <c r="D18" s="1" t="s">
        <v>35</v>
      </c>
    </row>
    <row r="19" spans="1:11">
      <c r="B19" s="1">
        <v>0</v>
      </c>
      <c r="C19" s="1">
        <v>500000</v>
      </c>
      <c r="D19" s="1">
        <v>0.21</v>
      </c>
    </row>
    <row r="20" spans="1:11">
      <c r="B20" s="1">
        <v>500000</v>
      </c>
      <c r="C20" s="1" t="s">
        <v>34</v>
      </c>
      <c r="D20" s="1">
        <v>0.13</v>
      </c>
    </row>
    <row r="21" spans="1:1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</row>
    <row r="22" spans="1:11">
      <c r="A22" s="1" t="s">
        <v>37</v>
      </c>
      <c r="B22" s="1" t="s">
        <v>38</v>
      </c>
      <c r="C22" s="1" t="s">
        <v>46</v>
      </c>
    </row>
    <row r="23" spans="1:11">
      <c r="A23" s="1" cm="1">
        <f t="array" ref="A23:A32">TRANSPOSE(B10:K10)</f>
        <v>280000</v>
      </c>
      <c r="B23" s="1" cm="1">
        <f t="array" ref="B23:B32">TRANSPOSE(B14:K14)</f>
        <v>58800</v>
      </c>
      <c r="C23" s="1" cm="1">
        <f t="array" ref="C23:C32">TRANSPOSE(B41:K41)</f>
        <v>86800</v>
      </c>
      <c r="D23" s="1" t="s">
        <v>63</v>
      </c>
    </row>
    <row r="24" spans="1:11">
      <c r="A24" s="1">
        <v>697500</v>
      </c>
      <c r="B24" s="1">
        <v>130675</v>
      </c>
      <c r="C24" s="1">
        <v>194825</v>
      </c>
    </row>
    <row r="25" spans="1:11">
      <c r="A25" s="1">
        <v>760275</v>
      </c>
      <c r="B25" s="1">
        <v>138835.75</v>
      </c>
      <c r="C25" s="1">
        <v>210136.25</v>
      </c>
    </row>
    <row r="26" spans="1:11">
      <c r="A26" s="1">
        <v>828699.75000000012</v>
      </c>
      <c r="B26" s="1">
        <v>147730.96750000003</v>
      </c>
      <c r="C26" s="1">
        <v>234084.91250000003</v>
      </c>
    </row>
    <row r="27" spans="1:11">
      <c r="A27" s="1">
        <v>903282.72750000027</v>
      </c>
      <c r="B27" s="1">
        <v>157426.75457500003</v>
      </c>
      <c r="C27" s="1">
        <v>260188.9546250001</v>
      </c>
    </row>
    <row r="28" spans="1:11">
      <c r="A28" s="1">
        <v>984578.17297500034</v>
      </c>
      <c r="B28" s="1">
        <v>167995.16248675005</v>
      </c>
      <c r="C28" s="1">
        <v>288642.36054125015</v>
      </c>
    </row>
    <row r="29" spans="1:11">
      <c r="A29" s="1">
        <v>1073190.2085427504</v>
      </c>
      <c r="B29" s="1">
        <v>179514.72711055755</v>
      </c>
      <c r="C29" s="1">
        <v>319656.57298996265</v>
      </c>
      <c r="E29" s="1" t="s">
        <v>32</v>
      </c>
      <c r="F29" s="1" t="s">
        <v>39</v>
      </c>
      <c r="G29" s="1" t="s">
        <v>40</v>
      </c>
    </row>
    <row r="30" spans="1:11">
      <c r="A30" s="1">
        <v>1169777.3273115978</v>
      </c>
      <c r="B30" s="1">
        <v>192071.05255050771</v>
      </c>
      <c r="C30" s="1">
        <v>353462.06455905922</v>
      </c>
      <c r="D30" s="10"/>
      <c r="E30" s="10">
        <v>0</v>
      </c>
      <c r="F30" s="1">
        <v>430000</v>
      </c>
      <c r="G30" s="1">
        <v>0.31</v>
      </c>
    </row>
    <row r="31" spans="1:11">
      <c r="A31" s="1">
        <v>1275057.286769642</v>
      </c>
      <c r="B31" s="1">
        <v>205757.44728005346</v>
      </c>
      <c r="C31" s="1">
        <v>390310.05036937475</v>
      </c>
      <c r="E31" s="1">
        <v>430000</v>
      </c>
      <c r="F31" s="1">
        <v>753000</v>
      </c>
      <c r="G31" s="1">
        <v>0.23</v>
      </c>
    </row>
    <row r="32" spans="1:11">
      <c r="A32" s="1">
        <v>1389812.4425789097</v>
      </c>
      <c r="B32" s="1">
        <v>220675.61753525826</v>
      </c>
      <c r="C32" s="1">
        <v>430474.35490261845</v>
      </c>
      <c r="E32" s="1">
        <v>753000</v>
      </c>
      <c r="F32" s="1" t="s">
        <v>43</v>
      </c>
      <c r="G32" s="1">
        <v>0.12</v>
      </c>
    </row>
    <row r="35" spans="1:12">
      <c r="A35" s="1" t="s">
        <v>37</v>
      </c>
      <c r="B35" s="17">
        <f>B10</f>
        <v>280000</v>
      </c>
      <c r="C35" s="17">
        <f>C10</f>
        <v>697500</v>
      </c>
      <c r="D35" s="17">
        <f t="shared" ref="D35:J35" si="5">D10</f>
        <v>760275</v>
      </c>
      <c r="E35" s="17">
        <f t="shared" si="5"/>
        <v>828699.75000000012</v>
      </c>
      <c r="F35" s="17">
        <f t="shared" si="5"/>
        <v>903282.72750000027</v>
      </c>
      <c r="G35" s="17">
        <f t="shared" si="5"/>
        <v>984578.17297500034</v>
      </c>
      <c r="H35" s="17">
        <f t="shared" si="5"/>
        <v>1073190.2085427504</v>
      </c>
      <c r="I35" s="17">
        <f t="shared" si="5"/>
        <v>1169777.3273115978</v>
      </c>
      <c r="J35" s="17">
        <f t="shared" si="5"/>
        <v>1275057.286769642</v>
      </c>
      <c r="K35" s="17">
        <f>K10</f>
        <v>1389812.4425789097</v>
      </c>
    </row>
    <row r="37" spans="1:12">
      <c r="A37" s="1" t="s">
        <v>41</v>
      </c>
      <c r="B37" s="17">
        <f>B35*G30</f>
        <v>86800</v>
      </c>
      <c r="C37" s="1">
        <f>$F30*$G30</f>
        <v>133300</v>
      </c>
      <c r="D37" s="1">
        <f>$F30*$G30</f>
        <v>133300</v>
      </c>
      <c r="E37" s="1">
        <f t="shared" ref="E37:K37" si="6">$F30*$G30</f>
        <v>133300</v>
      </c>
      <c r="F37" s="1">
        <f t="shared" si="6"/>
        <v>133300</v>
      </c>
      <c r="G37" s="1">
        <f t="shared" si="6"/>
        <v>133300</v>
      </c>
      <c r="H37" s="1">
        <f t="shared" si="6"/>
        <v>133300</v>
      </c>
      <c r="I37" s="1">
        <f t="shared" si="6"/>
        <v>133300</v>
      </c>
      <c r="J37" s="1">
        <f t="shared" si="6"/>
        <v>133300</v>
      </c>
      <c r="K37" s="1">
        <f t="shared" si="6"/>
        <v>133300</v>
      </c>
    </row>
    <row r="38" spans="1:12">
      <c r="A38" s="1" t="s">
        <v>42</v>
      </c>
      <c r="C38" s="17">
        <f>(C35-$E31)*$G31</f>
        <v>61525</v>
      </c>
      <c r="D38" s="17">
        <f>(D35-$E31)*$G31</f>
        <v>75963.25</v>
      </c>
      <c r="E38" s="17">
        <f>(E35-$E31)*$G31</f>
        <v>91700.942500000034</v>
      </c>
      <c r="F38" s="17">
        <f t="shared" ref="F38:K38" si="7">(F35-$E31)*$G31</f>
        <v>108855.02732500006</v>
      </c>
      <c r="G38" s="17">
        <f t="shared" si="7"/>
        <v>127552.97978425008</v>
      </c>
      <c r="H38" s="17">
        <f t="shared" si="7"/>
        <v>147933.74796483261</v>
      </c>
      <c r="I38" s="17">
        <f t="shared" si="7"/>
        <v>170148.78528166749</v>
      </c>
      <c r="J38" s="17">
        <f t="shared" si="7"/>
        <v>194363.17595701767</v>
      </c>
      <c r="K38" s="17">
        <f t="shared" si="7"/>
        <v>220756.86179314923</v>
      </c>
      <c r="L38" s="17"/>
    </row>
    <row r="39" spans="1:12">
      <c r="A39" s="1" t="s">
        <v>44</v>
      </c>
      <c r="D39" s="17">
        <f>(D35-$E32)*$G32</f>
        <v>873</v>
      </c>
      <c r="E39" s="17">
        <f t="shared" ref="E39:K39" si="8">(E35-$E32)*$G32</f>
        <v>9083.9700000000139</v>
      </c>
      <c r="F39" s="17">
        <f t="shared" si="8"/>
        <v>18033.927300000032</v>
      </c>
      <c r="G39" s="17">
        <f t="shared" si="8"/>
        <v>27789.380757000039</v>
      </c>
      <c r="H39" s="17">
        <f t="shared" si="8"/>
        <v>38422.825025130056</v>
      </c>
      <c r="I39" s="17">
        <f t="shared" si="8"/>
        <v>50013.279277391732</v>
      </c>
      <c r="J39" s="17">
        <f t="shared" si="8"/>
        <v>62646.874412357043</v>
      </c>
      <c r="K39" s="17">
        <f t="shared" si="8"/>
        <v>76417.493109469156</v>
      </c>
    </row>
    <row r="41" spans="1:12">
      <c r="A41" s="1" t="s">
        <v>45</v>
      </c>
      <c r="B41" s="17">
        <f>SUM(B$37:B$39)</f>
        <v>86800</v>
      </c>
      <c r="C41" s="17">
        <f t="shared" ref="C41:K41" si="9">SUM(C$37:C$39)</f>
        <v>194825</v>
      </c>
      <c r="D41" s="17">
        <f>SUM(D$37:D$39)</f>
        <v>210136.25</v>
      </c>
      <c r="E41" s="17">
        <f t="shared" si="9"/>
        <v>234084.91250000003</v>
      </c>
      <c r="F41" s="17">
        <f t="shared" si="9"/>
        <v>260188.9546250001</v>
      </c>
      <c r="G41" s="17">
        <f t="shared" si="9"/>
        <v>288642.36054125015</v>
      </c>
      <c r="H41" s="17">
        <f t="shared" si="9"/>
        <v>319656.57298996265</v>
      </c>
      <c r="I41" s="17">
        <f t="shared" si="9"/>
        <v>353462.06455905922</v>
      </c>
      <c r="J41" s="17">
        <f t="shared" si="9"/>
        <v>390310.05036937475</v>
      </c>
      <c r="K41" s="17">
        <f t="shared" si="9"/>
        <v>430474.35490261845</v>
      </c>
    </row>
    <row r="42" spans="1:12">
      <c r="A42" s="20"/>
      <c r="B42" s="20"/>
      <c r="C42" s="20"/>
      <c r="D42" s="20"/>
      <c r="E42" s="20"/>
      <c r="F42" s="20"/>
      <c r="G42" s="20"/>
      <c r="H42" s="20"/>
      <c r="I42" s="20"/>
    </row>
    <row r="43" spans="1:12">
      <c r="A43" s="1" t="s">
        <v>53</v>
      </c>
      <c r="B43" s="1">
        <v>903282.73</v>
      </c>
    </row>
    <row r="44" spans="1:12">
      <c r="A44" s="1" t="s">
        <v>54</v>
      </c>
      <c r="C44" s="1" t="s">
        <v>55</v>
      </c>
      <c r="D44" s="1" t="s">
        <v>60</v>
      </c>
      <c r="E44" s="1" t="s">
        <v>57</v>
      </c>
    </row>
    <row r="45" spans="1:12">
      <c r="A45" s="1">
        <v>0</v>
      </c>
      <c r="B45" s="1">
        <v>500000</v>
      </c>
      <c r="C45" s="1">
        <v>0.21</v>
      </c>
      <c r="D45" s="1">
        <f>IF(B43&gt;B45, B45, B43)</f>
        <v>500000</v>
      </c>
      <c r="E45" s="1">
        <f>D45*C45</f>
        <v>105000</v>
      </c>
    </row>
    <row r="46" spans="1:12">
      <c r="A46" s="1">
        <v>500000</v>
      </c>
      <c r="B46" s="1" t="s">
        <v>43</v>
      </c>
      <c r="C46" s="1">
        <v>0.13</v>
      </c>
      <c r="D46" s="1">
        <f>IF(B43&gt;A46, B43-A46, 0)</f>
        <v>403282.73</v>
      </c>
      <c r="E46" s="3">
        <f>D46*C46</f>
        <v>52426.7549</v>
      </c>
    </row>
    <row r="47" spans="1:12">
      <c r="D47" s="1" t="s">
        <v>56</v>
      </c>
      <c r="E47" s="3">
        <f>SUM(E45:E46)</f>
        <v>157426.7549</v>
      </c>
    </row>
    <row r="49" spans="1:6">
      <c r="A49" s="1" t="s">
        <v>53</v>
      </c>
      <c r="B49" s="1">
        <f>B43</f>
        <v>903282.73</v>
      </c>
      <c r="F49" s="1" t="s">
        <v>61</v>
      </c>
    </row>
    <row r="50" spans="1:6">
      <c r="A50" s="1" t="s">
        <v>58</v>
      </c>
      <c r="C50" s="1" t="s">
        <v>59</v>
      </c>
      <c r="D50" s="1" t="s">
        <v>62</v>
      </c>
      <c r="E50" s="1" t="s">
        <v>57</v>
      </c>
      <c r="F50" s="1">
        <f>E47-E54</f>
        <v>-68197.172699999996</v>
      </c>
    </row>
    <row r="51" spans="1:6">
      <c r="A51" s="1">
        <v>0</v>
      </c>
      <c r="B51" s="1">
        <v>430000</v>
      </c>
      <c r="C51" s="1">
        <v>0.31</v>
      </c>
      <c r="D51" s="1">
        <f>IF(B49&gt;B51, B51, B49)</f>
        <v>430000</v>
      </c>
      <c r="E51" s="1">
        <f>D51*C51</f>
        <v>133300</v>
      </c>
    </row>
    <row r="52" spans="1:6">
      <c r="A52" s="1">
        <v>430000</v>
      </c>
      <c r="B52" s="1">
        <v>753000</v>
      </c>
      <c r="C52" s="1">
        <v>0.23</v>
      </c>
      <c r="D52" s="1">
        <f>IF(B49&lt;B52, B49-B51,B52-B51)</f>
        <v>323000</v>
      </c>
      <c r="E52" s="1">
        <f t="shared" ref="E52:E53" si="10">D52*C52</f>
        <v>74290</v>
      </c>
    </row>
    <row r="53" spans="1:6">
      <c r="A53" s="1">
        <v>753000</v>
      </c>
      <c r="B53" s="1" t="s">
        <v>43</v>
      </c>
      <c r="C53" s="1">
        <v>0.12</v>
      </c>
      <c r="D53" s="1">
        <f>IF(B49&gt;A53, B49-A53, 0)</f>
        <v>150282.72999999998</v>
      </c>
      <c r="E53" s="3">
        <f t="shared" si="10"/>
        <v>18033.927599999995</v>
      </c>
    </row>
    <row r="54" spans="1:6">
      <c r="D54" s="1" t="s">
        <v>56</v>
      </c>
      <c r="E54" s="3">
        <f>SUM(E51:E53)</f>
        <v>225623.9276</v>
      </c>
    </row>
  </sheetData>
  <pageMargins left="0.7" right="0.7" top="0.75" bottom="0.75" header="0.3" footer="0.3"/>
  <pageSetup scale="8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8"/>
  <sheetViews>
    <sheetView tabSelected="1" workbookViewId="0">
      <selection activeCell="C18" sqref="C18"/>
    </sheetView>
  </sheetViews>
  <sheetFormatPr defaultColWidth="8.77734375" defaultRowHeight="15.75"/>
  <cols>
    <col min="1" max="1" width="33.77734375" style="1" customWidth="1"/>
    <col min="2" max="6" width="11" style="1" bestFit="1" customWidth="1"/>
    <col min="7" max="8" width="11.88671875" style="1" bestFit="1" customWidth="1"/>
    <col min="9" max="9" width="11.109375" style="1" customWidth="1"/>
    <col min="10" max="10" width="10.6640625" style="1" customWidth="1"/>
    <col min="11" max="11" width="10.88671875" style="1" customWidth="1"/>
    <col min="12" max="13" width="10.44140625" style="1" customWidth="1"/>
    <col min="14" max="14" width="11.109375" style="1" customWidth="1"/>
    <col min="15" max="16384" width="8.77734375" style="1"/>
  </cols>
  <sheetData>
    <row r="1" spans="1:15">
      <c r="A1" s="7" t="s">
        <v>8</v>
      </c>
    </row>
    <row r="2" spans="1:15">
      <c r="A2" s="7"/>
    </row>
    <row r="3" spans="1:15">
      <c r="A3" s="1" t="s">
        <v>9</v>
      </c>
      <c r="B3" s="13">
        <v>0.09</v>
      </c>
      <c r="C3" s="1" t="s">
        <v>10</v>
      </c>
    </row>
    <row r="4" spans="1:15">
      <c r="A4" s="7"/>
    </row>
    <row r="5" spans="1:15">
      <c r="A5" s="7"/>
    </row>
    <row r="6" spans="1:15">
      <c r="B6" s="12" t="s">
        <v>11</v>
      </c>
      <c r="C6" s="12" t="s">
        <v>11</v>
      </c>
      <c r="D6" s="12" t="s">
        <v>11</v>
      </c>
      <c r="E6" s="12" t="s">
        <v>11</v>
      </c>
      <c r="F6" s="12" t="s">
        <v>11</v>
      </c>
      <c r="G6" s="12" t="s">
        <v>11</v>
      </c>
      <c r="H6" s="12" t="s">
        <v>11</v>
      </c>
    </row>
    <row r="7" spans="1:15">
      <c r="B7" s="12">
        <v>1</v>
      </c>
      <c r="C7" s="12">
        <v>2</v>
      </c>
      <c r="D7" s="12">
        <v>3</v>
      </c>
      <c r="E7" s="12">
        <v>4</v>
      </c>
      <c r="F7" s="12">
        <v>5</v>
      </c>
      <c r="G7" s="12">
        <v>6</v>
      </c>
      <c r="H7" s="12">
        <v>7</v>
      </c>
      <c r="I7" s="1">
        <v>8</v>
      </c>
      <c r="J7" s="1">
        <v>9</v>
      </c>
      <c r="K7" s="1">
        <v>10</v>
      </c>
      <c r="L7" s="1">
        <v>11</v>
      </c>
      <c r="M7" s="1">
        <v>12</v>
      </c>
      <c r="N7" s="1">
        <v>13</v>
      </c>
    </row>
    <row r="8" spans="1:15">
      <c r="A8" s="9" t="s">
        <v>12</v>
      </c>
    </row>
    <row r="9" spans="1:15">
      <c r="A9" s="1" t="s">
        <v>13</v>
      </c>
      <c r="B9" s="8">
        <v>35</v>
      </c>
      <c r="C9" s="8">
        <v>85</v>
      </c>
      <c r="D9" s="14">
        <f>C9*(1+$B$3)</f>
        <v>92.65</v>
      </c>
      <c r="E9" s="14">
        <f>D9*(1+$B$3)</f>
        <v>100.98850000000002</v>
      </c>
      <c r="F9" s="14">
        <f t="shared" ref="F9:N9" si="0">E9*(1+$B$3)</f>
        <v>110.07746500000003</v>
      </c>
      <c r="G9" s="14">
        <f t="shared" si="0"/>
        <v>119.98443685000004</v>
      </c>
      <c r="H9" s="14">
        <f t="shared" si="0"/>
        <v>130.78303616650004</v>
      </c>
      <c r="I9" s="14">
        <f t="shared" si="0"/>
        <v>142.55350942148505</v>
      </c>
      <c r="J9" s="14">
        <f t="shared" si="0"/>
        <v>155.38332526941872</v>
      </c>
      <c r="K9" s="14">
        <f t="shared" si="0"/>
        <v>169.36782454366642</v>
      </c>
      <c r="L9" s="14">
        <f t="shared" si="0"/>
        <v>184.61092875259641</v>
      </c>
      <c r="M9" s="14">
        <f t="shared" si="0"/>
        <v>201.2259123403301</v>
      </c>
      <c r="N9" s="14">
        <f t="shared" si="0"/>
        <v>219.33624445095981</v>
      </c>
    </row>
    <row r="10" spans="1:15">
      <c r="A10" s="1" t="s">
        <v>14</v>
      </c>
      <c r="B10" s="8">
        <v>30</v>
      </c>
      <c r="C10" s="8">
        <v>65</v>
      </c>
      <c r="D10" s="14">
        <f t="shared" ref="D10:E11" si="1">C10*(1+$B$3)</f>
        <v>70.850000000000009</v>
      </c>
      <c r="E10" s="14">
        <f t="shared" si="1"/>
        <v>77.226500000000016</v>
      </c>
      <c r="F10" s="14">
        <f t="shared" ref="F10:N10" si="2">E10*(1+$B$3)</f>
        <v>84.176885000000027</v>
      </c>
      <c r="G10" s="14">
        <f t="shared" si="2"/>
        <v>91.75280465000003</v>
      </c>
      <c r="H10" s="14">
        <f t="shared" si="2"/>
        <v>100.01055706850003</v>
      </c>
      <c r="I10" s="14">
        <f t="shared" si="2"/>
        <v>109.01150720466505</v>
      </c>
      <c r="J10" s="14">
        <f t="shared" si="2"/>
        <v>118.82254285308491</v>
      </c>
      <c r="K10" s="14">
        <f t="shared" si="2"/>
        <v>129.51657170986257</v>
      </c>
      <c r="L10" s="14">
        <f t="shared" si="2"/>
        <v>141.17306316375021</v>
      </c>
      <c r="M10" s="14">
        <f t="shared" si="2"/>
        <v>153.87863884848775</v>
      </c>
      <c r="N10" s="14">
        <f t="shared" si="2"/>
        <v>167.72771634485167</v>
      </c>
    </row>
    <row r="11" spans="1:15">
      <c r="A11" s="1" t="s">
        <v>15</v>
      </c>
      <c r="B11" s="8">
        <v>5</v>
      </c>
      <c r="C11" s="8">
        <v>25</v>
      </c>
      <c r="D11" s="14">
        <f t="shared" si="1"/>
        <v>27.250000000000004</v>
      </c>
      <c r="E11" s="14">
        <f t="shared" si="1"/>
        <v>29.702500000000008</v>
      </c>
      <c r="F11" s="14">
        <f t="shared" ref="F11:N11" si="3">E11*(1+$B$3)</f>
        <v>32.37572500000001</v>
      </c>
      <c r="G11" s="14">
        <f t="shared" si="3"/>
        <v>35.289540250000016</v>
      </c>
      <c r="H11" s="14">
        <f t="shared" si="3"/>
        <v>38.465598872500017</v>
      </c>
      <c r="I11" s="14">
        <f t="shared" si="3"/>
        <v>41.927502771025019</v>
      </c>
      <c r="J11" s="14">
        <f t="shared" si="3"/>
        <v>45.700978020417274</v>
      </c>
      <c r="K11" s="14">
        <f t="shared" si="3"/>
        <v>49.814066042254829</v>
      </c>
      <c r="L11" s="14">
        <f t="shared" si="3"/>
        <v>54.29733198605777</v>
      </c>
      <c r="M11" s="14">
        <f t="shared" si="3"/>
        <v>59.184091864802973</v>
      </c>
      <c r="N11" s="14">
        <f t="shared" si="3"/>
        <v>64.510660132635252</v>
      </c>
    </row>
    <row r="13" spans="1:15">
      <c r="A13" s="9" t="s">
        <v>16</v>
      </c>
      <c r="J13" s="11"/>
      <c r="L13" s="11"/>
      <c r="O13" s="11" t="s">
        <v>17</v>
      </c>
    </row>
    <row r="14" spans="1:15">
      <c r="A14" s="1" t="s">
        <v>13</v>
      </c>
      <c r="B14" s="14">
        <f>B9*$O14</f>
        <v>157500</v>
      </c>
      <c r="C14" s="14">
        <f t="shared" ref="C14:N14" si="4">C9*$O14</f>
        <v>382500</v>
      </c>
      <c r="D14" s="14">
        <f>D9*$O14</f>
        <v>416925</v>
      </c>
      <c r="E14" s="14">
        <f t="shared" si="4"/>
        <v>454448.25000000006</v>
      </c>
      <c r="F14" s="14">
        <f t="shared" si="4"/>
        <v>495348.59250000014</v>
      </c>
      <c r="G14" s="14">
        <f t="shared" si="4"/>
        <v>539929.9658250002</v>
      </c>
      <c r="H14" s="14">
        <f t="shared" si="4"/>
        <v>588523.66274925019</v>
      </c>
      <c r="I14" s="14">
        <f t="shared" si="4"/>
        <v>641490.79239668266</v>
      </c>
      <c r="J14" s="14">
        <f t="shared" si="4"/>
        <v>699224.96371238423</v>
      </c>
      <c r="K14" s="14">
        <f t="shared" si="4"/>
        <v>762155.21044649882</v>
      </c>
      <c r="L14" s="14">
        <f t="shared" si="4"/>
        <v>830749.17938668386</v>
      </c>
      <c r="M14" s="14">
        <f t="shared" si="4"/>
        <v>905516.6055314854</v>
      </c>
      <c r="N14" s="14">
        <f t="shared" si="4"/>
        <v>987013.10002931918</v>
      </c>
      <c r="O14" s="10">
        <v>4500</v>
      </c>
    </row>
    <row r="15" spans="1:15">
      <c r="A15" s="1" t="s">
        <v>14</v>
      </c>
      <c r="B15" s="14">
        <f t="shared" ref="B15:N15" si="5">B10*$O15</f>
        <v>105000</v>
      </c>
      <c r="C15" s="14">
        <f t="shared" si="5"/>
        <v>227500</v>
      </c>
      <c r="D15" s="14">
        <f>D10*$O15</f>
        <v>247975.00000000003</v>
      </c>
      <c r="E15" s="14">
        <f t="shared" si="5"/>
        <v>270292.75000000006</v>
      </c>
      <c r="F15" s="14">
        <f t="shared" si="5"/>
        <v>294619.09750000009</v>
      </c>
      <c r="G15" s="14">
        <f t="shared" si="5"/>
        <v>321134.81627500011</v>
      </c>
      <c r="H15" s="14">
        <f t="shared" si="5"/>
        <v>350036.94973975013</v>
      </c>
      <c r="I15" s="14">
        <f t="shared" si="5"/>
        <v>381540.27521632769</v>
      </c>
      <c r="J15" s="14">
        <f t="shared" si="5"/>
        <v>415878.89998579718</v>
      </c>
      <c r="K15" s="14">
        <f t="shared" si="5"/>
        <v>453308.00098451902</v>
      </c>
      <c r="L15" s="14">
        <f t="shared" si="5"/>
        <v>494105.72107312572</v>
      </c>
      <c r="M15" s="14">
        <f t="shared" si="5"/>
        <v>538575.23596970714</v>
      </c>
      <c r="N15" s="14">
        <f t="shared" si="5"/>
        <v>587047.00720698084</v>
      </c>
      <c r="O15" s="10">
        <v>3500</v>
      </c>
    </row>
    <row r="16" spans="1:15">
      <c r="A16" s="1" t="s">
        <v>15</v>
      </c>
      <c r="B16" s="14">
        <f t="shared" ref="B16:N16" si="6">B11*$O16</f>
        <v>17500</v>
      </c>
      <c r="C16" s="14">
        <f t="shared" si="6"/>
        <v>87500</v>
      </c>
      <c r="D16" s="14">
        <f t="shared" si="6"/>
        <v>95375.000000000015</v>
      </c>
      <c r="E16" s="14">
        <f t="shared" si="6"/>
        <v>103958.75000000003</v>
      </c>
      <c r="F16" s="14">
        <f t="shared" si="6"/>
        <v>113315.03750000003</v>
      </c>
      <c r="G16" s="14">
        <f t="shared" si="6"/>
        <v>123513.39087500006</v>
      </c>
      <c r="H16" s="14">
        <f t="shared" si="6"/>
        <v>134629.59605375005</v>
      </c>
      <c r="I16" s="14">
        <f t="shared" si="6"/>
        <v>146746.25969858756</v>
      </c>
      <c r="J16" s="14">
        <f t="shared" si="6"/>
        <v>159953.42307146045</v>
      </c>
      <c r="K16" s="14">
        <f t="shared" si="6"/>
        <v>174349.2311478919</v>
      </c>
      <c r="L16" s="14">
        <f t="shared" si="6"/>
        <v>190040.6619512022</v>
      </c>
      <c r="M16" s="14">
        <f t="shared" si="6"/>
        <v>207144.32152681041</v>
      </c>
      <c r="N16" s="14">
        <f t="shared" si="6"/>
        <v>225787.31046422338</v>
      </c>
      <c r="O16" s="10">
        <v>3500</v>
      </c>
    </row>
    <row r="18" spans="1:14">
      <c r="A18" s="9" t="s">
        <v>18</v>
      </c>
      <c r="B18" s="14">
        <f>SUM(B$14:B$16)</f>
        <v>280000</v>
      </c>
      <c r="C18" s="14">
        <f t="shared" ref="C18:G18" si="7">SUM(C$14:C$16)</f>
        <v>697500</v>
      </c>
      <c r="D18" s="14">
        <f t="shared" si="7"/>
        <v>760275</v>
      </c>
      <c r="E18" s="14">
        <f t="shared" si="7"/>
        <v>828699.75000000012</v>
      </c>
      <c r="F18" s="14">
        <f t="shared" si="7"/>
        <v>903282.72750000027</v>
      </c>
      <c r="G18" s="14">
        <f t="shared" si="7"/>
        <v>984578.17297500034</v>
      </c>
      <c r="H18" s="14">
        <f>SUM(H$14:H$16)</f>
        <v>1073190.2085427504</v>
      </c>
      <c r="I18" s="14">
        <f t="shared" ref="I18:N18" si="8">SUM(I$14:I$16)</f>
        <v>1169777.3273115978</v>
      </c>
      <c r="J18" s="14">
        <f t="shared" si="8"/>
        <v>1275057.286769642</v>
      </c>
      <c r="K18" s="14">
        <f t="shared" si="8"/>
        <v>1389812.4425789097</v>
      </c>
      <c r="L18" s="14">
        <f t="shared" si="8"/>
        <v>1514895.5624110119</v>
      </c>
      <c r="M18" s="14">
        <f t="shared" si="8"/>
        <v>1651236.1630280032</v>
      </c>
      <c r="N18" s="14">
        <f t="shared" si="8"/>
        <v>1799847.4177005235</v>
      </c>
    </row>
  </sheetData>
  <dataValidations count="1">
    <dataValidation type="custom" sqref="A985:E985" xr:uid="{00000000-0002-0000-0100-000000000000}">
      <formula1>IF(1,1,"WMDAU:1673463600")</formula1>
    </dataValidation>
  </dataValidations>
  <printOptions headings="1"/>
  <pageMargins left="0.7" right="0.7" top="0.75" bottom="0.75" header="0.3" footer="0.3"/>
  <pageSetup scale="71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8"/>
  <sheetViews>
    <sheetView workbookViewId="0">
      <selection activeCell="B3" sqref="B3"/>
    </sheetView>
  </sheetViews>
  <sheetFormatPr defaultColWidth="8.77734375" defaultRowHeight="15.75"/>
  <cols>
    <col min="1" max="1" width="25" style="1" customWidth="1"/>
    <col min="2" max="2" width="10" style="1" bestFit="1" customWidth="1"/>
    <col min="3" max="3" width="10" style="1" customWidth="1"/>
    <col min="4" max="4" width="10.77734375" style="1" customWidth="1"/>
    <col min="5" max="6" width="10.77734375" style="1" bestFit="1" customWidth="1"/>
    <col min="7" max="8" width="11.77734375" style="1" bestFit="1" customWidth="1"/>
    <col min="9" max="9" width="8.77734375" style="1" customWidth="1"/>
    <col min="10" max="16384" width="8.77734375" style="1"/>
  </cols>
  <sheetData>
    <row r="1" spans="1:11">
      <c r="A1" s="7" t="s">
        <v>19</v>
      </c>
    </row>
    <row r="2" spans="1:11">
      <c r="A2" s="7"/>
    </row>
    <row r="3" spans="1:11">
      <c r="A3" s="1" t="s">
        <v>9</v>
      </c>
      <c r="B3" s="13">
        <v>0.05</v>
      </c>
      <c r="C3" s="1" t="s">
        <v>20</v>
      </c>
    </row>
    <row r="4" spans="1:11">
      <c r="A4" s="7"/>
    </row>
    <row r="5" spans="1:11">
      <c r="A5" s="7"/>
    </row>
    <row r="6" spans="1:11">
      <c r="B6" s="12" t="s">
        <v>11</v>
      </c>
      <c r="C6" s="12" t="s">
        <v>11</v>
      </c>
      <c r="D6" s="12" t="s">
        <v>11</v>
      </c>
      <c r="E6" s="12" t="s">
        <v>11</v>
      </c>
      <c r="F6" s="12" t="s">
        <v>11</v>
      </c>
      <c r="G6" s="12" t="s">
        <v>11</v>
      </c>
      <c r="H6" s="12" t="s">
        <v>11</v>
      </c>
    </row>
    <row r="7" spans="1:11">
      <c r="B7" s="12">
        <v>1</v>
      </c>
      <c r="C7" s="12">
        <v>2</v>
      </c>
      <c r="D7" s="12">
        <v>3</v>
      </c>
      <c r="E7" s="12">
        <v>4</v>
      </c>
      <c r="F7" s="12">
        <v>5</v>
      </c>
      <c r="G7" s="12">
        <v>6</v>
      </c>
      <c r="H7" s="12">
        <v>7</v>
      </c>
      <c r="I7" s="1">
        <v>8</v>
      </c>
      <c r="J7" s="1">
        <v>9</v>
      </c>
      <c r="K7" s="1">
        <v>10</v>
      </c>
    </row>
    <row r="8" spans="1:11">
      <c r="A8" s="1" t="s">
        <v>21</v>
      </c>
      <c r="B8" s="8">
        <v>60000</v>
      </c>
      <c r="C8" s="8">
        <v>110000</v>
      </c>
      <c r="D8" s="14">
        <f>C8*(1+$B3)</f>
        <v>115500</v>
      </c>
      <c r="E8" s="14">
        <f t="shared" ref="E8:K8" si="0">D8*(1+$B3)</f>
        <v>121275</v>
      </c>
      <c r="F8" s="14">
        <f t="shared" si="0"/>
        <v>127338.75</v>
      </c>
      <c r="G8" s="14">
        <f t="shared" si="0"/>
        <v>133705.6875</v>
      </c>
      <c r="H8" s="14">
        <f t="shared" si="0"/>
        <v>140390.97187500002</v>
      </c>
      <c r="I8" s="14">
        <f t="shared" si="0"/>
        <v>147410.52046875004</v>
      </c>
      <c r="J8" s="14">
        <f t="shared" si="0"/>
        <v>154781.04649218754</v>
      </c>
      <c r="K8" s="14">
        <f t="shared" si="0"/>
        <v>162520.09881679693</v>
      </c>
    </row>
  </sheetData>
  <printOptions headings="1"/>
  <pageMargins left="0.7" right="0.7" top="0.75" bottom="0.75" header="0.3" footer="0.3"/>
  <pageSetup scale="98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2"/>
  <sheetViews>
    <sheetView workbookViewId="0">
      <selection activeCell="H10" sqref="H10"/>
    </sheetView>
  </sheetViews>
  <sheetFormatPr defaultColWidth="8.77734375" defaultRowHeight="15.75"/>
  <cols>
    <col min="1" max="1" width="55.44140625" style="1" customWidth="1"/>
    <col min="2" max="2" width="10.44140625" style="1" bestFit="1" customWidth="1"/>
    <col min="3" max="5" width="11" style="1" bestFit="1" customWidth="1"/>
    <col min="6" max="6" width="12.5546875" style="1" bestFit="1" customWidth="1"/>
    <col min="7" max="8" width="11.88671875" style="1" bestFit="1" customWidth="1"/>
    <col min="9" max="9" width="12.33203125" style="1" customWidth="1"/>
    <col min="10" max="10" width="12.5546875" style="1" customWidth="1"/>
    <col min="11" max="11" width="12.77734375" style="1" customWidth="1"/>
    <col min="12" max="16384" width="8.77734375" style="1"/>
  </cols>
  <sheetData>
    <row r="1" spans="1:11">
      <c r="A1" s="7" t="s">
        <v>22</v>
      </c>
    </row>
    <row r="2" spans="1:11">
      <c r="B2" s="12" t="s">
        <v>11</v>
      </c>
      <c r="C2" s="12" t="s">
        <v>11</v>
      </c>
      <c r="D2" s="12" t="s">
        <v>11</v>
      </c>
      <c r="E2" s="12" t="s">
        <v>11</v>
      </c>
      <c r="F2" s="12" t="s">
        <v>11</v>
      </c>
      <c r="G2" s="12" t="s">
        <v>11</v>
      </c>
      <c r="H2" s="12" t="s">
        <v>11</v>
      </c>
      <c r="I2" s="1" t="s">
        <v>11</v>
      </c>
      <c r="J2" s="1" t="s">
        <v>30</v>
      </c>
      <c r="K2" s="1" t="s">
        <v>11</v>
      </c>
    </row>
    <row r="3" spans="1:11"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">
        <v>8</v>
      </c>
      <c r="J3" s="1">
        <v>9</v>
      </c>
      <c r="K3" s="1">
        <v>10</v>
      </c>
    </row>
    <row r="4" spans="1:11">
      <c r="A4" s="1" t="s">
        <v>23</v>
      </c>
      <c r="B4" s="15">
        <f>Units!B18</f>
        <v>280000</v>
      </c>
      <c r="C4" s="15">
        <f>Units!C18</f>
        <v>697500</v>
      </c>
      <c r="D4" s="15">
        <f>Units!D18</f>
        <v>760275</v>
      </c>
      <c r="E4" s="15">
        <f>Units!E18</f>
        <v>828699.75000000012</v>
      </c>
      <c r="F4" s="15">
        <f>Units!F18</f>
        <v>903282.72750000027</v>
      </c>
      <c r="G4" s="15">
        <f>Units!G18</f>
        <v>984578.17297500034</v>
      </c>
      <c r="H4" s="15">
        <f>Units!H18</f>
        <v>1073190.2085427504</v>
      </c>
      <c r="I4" s="15">
        <f>Units!I18</f>
        <v>1169777.3273115978</v>
      </c>
      <c r="J4" s="15">
        <f>Units!J18</f>
        <v>1275057.286769642</v>
      </c>
      <c r="K4" s="15">
        <f>Units!K18</f>
        <v>1389812.4425789097</v>
      </c>
    </row>
    <row r="5" spans="1:11">
      <c r="A5" s="1" t="s">
        <v>24</v>
      </c>
      <c r="B5" s="14">
        <f>'Price and Cost'!$C2</f>
        <v>0.35</v>
      </c>
      <c r="C5" s="14">
        <f>'Price and Cost'!$C2</f>
        <v>0.35</v>
      </c>
      <c r="D5" s="14">
        <f>'Price and Cost'!$C2</f>
        <v>0.35</v>
      </c>
      <c r="E5" s="14">
        <f>'Price and Cost'!$C2</f>
        <v>0.35</v>
      </c>
      <c r="F5" s="14">
        <v>0.39</v>
      </c>
      <c r="G5" s="14">
        <f>'Price and Cost'!$C2</f>
        <v>0.35</v>
      </c>
      <c r="H5" s="14">
        <f>'Price and Cost'!$C2</f>
        <v>0.35</v>
      </c>
      <c r="I5" s="14">
        <f>'Price and Cost'!$C2</f>
        <v>0.35</v>
      </c>
      <c r="J5" s="14">
        <f>'Price and Cost'!$C2</f>
        <v>0.35</v>
      </c>
      <c r="K5" s="14">
        <f>'Price and Cost'!$C2</f>
        <v>0.35</v>
      </c>
    </row>
    <row r="7" spans="1:11">
      <c r="A7" s="1" t="s">
        <v>25</v>
      </c>
      <c r="B7" s="16">
        <f>B4*B5</f>
        <v>98000</v>
      </c>
      <c r="C7" s="16">
        <f t="shared" ref="C7:G7" si="0">C4*C5</f>
        <v>244124.99999999997</v>
      </c>
      <c r="D7" s="16">
        <f t="shared" si="0"/>
        <v>266096.25</v>
      </c>
      <c r="E7" s="16">
        <f>E4*E5</f>
        <v>290044.91250000003</v>
      </c>
      <c r="F7" s="16">
        <f>F4*F5</f>
        <v>352280.26372500014</v>
      </c>
      <c r="G7" s="16">
        <f t="shared" si="0"/>
        <v>344602.36054125009</v>
      </c>
      <c r="H7" s="16">
        <f>H4*H5</f>
        <v>375616.57298996265</v>
      </c>
      <c r="I7" s="16">
        <f t="shared" ref="I7:K7" si="1">I4*I5</f>
        <v>409422.06455905922</v>
      </c>
      <c r="J7" s="16">
        <f t="shared" si="1"/>
        <v>446270.05036937469</v>
      </c>
      <c r="K7" s="16">
        <f t="shared" si="1"/>
        <v>486434.35490261833</v>
      </c>
    </row>
    <row r="8" spans="1:11">
      <c r="A8" s="1" t="s">
        <v>26</v>
      </c>
      <c r="B8" s="16">
        <f>'Price and Cost'!B14</f>
        <v>58800</v>
      </c>
      <c r="C8" s="16">
        <f>'Price and Cost'!C14</f>
        <v>130675</v>
      </c>
      <c r="D8" s="16">
        <f>'Price and Cost'!D14</f>
        <v>138835.75</v>
      </c>
      <c r="E8" s="16">
        <f>'Price and Cost'!E14</f>
        <v>147730.96750000003</v>
      </c>
      <c r="F8" s="16">
        <f>'Price and Cost'!F14</f>
        <v>157426.75457500003</v>
      </c>
      <c r="G8" s="16">
        <f>'Price and Cost'!G14</f>
        <v>167995.16248675005</v>
      </c>
      <c r="H8" s="16">
        <f>'Price and Cost'!H14</f>
        <v>179514.72711055755</v>
      </c>
      <c r="I8" s="16">
        <f>'Price and Cost'!I14</f>
        <v>192071.05255050771</v>
      </c>
      <c r="J8" s="16">
        <f>'Price and Cost'!J14</f>
        <v>205757.44728005346</v>
      </c>
      <c r="K8" s="16">
        <f>'Price and Cost'!K14</f>
        <v>220675.61753525826</v>
      </c>
    </row>
    <row r="9" spans="1:11">
      <c r="A9" s="1" t="s">
        <v>27</v>
      </c>
      <c r="B9" s="16">
        <f>'Operating Costs'!B8</f>
        <v>60000</v>
      </c>
      <c r="C9" s="16">
        <f>'Operating Costs'!C8</f>
        <v>110000</v>
      </c>
      <c r="D9" s="16">
        <f>'Operating Costs'!D8</f>
        <v>115500</v>
      </c>
      <c r="E9" s="16">
        <f>'Operating Costs'!E8</f>
        <v>121275</v>
      </c>
      <c r="F9" s="16">
        <f>'Operating Costs'!F8</f>
        <v>127338.75</v>
      </c>
      <c r="G9" s="16">
        <f>'Operating Costs'!G8</f>
        <v>133705.6875</v>
      </c>
      <c r="H9" s="16">
        <f>'Operating Costs'!H8</f>
        <v>140390.97187500002</v>
      </c>
      <c r="I9" s="16">
        <f>'Operating Costs'!I8</f>
        <v>147410.52046875004</v>
      </c>
      <c r="J9" s="16">
        <f>'Operating Costs'!J8</f>
        <v>154781.04649218754</v>
      </c>
      <c r="K9" s="16">
        <f>'Operating Costs'!K8</f>
        <v>162520.09881679693</v>
      </c>
    </row>
    <row r="10" spans="1:11">
      <c r="A10" s="1" t="s">
        <v>28</v>
      </c>
      <c r="B10" s="16">
        <f>B7-B8-B9</f>
        <v>-20800</v>
      </c>
      <c r="C10" s="16">
        <f t="shared" ref="C10:G10" si="2">C7-C8-C9</f>
        <v>3449.9999999999709</v>
      </c>
      <c r="D10" s="16">
        <f t="shared" si="2"/>
        <v>11760.5</v>
      </c>
      <c r="E10" s="16">
        <f>E7-E8-E9</f>
        <v>21038.945000000007</v>
      </c>
      <c r="F10" s="19">
        <f t="shared" si="2"/>
        <v>67514.759150000114</v>
      </c>
      <c r="G10" s="16">
        <f t="shared" si="2"/>
        <v>42901.510554500041</v>
      </c>
      <c r="H10" s="16">
        <f>H7-H8-H9</f>
        <v>55710.874004405079</v>
      </c>
      <c r="I10" s="16">
        <f t="shared" ref="I10" si="3">I7-I8-I9</f>
        <v>69940.491539801471</v>
      </c>
      <c r="J10" s="16">
        <f t="shared" ref="J10" si="4">J7-J8-J9</f>
        <v>85731.556597133691</v>
      </c>
      <c r="K10" s="16">
        <f t="shared" ref="K10" si="5">K7-K8-K9</f>
        <v>103238.6385505631</v>
      </c>
    </row>
    <row r="13" spans="1:11">
      <c r="F13" s="1">
        <v>67514.7592</v>
      </c>
    </row>
    <row r="14" spans="1:11">
      <c r="F14" s="1">
        <v>31383.450099999998</v>
      </c>
    </row>
    <row r="15" spans="1:11">
      <c r="F15" s="18">
        <f>F13-F14</f>
        <v>36131.309099999999</v>
      </c>
    </row>
    <row r="18" spans="7:9">
      <c r="H18" s="1" t="s">
        <v>51</v>
      </c>
      <c r="I18" s="1" t="s">
        <v>52</v>
      </c>
    </row>
    <row r="19" spans="7:9">
      <c r="G19" s="1" t="s">
        <v>47</v>
      </c>
      <c r="H19" s="1">
        <v>0.6</v>
      </c>
      <c r="I19" s="1">
        <v>55711</v>
      </c>
    </row>
    <row r="20" spans="7:9">
      <c r="G20" s="1" t="s">
        <v>48</v>
      </c>
      <c r="H20" s="1">
        <v>0.2</v>
      </c>
      <c r="I20" s="1">
        <f>I19*0.65</f>
        <v>36212.15</v>
      </c>
    </row>
    <row r="21" spans="7:9">
      <c r="G21" s="1" t="s">
        <v>49</v>
      </c>
      <c r="H21" s="1">
        <v>0.2</v>
      </c>
      <c r="I21" s="1">
        <f>I19*1.65</f>
        <v>91923.15</v>
      </c>
    </row>
    <row r="22" spans="7:9">
      <c r="G22" s="1" t="s">
        <v>50</v>
      </c>
      <c r="I22" s="1">
        <f>SUMPRODUCT(H19:H21, I19:I21)</f>
        <v>59053.66</v>
      </c>
    </row>
  </sheetData>
  <printOptions headings="1"/>
  <pageMargins left="0.7" right="0.7" top="0.75" bottom="0.75" header="0.3" footer="0.3"/>
  <pageSetup scale="98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3DD240E679CE4E91A4CCF47F558473" ma:contentTypeVersion="8" ma:contentTypeDescription="Create a new document." ma:contentTypeScope="" ma:versionID="05a029494834c523756e16f82a5195ff">
  <xsd:schema xmlns:xsd="http://www.w3.org/2001/XMLSchema" xmlns:xs="http://www.w3.org/2001/XMLSchema" xmlns:p="http://schemas.microsoft.com/office/2006/metadata/properties" xmlns:ns3="6dc78176-0aa7-48cb-bce0-f6ad3844ead7" xmlns:ns4="453b2298-32ff-4db2-9f02-8b177f75be33" targetNamespace="http://schemas.microsoft.com/office/2006/metadata/properties" ma:root="true" ma:fieldsID="35172e72b1ecaec4d163bf006329b9fb" ns3:_="" ns4:_="">
    <xsd:import namespace="6dc78176-0aa7-48cb-bce0-f6ad3844ead7"/>
    <xsd:import namespace="453b2298-32ff-4db2-9f02-8b177f75be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78176-0aa7-48cb-bce0-f6ad3844e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3b2298-32ff-4db2-9f02-8b177f75b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c78176-0aa7-48cb-bce0-f6ad3844ead7" xsi:nil="true"/>
  </documentManagement>
</p:properties>
</file>

<file path=customXml/itemProps1.xml><?xml version="1.0" encoding="utf-8"?>
<ds:datastoreItem xmlns:ds="http://schemas.openxmlformats.org/officeDocument/2006/customXml" ds:itemID="{EEE97C47-5D19-479A-8ED3-6FD29AD9EC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78176-0aa7-48cb-bce0-f6ad3844ead7"/>
    <ds:schemaRef ds:uri="453b2298-32ff-4db2-9f02-8b177f75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91C593-C94C-44BF-A21E-8767F6D2B9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7136B7F-15AF-4379-BE65-88B4BEE93D3F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53b2298-32ff-4db2-9f02-8b177f75be33"/>
    <ds:schemaRef ds:uri="6dc78176-0aa7-48cb-bce0-f6ad3844ead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 and Cost</vt:lpstr>
      <vt:lpstr>Units</vt:lpstr>
      <vt:lpstr>Operating Costs</vt:lpstr>
      <vt:lpstr>Overall Financial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Jonason, Brayden (bjonason@student.cccs.edu)</dc:creator>
  <cp:lastModifiedBy>Brayden Jonason</cp:lastModifiedBy>
  <dcterms:created xsi:type="dcterms:W3CDTF">2023-01-11T12:00:00Z</dcterms:created>
  <dcterms:modified xsi:type="dcterms:W3CDTF">2026-04-04T23:29:56Z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0x010100A63DD240E679CE4E91A4CCF47F558473</vt:lpwstr>
  </property>
</Properties>
</file>